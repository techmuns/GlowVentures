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old Laptop DATA\D\112398\Desktop\Bharat\INVESTMENT DATA FOLDER\"/>
    </mc:Choice>
  </mc:AlternateContent>
  <xr:revisionPtr revIDLastSave="0" documentId="13_ncr:1_{EC8CE3A0-625E-4D66-9ED9-F18C182C2872}" xr6:coauthVersionLast="47" xr6:coauthVersionMax="47" xr10:uidLastSave="{00000000-0000-0000-0000-000000000000}"/>
  <bookViews>
    <workbookView xWindow="-110" yWindow="-110" windowWidth="19420" windowHeight="10300" tabRatio="714" xr2:uid="{1209ECFD-9E91-417A-AE40-0E98198F71CC}"/>
  </bookViews>
  <sheets>
    <sheet name="PVT INV" sheetId="1" r:id="rId1"/>
    <sheet name="TRUST INVESTMENT" sheetId="8" r:id="rId2"/>
    <sheet name="COMPANY" sheetId="2" r:id="rId3"/>
    <sheet name="FUND HOUSE" sheetId="4" r:id="rId4"/>
    <sheet name="CRYPTO" sheetId="3" r:id="rId5"/>
    <sheet name="WRITE OFF - EXIT " sheetId="5" r:id="rId6"/>
    <sheet name="AJAY SIR - AARTI" sheetId="6" r:id="rId7"/>
    <sheet name="ATJ-AAJ FUND HOUSE" sheetId="7" r:id="rId8"/>
  </sheets>
  <definedNames>
    <definedName name="_xlnm._FilterDatabase" localSheetId="6" hidden="1">'AJAY SIR - AARTI'!$A$1:$L$65</definedName>
    <definedName name="_xlnm._FilterDatabase" localSheetId="3" hidden="1">'FUND HOUSE'!$B$1:$B$134</definedName>
    <definedName name="_xlnm._FilterDatabase" localSheetId="0" hidden="1">'PVT INV'!$A$1:$I$96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7" l="1"/>
  <c r="F34" i="7"/>
  <c r="F59" i="4"/>
  <c r="F67" i="4"/>
  <c r="F82" i="7" l="1"/>
  <c r="F72" i="7"/>
  <c r="F28" i="7"/>
  <c r="F21" i="7"/>
  <c r="F37" i="6"/>
  <c r="F13" i="6"/>
  <c r="F6" i="6"/>
  <c r="F103" i="4"/>
  <c r="F98" i="4"/>
  <c r="F49" i="4"/>
  <c r="F18" i="4"/>
  <c r="F30" i="1"/>
  <c r="F87" i="2"/>
  <c r="F96" i="4" l="1"/>
  <c r="F79" i="4"/>
  <c r="F44" i="1"/>
  <c r="F90" i="4" l="1"/>
  <c r="F37" i="4"/>
  <c r="F30" i="4"/>
  <c r="F19" i="6" l="1"/>
  <c r="F62" i="6" l="1"/>
  <c r="F9" i="4" l="1"/>
  <c r="F85" i="1" l="1"/>
  <c r="F66" i="1" l="1"/>
  <c r="F48" i="1" l="1"/>
  <c r="F38" i="1"/>
  <c r="F23" i="1"/>
  <c r="F52" i="6"/>
  <c r="F58" i="6" l="1"/>
  <c r="F74" i="4"/>
  <c r="F71" i="4" l="1"/>
  <c r="F27" i="6" l="1"/>
  <c r="F31" i="6" s="1"/>
  <c r="F76" i="2" l="1"/>
  <c r="F62" i="2" l="1"/>
  <c r="J56" i="2"/>
  <c r="F5" i="4" l="1"/>
  <c r="F25" i="6"/>
  <c r="F4" i="7"/>
  <c r="F10" i="7" l="1"/>
  <c r="J76" i="2"/>
  <c r="J9" i="2" l="1"/>
  <c r="F24" i="2" l="1"/>
  <c r="F51" i="1" l="1"/>
  <c r="F54" i="1"/>
  <c r="F50" i="7" l="1"/>
  <c r="F69" i="1"/>
  <c r="F54" i="7" l="1"/>
  <c r="F75" i="1"/>
  <c r="F76" i="1" s="1"/>
  <c r="F16" i="5"/>
  <c r="F12" i="5"/>
  <c r="F76" i="7" l="1"/>
  <c r="F8" i="5"/>
  <c r="F5" i="5"/>
  <c r="F70" i="1"/>
  <c r="F72" i="1" s="1"/>
  <c r="F30" i="2" l="1"/>
  <c r="F57" i="3"/>
  <c r="F49" i="3"/>
  <c r="F43" i="3"/>
  <c r="F39" i="3"/>
  <c r="F17" i="3"/>
  <c r="F60" i="1"/>
  <c r="F34" i="1"/>
  <c r="F36" i="2" l="1"/>
</calcChain>
</file>

<file path=xl/sharedStrings.xml><?xml version="1.0" encoding="utf-8"?>
<sst xmlns="http://schemas.openxmlformats.org/spreadsheetml/2006/main" count="2125" uniqueCount="743">
  <si>
    <t>SR. NO.</t>
  </si>
  <si>
    <t>INVESTMENT NAME</t>
  </si>
  <si>
    <t>INVESTMENT NAME (AKA)</t>
  </si>
  <si>
    <t>INVESTMENT DATE</t>
  </si>
  <si>
    <t>INVESTMENT DONE UNDER</t>
  </si>
  <si>
    <t>INVESTMENT AMOUNT</t>
  </si>
  <si>
    <t>VALUATION AT THE TIME OF INVESTMENT</t>
  </si>
  <si>
    <t>CURRENT VALUATION</t>
  </si>
  <si>
    <t xml:space="preserve">MOSAMBEE </t>
  </si>
  <si>
    <t>03.11.2012</t>
  </si>
  <si>
    <t>11.02.2013</t>
  </si>
  <si>
    <t>07.09.2018</t>
  </si>
  <si>
    <t>12889 EQUITY SHARES</t>
  </si>
  <si>
    <t>8889 EQUITY SHARES</t>
  </si>
  <si>
    <t>1111 EQUITY SHARES</t>
  </si>
  <si>
    <t xml:space="preserve">BHARAT </t>
  </si>
  <si>
    <t>26.09.2019</t>
  </si>
  <si>
    <t>19.08.2020</t>
  </si>
  <si>
    <t>FARAWAY FOODS PRIVATE LIMITED</t>
  </si>
  <si>
    <t>WRITE OFF</t>
  </si>
  <si>
    <t>BHARAT</t>
  </si>
  <si>
    <t>33 EQUITY SHARES</t>
  </si>
  <si>
    <t>199 EQUITY SHARES</t>
  </si>
  <si>
    <t>BRB</t>
  </si>
  <si>
    <t>AL TRUST - FORBIDDEN FOODS</t>
  </si>
  <si>
    <t>14.10.2019</t>
  </si>
  <si>
    <t>5000 EQUITY SHARES OF 1000 EACH</t>
  </si>
  <si>
    <t>SHARES ARE DEMATERIALIZED</t>
  </si>
  <si>
    <t>TAMASHA</t>
  </si>
  <si>
    <t>20.08.2020</t>
  </si>
  <si>
    <t>7500 EQUITY SHARES OF 1000 EACH</t>
  </si>
  <si>
    <t>ORG. SHARE CERTIFICATE STATUS</t>
  </si>
  <si>
    <t>NOT RECEIVED</t>
  </si>
  <si>
    <t>FALCONBRICK TECHNOLOGIES PRIVATE LIMITED</t>
  </si>
  <si>
    <t>30.01.2020</t>
  </si>
  <si>
    <t>26.03.2020</t>
  </si>
  <si>
    <t>27.03.2020</t>
  </si>
  <si>
    <t>28.03.2020</t>
  </si>
  <si>
    <t>29.03.2020</t>
  </si>
  <si>
    <t>30.03.2020</t>
  </si>
  <si>
    <t>A K ENTERPRISES</t>
  </si>
  <si>
    <t>17.02.2020</t>
  </si>
  <si>
    <t>12.04.2020</t>
  </si>
  <si>
    <t>13.04.2020</t>
  </si>
  <si>
    <t>14.04.2020</t>
  </si>
  <si>
    <t>WATERWALA LABS PRIVATE LIMITED</t>
  </si>
  <si>
    <t>WATERWALA LABS PRIVATE LIMITED -DRINKPRIME</t>
  </si>
  <si>
    <t>HANOK REUBEN MEDHARI</t>
  </si>
  <si>
    <t>DRINK PRIME</t>
  </si>
  <si>
    <t>3932 EQUITY SHARES - FACE VALUE OF 10 - DISTICTIVE FROM 18439-22370</t>
  </si>
  <si>
    <t>1404 EQUITY SHARES - FACE VALUE OF 10 - DISTICTIVE FROM 1-1404</t>
  </si>
  <si>
    <t>1480 EQUITY SHARES - FACE VALUE OF 10 - DISTICTIVE FROM 43277-44756</t>
  </si>
  <si>
    <t>RECEIVED</t>
  </si>
  <si>
    <t>FH ENABLE LLP</t>
  </si>
  <si>
    <t>FH ENABLE LLP TOTAL</t>
  </si>
  <si>
    <t>SYNERGISTIC FINANCIAL NETWORKS PVT LTD</t>
  </si>
  <si>
    <t>SYNERGISTIC FINANCIAL NETWORKS PVT LTD- TOTAL</t>
  </si>
  <si>
    <t>FARAWAY FOODS PRIVATE LIMITED- TOTAL</t>
  </si>
  <si>
    <t>A K ENTERPRISES - TOTAL</t>
  </si>
  <si>
    <t>WATERWALA LABS PVT LTD / HANOK - TOTAL</t>
  </si>
  <si>
    <t>4245 EQUITY SHARES - FACE VALUE OF RS 10 - DISTINCTIVE FROM 907 - 5151</t>
  </si>
  <si>
    <t>AAKASH SACHDEV</t>
  </si>
  <si>
    <t>POLYCAB</t>
  </si>
  <si>
    <t>SHASHI KIRAN</t>
  </si>
  <si>
    <t>ANGEL LIST</t>
  </si>
  <si>
    <t>18.08.2020</t>
  </si>
  <si>
    <t>26.07.2019</t>
  </si>
  <si>
    <t>ARTHA VENTURE FUND</t>
  </si>
  <si>
    <t>ARTHA VENTURE FUND - TOTAL</t>
  </si>
  <si>
    <t>MONEYCLUB TECHNOLOGIES PRIVATE LIMITED</t>
  </si>
  <si>
    <t>21.08.2020</t>
  </si>
  <si>
    <t>VENTURE CATALYST</t>
  </si>
  <si>
    <t>BETR TECH PRIVATE LIMITED---INVESTMENT IN 7 CLASSES</t>
  </si>
  <si>
    <t>36 EQUITY SHARES - PREFERENCE SHARES EACH OF RS. 10/- (NOMINAL VALUE) - AMOUNT PAID UP PER SHARE RS. 10/- DISTINCTIVE NO. 786 TO 821.</t>
  </si>
  <si>
    <t>36 EQUITY SHARES - PREFERENCE SHARES EACH OF RS. 10/- (NOMINAL VALUE) - AMOUNT PAID UP PER SHARE RS. 10/- DISTINCTIVE NO. 2501 to 2536</t>
  </si>
  <si>
    <t xml:space="preserve">45 EQUITY SHARES -OF RS. 10/- EACH - AMOUNT PAID UP PER SHARE RS. 31460/- DISTINCTIVE NO. 17508 TO 17552.    </t>
  </si>
  <si>
    <t>BETR TECH PVT LTD. / 7 CLASSES - TOTAL</t>
  </si>
  <si>
    <t>RANGTECHNOVATIONS LLP</t>
  </si>
  <si>
    <t>22.08.2019</t>
  </si>
  <si>
    <t>K M GLOBAL CREDIT PRIVATE LIMITED</t>
  </si>
  <si>
    <t xml:space="preserve">1 EQUITY SHARE  EQUITY SHARES EACH OF RS. 10/- (NOMINAL VALUE)  AMOUNT PAID UP PER SHARE RS. 10/- DISTINCTIVE NO. 90004 TO 90004.  </t>
  </si>
  <si>
    <t>26317 EQUITY SHARE - EACH OF RS. 10/- (NOMINAL VALUE)  AMOUNT PAID UP PER SHARE RS. 10/- DISTINCTIVE NO. 3805846 to 3832233</t>
  </si>
  <si>
    <t>K M GLOBAL CREDIT PRIVATE LIMITED - TOTAL</t>
  </si>
  <si>
    <t xml:space="preserve">RAM </t>
  </si>
  <si>
    <t>PARTNERSHIP</t>
  </si>
  <si>
    <t>1000 EQUITY SHARES -1000 EACH FULLY PAID UP DISTINCTIVE 5981 - 6980</t>
  </si>
  <si>
    <t>HYPRKYTCHEN FOODTECH PVT LTD</t>
  </si>
  <si>
    <t>RURASH FINANCIALS PRIVATE LIMITED -  RELIANCE RETAIL</t>
  </si>
  <si>
    <t>BITCIPHER LLP</t>
  </si>
  <si>
    <t>CRYPTO</t>
  </si>
  <si>
    <t>CRYPTO MATIC</t>
  </si>
  <si>
    <t>DCX DEPOSITS</t>
  </si>
  <si>
    <t>WAZIR</t>
  </si>
  <si>
    <t>NEBLIO TECHNOLOGIES PVT LTD</t>
  </si>
  <si>
    <t>IIFL SPECIAL OPPORTUNITIES FUN</t>
  </si>
  <si>
    <t>KYLO EDUTECH PRIVATE LIMITED</t>
  </si>
  <si>
    <t>FH EDUTECH LLP</t>
  </si>
  <si>
    <t>IDEAFORGE TECHNOLOGY PRIVATE LIMITED / RICHA GARG (SHARE CERTIFICATE NOT RECEIVED)</t>
  </si>
  <si>
    <t>INNOVITI PAYMENT SOLUTIONS PRIVATE LIMITED</t>
  </si>
  <si>
    <t>HOMEPECKED EMARKET PLACE SERVICES PTE LTD</t>
  </si>
  <si>
    <t>TRANSIGO FLEET LLP</t>
  </si>
  <si>
    <t>TRANSIGO OPC PVT LTD</t>
  </si>
  <si>
    <t>UE LIFESCIENCES</t>
  </si>
  <si>
    <t>VARIANCE PT VENTURES LLP</t>
  </si>
  <si>
    <t>ZIPPMAT PRIVATE LIMITED</t>
  </si>
  <si>
    <t>LV ANGEL FUND - LETS VENTURE (HOOPR)</t>
  </si>
  <si>
    <t>EVEREST FLEET PRIVATE LIMITED</t>
  </si>
  <si>
    <t>AVENDUS ABSOLUTE RETURN FUND C</t>
  </si>
  <si>
    <t xml:space="preserve">REFLEXICAL </t>
  </si>
  <si>
    <t>22.11.2022</t>
  </si>
  <si>
    <t>18.05.2021</t>
  </si>
  <si>
    <t>20.05.2021</t>
  </si>
  <si>
    <t>30.03.2021</t>
  </si>
  <si>
    <t>23/012022</t>
  </si>
  <si>
    <t>ONE EIGHT TECHNOLOGIES PRIVATE LIMITED--INVESTMENT IN NURO</t>
  </si>
  <si>
    <t>MR. BANSI</t>
  </si>
  <si>
    <t>WRITEOFF</t>
  </si>
  <si>
    <t>(17206 SHARES - SGD 12,24,872.06 PAID UP CAPITAL)</t>
  </si>
  <si>
    <t>TRANSFERRED AMOUNT IN SGD</t>
  </si>
  <si>
    <t>DISTINCTIVE 100824758 TO 100949757 / CERTIFICATE NO 17, REGISTER FOLIO NO 016</t>
  </si>
  <si>
    <t>HYPRKYTCHEN FOODTECH PVT LTD - TOTAL</t>
  </si>
  <si>
    <t>2 SHARE CERTIFICATE RECEIVED CERTIFICATE NO. 1, NO. OF CCPS 424 DISTINCTIVE 01-424 &amp; CERTIFICATE NO. 1, NO. OF CCPS 89 DISTINCTIVE 001-89</t>
  </si>
  <si>
    <t>3.32% SHAREHOLDING ON FDB -- 3538 PAID PER SHARE</t>
  </si>
  <si>
    <t>ANANDKUMAR LADSARIYA</t>
  </si>
  <si>
    <t>BITCIPHER LLP - TOTAL</t>
  </si>
  <si>
    <t>CRYPTO - TOTAL</t>
  </si>
  <si>
    <t>CRYPTO MATIC - TOTAL</t>
  </si>
  <si>
    <t>DCX DEPOSITS - TOTAL</t>
  </si>
  <si>
    <t>NEBLIO TECHNOLOGIES PVT LTD - TOTAL</t>
  </si>
  <si>
    <t>KYLO EDUTECH PRIVATE LIMITED - TOTAL</t>
  </si>
  <si>
    <t>HOMEPECKED EMARKET PLACE SERVICES PTE LTD - TOTAL</t>
  </si>
  <si>
    <t>TRANSIGO FLEET LLP - TOTAL</t>
  </si>
  <si>
    <t>TRANSIGO OPC PVT LTD - TOTAL</t>
  </si>
  <si>
    <t>SHIKHA JAISINGHANI</t>
  </si>
  <si>
    <t>2099 EQUITY SHARES DISTINCTIVE 6493-8591</t>
  </si>
  <si>
    <t>THIRD EYE DISTILLERY HOLDINGS PRIVATE LIMITED (TED)</t>
  </si>
  <si>
    <t>100 EQUITY SHARES OF 10 EACH PAID UP SHARES - DISTINCTIVE NO. 79770-79869</t>
  </si>
  <si>
    <t>9922 EQUITY SHARES - PREFERENCE SHARES OF 11 EACH - DISTINCTIVE NO FROM I CCPS 109143 TO 119064</t>
  </si>
  <si>
    <t>TRANSFERRED IN USD @ 81.22 - INVESTEMENT THROUGH ANGLEFUND</t>
  </si>
  <si>
    <t>SKYVENTURES - LV ANGEL FUND  - AAKASH SACHDEV</t>
  </si>
  <si>
    <t>VAIBHAV KARNAVAT</t>
  </si>
  <si>
    <t>(1) NO. OF EQUITY SHARES -1 REGISTER FOLIO NO 20, CERTIFICATE NO. 27 DISTINCTIVE NO FROM 10035 - 10035, (2) NO. OF SERIES SEED 2 CCPS SHERS - 34 REGISTER FOLIO NO P-17 CERTIFICATE NO P-017 DISTINCTIVE 2682-2717, TOTAL NUMBER OF SHARES - 35</t>
  </si>
  <si>
    <t>ROMIL KAPADIA</t>
  </si>
  <si>
    <t>TRANSFERRED 12500 USD. JUST RECEIVED A COPY OF THE SHARE DETAILS ON EMAIL</t>
  </si>
  <si>
    <t>COPY RECEIVED ON EMAIL- ORG. NOT RECEIVED YET</t>
  </si>
  <si>
    <t>COPY RECEIVED ON DASHBOARD- ORG. NOT RECEIVED YET</t>
  </si>
  <si>
    <t>SIDDHARTH LADSARIYA</t>
  </si>
  <si>
    <t>COMMITMENT OF 25 LAKHS</t>
  </si>
  <si>
    <t>ABHIJEET KUDVA</t>
  </si>
  <si>
    <t>INFLEXOR TECHNOLOGY</t>
  </si>
  <si>
    <t>ANKITA</t>
  </si>
  <si>
    <t>INFLEXOR TECHNOLOGY - TOTAL</t>
  </si>
  <si>
    <t>RAJESHWARI - AVENDUS</t>
  </si>
  <si>
    <t>COMMITMENT OF 10000000 (1 CRORE)</t>
  </si>
  <si>
    <t>WYRIDIAN ADVISORS LLP</t>
  </si>
  <si>
    <t>KANIKA AGARWAL</t>
  </si>
  <si>
    <t>REDEMPTION DONE OF ALL UNITS</t>
  </si>
  <si>
    <t>MOTILAL OSWAL</t>
  </si>
  <si>
    <t>PIVOT VENTURE CAPITAL II</t>
  </si>
  <si>
    <t xml:space="preserve">2ND DRAWDOWN NOTICE </t>
  </si>
  <si>
    <t>3rd DRAWDOWN NOTICE</t>
  </si>
  <si>
    <t>ISHA KEDIA</t>
  </si>
  <si>
    <t>PIVOT VENTURE CAPITAL II - TOTAL</t>
  </si>
  <si>
    <t>THE OASK CONSUMER FUND I</t>
  </si>
  <si>
    <t>THE OASK CONSUMER FUND I - TOTAL</t>
  </si>
  <si>
    <t>URB VENTURES PRIVATE LIMITED</t>
  </si>
  <si>
    <t>ANUJ MUNOT</t>
  </si>
  <si>
    <t>ANIMESH LODHA</t>
  </si>
  <si>
    <t>AVENDUS ABSOLUTE RETURN FUND</t>
  </si>
  <si>
    <t>PRADEEP KUMAR</t>
  </si>
  <si>
    <t>12.02.2021</t>
  </si>
  <si>
    <t>AARTI</t>
  </si>
  <si>
    <t>AVENDUS ABSOLUTE RETURN FUND  - TOTAL</t>
  </si>
  <si>
    <t>AJAY</t>
  </si>
  <si>
    <t>02.07.2022</t>
  </si>
  <si>
    <t>AVENDUS ABSOLUTE RETURN FUND C - TOTAL</t>
  </si>
  <si>
    <t>EVEREST FLEET PRIVATE LIMITED -TOTAL</t>
  </si>
  <si>
    <t>DEEPEN SHAH</t>
  </si>
  <si>
    <t xml:space="preserve">PRANAV KORANNE </t>
  </si>
  <si>
    <t>29766 EQUITY SHARES - FACE VALUE OF RS. 11  - DISTINCTIVE NO FROM I CCPS 79377 TO 109142</t>
  </si>
  <si>
    <t>SHAIVAL M. DESAI</t>
  </si>
  <si>
    <t>4TH DRAWDOWN NOTICE</t>
  </si>
  <si>
    <t>SANTOSH PARAB</t>
  </si>
  <si>
    <t>2,00,00,000 Commitment - 32% paid of the commited value</t>
  </si>
  <si>
    <t>CAPITAL COMMITMENT - 2,00,00,000 - 1ST DRAWDOWN NOTICE</t>
  </si>
  <si>
    <t>58 EQUITY SHARES - EACH SHARES OF RS. 10 (NOMINAL VALUE)- DISTINCTIVE 11722 - 11779</t>
  </si>
  <si>
    <t>4000 SHARES - PREFERENCE SHARES OF RS. 10 EACH - DISTINCTIVE 58001 - 62000</t>
  </si>
  <si>
    <t>58 SHARES - OF RS. 10 EACH - DISTINCTIVE 11780 - 11837</t>
  </si>
  <si>
    <t>13 SHARES - OF RS. 10 (NOMINAL VALUE ) - DISTINCTIVE 2619 - 2631</t>
  </si>
  <si>
    <t>SOLD</t>
  </si>
  <si>
    <t>CHRYSEUM ADVISORS LLP</t>
  </si>
  <si>
    <t>15000 EQUITY SHARES OF NSE</t>
  </si>
  <si>
    <t>4a</t>
  </si>
  <si>
    <t>4b</t>
  </si>
  <si>
    <t>4c</t>
  </si>
  <si>
    <t>4d</t>
  </si>
  <si>
    <t>4e</t>
  </si>
  <si>
    <t>4f</t>
  </si>
  <si>
    <t>4g</t>
  </si>
  <si>
    <t>4h</t>
  </si>
  <si>
    <t>4i</t>
  </si>
  <si>
    <t>5a</t>
  </si>
  <si>
    <t>5b</t>
  </si>
  <si>
    <t>7a</t>
  </si>
  <si>
    <t>7b</t>
  </si>
  <si>
    <t>10a</t>
  </si>
  <si>
    <t>10b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</si>
  <si>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</si>
  <si>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</si>
  <si>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</si>
  <si>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</si>
  <si>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</si>
  <si>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</si>
  <si>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</si>
  <si>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</si>
  <si>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</si>
  <si>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</si>
  <si>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</si>
  <si>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1l</t>
  </si>
  <si>
    <t>1m</t>
  </si>
  <si>
    <t>1n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</si>
  <si>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</si>
  <si>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</si>
  <si>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</si>
  <si>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</si>
  <si>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</si>
  <si>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</si>
  <si>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</si>
  <si>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</si>
  <si>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</si>
  <si>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</si>
  <si>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</si>
  <si>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6a</t>
  </si>
  <si>
    <t>6b</t>
  </si>
  <si>
    <t>6c</t>
  </si>
  <si>
    <t>1o</t>
  </si>
  <si>
    <t>2g</t>
  </si>
  <si>
    <t>2h</t>
  </si>
  <si>
    <t>2i</t>
  </si>
  <si>
    <t>2j</t>
  </si>
  <si>
    <t>2k</t>
  </si>
  <si>
    <t>2l</t>
  </si>
  <si>
    <t>2m</t>
  </si>
  <si>
    <t>2n</t>
  </si>
  <si>
    <t>2o</t>
  </si>
  <si>
    <t>2p</t>
  </si>
  <si>
    <t>2q</t>
  </si>
  <si>
    <t>2r</t>
  </si>
  <si>
    <t>2s</t>
  </si>
  <si>
    <t>2t</t>
  </si>
  <si>
    <t>2u</t>
  </si>
  <si>
    <t>6d</t>
  </si>
  <si>
    <t>6e</t>
  </si>
  <si>
    <t>6f</t>
  </si>
  <si>
    <t>3f</t>
  </si>
  <si>
    <t>3g</t>
  </si>
  <si>
    <t>CHRYSEUM ADVISORS LLP - TOTAL</t>
  </si>
  <si>
    <t>ANGELLIST - LIKEMINDS</t>
  </si>
  <si>
    <t>URB VENTURES PRIVATE LIMITED - TOTAL</t>
  </si>
  <si>
    <t xml:space="preserve">ARTHA ENERGY PROJECTS PVT LTD </t>
  </si>
  <si>
    <t>600 PREFERENCE SHARE - EACH OF RS. 10/- (FACE VALUE) AMOUNT PAID UP PER SHARE RS. 10/- DISTINCTIVE NO. 20167 to 20766</t>
  </si>
  <si>
    <t>ORIGINAL RECEIVED</t>
  </si>
  <si>
    <t>DOPAMINE</t>
  </si>
  <si>
    <t>VECINO FITNESS PRIVATE LIMITED</t>
  </si>
  <si>
    <t>SINCE99 APPAREL PRIVATE LIMITED</t>
  </si>
  <si>
    <t>3C</t>
  </si>
  <si>
    <t>PUNIT SEHGAL / DEXTER CAPITAL</t>
  </si>
  <si>
    <t>12a</t>
  </si>
  <si>
    <t>12b</t>
  </si>
  <si>
    <t>STAY VISTA PRIVATE LIMITED - TOTAL</t>
  </si>
  <si>
    <t>AL TRUST - COLLABMATES PRIVATE LIMITED</t>
  </si>
  <si>
    <t>664 CCPS - PER PRICE SHARE 26,383</t>
  </si>
  <si>
    <t>5TH DRAWDOWN NOTICE</t>
  </si>
  <si>
    <t>3P INDIA EQUITY FUND 1</t>
  </si>
  <si>
    <t>ROMIL - MOTILAL</t>
  </si>
  <si>
    <t>25/04/2023</t>
  </si>
  <si>
    <t>14a</t>
  </si>
  <si>
    <t>14b</t>
  </si>
  <si>
    <t>15-05-2023</t>
  </si>
  <si>
    <t>EVEREST FLEET PRIVATE LIMITED - TOTAL ANKITA</t>
  </si>
  <si>
    <t>EVEREST FLEET PRIVATE LIMITED - TOTAL BHARAT</t>
  </si>
  <si>
    <t>AKSUM TRADEMART PRIVATE LIMITED</t>
  </si>
  <si>
    <t>ANKIT JAIN</t>
  </si>
  <si>
    <t>15/05/2023</t>
  </si>
  <si>
    <t>5475 SHARES - PREFERENCE SHARE OF RS. 10 EACH - DISTINCTIVE 2610391-2615865 CERTIFICATE NO. P-33</t>
  </si>
  <si>
    <t xml:space="preserve">367 SHARES COMPULSORY CONVERTIBLE PREFERENCE SHARES EACH OF RS. 10. AMOUNT PAID UP PER SHARE RS. 10 REGISTER NO. 03, CERTIFICATE NO. 03 DISTINCTIVE 2939 - 3305 </t>
  </si>
  <si>
    <t>VINEET SETHIA</t>
  </si>
  <si>
    <t>08.06.2023</t>
  </si>
  <si>
    <t>AJAY JAIN</t>
  </si>
  <si>
    <t>3h</t>
  </si>
  <si>
    <t>31.07.2023</t>
  </si>
  <si>
    <t>7c</t>
  </si>
  <si>
    <t>7d</t>
  </si>
  <si>
    <t>7e</t>
  </si>
  <si>
    <t>7f</t>
  </si>
  <si>
    <t>9a</t>
  </si>
  <si>
    <t>9b</t>
  </si>
  <si>
    <t>15a</t>
  </si>
  <si>
    <t>15b</t>
  </si>
  <si>
    <t>16a</t>
  </si>
  <si>
    <t>16b</t>
  </si>
  <si>
    <t>20a</t>
  </si>
  <si>
    <t>20b</t>
  </si>
  <si>
    <t>25a</t>
  </si>
  <si>
    <t>25b</t>
  </si>
  <si>
    <t>28a</t>
  </si>
  <si>
    <t>28b</t>
  </si>
  <si>
    <t xml:space="preserve">1407 SHARES OF RS 10 </t>
  </si>
  <si>
    <t>6000 PREFERENCE SHARES - NOMINAL VALUE 10 RS AMOUNT PAID UP PER SHARE FOLIO NO. 5 CERTIFICATE NO 18 DISTINCTIVE FROM 104801 TO 110800</t>
  </si>
  <si>
    <t>13 EQUITY SHARES EACH OF RS. 10/- (NOMINAL VALUE) REGISTERED FOLIO 41, CERTIFICATE NO. 44, DISTINCTIVE NO. 13144 TO 13156</t>
  </si>
  <si>
    <t>12 EQUITY SHARES DISTINCTIVE NO. 2606 TO 2618 -  EQUITY SHARES EACH OF RS. 10/- (NOMINAL VALUE) - AMOUNT PAID UP PER SHARE RS. 10/-</t>
  </si>
  <si>
    <t>6 EQUITY SHARES OF RS 10 EACH REGISTERED FOLIO NO. CCPS 60, CERTIFICATE NO P-70 DISTINCTIVE NO. 4671 TO 4676</t>
  </si>
  <si>
    <t>13 EQUITY SHARES OF RS. 10 EACH. REGISTERED FOLIO NO. 13, CERTIFICATE NO. 45, DISTINCTIVE NO. 13157 TO 13169</t>
  </si>
  <si>
    <t xml:space="preserve"> </t>
  </si>
  <si>
    <t>PROCYON ENTERPRISE LLP</t>
  </si>
  <si>
    <t>ABHISHEK MURARKA</t>
  </si>
  <si>
    <t>CAPITAL CONTRIBUTION</t>
  </si>
  <si>
    <t>EXPENSES &amp; BILL PAYMENT</t>
  </si>
  <si>
    <t>4j</t>
  </si>
  <si>
    <t>PROCYON ENTERPRISE LLP - TOTAL</t>
  </si>
  <si>
    <t>1p</t>
  </si>
  <si>
    <t>SWAPECO SOLUTIONS PRIVATE LIMITED</t>
  </si>
  <si>
    <t>SCRAP UNCLE - MUKUL CHABRA</t>
  </si>
  <si>
    <t xml:space="preserve">244 EQUITY SHARES (2.08 % HOLDING) </t>
  </si>
  <si>
    <t>4k</t>
  </si>
  <si>
    <t>ZAAMO E COMMERCE PVT LTD</t>
  </si>
  <si>
    <t xml:space="preserve">576 EQUITY SHARES CONVERATBLE PREFERENCE SHARES OF RS. 100 REG. FOLIO NO. SEED 2 CCPS 3, CERTIFICATE NO. SEED 2 CCPS 3. DISTINCTIVE FROM 4897 TO 5472 </t>
  </si>
  <si>
    <t>213 SERIES A CCPS OF FACE VALUE OF RS. 10 EACH. 0.32 % OF HOLDING</t>
  </si>
  <si>
    <t>GRAYQUEST EDUCATION FINANCE PRIVATE LIMITED</t>
  </si>
  <si>
    <t>CVG HI INDIA PRIVATE LIMITED - HEAD INFOTECH / Head Digital Works Pvt Ltd. Are same</t>
  </si>
  <si>
    <t>AUTOCRACY MACHINERY PRIVATE</t>
  </si>
  <si>
    <t>EQUITY SHARES 1,11,200 - PRICE PER SHARE 135, FACE VALUE PER SHARE INR 10</t>
  </si>
  <si>
    <t>9321 EQUITY SHARES - FACE VALUE OF 10 - DISTINCTIVE FROM 39648 - 48968</t>
  </si>
  <si>
    <t>NILESH ANGELIST</t>
  </si>
  <si>
    <t>Gadhadar Reddy</t>
  </si>
  <si>
    <t>NOPO NANOTECHNOLOGIES INDIA PRIVATE LIMITED</t>
  </si>
  <si>
    <t xml:space="preserve">NO OF UNITS 10000 </t>
  </si>
  <si>
    <t>AL TRUST - KARBAN ENVIROTECH (RUV).</t>
  </si>
  <si>
    <t>NO OF SEEDS 579 FACE VALUE OF RS 10 EACH</t>
  </si>
  <si>
    <t>NO OF SEEDS 579 FACE VALUE OF RS 10 EACH DISTINCTIVE CCCPS 31389 - CCCPS 31967</t>
  </si>
  <si>
    <t>SOFT COPY RECEIVED ON EMAIL</t>
  </si>
  <si>
    <t>NEGEN TECH OPPORTUNITIES ANGEL FUND</t>
  </si>
  <si>
    <t>THRIVE TRIBE</t>
  </si>
  <si>
    <t>SKY ENABLE TECH LLP</t>
  </si>
  <si>
    <t>CAPITAL CONTRIBUTION TO BECOME PARTNER</t>
  </si>
  <si>
    <t>LKP SECURITIES LIMITED</t>
  </si>
  <si>
    <t>ANKUR SIROLIA</t>
  </si>
  <si>
    <t>MATRIX GAS AND RENEWABLES LIMITED</t>
  </si>
  <si>
    <t xml:space="preserve">37500 EQUITY SHARES ISSUE PRICE OF 400 FACE VALUE OF RS. 10 EACH </t>
  </si>
  <si>
    <t>35a</t>
  </si>
  <si>
    <t>35b</t>
  </si>
  <si>
    <t xml:space="preserve">EQUITY SHARES 1000 </t>
  </si>
  <si>
    <t xml:space="preserve">EQUITY SHARES 625 </t>
  </si>
  <si>
    <t>6th DRAWDOWN NOTICE</t>
  </si>
  <si>
    <t>7th DRAWDOWN NOTICE</t>
  </si>
  <si>
    <t>1q</t>
  </si>
  <si>
    <t>STATUS</t>
  </si>
  <si>
    <t>REMARKS</t>
  </si>
  <si>
    <t>DATE</t>
  </si>
  <si>
    <t xml:space="preserve">LOAN RETURNED BACK </t>
  </si>
  <si>
    <t xml:space="preserve">TOTAL </t>
  </si>
  <si>
    <t>1r</t>
  </si>
  <si>
    <t>1s</t>
  </si>
  <si>
    <t>1t</t>
  </si>
  <si>
    <t>1u</t>
  </si>
  <si>
    <t>1v</t>
  </si>
  <si>
    <t>4l</t>
  </si>
  <si>
    <t>4m</t>
  </si>
  <si>
    <t>4n</t>
  </si>
  <si>
    <t>4o</t>
  </si>
  <si>
    <t>4p</t>
  </si>
  <si>
    <t>4q</t>
  </si>
  <si>
    <t>4r</t>
  </si>
  <si>
    <t>4s</t>
  </si>
  <si>
    <t>4t</t>
  </si>
  <si>
    <t>4u</t>
  </si>
  <si>
    <t>4v</t>
  </si>
  <si>
    <t>PROCYON STAR PVT. LTD.</t>
  </si>
  <si>
    <t>PROCYON STAR PVT. LTD. - TOTAL</t>
  </si>
  <si>
    <t>Aakash Sachdev</t>
  </si>
  <si>
    <t>12c</t>
  </si>
  <si>
    <t>10c</t>
  </si>
  <si>
    <t>26a</t>
  </si>
  <si>
    <t>26b</t>
  </si>
  <si>
    <t>CHEELIZZA - TOTAL</t>
  </si>
  <si>
    <t>ROMIL</t>
  </si>
  <si>
    <t>INFINITE INDIA INVESTMENT MANAGEMENT LTD</t>
  </si>
  <si>
    <t>NEO INFRA INCOME OP</t>
  </si>
  <si>
    <t>NEO INFRA INCOME OP - TOTAL</t>
  </si>
  <si>
    <t>M/S GRAND CONTINENT HOTELS</t>
  </si>
  <si>
    <t>M/S GRAND CONTINENT HOTELS- TOTAL</t>
  </si>
  <si>
    <t>ORIGINAL SHARE CERTIFICATE RECEIVED</t>
  </si>
  <si>
    <t>SHARES ARE IN THE DEMAT ACCOUNT</t>
  </si>
  <si>
    <t xml:space="preserve">AVISHEK KUMAR - DONE BY JITU </t>
  </si>
  <si>
    <t>5000 NSEIL Shares in the name of Mr. Ajay T Jaisinghani @ INR 3100/share.</t>
  </si>
  <si>
    <t>24500 EQUITY SHARES OF RS. 10 EACH CERTIFICATE NO. 21 DISTINCTIVE FROM 3503251 TO 3527750</t>
  </si>
  <si>
    <t>33750 EQUITY SHARES OF RS 10 EACH CERTIFICATE NO 26 DISTINCTIVE FROM 3760251 TO 3794000</t>
  </si>
  <si>
    <t>VENTURE CATALYST SHREEYESH CHANDGOTHIA</t>
  </si>
  <si>
    <t>SPRAY ENGINEERING DEVICES LIMITED</t>
  </si>
  <si>
    <t>BUOYANT OPPORTUNITIES STRATEGY</t>
  </si>
  <si>
    <t>KEYUR GIRISHCHANDRA SHAH-TOTAL</t>
  </si>
  <si>
    <t>SPRAY ENGINEERING DEVICES LIMITED -TOTAL</t>
  </si>
  <si>
    <t>3P INDIA EQUITY FUND 1-TOTAL</t>
  </si>
  <si>
    <t>DRASHTI - SHIV HARI JALAN</t>
  </si>
  <si>
    <t>ZARO EDUCATION</t>
  </si>
  <si>
    <t>ZENITH LEISURE HOLIDAYS LIMITED</t>
  </si>
  <si>
    <t xml:space="preserve">BUOYANT OPPORTUNITIES </t>
  </si>
  <si>
    <t>1C</t>
  </si>
  <si>
    <t>AVENDUS ABSOLUTE RETURN FUND - TOTAL</t>
  </si>
  <si>
    <t>MOTILAL OSWAL HEDGED</t>
  </si>
  <si>
    <t>BIMAL</t>
  </si>
  <si>
    <t xml:space="preserve">MOTILAL OSWAL HEDGED </t>
  </si>
  <si>
    <t>SOTEFIN PARKING PVT LTD</t>
  </si>
  <si>
    <t>RAYS POWER EXPERTS PVT LTD</t>
  </si>
  <si>
    <t>SANJAY NAMDEO SALUNKHE - JARO EDUCTAION</t>
  </si>
  <si>
    <t>75000 EQUITY SHARES @ ISSUE PRICE 400</t>
  </si>
  <si>
    <t>4w</t>
  </si>
  <si>
    <t>4x</t>
  </si>
  <si>
    <t>MAYANK GUPTA</t>
  </si>
  <si>
    <t>LANDCRAFT RETAIL PVT LTD. - FOOD SQUARE</t>
  </si>
  <si>
    <t>EMA PARTNERS INDIA PVT LTD</t>
  </si>
  <si>
    <t>INDIA SME FUND</t>
  </si>
  <si>
    <t>REF NRJ</t>
  </si>
  <si>
    <t>REF - NRJ</t>
  </si>
  <si>
    <t>SHARES ARE DEMATED IN HDFC</t>
  </si>
  <si>
    <t>24a</t>
  </si>
  <si>
    <t>24b</t>
  </si>
  <si>
    <t>ZIPPMAT PRIVATE LIMITED - TOTAL</t>
  </si>
  <si>
    <t>HIGHER ORBIT AGRITECH PRIVATE LIMITED</t>
  </si>
  <si>
    <t xml:space="preserve">814 CCPS </t>
  </si>
  <si>
    <t>SACHIT RAM / AISHWARYA RAMAKRISHNAN</t>
  </si>
  <si>
    <t>BOON SUSTAINABILITY TECHNOLOGIES</t>
  </si>
  <si>
    <t>NIKHIL</t>
  </si>
  <si>
    <t>DRAWDOWN NOTICE</t>
  </si>
  <si>
    <t>MARATHON TRENDS ADVISORY PRIVATE</t>
  </si>
  <si>
    <t>RAMAN - THROUGH NIKHIL</t>
  </si>
  <si>
    <t>E2E NETWORKS LIMITED</t>
  </si>
  <si>
    <t xml:space="preserve">VENKAT - NIKHIL </t>
  </si>
  <si>
    <t>ANKUR SIROLIA - NIKHIL</t>
  </si>
  <si>
    <t>ESROW ACCOUNT - NIKHIL</t>
  </si>
  <si>
    <t>NIKHIL - JEETU / LATIKA</t>
  </si>
  <si>
    <t>WEVOIS LABS PRIVATE LIMITED</t>
  </si>
  <si>
    <t>NIKHIL - JEETU</t>
  </si>
  <si>
    <t>SVAN INVESTMENT MANAGERS LLP</t>
  </si>
  <si>
    <t>44643 EQUITY SHARES OF RS. 104 EACH</t>
  </si>
  <si>
    <t>59000 EQUITY SHARES OF RS. 340 EACH</t>
  </si>
  <si>
    <t>55 SHARES OF RS 183757 PER SHARE</t>
  </si>
  <si>
    <t xml:space="preserve">259740 SHARES OF RS. 154 EACH </t>
  </si>
  <si>
    <t xml:space="preserve">INCRED WEALTH AND INVESTMENT </t>
  </si>
  <si>
    <t>KEYUR GIRISHCHANDRA SHAH- YASH HIGH VOLTAGE</t>
  </si>
  <si>
    <t>KEYUR GIRISHCHANDRA SHAH - YASH HIGH VOLTAGE</t>
  </si>
  <si>
    <t>INVESTMENT DOCUMENTATION DONE BY</t>
  </si>
  <si>
    <t>ASHWINI</t>
  </si>
  <si>
    <t>JITU AND LATIKA</t>
  </si>
  <si>
    <t>71400 EQUITY SHARES OF RS. 140 EACH</t>
  </si>
  <si>
    <t>NIKHIL - GREEN PORTFOLIO</t>
  </si>
  <si>
    <t>CERTIFICATE NO. 30, NO. OF SHARES 11364 OF RS. 1100 EACH - DISTINCTIVE 1083033 - 1094396 EQUITY SHARES OF RS. 10 EACH</t>
  </si>
  <si>
    <t>10d</t>
  </si>
  <si>
    <t xml:space="preserve">TOTAL 165566 EQUITY SHARES @ ISSUE PRICE RS. 287 </t>
  </si>
  <si>
    <t>87140 SHARES @ ISSUE PRICE RS. 287</t>
  </si>
  <si>
    <t>TRANSFER FROM GTJ TO ATJ 34856 SHARES @ 287 EACH</t>
  </si>
  <si>
    <t>TRANSFER FROM REINA TO ATJ 34856 SHARES @ 287 EACH</t>
  </si>
  <si>
    <t>TRANSFER FROM MONISHA KHANCHANDANI TO ATJ 8714 SHARES @ 287 EACH</t>
  </si>
  <si>
    <t>SMITA SINGH - NIKHIL</t>
  </si>
  <si>
    <t>48 SHARES @ 630000 EACH</t>
  </si>
  <si>
    <t>14753 SHARES RS. 1694.5 EACH</t>
  </si>
  <si>
    <t>JITU</t>
  </si>
  <si>
    <t>ABHINAV GUPTA - REF NIKHIL</t>
  </si>
  <si>
    <t>222300 SHARES OF RS. 135.1552 EACH</t>
  </si>
  <si>
    <t>261 SHARES OF RS 1,15,000 EACH</t>
  </si>
  <si>
    <t>SHARES ARE DEMATED IN MOTILAL</t>
  </si>
  <si>
    <t xml:space="preserve"> NO. OF EQUITY SHARES -7 REGISTER FOLIO NO SS4-4, CERTIFICATE NO. SS4-4 DISTINCTIVE NO FROM 0033 - 0039</t>
  </si>
  <si>
    <t>CHEELIZZA  PIZZA INDIA PVT LTD</t>
  </si>
  <si>
    <t>26 CCPS - FACE VALUE 10 RS. ISSUE PRICE @ 37776 EACH</t>
  </si>
  <si>
    <t>SHARES ARE BEEN DEMATED IN MOTILAL OSWAL ACCOUNT</t>
  </si>
  <si>
    <t>SHARES ARE BEEN DEMATED IN MOTILAL</t>
  </si>
  <si>
    <t>16 SHARES @ ISSUE PRICE OF 630000 EACH</t>
  </si>
  <si>
    <t>BIG BANG BOOM SOLUTIONS PVT LTD</t>
  </si>
  <si>
    <t>SMART WORK REF NIKHIL</t>
  </si>
  <si>
    <t>FOR INVESTMENT</t>
  </si>
  <si>
    <t>COMMITMENT OF 5 CRORES - 10% PAID</t>
  </si>
  <si>
    <t>JEETU</t>
  </si>
  <si>
    <t>MARATHON TRENDS ADVISORY PRIVATE- TOTAL</t>
  </si>
  <si>
    <t>INDIA SME - TOTAL</t>
  </si>
  <si>
    <t>16c</t>
  </si>
  <si>
    <t>17a</t>
  </si>
  <si>
    <t>17b</t>
  </si>
  <si>
    <t xml:space="preserve">MOTILAL OSWAL GROWTH </t>
  </si>
  <si>
    <t>MOTILAL OSWAL GROWTH - TOTAL</t>
  </si>
  <si>
    <t>SNS INFRAREALITY LLP - SMARTWORKS COWORKING SPACES</t>
  </si>
  <si>
    <t>ESDS PARTNERS LLC</t>
  </si>
  <si>
    <t>ESDS PARTNERS LLC -TOTAL</t>
  </si>
  <si>
    <t>SAME AS ABOVE TOTAL - THIS IS TDS PAYMENT DONE TO GOVT</t>
  </si>
  <si>
    <t>WHITESPACE ALPHA</t>
  </si>
  <si>
    <t>CAPITAL COMMITMENT OF 1,00,00,000</t>
  </si>
  <si>
    <t>REF NIKHIL</t>
  </si>
  <si>
    <t>CAPITAL COMMITMENT OF 3,00,00,000</t>
  </si>
  <si>
    <t>MOTILAL OSWAL GROWTH ANCHORS FUND</t>
  </si>
  <si>
    <t>ESDS SOFTWARE SOLUTION LIMITED</t>
  </si>
  <si>
    <t>MOLECULE VENTURES LIMITED</t>
  </si>
  <si>
    <t>MOTILAL OSWAL FINANCIAL SER L CLIENT A/C</t>
  </si>
  <si>
    <t>5c</t>
  </si>
  <si>
    <t>BIG BANG BOOM SOLUTIONS PVT LTD -TOTAL</t>
  </si>
  <si>
    <t>STAY VISTA PRIVATE LIMITED - FROM ANANDKUMAR LADSARIYA</t>
  </si>
  <si>
    <t>STAY VISTA PRIVATE LIMITED - FROM ARTHA ENERGY PROJECTS PVT LTD</t>
  </si>
  <si>
    <t>AUTOCRACY MACHINERY PRIVATE - TOTAL</t>
  </si>
  <si>
    <t>INCRED WEALTH AND INVESTMENT / INCRED HOLDINGS LTD</t>
  </si>
  <si>
    <t xml:space="preserve">ONESOURCE SPECIALITY PHARMA LTD </t>
  </si>
  <si>
    <t xml:space="preserve">KIRANAKART TECHNOLOGIES PRIVATE - ZEPTO </t>
  </si>
  <si>
    <t>SWIGGY LIMITED</t>
  </si>
  <si>
    <t>142902 EQUITY SHARES OF RS. 350 EACH</t>
  </si>
  <si>
    <t>4716 SHARES OF RS 31810 EACH</t>
  </si>
  <si>
    <t>EQUITY SHARES 60,287 OF RS 1327 EACH</t>
  </si>
  <si>
    <t>14c</t>
  </si>
  <si>
    <t>COMMITMENT OF 5 CRORES - 5% PAID</t>
  </si>
  <si>
    <t>COMMITMENT OF 5 CRORES  15% paid</t>
  </si>
  <si>
    <t>COMMITMENT OF 5 CRORES  5% paid</t>
  </si>
  <si>
    <t xml:space="preserve">EQUITY SHARES 142902 </t>
  </si>
  <si>
    <t>SHARES DEMATED IN ACCOUNT</t>
  </si>
  <si>
    <t>ZEHEB - REFERENCE NIKHIL</t>
  </si>
  <si>
    <t xml:space="preserve">MITUL </t>
  </si>
  <si>
    <t>EQUITY SHARES 17798  OF RS 1685.5 EACH</t>
  </si>
  <si>
    <t xml:space="preserve">INSOLATION ENERGY LIMITED </t>
  </si>
  <si>
    <t>INTEGRIS HEALTH PRIVATE LIMITED</t>
  </si>
  <si>
    <t>SVAN INVESTMENT MANAGERS</t>
  </si>
  <si>
    <t>TELAWNE POWER EQUIPMENTS PRIVATE LIMITED</t>
  </si>
  <si>
    <t>INDIA SME FUND - TOTAL</t>
  </si>
  <si>
    <t>DEEPEN</t>
  </si>
  <si>
    <t>PMS ACCOUNT</t>
  </si>
  <si>
    <t>GREEN LANTERN CAPITAL LLP</t>
  </si>
  <si>
    <t>9c</t>
  </si>
  <si>
    <t>MOTILALOSWAL</t>
  </si>
  <si>
    <t>BARING PRIVATE EQUITY INDIA FUND 6</t>
  </si>
  <si>
    <t>03.10.2024</t>
  </si>
  <si>
    <t>01.10.2024</t>
  </si>
  <si>
    <t>21a</t>
  </si>
  <si>
    <t>21b</t>
  </si>
  <si>
    <t>16.10.2024</t>
  </si>
  <si>
    <t>21c</t>
  </si>
  <si>
    <t>06.11.2024</t>
  </si>
  <si>
    <t>22b</t>
  </si>
  <si>
    <t>22a</t>
  </si>
  <si>
    <t>05.12.2024</t>
  </si>
  <si>
    <t>TRANSITION VENTURE CAPITAL FUND - I</t>
  </si>
  <si>
    <t xml:space="preserve">Raiyaan Shingati </t>
  </si>
  <si>
    <t>11a</t>
  </si>
  <si>
    <t>11b</t>
  </si>
  <si>
    <t>SVAN INVESTMENT MANAGERS LLP - TOTAL</t>
  </si>
  <si>
    <t>ASK ABSOLUTE RETURN FUND</t>
  </si>
  <si>
    <t>ASK ASSOLUTE RETURN</t>
  </si>
  <si>
    <t>ESDS SOFTWARE SOLUTION LIMITED -TOTAL</t>
  </si>
  <si>
    <t>EMKAY GLOBAL FINANCIALS SERVICES LIMITED</t>
  </si>
  <si>
    <t>18b</t>
  </si>
  <si>
    <t>18a</t>
  </si>
  <si>
    <t>EMKAY GLOBAL FINANCIALS SERVICES LIMITED - TOTAL</t>
  </si>
  <si>
    <t>CARNELIAN BESPOKE</t>
  </si>
  <si>
    <t>BUOYANT OPPORTUNITIES  - TOTAL</t>
  </si>
  <si>
    <t>EQUITY SHARES 10224 AT A PRICE OF RS. 224 EACH</t>
  </si>
  <si>
    <t>EQUITY SHARES 60976 AT A PRICE OF RS. 164 EACH</t>
  </si>
  <si>
    <t>MOTHER INDIA FORMING PRIVATE LIMITED</t>
  </si>
  <si>
    <t>ONIX RENEWABLE LIMITED</t>
  </si>
  <si>
    <t>MARATHON TRENDS ADVISORY PRIVATE - TOTAL</t>
  </si>
  <si>
    <t>BOROSIL RENEWABLE LTD</t>
  </si>
  <si>
    <t>2000  EQUITY SHARES OF RS. 25000 EACH</t>
  </si>
  <si>
    <t>283018 WARRANTS OF RS. 530 EACH</t>
  </si>
  <si>
    <t>CONTACT NO.</t>
  </si>
  <si>
    <t>EMAIL</t>
  </si>
  <si>
    <t>ravi.vaishnav@borosil.com</t>
  </si>
  <si>
    <t>SKS FASTENERS LIMITED</t>
  </si>
  <si>
    <t>EMKAY GLOBAL FINANCIAL SERVICES LIMITED</t>
  </si>
  <si>
    <t>EQUITY SHARES 235294  AT A PRICE OF RS. 340 EACH - CERTIFICATE NO. 36 DISTINCTIVE FROM 15900486 TO 16135779</t>
  </si>
  <si>
    <t xml:space="preserve">24800 EQUITY SHARES OF RS. 1198 </t>
  </si>
  <si>
    <t>md@shrikrishnashray.com</t>
  </si>
  <si>
    <t>Munish Rathi</t>
  </si>
  <si>
    <t>Ravi Vaishnav</t>
  </si>
  <si>
    <t>cs@onixgroup.in</t>
  </si>
  <si>
    <t>Saumya Singh / Divyesh Savaliya</t>
  </si>
  <si>
    <t>Govind Bangad&lt;govind.b@migoldline.com&gt; / dhiren@migoldline.com</t>
  </si>
  <si>
    <t>Govind Bangad / Dhirendra Sankhla</t>
  </si>
  <si>
    <t>+91 9740018592</t>
  </si>
  <si>
    <t>Rajesh Badrike&lt;rajesh.b@telawne.com&gt;</t>
  </si>
  <si>
    <t>+91 9870649008</t>
  </si>
  <si>
    <t>Zeheb Makani</t>
  </si>
  <si>
    <t>+91 9022446688</t>
  </si>
  <si>
    <t>cs@insolationenergy.in</t>
  </si>
  <si>
    <t>zeheb@indiasmeinvestments.com</t>
  </si>
  <si>
    <t>Rajesh Badrike</t>
  </si>
  <si>
    <t xml:space="preserve">8000 EQUITY SHARES OF NOMINAL VALUE 10 CERTIFICATE NO 34 DISTINCTIVE FROM 1072001 TO 1080000 </t>
  </si>
  <si>
    <t xml:space="preserve">140000 EQUITY SHARES OF NOMINAL VALUE 10 CERTIFICATE NO 67 DISTINCTIVE </t>
  </si>
  <si>
    <t>PARTH ELECTRICALS &amp; ENGINEERING LIMITED</t>
  </si>
  <si>
    <t>59000 EQUITY SHARES OF RS 170 EACH</t>
  </si>
  <si>
    <t xml:space="preserve">88889  EQUITY SHARES OF RS. 750 EACH </t>
  </si>
  <si>
    <t>90430 EQUITY SHARES OF RS. 1328</t>
  </si>
  <si>
    <t>EQUITY SHARES - 59327 AT A PRICE OF RS. 1685.55 EACH</t>
  </si>
  <si>
    <t xml:space="preserve">EQUITY SHARES 30816 OF FACE VALUE OF RS 10 EACH AT A PREMIUM OF RS 1298 EACH </t>
  </si>
  <si>
    <t>32791 EQUITY SHARES OF RS. 305 EACH</t>
  </si>
  <si>
    <t>TOTAL - 138462 EQUITY SHARES OF RS. 72.222848146</t>
  </si>
  <si>
    <t>SMARTWORKS COWORKING SPACES</t>
  </si>
  <si>
    <t xml:space="preserve"> 450 EACH -  OUT OF IT 187778  TRANSFERRED TO AJAY SIR FOR A TOTAL CONSIDERATION OF RS. 8,45,00,100</t>
  </si>
  <si>
    <t>187778 EQUITY SHARES OF RS. 450 EACH TRANSFERRED BY BHARAT TO AJAY SIR</t>
  </si>
  <si>
    <t>23a</t>
  </si>
  <si>
    <t>23b</t>
  </si>
  <si>
    <t>RADIANT POLYMERS PVT LTD - RADIANT INNOVATIVE MANUFACTURING LIMITED</t>
  </si>
  <si>
    <t>EQUITY SHARES - 212000  AT A PRICE OF RS. 328.7 EACH</t>
  </si>
  <si>
    <t>TOTAL 262125 EQUITY SHARES OF RS. 62.0972818311874 EACH</t>
  </si>
  <si>
    <t xml:space="preserve">59458 EQUITY SHARES </t>
  </si>
  <si>
    <t>SHARES DEMATED</t>
  </si>
  <si>
    <t>10673 EQUITY SHARES</t>
  </si>
  <si>
    <t>SHARES ARE DEMATED</t>
  </si>
  <si>
    <t>(1) NO. OF EQUITY SHARES  &amp; 34 EQUITY SHARES</t>
  </si>
  <si>
    <t>SANSHI FUND</t>
  </si>
  <si>
    <t>CHANAKYA CORPORATE SERVICES (FRACTUAL ANALYTICS)</t>
  </si>
  <si>
    <t>SANSKAR MAHESHWARI</t>
  </si>
  <si>
    <t>36,037 EQUITY SHARES</t>
  </si>
  <si>
    <t>19a</t>
  </si>
  <si>
    <t>19b</t>
  </si>
  <si>
    <t>DIRECT</t>
  </si>
  <si>
    <t>CARNELIAN - TOTAL</t>
  </si>
  <si>
    <t>MAN INDUSTRIES INDIA LTD</t>
  </si>
  <si>
    <t>VEC ASSAGO</t>
  </si>
  <si>
    <t>ELECTROMECH INFRAPROJECTS PVT LTD</t>
  </si>
  <si>
    <t>BLUE ASHVA INDIA  POOL ACCOUNT</t>
  </si>
  <si>
    <t>BLUE ASHVA VARENYA FUND (GIBBON)</t>
  </si>
  <si>
    <t>SANJAY NAMDEO SALUNKHE - JARO EDUCTAION -TOTAL</t>
  </si>
  <si>
    <t>EQUITY SHARES 189394  AT A PRICE OF RS. 264 EACH</t>
  </si>
  <si>
    <t>EQUITY SHARES 457317  AT A PRICE OF RS. 328 EACH</t>
  </si>
  <si>
    <t>EQUITY SHARES 28090  AT A PRICE OF RS. 890 EACH</t>
  </si>
  <si>
    <t>Capital Commitment: INR 2,24,00,000/-
Capital Contribution done till date: 1,74,00,000/-</t>
  </si>
  <si>
    <t>The Fund is in advanced stages of investment discussion with a company. r 0.10% (Zero Point Ten
Percent) contribution of INR 10,00,00,000 (Rupees Ten Crore Only) being called in total from all 
Unitholders to the Scheme</t>
  </si>
  <si>
    <t>16.06.2025</t>
  </si>
  <si>
    <t>15c</t>
  </si>
  <si>
    <t>14.07.2025</t>
  </si>
  <si>
    <t>LOHITAKSH - BHARAT</t>
  </si>
  <si>
    <t>20.08.2025</t>
  </si>
  <si>
    <t xml:space="preserve">Capital Commitment: INR 1,49,00,000/ </t>
  </si>
  <si>
    <t>5d</t>
  </si>
  <si>
    <t>9d</t>
  </si>
  <si>
    <t xml:space="preserve">SWAPECO SOLUTIONS PRIVATE LIMITED </t>
  </si>
  <si>
    <t>MUKUL CHABRIA</t>
  </si>
  <si>
    <t>BHARAT JAISINGHANI FAMILY TRUST 2</t>
  </si>
  <si>
    <t>BHARAT JAISINGHANI FAMILY TRUST 3</t>
  </si>
  <si>
    <t>2807 PRE SERIRES A CCPS OF FACE VALUE RS. 100 EACH (NO OF PREFERENCE SHARE 347)</t>
  </si>
  <si>
    <t>ANANYA MOHAN - STENCON</t>
  </si>
  <si>
    <t>CAPITAL COMMITMENT OF 15000000 - 50% AMOUNT PAID OF THE COMMITMENT AMOUNT</t>
  </si>
  <si>
    <t>TRANSITION VENTURE CAPITAL FUND I</t>
  </si>
  <si>
    <t xml:space="preserve">31-10-2025
</t>
  </si>
  <si>
    <t xml:space="preserve">04-10-2025
</t>
  </si>
  <si>
    <t>15d</t>
  </si>
  <si>
    <t>22c</t>
  </si>
  <si>
    <t>25c</t>
  </si>
  <si>
    <t>CARNELIAN</t>
  </si>
  <si>
    <t>12d</t>
  </si>
  <si>
    <t>22d</t>
  </si>
  <si>
    <t>610 Pre-Series A2 Compulsorily Convertible 
Preference Shares (each of face value of INR 10)</t>
  </si>
  <si>
    <t>SVAN INVESTMENT MANAGERS - TOTAL</t>
  </si>
  <si>
    <t>SANSHI FUND TOTAL</t>
  </si>
  <si>
    <t>04/10/25</t>
  </si>
  <si>
    <t>SYNCROAIR ENERGY SOLUTIONS PVT LTD</t>
  </si>
  <si>
    <t>SKY CAPITAL RISING TITANS FUND I</t>
  </si>
  <si>
    <t>ASSETGRO FINTECH PRIVATE LIMITED</t>
  </si>
  <si>
    <t>636 Shares Series B Compulsorily Convertible Preference Shares  at an issue price of INR 78,668 each having a face value of INR 10/-</t>
  </si>
  <si>
    <t>SOTEFIN BHARAT LTD</t>
  </si>
  <si>
    <t>46875 SHARES AT SUBSCRIPTION RATE OF RS. 160 EACH</t>
  </si>
  <si>
    <t>SKY CAPITAL RISING TITANS FUND I - TOTAL</t>
  </si>
  <si>
    <t>11364 EQUITY SHARES OF RS. 1100 EACH.</t>
  </si>
  <si>
    <t>EQUITY SHARES  91000  - AT A PRICE OF RS. 3287 EACH</t>
  </si>
  <si>
    <t>1000 SHARES DEMATED IN ACCOUNT</t>
  </si>
  <si>
    <t>189394 SHARES DEMATED IN ICICI</t>
  </si>
  <si>
    <t>44643.000 SHARES  DEMATED IN ICICI</t>
  </si>
  <si>
    <t>SHARES DEMATED IN ICICI</t>
  </si>
  <si>
    <t>283018 SHARES DEMATED IN ICICI</t>
  </si>
  <si>
    <t>330898 SHARES DEMATED IN ICICI</t>
  </si>
  <si>
    <t xml:space="preserve"> 710 SHARES ARE DEMATERIALIZED</t>
  </si>
  <si>
    <t>100 SHARES DEMATED IN ICICI</t>
  </si>
  <si>
    <t xml:space="preserve">262125.000 SHARES  DEMATED IN ICICI </t>
  </si>
  <si>
    <t>32017.000 SHARES DEMATED IN ICICI</t>
  </si>
  <si>
    <t>212000 SHARES DEMATED IN ICICI</t>
  </si>
  <si>
    <t>177981 SHARES DEMATED IN ICICI</t>
  </si>
  <si>
    <t>116979 SHARES DEMATED IN ICICI</t>
  </si>
  <si>
    <t>75000.000 SHARES DEMATED IN ICICI</t>
  </si>
  <si>
    <t>90000 SHARES DEMATED IN ICICI</t>
  </si>
  <si>
    <t>59000 SHARES DEMATED IN ICICI</t>
  </si>
  <si>
    <t>SAURAV BHATTACHARYA / RAJIV SHASTRI</t>
  </si>
  <si>
    <t>ARISTOS EQUITY PORTFOLIO</t>
  </si>
  <si>
    <t>12e</t>
  </si>
  <si>
    <t>27a</t>
  </si>
  <si>
    <t>27b</t>
  </si>
  <si>
    <t>CARNELIAN TOTAL</t>
  </si>
  <si>
    <t>Aristos Equity Portfolio - GoldStandard</t>
  </si>
  <si>
    <t>15e</t>
  </si>
  <si>
    <t>14d</t>
  </si>
  <si>
    <t>14e</t>
  </si>
  <si>
    <t>14f</t>
  </si>
  <si>
    <t xml:space="preserve">Helios Flexi Cap Fund Direct G </t>
  </si>
  <si>
    <t>SKY CAPITAL RISING TITANS FUND</t>
  </si>
  <si>
    <t>INDIAN CLEARING</t>
  </si>
  <si>
    <t>Bharat Jaisinghani Family Trust 2</t>
  </si>
  <si>
    <t>Bharat Jaisinghani Family Trust 3</t>
  </si>
  <si>
    <t>Bharat Jaisinghani Family Trust</t>
  </si>
  <si>
    <t>Mutual Fund</t>
  </si>
  <si>
    <t>AIF INVETSMENT - CAPITAL COMMITMENT OF 7500000</t>
  </si>
  <si>
    <t>ICICI Prudential Liquid Fund Direct G – 3 cr
Invesco India Arbitrage Fund Direct G – 3.77 cr</t>
  </si>
  <si>
    <t xml:space="preserve">HDFC Liquid Fund – Direct G </t>
  </si>
  <si>
    <t>EQUITY SHARES 288889  AT RS. 450 EACH -  OUT OF IT 187778  TRANSFERRED TO AJAY SIR FOR A TOTAL CONSIDERATION OF RS. 8,45,00,100. BALANCE 101111 BALANCE IN ACCOUNT</t>
  </si>
  <si>
    <t>7 EQUITY SHARES</t>
  </si>
  <si>
    <t>CLEAN MAX ENVIRO ENERGY SOLUTIONS LIMITED</t>
  </si>
  <si>
    <t>94967 EQUITY SHARES</t>
  </si>
  <si>
    <t>BLUE ASHVA INDIA  POOL ACCOUNT -  EDUGORILLA COMMUNITY PRIVATE LIMITED</t>
  </si>
  <si>
    <t xml:space="preserve">Capital Commitment: INR 1,74,00,000/ r investment in EduGorilla Community Private Limited (Gibbon Ai) : up to INR 1,74,00,000/-; and  
Towards Onetime Management Fees &amp; Fund Expenses (2% + GST) @ 2.36%: up to INR 
4,10,640/- (TDS Deductible)  </t>
  </si>
  <si>
    <t>180185 SHARES DEMATED IN ICICI INCLUDES BONUS</t>
  </si>
  <si>
    <t>171879 SHARES DEMATED IN ICICI</t>
  </si>
  <si>
    <t>9e</t>
  </si>
  <si>
    <t>5e</t>
  </si>
  <si>
    <t>DSP MUTUAL FUND COLLECTION ACCOUNT</t>
  </si>
  <si>
    <t>ETF INVESTMENT</t>
  </si>
  <si>
    <t>BUOYANT OPPORTUNITIES STRATEGY - TOTAL</t>
  </si>
  <si>
    <t>BHARAT / JATIN KARANI</t>
  </si>
  <si>
    <t>VEC ASSAGO PMS</t>
  </si>
  <si>
    <t>29/04/25</t>
  </si>
  <si>
    <t>13/06/25</t>
  </si>
  <si>
    <t>02/09/25</t>
  </si>
  <si>
    <t>15/12/25</t>
  </si>
  <si>
    <t>20c</t>
  </si>
  <si>
    <t>20d</t>
  </si>
  <si>
    <t>SANSHI FUND - TOTAL</t>
  </si>
  <si>
    <t>URB VENTURES PRIVATE LIMITED TOTAL</t>
  </si>
  <si>
    <t>13a</t>
  </si>
  <si>
    <t>13b</t>
  </si>
  <si>
    <t>17c</t>
  </si>
  <si>
    <t>17d</t>
  </si>
  <si>
    <t>17e</t>
  </si>
  <si>
    <t>17f</t>
  </si>
  <si>
    <t>17g</t>
  </si>
  <si>
    <t>MF + AIF INVESTMENTS</t>
  </si>
  <si>
    <t>SKY VISION CURE</t>
  </si>
  <si>
    <t xml:space="preserve">13-02-2026
</t>
  </si>
  <si>
    <t>15f</t>
  </si>
  <si>
    <t>15g</t>
  </si>
  <si>
    <t>14g</t>
  </si>
  <si>
    <t>14h</t>
  </si>
  <si>
    <t>BLUE ASHVA VARENYA FUND-</t>
  </si>
  <si>
    <t>23/03/26</t>
  </si>
  <si>
    <t>9f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</si>
</sst>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_ ;_ * \-#,##0_ ;_ * &quot;-&quot;??_ ;_ @_ "/>
    <numFmt numFmtId="166" formatCode="[$-14009]dd/mm/yyyy;@"/>
    <numFmt numFmtId="167" formatCode="dd\.mm\.yyyy;@"/>
    <numFmt numFmtId="168" formatCode="_ * #,##0.0_ ;_ * \-#,##0.0_ ;_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0"/>
      <name val="Arial"/>
      <family val="2"/>
    </font>
    <font>
      <sz val="11"/>
      <color rgb="FF3F3F3F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/>
  </cellStyleXfs>
  <cellXfs count="18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6" fontId="2" fillId="2" borderId="1" xfId="0" applyNumberFormat="1" applyFont="1" applyFill="1" applyBorder="1" applyAlignment="1">
      <alignment horizontal="left" vertical="center" wrapText="1"/>
    </xf>
    <xf numFmtId="165" fontId="2" fillId="2" borderId="1" xfId="1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horizontal="left" vertical="center"/>
    </xf>
    <xf numFmtId="165" fontId="2" fillId="0" borderId="1" xfId="1" applyNumberFormat="1" applyFont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66" fontId="2" fillId="0" borderId="3" xfId="0" applyNumberFormat="1" applyFont="1" applyBorder="1" applyAlignment="1">
      <alignment horizontal="left" vertical="center"/>
    </xf>
    <xf numFmtId="165" fontId="2" fillId="0" borderId="3" xfId="1" applyNumberFormat="1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horizontal="right" vertical="center"/>
    </xf>
    <xf numFmtId="14" fontId="0" fillId="0" borderId="0" xfId="0" applyNumberFormat="1"/>
    <xf numFmtId="164" fontId="3" fillId="3" borderId="3" xfId="1" applyFont="1" applyFill="1" applyBorder="1" applyAlignment="1">
      <alignment horizontal="right" vertical="center"/>
    </xf>
    <xf numFmtId="14" fontId="2" fillId="0" borderId="6" xfId="0" applyNumberFormat="1" applyFont="1" applyBorder="1" applyAlignment="1">
      <alignment horizontal="left" vertical="center"/>
    </xf>
    <xf numFmtId="165" fontId="2" fillId="0" borderId="6" xfId="1" applyNumberFormat="1" applyFont="1" applyFill="1" applyBorder="1" applyAlignment="1">
      <alignment horizontal="left" vertical="center"/>
    </xf>
    <xf numFmtId="165" fontId="2" fillId="0" borderId="6" xfId="0" applyNumberFormat="1" applyFont="1" applyBorder="1" applyAlignment="1">
      <alignment horizontal="left" vertical="center"/>
    </xf>
    <xf numFmtId="165" fontId="4" fillId="0" borderId="6" xfId="0" applyNumberFormat="1" applyFont="1" applyBorder="1" applyAlignment="1">
      <alignment horizontal="left" vertical="center" shrinkToFit="1"/>
    </xf>
    <xf numFmtId="165" fontId="2" fillId="0" borderId="6" xfId="1" applyNumberFormat="1" applyFont="1" applyBorder="1" applyAlignment="1">
      <alignment horizontal="left" vertical="center"/>
    </xf>
    <xf numFmtId="165" fontId="2" fillId="0" borderId="7" xfId="1" applyNumberFormat="1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165" fontId="2" fillId="0" borderId="3" xfId="1" applyNumberFormat="1" applyFont="1" applyBorder="1" applyAlignment="1">
      <alignment horizontal="left" vertical="center" indent="4"/>
    </xf>
    <xf numFmtId="14" fontId="2" fillId="0" borderId="0" xfId="0" applyNumberFormat="1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 wrapText="1"/>
    </xf>
    <xf numFmtId="166" fontId="5" fillId="2" borderId="2" xfId="0" applyNumberFormat="1" applyFont="1" applyFill="1" applyBorder="1" applyAlignment="1">
      <alignment horizontal="left" vertical="center" wrapText="1"/>
    </xf>
    <xf numFmtId="165" fontId="5" fillId="2" borderId="2" xfId="1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166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65" fontId="6" fillId="0" borderId="2" xfId="1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4" borderId="2" xfId="0" applyFont="1" applyFill="1" applyBorder="1" applyAlignment="1">
      <alignment horizontal="right" vertical="center" wrapText="1"/>
    </xf>
    <xf numFmtId="165" fontId="5" fillId="4" borderId="2" xfId="1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165" fontId="6" fillId="0" borderId="0" xfId="1" applyNumberFormat="1" applyFont="1" applyAlignment="1">
      <alignment vertical="center"/>
    </xf>
    <xf numFmtId="0" fontId="6" fillId="0" borderId="0" xfId="0" applyFont="1"/>
    <xf numFmtId="0" fontId="6" fillId="0" borderId="4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166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165" fontId="5" fillId="4" borderId="4" xfId="1" applyNumberFormat="1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166" fontId="6" fillId="0" borderId="3" xfId="0" applyNumberFormat="1" applyFont="1" applyBorder="1" applyAlignment="1">
      <alignment horizontal="left" vertical="center"/>
    </xf>
    <xf numFmtId="165" fontId="6" fillId="0" borderId="3" xfId="1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horizontal="right" vertical="center" wrapText="1"/>
    </xf>
    <xf numFmtId="165" fontId="5" fillId="2" borderId="3" xfId="1" applyNumberFormat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left" vertical="center"/>
    </xf>
    <xf numFmtId="0" fontId="3" fillId="3" borderId="8" xfId="0" applyFont="1" applyFill="1" applyBorder="1" applyAlignment="1">
      <alignment horizontal="right" vertical="center"/>
    </xf>
    <xf numFmtId="0" fontId="2" fillId="0" borderId="7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166" fontId="3" fillId="2" borderId="6" xfId="0" applyNumberFormat="1" applyFont="1" applyFill="1" applyBorder="1" applyAlignment="1">
      <alignment horizontal="left" vertical="center" wrapText="1"/>
    </xf>
    <xf numFmtId="165" fontId="3" fillId="2" borderId="6" xfId="1" applyNumberFormat="1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166" fontId="2" fillId="0" borderId="6" xfId="0" applyNumberFormat="1" applyFont="1" applyBorder="1" applyAlignment="1">
      <alignment horizontal="left" vertical="center"/>
    </xf>
    <xf numFmtId="165" fontId="2" fillId="0" borderId="6" xfId="1" applyNumberFormat="1" applyFont="1" applyBorder="1" applyAlignment="1">
      <alignment vertical="center"/>
    </xf>
    <xf numFmtId="0" fontId="3" fillId="3" borderId="6" xfId="0" applyFont="1" applyFill="1" applyBorder="1" applyAlignment="1">
      <alignment horizontal="right" vertical="center"/>
    </xf>
    <xf numFmtId="165" fontId="3" fillId="3" borderId="6" xfId="1" applyNumberFormat="1" applyFont="1" applyFill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14" fontId="2" fillId="0" borderId="10" xfId="0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vertical="center"/>
    </xf>
    <xf numFmtId="166" fontId="2" fillId="0" borderId="11" xfId="0" applyNumberFormat="1" applyFont="1" applyBorder="1" applyAlignment="1">
      <alignment horizontal="left" vertical="center"/>
    </xf>
    <xf numFmtId="165" fontId="3" fillId="0" borderId="11" xfId="1" applyNumberFormat="1" applyFont="1" applyFill="1" applyBorder="1" applyAlignment="1">
      <alignment vertical="center"/>
    </xf>
    <xf numFmtId="165" fontId="2" fillId="0" borderId="11" xfId="1" applyNumberFormat="1" applyFont="1" applyBorder="1" applyAlignment="1">
      <alignment vertical="center"/>
    </xf>
    <xf numFmtId="14" fontId="2" fillId="0" borderId="6" xfId="0" applyNumberFormat="1" applyFont="1" applyBorder="1" applyAlignme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167" fontId="9" fillId="2" borderId="3" xfId="0" applyNumberFormat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67" fontId="7" fillId="0" borderId="3" xfId="0" applyNumberFormat="1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3" xfId="0" applyFont="1" applyBorder="1" applyAlignment="1">
      <alignment vertical="center" wrapText="1"/>
    </xf>
    <xf numFmtId="0" fontId="9" fillId="4" borderId="3" xfId="0" applyFont="1" applyFill="1" applyBorder="1" applyAlignment="1">
      <alignment horizontal="right" vertical="center" wrapText="1"/>
    </xf>
    <xf numFmtId="0" fontId="9" fillId="3" borderId="3" xfId="0" applyFont="1" applyFill="1" applyBorder="1" applyAlignment="1">
      <alignment horizontal="right" vertical="center"/>
    </xf>
    <xf numFmtId="164" fontId="9" fillId="3" borderId="3" xfId="1" applyFont="1" applyFill="1" applyBorder="1" applyAlignment="1">
      <alignment horizontal="right" vertical="center"/>
    </xf>
    <xf numFmtId="0" fontId="7" fillId="0" borderId="3" xfId="0" applyFont="1" applyBorder="1" applyAlignment="1">
      <alignment horizontal="left" vertical="center" wrapText="1"/>
    </xf>
    <xf numFmtId="167" fontId="7" fillId="0" borderId="3" xfId="0" applyNumberFormat="1" applyFont="1" applyBorder="1" applyAlignment="1">
      <alignment horizontal="left" vertical="center" wrapText="1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left" vertical="center"/>
    </xf>
    <xf numFmtId="164" fontId="9" fillId="2" borderId="3" xfId="1" applyFont="1" applyFill="1" applyBorder="1" applyAlignment="1">
      <alignment vertical="center" wrapText="1"/>
    </xf>
    <xf numFmtId="164" fontId="7" fillId="0" borderId="3" xfId="1" applyFont="1" applyBorder="1" applyAlignment="1">
      <alignment vertical="center"/>
    </xf>
    <xf numFmtId="164" fontId="9" fillId="3" borderId="3" xfId="1" applyFont="1" applyFill="1" applyBorder="1" applyAlignment="1">
      <alignment vertical="center"/>
    </xf>
    <xf numFmtId="164" fontId="9" fillId="4" borderId="3" xfId="1" applyFont="1" applyFill="1" applyBorder="1" applyAlignment="1">
      <alignment vertical="center"/>
    </xf>
    <xf numFmtId="164" fontId="7" fillId="0" borderId="3" xfId="1" applyFont="1" applyFill="1" applyBorder="1" applyAlignment="1">
      <alignment vertical="center"/>
    </xf>
    <xf numFmtId="164" fontId="7" fillId="0" borderId="3" xfId="1" applyFont="1" applyBorder="1" applyAlignment="1">
      <alignment horizontal="left" vertical="center" wrapText="1"/>
    </xf>
    <xf numFmtId="164" fontId="7" fillId="0" borderId="0" xfId="1" applyFont="1" applyAlignment="1">
      <alignment vertical="center"/>
    </xf>
    <xf numFmtId="164" fontId="6" fillId="0" borderId="0" xfId="1" applyFont="1" applyAlignment="1">
      <alignment vertical="center"/>
    </xf>
    <xf numFmtId="164" fontId="6" fillId="0" borderId="0" xfId="1" applyFont="1"/>
    <xf numFmtId="0" fontId="6" fillId="0" borderId="12" xfId="0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vertical="center" wrapText="1"/>
    </xf>
    <xf numFmtId="166" fontId="5" fillId="2" borderId="13" xfId="0" applyNumberFormat="1" applyFont="1" applyFill="1" applyBorder="1" applyAlignment="1">
      <alignment horizontal="left" vertical="center" wrapText="1"/>
    </xf>
    <xf numFmtId="164" fontId="5" fillId="2" borderId="13" xfId="1" applyFont="1" applyFill="1" applyBorder="1" applyAlignment="1">
      <alignment vertical="center" wrapText="1"/>
    </xf>
    <xf numFmtId="0" fontId="0" fillId="0" borderId="6" xfId="0" applyBorder="1"/>
    <xf numFmtId="14" fontId="0" fillId="0" borderId="6" xfId="0" applyNumberFormat="1" applyBorder="1"/>
    <xf numFmtId="164" fontId="0" fillId="0" borderId="6" xfId="1" applyFont="1" applyBorder="1"/>
    <xf numFmtId="164" fontId="0" fillId="0" borderId="0" xfId="1" applyFont="1"/>
    <xf numFmtId="0" fontId="0" fillId="0" borderId="6" xfId="0" applyBorder="1" applyAlignment="1">
      <alignment horizontal="center"/>
    </xf>
    <xf numFmtId="0" fontId="6" fillId="0" borderId="8" xfId="0" applyFont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166" fontId="6" fillId="0" borderId="14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vertical="center"/>
    </xf>
    <xf numFmtId="0" fontId="5" fillId="4" borderId="14" xfId="0" applyFont="1" applyFill="1" applyBorder="1" applyAlignment="1">
      <alignment horizontal="right" vertical="center" wrapText="1"/>
    </xf>
    <xf numFmtId="164" fontId="5" fillId="4" borderId="14" xfId="1" applyFont="1" applyFill="1" applyBorder="1" applyAlignment="1">
      <alignment vertical="center"/>
    </xf>
    <xf numFmtId="164" fontId="7" fillId="0" borderId="3" xfId="1" applyFont="1" applyFill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164" fontId="9" fillId="0" borderId="3" xfId="1" applyFont="1" applyFill="1" applyBorder="1" applyAlignment="1">
      <alignment horizontal="right" vertic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wrapText="1"/>
    </xf>
    <xf numFmtId="0" fontId="11" fillId="0" borderId="6" xfId="0" applyFont="1" applyBorder="1"/>
    <xf numFmtId="165" fontId="6" fillId="0" borderId="0" xfId="1" applyNumberFormat="1" applyFont="1" applyFill="1" applyBorder="1" applyAlignment="1">
      <alignment vertical="center"/>
    </xf>
    <xf numFmtId="0" fontId="12" fillId="0" borderId="6" xfId="0" applyFont="1" applyBorder="1"/>
    <xf numFmtId="164" fontId="7" fillId="0" borderId="3" xfId="1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166" fontId="6" fillId="0" borderId="0" xfId="0" applyNumberFormat="1" applyFont="1" applyBorder="1" applyAlignment="1">
      <alignment horizontal="left" vertical="center" wrapText="1"/>
    </xf>
    <xf numFmtId="164" fontId="6" fillId="0" borderId="0" xfId="1" applyFont="1" applyFill="1" applyBorder="1" applyAlignment="1">
      <alignment vertical="center" wrapText="1"/>
    </xf>
    <xf numFmtId="0" fontId="6" fillId="0" borderId="0" xfId="0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164" fontId="6" fillId="0" borderId="0" xfId="1" applyFont="1" applyFill="1" applyBorder="1" applyAlignment="1">
      <alignment vertical="center"/>
    </xf>
    <xf numFmtId="0" fontId="5" fillId="5" borderId="0" xfId="0" applyFont="1" applyFill="1" applyBorder="1" applyAlignment="1">
      <alignment horizontal="right" vertical="center" wrapText="1"/>
    </xf>
    <xf numFmtId="164" fontId="5" fillId="5" borderId="0" xfId="1" applyFont="1" applyFill="1" applyBorder="1" applyAlignment="1">
      <alignment vertical="center"/>
    </xf>
    <xf numFmtId="0" fontId="5" fillId="0" borderId="0" xfId="0" applyFont="1" applyBorder="1" applyAlignment="1">
      <alignment horizontal="right" vertical="center" wrapText="1"/>
    </xf>
    <xf numFmtId="164" fontId="5" fillId="0" borderId="0" xfId="1" applyFont="1" applyFill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167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164" fontId="7" fillId="0" borderId="0" xfId="1" applyFont="1" applyFill="1" applyBorder="1" applyAlignment="1">
      <alignment vertic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164" fontId="6" fillId="0" borderId="0" xfId="1" applyFont="1" applyFill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166" fontId="5" fillId="0" borderId="0" xfId="0" applyNumberFormat="1" applyFont="1" applyBorder="1" applyAlignment="1">
      <alignment horizontal="left" vertical="center" wrapText="1"/>
    </xf>
    <xf numFmtId="164" fontId="5" fillId="0" borderId="0" xfId="1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164" fontId="7" fillId="0" borderId="0" xfId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168" fontId="6" fillId="0" borderId="0" xfId="1" applyNumberFormat="1" applyFont="1" applyFill="1" applyBorder="1" applyAlignment="1">
      <alignment vertical="center"/>
    </xf>
    <xf numFmtId="0" fontId="6" fillId="0" borderId="0" xfId="0" quotePrefix="1" applyFont="1" applyBorder="1" applyAlignment="1">
      <alignment vertical="center"/>
    </xf>
    <xf numFmtId="0" fontId="6" fillId="0" borderId="0" xfId="0" quotePrefix="1" applyFont="1" applyBorder="1" applyAlignment="1">
      <alignment vertical="center" wrapText="1"/>
    </xf>
    <xf numFmtId="164" fontId="6" fillId="0" borderId="0" xfId="1" applyFont="1" applyFill="1" applyBorder="1" applyAlignment="1">
      <alignment horizontal="right" vertical="center"/>
    </xf>
    <xf numFmtId="0" fontId="5" fillId="4" borderId="0" xfId="0" applyFont="1" applyFill="1" applyBorder="1" applyAlignment="1">
      <alignment horizontal="right" vertical="center" wrapText="1"/>
    </xf>
    <xf numFmtId="164" fontId="5" fillId="4" borderId="0" xfId="1" applyFont="1" applyFill="1" applyBorder="1" applyAlignment="1">
      <alignment vertical="center"/>
    </xf>
    <xf numFmtId="164" fontId="8" fillId="0" borderId="0" xfId="1" applyFont="1" applyFill="1" applyBorder="1" applyAlignment="1">
      <alignment horizontal="right" vertical="center" shrinkToFit="1"/>
    </xf>
    <xf numFmtId="0" fontId="7" fillId="0" borderId="0" xfId="0" applyFont="1" applyBorder="1" applyAlignment="1">
      <alignment vertical="center" wrapText="1"/>
    </xf>
    <xf numFmtId="164" fontId="6" fillId="0" borderId="0" xfId="1" applyFont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 wrapText="1"/>
    </xf>
    <xf numFmtId="166" fontId="6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39D6E16B-74AF-44FE-A1D2-A9C2FC3D7DFE}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14009]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6" formatCode="[$-14009]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border>
        <top style="thin">
          <color theme="4" tint="-0.249977111117893"/>
        </top>
      </border>
    </dxf>
    <dxf>
      <border diagonalUp="0" diagonalDown="0">
        <left style="thin">
          <color theme="4" tint="-0.249977111117893"/>
        </left>
        <right style="thin">
          <color theme="4" tint="-0.249977111117893"/>
        </right>
        <top style="thin">
          <color theme="4" tint="-0.249977111117893"/>
        </top>
        <bottom style="thin">
          <color theme="4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theme="4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/>
        <bottom/>
        <vertical style="thin">
          <color theme="8" tint="-0.249977111117893"/>
        </vertical>
        <horizontal style="thin">
          <color theme="8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3</xdr:row>
      <xdr:rowOff>390525</xdr:rowOff>
    </xdr:from>
    <xdr:to>
      <xdr:col>6</xdr:col>
      <xdr:colOff>9525</xdr:colOff>
      <xdr:row>3</xdr:row>
      <xdr:rowOff>390525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8623FAC-CA99-F8A3-919B-8E59A7B018B4}"/>
            </a:ext>
          </a:extLst>
        </xdr:cNvPr>
        <xdr:cNvCxnSpPr/>
      </xdr:nvCxnSpPr>
      <xdr:spPr>
        <a:xfrm>
          <a:off x="7524750" y="3600450"/>
          <a:ext cx="9525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9</xdr:row>
      <xdr:rowOff>206375</xdr:rowOff>
    </xdr:from>
    <xdr:to>
      <xdr:col>5</xdr:col>
      <xdr:colOff>917575</xdr:colOff>
      <xdr:row>9</xdr:row>
      <xdr:rowOff>206375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59A0893-C65A-4B78-9728-94A60552F8D1}"/>
            </a:ext>
          </a:extLst>
        </xdr:cNvPr>
        <xdr:cNvCxnSpPr/>
      </xdr:nvCxnSpPr>
      <xdr:spPr>
        <a:xfrm>
          <a:off x="8658225" y="2390775"/>
          <a:ext cx="8890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19</xdr:row>
      <xdr:rowOff>295275</xdr:rowOff>
    </xdr:from>
    <xdr:to>
      <xdr:col>6</xdr:col>
      <xdr:colOff>9525</xdr:colOff>
      <xdr:row>19</xdr:row>
      <xdr:rowOff>295275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82A9A03-BC7D-4C6D-AC50-C43745F6597E}"/>
            </a:ext>
          </a:extLst>
        </xdr:cNvPr>
        <xdr:cNvCxnSpPr/>
      </xdr:nvCxnSpPr>
      <xdr:spPr>
        <a:xfrm>
          <a:off x="7058025" y="7153275"/>
          <a:ext cx="9525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11</xdr:row>
      <xdr:rowOff>76200</xdr:rowOff>
    </xdr:from>
    <xdr:to>
      <xdr:col>5</xdr:col>
      <xdr:colOff>381000</xdr:colOff>
      <xdr:row>19</xdr:row>
      <xdr:rowOff>104775</xdr:rowOff>
    </xdr:to>
    <xdr:sp macro="" textlink="">
      <xdr:nvSpPr>
        <xdr:cNvPr id="7" name="Right Bracket 6">
          <a:extLst>
            <a:ext uri="{FF2B5EF4-FFF2-40B4-BE49-F238E27FC236}">
              <a16:creationId xmlns:a16="http://schemas.microsoft.com/office/drawing/2014/main" id="{5D6DCB41-F38A-4FC3-AEB3-B6E75AD06601}"/>
            </a:ext>
          </a:extLst>
        </xdr:cNvPr>
        <xdr:cNvSpPr/>
      </xdr:nvSpPr>
      <xdr:spPr>
        <a:xfrm rot="10800000">
          <a:off x="7581900" y="5048250"/>
          <a:ext cx="238125" cy="1781175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209550</xdr:colOff>
      <xdr:row>4</xdr:row>
      <xdr:rowOff>85725</xdr:rowOff>
    </xdr:from>
    <xdr:to>
      <xdr:col>5</xdr:col>
      <xdr:colOff>321944</xdr:colOff>
      <xdr:row>9</xdr:row>
      <xdr:rowOff>95250</xdr:rowOff>
    </xdr:to>
    <xdr:sp macro="" textlink="">
      <xdr:nvSpPr>
        <xdr:cNvPr id="8" name="Right Bracket 7">
          <a:extLst>
            <a:ext uri="{FF2B5EF4-FFF2-40B4-BE49-F238E27FC236}">
              <a16:creationId xmlns:a16="http://schemas.microsoft.com/office/drawing/2014/main" id="{D7963D04-8F20-41C7-985C-711F435454B7}"/>
            </a:ext>
          </a:extLst>
        </xdr:cNvPr>
        <xdr:cNvSpPr/>
      </xdr:nvSpPr>
      <xdr:spPr>
        <a:xfrm rot="10800000">
          <a:off x="7648575" y="3695700"/>
          <a:ext cx="112394" cy="1104900"/>
        </a:xfrm>
        <a:prstGeom prst="rightBracket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44450</xdr:colOff>
      <xdr:row>10</xdr:row>
      <xdr:rowOff>203200</xdr:rowOff>
    </xdr:from>
    <xdr:to>
      <xdr:col>5</xdr:col>
      <xdr:colOff>933450</xdr:colOff>
      <xdr:row>10</xdr:row>
      <xdr:rowOff>203200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F44F472E-97C4-4D5F-9D09-85582C341F80}"/>
            </a:ext>
          </a:extLst>
        </xdr:cNvPr>
        <xdr:cNvCxnSpPr/>
      </xdr:nvCxnSpPr>
      <xdr:spPr>
        <a:xfrm>
          <a:off x="8674100" y="2597150"/>
          <a:ext cx="889000" cy="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665F2-7ED8-4865-8476-8A511328CECB}" name="Table1" displayName="Table1" ref="A1:I118" totalsRowShown="0" headerRowDxfId="35" dataDxfId="33" headerRowBorderDxfId="34" tableBorderDxfId="32" totalsRowBorderDxfId="31">
  <tableColumns count="9">
    <tableColumn id="1" xr3:uid="{CCE32ACA-9C89-4EB8-BD2D-CFB1B60FBC09}" name="SR. NO." dataDxfId="8"/>
    <tableColumn id="2" xr3:uid="{8253F7C6-8F2A-4B66-8471-6BD5EF958C15}" name="INVESTMENT NAME" dataDxfId="7"/>
    <tableColumn id="3" xr3:uid="{E9038699-4E8B-4A52-A8DB-9A5C058E1C2F}" name="INVESTMENT NAME (AKA)" dataDxfId="6"/>
    <tableColumn id="4" xr3:uid="{635C51F6-50B2-4A7D-931D-B58B70DA50DE}" name="INVESTMENT DATE" dataDxfId="5"/>
    <tableColumn id="5" xr3:uid="{7BE03DBD-2949-4506-8DE7-E9A57C7C410E}" name="INVESTMENT DONE UNDER" dataDxfId="4"/>
    <tableColumn id="6" xr3:uid="{D3CFC9C3-7224-47BF-8FCD-BC75EA81C9EB}" name="INVESTMENT AMOUNT" dataDxfId="3" dataCellStyle="Comma"/>
    <tableColumn id="7" xr3:uid="{102690D6-6893-461D-A011-DBDCFAD37108}" name="VALUATION AT THE TIME OF INVESTMENT" dataDxfId="2"/>
    <tableColumn id="8" xr3:uid="{4060786C-1FDD-483B-85A3-556C0977A09D}" name="CURRENT VALUATION" dataDxfId="1"/>
    <tableColumn id="9" xr3:uid="{AC26D8F3-4666-4B75-8023-CBE91A0025A0}" name="ORG. SHARE CERTIFICATE STATUS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005C3-BE6C-494D-B6EE-6F2D58CB3395}" name="Table2" displayName="Table2" ref="A1:K99" totalsRowShown="0" headerRowDxfId="37" dataDxfId="36">
  <autoFilter ref="A1:K99" xr:uid="{5BA005C3-BE6C-494D-B6EE-6F2D58CB3395}"/>
  <tableColumns count="11">
    <tableColumn id="1" xr3:uid="{9CD4B222-7FC4-4914-95AE-2EB5E01D7E45}" name="SR. NO." dataDxfId="19"/>
    <tableColumn id="2" xr3:uid="{2745DAAE-4101-4002-80D8-D6060E6FA69A}" name="INVESTMENT NAME" dataDxfId="18"/>
    <tableColumn id="3" xr3:uid="{9D40BE28-02B2-4306-88DB-5494755332A8}" name="INVESTMENT NAME (AKA)" dataDxfId="17"/>
    <tableColumn id="4" xr3:uid="{6029AEF7-1BDD-4986-AC32-BBEE600599E9}" name="INVESTMENT DATE" dataDxfId="16"/>
    <tableColumn id="5" xr3:uid="{699A83F6-CAB2-402E-8899-B729852EE4FB}" name="INVESTMENT DONE UNDER" dataDxfId="15"/>
    <tableColumn id="6" xr3:uid="{2EEB2991-A986-4F29-AA92-AA671CD87233}" name="INVESTMENT AMOUNT" dataDxfId="14" dataCellStyle="Comma"/>
    <tableColumn id="7" xr3:uid="{B55C3B04-DDEA-47A0-B7CD-9B56222C5194}" name="VALUATION AT THE TIME OF INVESTMENT" dataDxfId="13"/>
    <tableColumn id="8" xr3:uid="{8B3188DF-B1E6-46CB-B2A2-36EDEA97DB77}" name="INVESTMENT DOCUMENTATION DONE BY" dataDxfId="12"/>
    <tableColumn id="9" xr3:uid="{617829B4-2AD9-47EF-9BC5-019BE91696F1}" name="ORG. SHARE CERTIFICATE STATUS" dataDxfId="11"/>
    <tableColumn id="10" xr3:uid="{8CA648DA-41D3-4B60-B67D-6925AFBD4F7F}" name="CONTACT NO." dataDxfId="10"/>
    <tableColumn id="11" xr3:uid="{D5D0734C-4030-4DBC-9B47-4B75CB66B586}" name="EMAIL" dataDxfId="9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C339A2-520B-4A13-A875-83E03E458AF4}" name="Table3" displayName="Table3" ref="A1:I101" totalsRowShown="0" headerRowDxfId="30" dataDxfId="29">
  <autoFilter ref="A1:I101" xr:uid="{06C339A2-520B-4A13-A875-83E03E458AF4}"/>
  <tableColumns count="9">
    <tableColumn id="1" xr3:uid="{CC9E2809-236B-40FD-91F7-8F3C7A6135FE}" name="SR. NO." dataDxfId="20"/>
    <tableColumn id="2" xr3:uid="{163C9DA6-4DFC-4DAF-A4C7-F4F2B68E000D}" name="INVESTMENT NAME" dataDxfId="21"/>
    <tableColumn id="3" xr3:uid="{525191DF-C557-4F3F-8CAB-9D1DF3591499}" name="INVESTMENT NAME (AKA)" dataDxfId="28"/>
    <tableColumn id="4" xr3:uid="{64ABA944-F456-4DE7-B6AF-E481B046CD2B}" name="INVESTMENT DATE" dataDxfId="27"/>
    <tableColumn id="5" xr3:uid="{720852D0-4E0F-4EF4-BA04-F5492CF23A91}" name="INVESTMENT DONE UNDER" dataDxfId="26"/>
    <tableColumn id="6" xr3:uid="{CB117565-049E-4A96-918C-FD94EE86681A}" name="INVESTMENT AMOUNT" dataDxfId="25" dataCellStyle="Comma"/>
    <tableColumn id="7" xr3:uid="{D8788D72-2492-4419-AB60-710CB321005F}" name="VALUATION AT THE TIME OF INVESTMENT" dataDxfId="24"/>
    <tableColumn id="8" xr3:uid="{DFAE40ED-CD2D-4C6B-A47D-C833AF5586CD}" name="CURRENT VALUATION" dataDxfId="23"/>
    <tableColumn id="9" xr3:uid="{02669421-9539-412B-AB29-0B653CB998A6}" name="ORG. SHARE CERTIFICATE STATUS" dataDxfId="2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AE00-42FE-4246-9442-CAB3A255EBB7}">
  <dimension ref="A1:J136"/>
  <sheetViews>
    <sheetView tabSelected="1" zoomScale="85" zoomScaleNormal="85" workbookViewId="0">
      <pane xSplit="2" ySplit="1" topLeftCell="C21" activePane="bottomRight" state="frozen"/>
      <selection activeCell="G24" sqref="G24"/>
      <selection pane="topRight" activeCell="G24" sqref="G24"/>
      <selection pane="bottomLeft" activeCell="G24" sqref="G24"/>
      <selection pane="bottomRight" activeCell="B21" sqref="B21"/>
    </sheetView>
  </sheetViews>
  <sheetFormatPr defaultColWidth="9.1796875" defaultRowHeight="16.5" customHeight="1" x14ac:dyDescent="0.35"/>
  <cols>
    <col min="1" max="1" width="9.08984375" style="46" customWidth="1"/>
    <col min="2" max="2" width="61.1796875" style="37" customWidth="1"/>
    <col min="3" max="3" width="18.36328125" style="37" customWidth="1"/>
    <col min="4" max="4" width="18.26953125" style="47" customWidth="1"/>
    <col min="5" max="5" width="9.6328125" style="43" customWidth="1"/>
    <col min="6" max="6" width="22.08984375" style="113" customWidth="1"/>
    <col min="7" max="7" width="58.1796875" style="43" customWidth="1"/>
    <col min="8" max="8" width="27.453125" style="43" bestFit="1" customWidth="1"/>
    <col min="9" max="9" width="31" style="43" customWidth="1"/>
    <col min="10" max="16384" width="9.1796875" style="43"/>
  </cols>
  <sheetData>
    <row r="1" spans="1:9" s="37" customFormat="1" ht="33" customHeight="1" x14ac:dyDescent="0.35">
      <c r="A1" s="163" t="s">
        <v>0</v>
      </c>
      <c r="B1" s="164" t="s">
        <v>1</v>
      </c>
      <c r="C1" s="164" t="s">
        <v>2</v>
      </c>
      <c r="D1" s="165" t="s">
        <v>3</v>
      </c>
      <c r="E1" s="164" t="s">
        <v>4</v>
      </c>
      <c r="F1" s="166" t="s">
        <v>5</v>
      </c>
      <c r="G1" s="164" t="s">
        <v>6</v>
      </c>
      <c r="H1" s="164" t="s">
        <v>7</v>
      </c>
      <c r="I1" s="164" t="s">
        <v>31</v>
      </c>
    </row>
    <row r="2" spans="1:9" ht="16.5" customHeight="1" x14ac:dyDescent="0.35">
      <c r="A2" s="144">
        <v>1</v>
      </c>
      <c r="B2" s="141" t="s">
        <v>28</v>
      </c>
      <c r="C2" s="141" t="s">
        <v>64</v>
      </c>
      <c r="D2" s="145" t="s">
        <v>29</v>
      </c>
      <c r="E2" s="146" t="s">
        <v>20</v>
      </c>
      <c r="F2" s="147">
        <v>765000</v>
      </c>
      <c r="G2" s="146" t="s">
        <v>30</v>
      </c>
      <c r="H2" s="146"/>
      <c r="I2" s="146" t="s">
        <v>32</v>
      </c>
    </row>
    <row r="3" spans="1:9" ht="29" x14ac:dyDescent="0.35">
      <c r="A3" s="144">
        <v>2</v>
      </c>
      <c r="B3" s="141" t="s">
        <v>33</v>
      </c>
      <c r="C3" s="141" t="s">
        <v>63</v>
      </c>
      <c r="D3" s="145" t="s">
        <v>34</v>
      </c>
      <c r="E3" s="146" t="s">
        <v>20</v>
      </c>
      <c r="F3" s="147">
        <v>1000000</v>
      </c>
      <c r="G3" s="141" t="s">
        <v>85</v>
      </c>
      <c r="H3" s="146"/>
      <c r="I3" s="146" t="s">
        <v>261</v>
      </c>
    </row>
    <row r="4" spans="1:9" ht="29" x14ac:dyDescent="0.35">
      <c r="A4" s="144" t="s">
        <v>227</v>
      </c>
      <c r="B4" s="141" t="s">
        <v>45</v>
      </c>
      <c r="C4" s="141" t="s">
        <v>48</v>
      </c>
      <c r="D4" s="145" t="s">
        <v>41</v>
      </c>
      <c r="E4" s="146" t="s">
        <v>20</v>
      </c>
      <c r="F4" s="147">
        <v>6000232</v>
      </c>
      <c r="G4" s="141" t="s">
        <v>49</v>
      </c>
      <c r="H4" s="146"/>
      <c r="I4" s="146" t="s">
        <v>261</v>
      </c>
    </row>
    <row r="5" spans="1:9" ht="16.5" customHeight="1" x14ac:dyDescent="0.35">
      <c r="A5" s="144" t="s">
        <v>228</v>
      </c>
      <c r="B5" s="141" t="s">
        <v>45</v>
      </c>
      <c r="C5" s="141" t="s">
        <v>48</v>
      </c>
      <c r="D5" s="145">
        <v>43955</v>
      </c>
      <c r="E5" s="146" t="s">
        <v>20</v>
      </c>
      <c r="F5" s="147">
        <v>1000000</v>
      </c>
      <c r="G5" s="146"/>
      <c r="H5" s="146"/>
      <c r="I5" s="146"/>
    </row>
    <row r="6" spans="1:9" ht="16.5" customHeight="1" x14ac:dyDescent="0.35">
      <c r="A6" s="144" t="s">
        <v>229</v>
      </c>
      <c r="B6" s="141" t="s">
        <v>45</v>
      </c>
      <c r="C6" s="141" t="s">
        <v>48</v>
      </c>
      <c r="D6" s="145">
        <v>43955</v>
      </c>
      <c r="E6" s="146" t="s">
        <v>20</v>
      </c>
      <c r="F6" s="147">
        <v>500000</v>
      </c>
      <c r="G6" s="146"/>
      <c r="H6" s="146"/>
      <c r="I6" s="146"/>
    </row>
    <row r="7" spans="1:9" ht="16.5" customHeight="1" x14ac:dyDescent="0.35">
      <c r="A7" s="144" t="s">
        <v>230</v>
      </c>
      <c r="B7" s="141" t="s">
        <v>45</v>
      </c>
      <c r="C7" s="141" t="s">
        <v>48</v>
      </c>
      <c r="D7" s="145">
        <v>43956</v>
      </c>
      <c r="E7" s="146" t="s">
        <v>20</v>
      </c>
      <c r="F7" s="147">
        <v>1000000</v>
      </c>
      <c r="G7" s="146"/>
      <c r="H7" s="146"/>
      <c r="I7" s="146"/>
    </row>
    <row r="8" spans="1:9" ht="16.5" customHeight="1" x14ac:dyDescent="0.35">
      <c r="A8" s="144" t="s">
        <v>231</v>
      </c>
      <c r="B8" s="141" t="s">
        <v>46</v>
      </c>
      <c r="C8" s="141" t="s">
        <v>48</v>
      </c>
      <c r="D8" s="145">
        <v>43969</v>
      </c>
      <c r="E8" s="146" t="s">
        <v>20</v>
      </c>
      <c r="F8" s="147">
        <v>1000000</v>
      </c>
      <c r="G8" s="146"/>
      <c r="H8" s="146"/>
      <c r="I8" s="146"/>
    </row>
    <row r="9" spans="1:9" ht="16.5" customHeight="1" x14ac:dyDescent="0.35">
      <c r="A9" s="144" t="s">
        <v>254</v>
      </c>
      <c r="B9" s="141" t="s">
        <v>46</v>
      </c>
      <c r="C9" s="141" t="s">
        <v>48</v>
      </c>
      <c r="D9" s="145">
        <v>43971</v>
      </c>
      <c r="E9" s="146" t="s">
        <v>20</v>
      </c>
      <c r="F9" s="147">
        <v>1000000</v>
      </c>
      <c r="G9" s="146"/>
      <c r="H9" s="146"/>
      <c r="I9" s="146"/>
    </row>
    <row r="10" spans="1:9" ht="16.5" customHeight="1" x14ac:dyDescent="0.35">
      <c r="A10" s="144" t="s">
        <v>255</v>
      </c>
      <c r="B10" s="141" t="s">
        <v>46</v>
      </c>
      <c r="C10" s="141" t="s">
        <v>48</v>
      </c>
      <c r="D10" s="145">
        <v>43972</v>
      </c>
      <c r="E10" s="146" t="s">
        <v>20</v>
      </c>
      <c r="F10" s="147">
        <v>500920</v>
      </c>
      <c r="G10" s="146" t="s">
        <v>51</v>
      </c>
      <c r="H10" s="146" t="s">
        <v>313</v>
      </c>
      <c r="I10" s="146" t="s">
        <v>261</v>
      </c>
    </row>
    <row r="11" spans="1:9" ht="16.5" customHeight="1" x14ac:dyDescent="0.35">
      <c r="A11" s="144" t="s">
        <v>289</v>
      </c>
      <c r="B11" s="141" t="s">
        <v>46</v>
      </c>
      <c r="C11" s="141" t="s">
        <v>48</v>
      </c>
      <c r="D11" s="145" t="s">
        <v>290</v>
      </c>
      <c r="E11" s="146" t="s">
        <v>20</v>
      </c>
      <c r="F11" s="147">
        <v>70000000</v>
      </c>
      <c r="G11" s="146" t="s">
        <v>332</v>
      </c>
      <c r="H11" s="146" t="s">
        <v>313</v>
      </c>
      <c r="I11" s="146" t="s">
        <v>261</v>
      </c>
    </row>
    <row r="12" spans="1:9" ht="16.5" customHeight="1" x14ac:dyDescent="0.35">
      <c r="A12" s="144" t="s">
        <v>192</v>
      </c>
      <c r="B12" s="141" t="s">
        <v>47</v>
      </c>
      <c r="C12" s="141" t="s">
        <v>48</v>
      </c>
      <c r="D12" s="145" t="s">
        <v>42</v>
      </c>
      <c r="E12" s="146" t="s">
        <v>20</v>
      </c>
      <c r="F12" s="147">
        <v>200000</v>
      </c>
      <c r="G12" s="146"/>
      <c r="H12" s="146"/>
      <c r="I12" s="146"/>
    </row>
    <row r="13" spans="1:9" ht="16.5" customHeight="1" x14ac:dyDescent="0.35">
      <c r="A13" s="144" t="s">
        <v>193</v>
      </c>
      <c r="B13" s="141" t="s">
        <v>47</v>
      </c>
      <c r="C13" s="141" t="s">
        <v>48</v>
      </c>
      <c r="D13" s="145" t="s">
        <v>42</v>
      </c>
      <c r="E13" s="146" t="s">
        <v>20</v>
      </c>
      <c r="F13" s="147">
        <v>200000</v>
      </c>
      <c r="G13" s="146"/>
      <c r="H13" s="146"/>
      <c r="I13" s="146"/>
    </row>
    <row r="14" spans="1:9" ht="16.5" customHeight="1" x14ac:dyDescent="0.35">
      <c r="A14" s="144" t="s">
        <v>194</v>
      </c>
      <c r="B14" s="141" t="s">
        <v>47</v>
      </c>
      <c r="C14" s="141" t="s">
        <v>48</v>
      </c>
      <c r="D14" s="145" t="s">
        <v>42</v>
      </c>
      <c r="E14" s="146" t="s">
        <v>20</v>
      </c>
      <c r="F14" s="147">
        <v>200000</v>
      </c>
      <c r="G14" s="146"/>
      <c r="H14" s="146"/>
      <c r="I14" s="146"/>
    </row>
    <row r="15" spans="1:9" ht="16.5" customHeight="1" x14ac:dyDescent="0.35">
      <c r="A15" s="144" t="s">
        <v>195</v>
      </c>
      <c r="B15" s="141" t="s">
        <v>47</v>
      </c>
      <c r="C15" s="141" t="s">
        <v>48</v>
      </c>
      <c r="D15" s="145" t="s">
        <v>42</v>
      </c>
      <c r="E15" s="146" t="s">
        <v>20</v>
      </c>
      <c r="F15" s="147">
        <v>200000</v>
      </c>
      <c r="G15" s="146"/>
      <c r="H15" s="146"/>
      <c r="I15" s="146"/>
    </row>
    <row r="16" spans="1:9" ht="16.5" customHeight="1" x14ac:dyDescent="0.35">
      <c r="A16" s="144" t="s">
        <v>196</v>
      </c>
      <c r="B16" s="141" t="s">
        <v>47</v>
      </c>
      <c r="C16" s="141" t="s">
        <v>48</v>
      </c>
      <c r="D16" s="145" t="s">
        <v>42</v>
      </c>
      <c r="E16" s="146" t="s">
        <v>20</v>
      </c>
      <c r="F16" s="147">
        <v>200000</v>
      </c>
      <c r="G16" s="146"/>
      <c r="H16" s="146"/>
      <c r="I16" s="146"/>
    </row>
    <row r="17" spans="1:9" ht="16.5" customHeight="1" x14ac:dyDescent="0.35">
      <c r="A17" s="144" t="s">
        <v>197</v>
      </c>
      <c r="B17" s="141" t="s">
        <v>47</v>
      </c>
      <c r="C17" s="141" t="s">
        <v>48</v>
      </c>
      <c r="D17" s="145" t="s">
        <v>43</v>
      </c>
      <c r="E17" s="146" t="s">
        <v>20</v>
      </c>
      <c r="F17" s="147">
        <v>1000000</v>
      </c>
      <c r="G17" s="146"/>
      <c r="H17" s="146"/>
      <c r="I17" s="146"/>
    </row>
    <row r="18" spans="1:9" ht="16.5" customHeight="1" x14ac:dyDescent="0.35">
      <c r="A18" s="144" t="s">
        <v>198</v>
      </c>
      <c r="B18" s="141" t="s">
        <v>47</v>
      </c>
      <c r="C18" s="141" t="s">
        <v>48</v>
      </c>
      <c r="D18" s="145" t="s">
        <v>44</v>
      </c>
      <c r="E18" s="146" t="s">
        <v>20</v>
      </c>
      <c r="F18" s="147">
        <v>200000</v>
      </c>
      <c r="G18" s="146"/>
      <c r="H18" s="146"/>
      <c r="I18" s="146"/>
    </row>
    <row r="19" spans="1:9" ht="16.5" customHeight="1" x14ac:dyDescent="0.35">
      <c r="A19" s="144" t="s">
        <v>199</v>
      </c>
      <c r="B19" s="141" t="s">
        <v>47</v>
      </c>
      <c r="C19" s="141" t="s">
        <v>48</v>
      </c>
      <c r="D19" s="145" t="s">
        <v>44</v>
      </c>
      <c r="E19" s="146" t="s">
        <v>20</v>
      </c>
      <c r="F19" s="147">
        <v>200000</v>
      </c>
      <c r="G19" s="146"/>
      <c r="H19" s="146"/>
      <c r="I19" s="146"/>
    </row>
    <row r="20" spans="1:9" ht="19" customHeight="1" x14ac:dyDescent="0.35">
      <c r="A20" s="144" t="s">
        <v>200</v>
      </c>
      <c r="B20" s="141" t="s">
        <v>47</v>
      </c>
      <c r="C20" s="141" t="s">
        <v>48</v>
      </c>
      <c r="D20" s="145" t="s">
        <v>44</v>
      </c>
      <c r="E20" s="146" t="s">
        <v>20</v>
      </c>
      <c r="F20" s="147">
        <v>100024</v>
      </c>
      <c r="G20" s="141" t="s">
        <v>50</v>
      </c>
      <c r="H20" s="146"/>
      <c r="I20" s="146" t="s">
        <v>52</v>
      </c>
    </row>
    <row r="21" spans="1:9" ht="19" customHeight="1" x14ac:dyDescent="0.35">
      <c r="A21" s="144">
        <v>5</v>
      </c>
      <c r="B21" s="141" t="s">
        <v>286</v>
      </c>
      <c r="C21" s="141" t="s">
        <v>48</v>
      </c>
      <c r="D21" s="145" t="s">
        <v>287</v>
      </c>
      <c r="E21" s="146" t="s">
        <v>20</v>
      </c>
      <c r="F21" s="174">
        <v>7908030</v>
      </c>
      <c r="G21" s="141"/>
      <c r="H21" s="146"/>
      <c r="I21" s="146"/>
    </row>
    <row r="22" spans="1:9" ht="19" customHeight="1" x14ac:dyDescent="0.35">
      <c r="A22" s="144">
        <v>6</v>
      </c>
      <c r="B22" s="141" t="s">
        <v>288</v>
      </c>
      <c r="C22" s="141" t="s">
        <v>48</v>
      </c>
      <c r="D22" s="145" t="s">
        <v>287</v>
      </c>
      <c r="E22" s="146" t="s">
        <v>20</v>
      </c>
      <c r="F22" s="174">
        <v>4098207</v>
      </c>
      <c r="G22" s="141"/>
      <c r="H22" s="146"/>
      <c r="I22" s="146"/>
    </row>
    <row r="23" spans="1:9" ht="22.5" customHeight="1" x14ac:dyDescent="0.35">
      <c r="A23" s="144"/>
      <c r="B23" s="175" t="s">
        <v>59</v>
      </c>
      <c r="C23" s="141"/>
      <c r="D23" s="145"/>
      <c r="E23" s="146"/>
      <c r="F23" s="176">
        <f>SUM(F4:F22)</f>
        <v>95507413</v>
      </c>
      <c r="G23" s="141"/>
      <c r="H23" s="146"/>
      <c r="I23" s="146"/>
    </row>
    <row r="24" spans="1:9" ht="18" customHeight="1" x14ac:dyDescent="0.35">
      <c r="A24" s="144" t="s">
        <v>203</v>
      </c>
      <c r="B24" s="141" t="s">
        <v>53</v>
      </c>
      <c r="C24" s="141" t="s">
        <v>61</v>
      </c>
      <c r="D24" s="145">
        <v>44041</v>
      </c>
      <c r="E24" s="146" t="s">
        <v>20</v>
      </c>
      <c r="F24" s="147">
        <v>1000000</v>
      </c>
      <c r="G24" s="146"/>
      <c r="H24" s="146"/>
      <c r="I24" s="146"/>
    </row>
    <row r="25" spans="1:9" ht="29" x14ac:dyDescent="0.35">
      <c r="A25" s="144" t="s">
        <v>204</v>
      </c>
      <c r="B25" s="141" t="s">
        <v>53</v>
      </c>
      <c r="C25" s="141" t="s">
        <v>61</v>
      </c>
      <c r="D25" s="145">
        <v>44046</v>
      </c>
      <c r="E25" s="146" t="s">
        <v>20</v>
      </c>
      <c r="F25" s="147">
        <v>750000</v>
      </c>
      <c r="G25" s="141" t="s">
        <v>60</v>
      </c>
      <c r="H25" s="146"/>
      <c r="I25" s="146" t="s">
        <v>32</v>
      </c>
    </row>
    <row r="26" spans="1:9" ht="16.5" customHeight="1" x14ac:dyDescent="0.35">
      <c r="A26" s="144" t="s">
        <v>291</v>
      </c>
      <c r="B26" s="141" t="s">
        <v>53</v>
      </c>
      <c r="C26" s="141" t="s">
        <v>61</v>
      </c>
      <c r="D26" s="145">
        <v>44049</v>
      </c>
      <c r="E26" s="146" t="s">
        <v>20</v>
      </c>
      <c r="F26" s="147">
        <v>750000</v>
      </c>
      <c r="G26" s="146"/>
      <c r="H26" s="146"/>
      <c r="I26" s="146"/>
    </row>
    <row r="27" spans="1:9" ht="16.5" customHeight="1" x14ac:dyDescent="0.35">
      <c r="A27" s="144" t="s">
        <v>292</v>
      </c>
      <c r="B27" s="141" t="s">
        <v>53</v>
      </c>
      <c r="C27" s="141" t="s">
        <v>61</v>
      </c>
      <c r="D27" s="145">
        <v>44105</v>
      </c>
      <c r="E27" s="146" t="s">
        <v>20</v>
      </c>
      <c r="F27" s="147">
        <v>1000000</v>
      </c>
      <c r="G27" s="146"/>
      <c r="H27" s="146"/>
      <c r="I27" s="146"/>
    </row>
    <row r="28" spans="1:9" ht="16.5" customHeight="1" x14ac:dyDescent="0.35">
      <c r="A28" s="144" t="s">
        <v>293</v>
      </c>
      <c r="B28" s="141" t="s">
        <v>53</v>
      </c>
      <c r="C28" s="141" t="s">
        <v>61</v>
      </c>
      <c r="D28" s="145">
        <v>44109</v>
      </c>
      <c r="E28" s="146" t="s">
        <v>20</v>
      </c>
      <c r="F28" s="147">
        <v>1000000</v>
      </c>
      <c r="G28" s="146"/>
      <c r="H28" s="146"/>
      <c r="I28" s="146"/>
    </row>
    <row r="29" spans="1:9" ht="16.5" customHeight="1" x14ac:dyDescent="0.35">
      <c r="A29" s="144" t="s">
        <v>294</v>
      </c>
      <c r="B29" s="141" t="s">
        <v>53</v>
      </c>
      <c r="C29" s="141" t="s">
        <v>61</v>
      </c>
      <c r="D29" s="145">
        <v>44110</v>
      </c>
      <c r="E29" s="146" t="s">
        <v>20</v>
      </c>
      <c r="F29" s="147">
        <v>500000</v>
      </c>
      <c r="G29" s="146"/>
      <c r="H29" s="146"/>
      <c r="I29" s="146"/>
    </row>
    <row r="30" spans="1:9" ht="22.5" customHeight="1" x14ac:dyDescent="0.35">
      <c r="A30" s="144"/>
      <c r="B30" s="175" t="s">
        <v>54</v>
      </c>
      <c r="C30" s="141"/>
      <c r="D30" s="145"/>
      <c r="E30" s="146"/>
      <c r="F30" s="176">
        <f>SUM(F24:F29)</f>
        <v>5000000</v>
      </c>
      <c r="G30" s="141"/>
      <c r="H30" s="146"/>
      <c r="I30" s="146"/>
    </row>
    <row r="31" spans="1:9" ht="29" x14ac:dyDescent="0.35">
      <c r="A31" s="144">
        <v>8</v>
      </c>
      <c r="B31" s="141" t="s">
        <v>69</v>
      </c>
      <c r="C31" s="141" t="s">
        <v>71</v>
      </c>
      <c r="D31" s="145" t="s">
        <v>70</v>
      </c>
      <c r="E31" s="146" t="s">
        <v>20</v>
      </c>
      <c r="F31" s="147">
        <v>1000000</v>
      </c>
      <c r="G31" s="141" t="s">
        <v>75</v>
      </c>
      <c r="H31" s="146"/>
      <c r="I31" s="146" t="s">
        <v>52</v>
      </c>
    </row>
    <row r="32" spans="1:9" ht="43.5" x14ac:dyDescent="0.35">
      <c r="A32" s="144" t="s">
        <v>295</v>
      </c>
      <c r="B32" s="141" t="s">
        <v>72</v>
      </c>
      <c r="C32" s="141" t="s">
        <v>71</v>
      </c>
      <c r="D32" s="145">
        <v>44166</v>
      </c>
      <c r="E32" s="146" t="s">
        <v>20</v>
      </c>
      <c r="F32" s="147">
        <v>248940</v>
      </c>
      <c r="G32" s="141" t="s">
        <v>73</v>
      </c>
      <c r="H32" s="146"/>
      <c r="I32" s="141" t="s">
        <v>144</v>
      </c>
    </row>
    <row r="33" spans="1:9" ht="43.5" x14ac:dyDescent="0.35">
      <c r="A33" s="144" t="s">
        <v>296</v>
      </c>
      <c r="B33" s="141" t="s">
        <v>72</v>
      </c>
      <c r="C33" s="141" t="s">
        <v>71</v>
      </c>
      <c r="D33" s="145">
        <v>44365</v>
      </c>
      <c r="E33" s="146" t="s">
        <v>20</v>
      </c>
      <c r="F33" s="147">
        <v>248940</v>
      </c>
      <c r="G33" s="141" t="s">
        <v>74</v>
      </c>
      <c r="H33" s="146"/>
      <c r="I33" s="141" t="s">
        <v>145</v>
      </c>
    </row>
    <row r="34" spans="1:9" ht="22.5" customHeight="1" x14ac:dyDescent="0.35">
      <c r="A34" s="144"/>
      <c r="B34" s="175" t="s">
        <v>76</v>
      </c>
      <c r="C34" s="141"/>
      <c r="D34" s="145"/>
      <c r="E34" s="146"/>
      <c r="F34" s="176">
        <f>SUM(F32:F33)</f>
        <v>497880</v>
      </c>
      <c r="G34" s="141"/>
      <c r="H34" s="146"/>
      <c r="I34" s="146"/>
    </row>
    <row r="35" spans="1:9" ht="43.5" x14ac:dyDescent="0.35">
      <c r="A35" s="144" t="s">
        <v>205</v>
      </c>
      <c r="B35" s="141" t="s">
        <v>79</v>
      </c>
      <c r="C35" s="141"/>
      <c r="D35" s="145">
        <v>44104</v>
      </c>
      <c r="E35" s="146" t="s">
        <v>20</v>
      </c>
      <c r="F35" s="147">
        <v>10</v>
      </c>
      <c r="G35" s="141" t="s">
        <v>80</v>
      </c>
      <c r="H35" s="146"/>
      <c r="I35" s="146" t="s">
        <v>261</v>
      </c>
    </row>
    <row r="36" spans="1:9" ht="29" x14ac:dyDescent="0.35">
      <c r="A36" s="144" t="s">
        <v>206</v>
      </c>
      <c r="B36" s="141" t="s">
        <v>79</v>
      </c>
      <c r="C36" s="141"/>
      <c r="D36" s="145">
        <v>44354</v>
      </c>
      <c r="E36" s="146" t="s">
        <v>20</v>
      </c>
      <c r="F36" s="147">
        <v>1000046</v>
      </c>
      <c r="G36" s="141" t="s">
        <v>81</v>
      </c>
      <c r="H36" s="146"/>
      <c r="I36" s="146" t="s">
        <v>261</v>
      </c>
    </row>
    <row r="37" spans="1:9" ht="23" customHeight="1" x14ac:dyDescent="0.35">
      <c r="A37" s="144" t="s">
        <v>381</v>
      </c>
      <c r="B37" s="141" t="s">
        <v>79</v>
      </c>
      <c r="C37" s="141"/>
      <c r="D37" s="145">
        <v>45373</v>
      </c>
      <c r="E37" s="146" t="s">
        <v>20</v>
      </c>
      <c r="F37" s="147">
        <v>5000149.8</v>
      </c>
      <c r="G37" s="141"/>
      <c r="H37" s="146"/>
      <c r="I37" s="146"/>
    </row>
    <row r="38" spans="1:9" ht="22.5" customHeight="1" x14ac:dyDescent="0.35">
      <c r="A38" s="144"/>
      <c r="B38" s="175" t="s">
        <v>82</v>
      </c>
      <c r="C38" s="141"/>
      <c r="D38" s="145"/>
      <c r="E38" s="146"/>
      <c r="F38" s="176">
        <f>SUM(F35:F37)</f>
        <v>6000205.7999999998</v>
      </c>
      <c r="G38" s="141"/>
      <c r="H38" s="146"/>
      <c r="I38" s="146"/>
    </row>
    <row r="39" spans="1:9" ht="16" customHeight="1" x14ac:dyDescent="0.35">
      <c r="A39" s="144">
        <v>11</v>
      </c>
      <c r="B39" s="141" t="s">
        <v>114</v>
      </c>
      <c r="C39" s="141" t="s">
        <v>83</v>
      </c>
      <c r="D39" s="145">
        <v>44131</v>
      </c>
      <c r="E39" s="146" t="s">
        <v>20</v>
      </c>
      <c r="F39" s="147">
        <v>1000000</v>
      </c>
      <c r="G39" s="146"/>
      <c r="H39" s="146"/>
      <c r="I39" s="146" t="s">
        <v>261</v>
      </c>
    </row>
    <row r="40" spans="1:9" ht="16.5" customHeight="1" x14ac:dyDescent="0.35">
      <c r="A40" s="144" t="s">
        <v>267</v>
      </c>
      <c r="B40" s="141" t="s">
        <v>86</v>
      </c>
      <c r="C40" s="141" t="s">
        <v>115</v>
      </c>
      <c r="D40" s="145">
        <v>44172</v>
      </c>
      <c r="E40" s="146" t="s">
        <v>20</v>
      </c>
      <c r="F40" s="147">
        <v>1500112</v>
      </c>
      <c r="G40" s="141" t="s">
        <v>122</v>
      </c>
      <c r="H40" s="146"/>
      <c r="I40" s="146" t="s">
        <v>261</v>
      </c>
    </row>
    <row r="41" spans="1:9" ht="43.5" x14ac:dyDescent="0.35">
      <c r="A41" s="144" t="s">
        <v>268</v>
      </c>
      <c r="B41" s="141" t="s">
        <v>86</v>
      </c>
      <c r="C41" s="141" t="s">
        <v>115</v>
      </c>
      <c r="D41" s="145">
        <v>44560</v>
      </c>
      <c r="E41" s="146" t="s">
        <v>20</v>
      </c>
      <c r="F41" s="147">
        <v>1620626</v>
      </c>
      <c r="G41" s="141" t="s">
        <v>121</v>
      </c>
      <c r="H41" s="146"/>
      <c r="I41" s="146" t="s">
        <v>261</v>
      </c>
    </row>
    <row r="42" spans="1:9" ht="16.5" customHeight="1" x14ac:dyDescent="0.35">
      <c r="A42" s="144" t="s">
        <v>380</v>
      </c>
      <c r="B42" s="141" t="s">
        <v>86</v>
      </c>
      <c r="C42" s="141" t="s">
        <v>115</v>
      </c>
      <c r="D42" s="145">
        <v>45379</v>
      </c>
      <c r="E42" s="146" t="s">
        <v>20</v>
      </c>
      <c r="F42" s="147">
        <v>2505058.88</v>
      </c>
      <c r="G42" s="141"/>
      <c r="H42" s="146"/>
      <c r="I42" s="146"/>
    </row>
    <row r="43" spans="1:9" ht="22.5" customHeight="1" x14ac:dyDescent="0.35">
      <c r="A43" s="144" t="s">
        <v>651</v>
      </c>
      <c r="B43" s="141" t="s">
        <v>86</v>
      </c>
      <c r="C43" s="141" t="s">
        <v>115</v>
      </c>
      <c r="D43" s="145">
        <v>45960</v>
      </c>
      <c r="E43" s="146" t="s">
        <v>20</v>
      </c>
      <c r="F43" s="147">
        <v>19982550.800000001</v>
      </c>
      <c r="G43" s="141" t="s">
        <v>653</v>
      </c>
      <c r="H43" s="146"/>
      <c r="I43" s="146"/>
    </row>
    <row r="44" spans="1:9" ht="16.5" customHeight="1" x14ac:dyDescent="0.35">
      <c r="A44" s="144"/>
      <c r="B44" s="175" t="s">
        <v>120</v>
      </c>
      <c r="C44" s="141"/>
      <c r="D44" s="145"/>
      <c r="E44" s="146"/>
      <c r="F44" s="176">
        <f>SUM(F40:F43)</f>
        <v>25608347.68</v>
      </c>
      <c r="G44" s="141"/>
      <c r="H44" s="146"/>
      <c r="I44" s="146"/>
    </row>
    <row r="45" spans="1:9" ht="19.5" customHeight="1" x14ac:dyDescent="0.35">
      <c r="A45" s="144">
        <v>13</v>
      </c>
      <c r="B45" s="141" t="s">
        <v>87</v>
      </c>
      <c r="C45" s="141"/>
      <c r="D45" s="145">
        <v>44061</v>
      </c>
      <c r="E45" s="146" t="s">
        <v>20</v>
      </c>
      <c r="F45" s="147">
        <v>1001220</v>
      </c>
      <c r="G45" s="146"/>
      <c r="H45" s="146"/>
      <c r="I45" s="146" t="s">
        <v>470</v>
      </c>
    </row>
    <row r="46" spans="1:9" ht="29" x14ac:dyDescent="0.35">
      <c r="A46" s="144" t="s">
        <v>276</v>
      </c>
      <c r="B46" s="141" t="s">
        <v>503</v>
      </c>
      <c r="C46" s="141" t="s">
        <v>123</v>
      </c>
      <c r="D46" s="145">
        <v>44236</v>
      </c>
      <c r="E46" s="146" t="s">
        <v>20</v>
      </c>
      <c r="F46" s="147">
        <v>4773404</v>
      </c>
      <c r="G46" s="146" t="s">
        <v>134</v>
      </c>
      <c r="H46" s="146"/>
      <c r="I46" s="146" t="s">
        <v>261</v>
      </c>
    </row>
    <row r="47" spans="1:9" ht="22.5" customHeight="1" x14ac:dyDescent="0.35">
      <c r="A47" s="144" t="s">
        <v>277</v>
      </c>
      <c r="B47" s="141" t="s">
        <v>504</v>
      </c>
      <c r="C47" s="141" t="s">
        <v>259</v>
      </c>
      <c r="D47" s="145">
        <v>44963</v>
      </c>
      <c r="E47" s="146" t="s">
        <v>20</v>
      </c>
      <c r="F47" s="147">
        <v>4212804</v>
      </c>
      <c r="G47" s="141" t="s">
        <v>260</v>
      </c>
      <c r="H47" s="146"/>
      <c r="I47" s="146" t="s">
        <v>261</v>
      </c>
    </row>
    <row r="48" spans="1:9" ht="14.5" x14ac:dyDescent="0.35">
      <c r="A48" s="144"/>
      <c r="B48" s="175" t="s">
        <v>269</v>
      </c>
      <c r="C48" s="141"/>
      <c r="D48" s="145"/>
      <c r="E48" s="146"/>
      <c r="F48" s="176">
        <f>SUM(F46:F47)</f>
        <v>8986208</v>
      </c>
      <c r="G48" s="141"/>
      <c r="H48" s="146"/>
      <c r="I48" s="146"/>
    </row>
    <row r="49" spans="1:10" ht="43.5" x14ac:dyDescent="0.35">
      <c r="A49" s="144" t="s">
        <v>297</v>
      </c>
      <c r="B49" s="141" t="s">
        <v>106</v>
      </c>
      <c r="C49" s="141" t="s">
        <v>146</v>
      </c>
      <c r="D49" s="145">
        <v>44692</v>
      </c>
      <c r="E49" s="146" t="s">
        <v>20</v>
      </c>
      <c r="F49" s="147">
        <v>5186168</v>
      </c>
      <c r="G49" s="141" t="s">
        <v>310</v>
      </c>
      <c r="H49" s="146"/>
      <c r="I49" s="146" t="s">
        <v>261</v>
      </c>
    </row>
    <row r="50" spans="1:10" ht="22.5" customHeight="1" x14ac:dyDescent="0.35">
      <c r="A50" s="144" t="s">
        <v>298</v>
      </c>
      <c r="B50" s="141" t="s">
        <v>106</v>
      </c>
      <c r="C50" s="141" t="s">
        <v>146</v>
      </c>
      <c r="D50" s="145" t="s">
        <v>283</v>
      </c>
      <c r="E50" s="146" t="s">
        <v>20</v>
      </c>
      <c r="F50" s="147">
        <v>1009784</v>
      </c>
      <c r="G50" s="141" t="s">
        <v>309</v>
      </c>
      <c r="H50" s="146"/>
      <c r="I50" s="146" t="s">
        <v>261</v>
      </c>
    </row>
    <row r="51" spans="1:10" ht="14.5" x14ac:dyDescent="0.35">
      <c r="A51" s="144"/>
      <c r="B51" s="175" t="s">
        <v>280</v>
      </c>
      <c r="C51" s="141"/>
      <c r="D51" s="145"/>
      <c r="E51" s="146"/>
      <c r="F51" s="176">
        <f>SUM(F49:F50)</f>
        <v>6195952</v>
      </c>
      <c r="G51" s="141"/>
      <c r="H51" s="146"/>
      <c r="I51" s="146"/>
    </row>
    <row r="52" spans="1:10" ht="16.5" customHeight="1" x14ac:dyDescent="0.35">
      <c r="A52" s="144" t="s">
        <v>299</v>
      </c>
      <c r="B52" s="141" t="s">
        <v>106</v>
      </c>
      <c r="C52" s="141" t="s">
        <v>146</v>
      </c>
      <c r="D52" s="145">
        <v>44572</v>
      </c>
      <c r="E52" s="146" t="s">
        <v>150</v>
      </c>
      <c r="F52" s="147">
        <v>10034580</v>
      </c>
      <c r="G52" s="141" t="s">
        <v>185</v>
      </c>
      <c r="H52" s="146"/>
      <c r="I52" s="146" t="s">
        <v>27</v>
      </c>
    </row>
    <row r="53" spans="1:10" ht="22.5" customHeight="1" x14ac:dyDescent="0.35">
      <c r="A53" s="144" t="s">
        <v>300</v>
      </c>
      <c r="B53" s="141" t="s">
        <v>106</v>
      </c>
      <c r="C53" s="141" t="s">
        <v>146</v>
      </c>
      <c r="D53" s="145" t="s">
        <v>283</v>
      </c>
      <c r="E53" s="146" t="s">
        <v>150</v>
      </c>
      <c r="F53" s="147">
        <v>6058704</v>
      </c>
      <c r="G53" s="141" t="s">
        <v>311</v>
      </c>
      <c r="H53" s="146"/>
      <c r="I53" s="146" t="s">
        <v>261</v>
      </c>
    </row>
    <row r="54" spans="1:10" ht="16.5" customHeight="1" x14ac:dyDescent="0.35">
      <c r="A54" s="144"/>
      <c r="B54" s="175" t="s">
        <v>279</v>
      </c>
      <c r="C54" s="141"/>
      <c r="D54" s="145"/>
      <c r="E54" s="146"/>
      <c r="F54" s="176">
        <f>SUM(F52:F53)</f>
        <v>16093284</v>
      </c>
      <c r="G54" s="141"/>
      <c r="H54" s="146"/>
      <c r="I54" s="146"/>
    </row>
    <row r="55" spans="1:10" ht="33" customHeight="1" x14ac:dyDescent="0.35">
      <c r="A55" s="144">
        <v>17</v>
      </c>
      <c r="B55" s="141" t="s">
        <v>96</v>
      </c>
      <c r="C55" s="141"/>
      <c r="D55" s="145">
        <v>44375</v>
      </c>
      <c r="E55" s="146" t="s">
        <v>20</v>
      </c>
      <c r="F55" s="147">
        <v>2000000</v>
      </c>
      <c r="G55" s="146"/>
      <c r="H55" s="146"/>
      <c r="I55" s="146"/>
    </row>
    <row r="56" spans="1:10" ht="29" x14ac:dyDescent="0.35">
      <c r="A56" s="144">
        <v>18</v>
      </c>
      <c r="B56" s="141" t="s">
        <v>97</v>
      </c>
      <c r="C56" s="141"/>
      <c r="D56" s="145">
        <v>44475</v>
      </c>
      <c r="E56" s="146" t="s">
        <v>20</v>
      </c>
      <c r="F56" s="147">
        <v>2500000</v>
      </c>
      <c r="G56" s="141" t="s">
        <v>136</v>
      </c>
      <c r="H56" s="146"/>
      <c r="I56" s="146" t="s">
        <v>261</v>
      </c>
      <c r="J56" s="125" t="s">
        <v>137</v>
      </c>
    </row>
    <row r="57" spans="1:10" ht="16.5" customHeight="1" x14ac:dyDescent="0.35">
      <c r="A57" s="144">
        <v>19</v>
      </c>
      <c r="B57" s="141" t="s">
        <v>98</v>
      </c>
      <c r="C57" s="141"/>
      <c r="D57" s="145">
        <v>44554</v>
      </c>
      <c r="E57" s="146" t="s">
        <v>20</v>
      </c>
      <c r="F57" s="147">
        <v>4999993.46</v>
      </c>
      <c r="G57" s="141" t="s">
        <v>607</v>
      </c>
      <c r="H57" s="146"/>
      <c r="I57" s="146" t="s">
        <v>606</v>
      </c>
    </row>
    <row r="58" spans="1:10" ht="16.5" customHeight="1" x14ac:dyDescent="0.35">
      <c r="A58" s="144" t="s">
        <v>301</v>
      </c>
      <c r="B58" s="141" t="s">
        <v>99</v>
      </c>
      <c r="C58" s="141"/>
      <c r="D58" s="145">
        <v>44552</v>
      </c>
      <c r="E58" s="146" t="s">
        <v>20</v>
      </c>
      <c r="F58" s="147">
        <v>1499955.24</v>
      </c>
      <c r="G58" s="146" t="s">
        <v>117</v>
      </c>
      <c r="H58" s="146"/>
      <c r="I58" s="146" t="s">
        <v>261</v>
      </c>
    </row>
    <row r="59" spans="1:10" ht="22.5" customHeight="1" x14ac:dyDescent="0.35">
      <c r="A59" s="144" t="s">
        <v>302</v>
      </c>
      <c r="B59" s="141" t="s">
        <v>99</v>
      </c>
      <c r="C59" s="141"/>
      <c r="D59" s="145">
        <v>44559</v>
      </c>
      <c r="E59" s="146" t="s">
        <v>20</v>
      </c>
      <c r="F59" s="147">
        <v>40813.78</v>
      </c>
      <c r="G59" s="146" t="s">
        <v>118</v>
      </c>
      <c r="H59" s="146"/>
      <c r="I59" s="146"/>
    </row>
    <row r="60" spans="1:10" ht="14.5" x14ac:dyDescent="0.35">
      <c r="A60" s="144"/>
      <c r="B60" s="175" t="s">
        <v>130</v>
      </c>
      <c r="C60" s="141"/>
      <c r="D60" s="145"/>
      <c r="E60" s="146"/>
      <c r="F60" s="176">
        <f>SUM(F58:F59)</f>
        <v>1540769.02</v>
      </c>
      <c r="G60" s="141"/>
      <c r="H60" s="146"/>
      <c r="I60" s="146"/>
    </row>
    <row r="61" spans="1:10" ht="29" x14ac:dyDescent="0.35">
      <c r="A61" s="144">
        <v>21</v>
      </c>
      <c r="B61" s="141" t="s">
        <v>102</v>
      </c>
      <c r="C61" s="141" t="s">
        <v>133</v>
      </c>
      <c r="D61" s="145">
        <v>44560</v>
      </c>
      <c r="E61" s="146" t="s">
        <v>20</v>
      </c>
      <c r="F61" s="147">
        <v>946250</v>
      </c>
      <c r="G61" s="141" t="s">
        <v>143</v>
      </c>
      <c r="H61" s="146"/>
      <c r="I61" s="146"/>
      <c r="J61" s="125" t="s">
        <v>119</v>
      </c>
    </row>
    <row r="62" spans="1:10" ht="16.5" customHeight="1" x14ac:dyDescent="0.35">
      <c r="A62" s="144">
        <v>22</v>
      </c>
      <c r="B62" s="141" t="s">
        <v>329</v>
      </c>
      <c r="C62" s="141"/>
      <c r="D62" s="145">
        <v>42852</v>
      </c>
      <c r="E62" s="146" t="s">
        <v>20</v>
      </c>
      <c r="F62" s="147"/>
      <c r="G62" s="141" t="s">
        <v>605</v>
      </c>
      <c r="H62" s="146" t="s">
        <v>27</v>
      </c>
      <c r="I62" s="146" t="s">
        <v>261</v>
      </c>
    </row>
    <row r="63" spans="1:10" ht="14.5" x14ac:dyDescent="0.35">
      <c r="A63" s="144">
        <v>23</v>
      </c>
      <c r="B63" s="141" t="s">
        <v>103</v>
      </c>
      <c r="C63" s="141" t="s">
        <v>142</v>
      </c>
      <c r="D63" s="145">
        <v>44610</v>
      </c>
      <c r="E63" s="146" t="s">
        <v>20</v>
      </c>
      <c r="F63" s="147">
        <v>1000000</v>
      </c>
      <c r="G63" s="146"/>
      <c r="H63" s="146"/>
      <c r="I63" s="146"/>
      <c r="J63" s="125" t="s">
        <v>141</v>
      </c>
    </row>
    <row r="64" spans="1:10" ht="14.5" x14ac:dyDescent="0.35">
      <c r="A64" s="144" t="s">
        <v>425</v>
      </c>
      <c r="B64" s="141" t="s">
        <v>104</v>
      </c>
      <c r="C64" s="141" t="s">
        <v>148</v>
      </c>
      <c r="D64" s="145">
        <v>44602</v>
      </c>
      <c r="E64" s="146" t="s">
        <v>20</v>
      </c>
      <c r="F64" s="147">
        <v>1015000</v>
      </c>
      <c r="G64" s="141" t="s">
        <v>609</v>
      </c>
      <c r="H64" s="146"/>
      <c r="I64" s="146" t="s">
        <v>606</v>
      </c>
      <c r="J64" s="125" t="s">
        <v>471</v>
      </c>
    </row>
    <row r="65" spans="1:9" ht="22.5" customHeight="1" x14ac:dyDescent="0.35">
      <c r="A65" s="144" t="s">
        <v>426</v>
      </c>
      <c r="B65" s="141" t="s">
        <v>104</v>
      </c>
      <c r="C65" s="141" t="s">
        <v>148</v>
      </c>
      <c r="D65" s="145">
        <v>45516</v>
      </c>
      <c r="E65" s="146" t="s">
        <v>20</v>
      </c>
      <c r="F65" s="147">
        <v>675241</v>
      </c>
      <c r="G65" s="141" t="s">
        <v>704</v>
      </c>
      <c r="H65" s="146"/>
      <c r="I65" s="146" t="s">
        <v>606</v>
      </c>
    </row>
    <row r="66" spans="1:9" ht="14.5" x14ac:dyDescent="0.35">
      <c r="A66" s="144"/>
      <c r="B66" s="175" t="s">
        <v>427</v>
      </c>
      <c r="C66" s="141"/>
      <c r="D66" s="145"/>
      <c r="E66" s="146"/>
      <c r="F66" s="176">
        <f>SUM(F64:F65)</f>
        <v>1690241</v>
      </c>
      <c r="G66" s="141"/>
      <c r="H66" s="146"/>
      <c r="I66" s="146"/>
    </row>
    <row r="67" spans="1:9" ht="29" x14ac:dyDescent="0.35">
      <c r="A67" s="144" t="s">
        <v>303</v>
      </c>
      <c r="B67" s="141" t="s">
        <v>165</v>
      </c>
      <c r="C67" s="141" t="s">
        <v>166</v>
      </c>
      <c r="D67" s="145">
        <v>44736</v>
      </c>
      <c r="E67" s="146" t="s">
        <v>150</v>
      </c>
      <c r="F67" s="147">
        <v>5000000</v>
      </c>
      <c r="G67" s="141" t="s">
        <v>186</v>
      </c>
      <c r="H67" s="146"/>
      <c r="I67" s="146" t="s">
        <v>261</v>
      </c>
    </row>
    <row r="68" spans="1:9" ht="22.5" customHeight="1" x14ac:dyDescent="0.35">
      <c r="A68" s="144" t="s">
        <v>304</v>
      </c>
      <c r="B68" s="141" t="s">
        <v>165</v>
      </c>
      <c r="C68" s="141" t="s">
        <v>166</v>
      </c>
      <c r="D68" s="145">
        <v>44966</v>
      </c>
      <c r="E68" s="146" t="s">
        <v>150</v>
      </c>
      <c r="F68" s="147">
        <v>7500000</v>
      </c>
      <c r="G68" s="141" t="s">
        <v>308</v>
      </c>
      <c r="H68" s="146"/>
      <c r="I68" s="146" t="s">
        <v>261</v>
      </c>
    </row>
    <row r="69" spans="1:9" ht="16.5" customHeight="1" x14ac:dyDescent="0.35">
      <c r="A69" s="144"/>
      <c r="B69" s="175" t="s">
        <v>258</v>
      </c>
      <c r="C69" s="141"/>
      <c r="D69" s="145"/>
      <c r="E69" s="146"/>
      <c r="F69" s="176">
        <f>SUM(F67:F68)</f>
        <v>12500000</v>
      </c>
      <c r="G69" s="141"/>
      <c r="H69" s="146"/>
      <c r="I69" s="146"/>
    </row>
    <row r="70" spans="1:9" ht="16.5" customHeight="1" x14ac:dyDescent="0.35">
      <c r="A70" s="144" t="s">
        <v>382</v>
      </c>
      <c r="B70" s="141" t="s">
        <v>472</v>
      </c>
      <c r="C70" s="141" t="s">
        <v>167</v>
      </c>
      <c r="D70" s="145">
        <v>44780</v>
      </c>
      <c r="E70" s="146" t="s">
        <v>150</v>
      </c>
      <c r="F70" s="147">
        <f>1000000-17824</f>
        <v>982176</v>
      </c>
      <c r="G70" s="146" t="s">
        <v>473</v>
      </c>
      <c r="H70" s="146"/>
      <c r="I70" s="146" t="s">
        <v>474</v>
      </c>
    </row>
    <row r="71" spans="1:9" ht="22.5" customHeight="1" x14ac:dyDescent="0.35">
      <c r="A71" s="144" t="s">
        <v>383</v>
      </c>
      <c r="B71" s="141" t="s">
        <v>472</v>
      </c>
      <c r="C71" s="141" t="s">
        <v>167</v>
      </c>
      <c r="D71" s="145">
        <v>45366</v>
      </c>
      <c r="E71" s="146" t="s">
        <v>150</v>
      </c>
      <c r="F71" s="147">
        <v>1000000</v>
      </c>
      <c r="G71" s="146"/>
      <c r="H71" s="146"/>
      <c r="I71" s="146"/>
    </row>
    <row r="72" spans="1:9" ht="16.5" customHeight="1" x14ac:dyDescent="0.35">
      <c r="A72" s="144"/>
      <c r="B72" s="175" t="s">
        <v>384</v>
      </c>
      <c r="C72" s="141"/>
      <c r="D72" s="145"/>
      <c r="E72" s="146"/>
      <c r="F72" s="176">
        <f>SUM(F70:F71)</f>
        <v>1982176</v>
      </c>
      <c r="G72" s="141"/>
      <c r="H72" s="146"/>
      <c r="I72" s="146"/>
    </row>
    <row r="73" spans="1:9" ht="16.5" customHeight="1" x14ac:dyDescent="0.35">
      <c r="A73" s="144">
        <v>27</v>
      </c>
      <c r="B73" s="141" t="s">
        <v>325</v>
      </c>
      <c r="C73" s="141" t="s">
        <v>169</v>
      </c>
      <c r="D73" s="145">
        <v>44868</v>
      </c>
      <c r="E73" s="146" t="s">
        <v>150</v>
      </c>
      <c r="F73" s="147">
        <v>2000000</v>
      </c>
      <c r="G73" s="146" t="s">
        <v>326</v>
      </c>
      <c r="H73" s="146"/>
      <c r="I73" s="146" t="s">
        <v>261</v>
      </c>
    </row>
    <row r="74" spans="1:9" ht="16.5" customHeight="1" x14ac:dyDescent="0.35">
      <c r="A74" s="144" t="s">
        <v>305</v>
      </c>
      <c r="B74" s="141" t="s">
        <v>190</v>
      </c>
      <c r="C74" s="141" t="s">
        <v>157</v>
      </c>
      <c r="D74" s="145">
        <v>44904</v>
      </c>
      <c r="E74" s="146" t="s">
        <v>150</v>
      </c>
      <c r="F74" s="147">
        <v>6412500</v>
      </c>
      <c r="G74" s="146" t="s">
        <v>191</v>
      </c>
      <c r="H74" s="146"/>
      <c r="I74" s="146" t="s">
        <v>475</v>
      </c>
    </row>
    <row r="75" spans="1:9" ht="22.5" customHeight="1" x14ac:dyDescent="0.35">
      <c r="A75" s="144" t="s">
        <v>306</v>
      </c>
      <c r="B75" s="141" t="s">
        <v>190</v>
      </c>
      <c r="C75" s="141" t="s">
        <v>157</v>
      </c>
      <c r="D75" s="145">
        <v>44953</v>
      </c>
      <c r="E75" s="146" t="s">
        <v>150</v>
      </c>
      <c r="F75" s="147">
        <f>36337500+13713</f>
        <v>36351213</v>
      </c>
      <c r="G75" s="146"/>
      <c r="H75" s="146"/>
      <c r="I75" s="146"/>
    </row>
    <row r="76" spans="1:9" ht="16.5" customHeight="1" x14ac:dyDescent="0.35">
      <c r="A76" s="144"/>
      <c r="B76" s="175" t="s">
        <v>256</v>
      </c>
      <c r="C76" s="141"/>
      <c r="D76" s="145"/>
      <c r="E76" s="146"/>
      <c r="F76" s="176">
        <f>SUM(F74:F75)</f>
        <v>42763713</v>
      </c>
      <c r="G76" s="141"/>
      <c r="H76" s="146"/>
      <c r="I76" s="146"/>
    </row>
    <row r="77" spans="1:9" ht="14.5" x14ac:dyDescent="0.35">
      <c r="A77" s="144">
        <v>29</v>
      </c>
      <c r="B77" s="141" t="s">
        <v>270</v>
      </c>
      <c r="C77" s="146" t="s">
        <v>257</v>
      </c>
      <c r="D77" s="145">
        <v>44971</v>
      </c>
      <c r="E77" s="146" t="s">
        <v>150</v>
      </c>
      <c r="F77" s="147">
        <v>1530000</v>
      </c>
      <c r="G77" s="146" t="s">
        <v>271</v>
      </c>
      <c r="H77" s="146"/>
      <c r="I77" s="146" t="s">
        <v>32</v>
      </c>
    </row>
    <row r="78" spans="1:9" ht="22.5" customHeight="1" x14ac:dyDescent="0.35">
      <c r="A78" s="144">
        <v>30</v>
      </c>
      <c r="B78" s="141" t="s">
        <v>263</v>
      </c>
      <c r="C78" s="146" t="s">
        <v>262</v>
      </c>
      <c r="D78" s="145">
        <v>45001</v>
      </c>
      <c r="E78" s="146" t="s">
        <v>150</v>
      </c>
      <c r="F78" s="147">
        <v>2497619</v>
      </c>
      <c r="G78" s="141" t="s">
        <v>285</v>
      </c>
      <c r="H78" s="146"/>
      <c r="I78" s="146" t="s">
        <v>261</v>
      </c>
    </row>
    <row r="79" spans="1:9" ht="22.5" customHeight="1" x14ac:dyDescent="0.35">
      <c r="A79" s="144">
        <v>31</v>
      </c>
      <c r="B79" s="141" t="s">
        <v>264</v>
      </c>
      <c r="C79" s="146" t="s">
        <v>266</v>
      </c>
      <c r="D79" s="145">
        <v>45006</v>
      </c>
      <c r="E79" s="146" t="s">
        <v>150</v>
      </c>
      <c r="F79" s="147">
        <v>4999071</v>
      </c>
      <c r="G79" s="146" t="s">
        <v>307</v>
      </c>
      <c r="H79" s="146"/>
      <c r="I79" s="146" t="s">
        <v>32</v>
      </c>
    </row>
    <row r="80" spans="1:9" ht="22.5" customHeight="1" x14ac:dyDescent="0.35">
      <c r="A80" s="144">
        <v>32</v>
      </c>
      <c r="B80" s="141" t="s">
        <v>281</v>
      </c>
      <c r="C80" s="146" t="s">
        <v>282</v>
      </c>
      <c r="D80" s="145" t="s">
        <v>278</v>
      </c>
      <c r="E80" s="146" t="s">
        <v>20</v>
      </c>
      <c r="F80" s="147">
        <v>1500150</v>
      </c>
      <c r="G80" s="146" t="s">
        <v>284</v>
      </c>
      <c r="H80" s="146" t="s">
        <v>313</v>
      </c>
      <c r="I80" s="146" t="s">
        <v>261</v>
      </c>
    </row>
    <row r="81" spans="1:9" ht="22.5" customHeight="1" x14ac:dyDescent="0.35">
      <c r="A81" s="144">
        <v>33</v>
      </c>
      <c r="B81" s="141" t="s">
        <v>321</v>
      </c>
      <c r="C81" s="146" t="s">
        <v>322</v>
      </c>
      <c r="D81" s="145">
        <v>45160</v>
      </c>
      <c r="E81" s="146" t="s">
        <v>20</v>
      </c>
      <c r="F81" s="147">
        <v>5020300</v>
      </c>
      <c r="G81" s="146" t="s">
        <v>323</v>
      </c>
      <c r="H81" s="146"/>
      <c r="I81" s="146" t="s">
        <v>32</v>
      </c>
    </row>
    <row r="82" spans="1:9" ht="22.5" customHeight="1" x14ac:dyDescent="0.35">
      <c r="A82" s="144">
        <v>34</v>
      </c>
      <c r="B82" s="141" t="s">
        <v>328</v>
      </c>
      <c r="C82" s="146" t="s">
        <v>379</v>
      </c>
      <c r="D82" s="145">
        <v>45145</v>
      </c>
      <c r="E82" s="146" t="s">
        <v>20</v>
      </c>
      <c r="F82" s="147">
        <v>7007138</v>
      </c>
      <c r="G82" s="146" t="s">
        <v>327</v>
      </c>
      <c r="H82" s="146" t="s">
        <v>313</v>
      </c>
      <c r="I82" s="146" t="s">
        <v>32</v>
      </c>
    </row>
    <row r="83" spans="1:9" ht="22.5" customHeight="1" x14ac:dyDescent="0.35">
      <c r="A83" s="144" t="s">
        <v>349</v>
      </c>
      <c r="B83" s="141" t="s">
        <v>330</v>
      </c>
      <c r="C83" s="146" t="s">
        <v>397</v>
      </c>
      <c r="D83" s="145">
        <v>45217</v>
      </c>
      <c r="E83" s="146" t="s">
        <v>20</v>
      </c>
      <c r="F83" s="147">
        <v>5000018</v>
      </c>
      <c r="G83" s="146" t="s">
        <v>352</v>
      </c>
      <c r="H83" s="146"/>
      <c r="I83" s="146" t="s">
        <v>32</v>
      </c>
    </row>
    <row r="84" spans="1:9" ht="22.5" customHeight="1" x14ac:dyDescent="0.35">
      <c r="A84" s="144" t="s">
        <v>350</v>
      </c>
      <c r="B84" s="141" t="s">
        <v>330</v>
      </c>
      <c r="C84" s="146" t="s">
        <v>397</v>
      </c>
      <c r="D84" s="145">
        <v>45365</v>
      </c>
      <c r="E84" s="146" t="s">
        <v>20</v>
      </c>
      <c r="F84" s="147">
        <v>10000000</v>
      </c>
      <c r="G84" s="146" t="s">
        <v>351</v>
      </c>
      <c r="H84" s="146"/>
      <c r="I84" s="146" t="s">
        <v>261</v>
      </c>
    </row>
    <row r="85" spans="1:9" ht="22.5" customHeight="1" x14ac:dyDescent="0.35">
      <c r="A85" s="144"/>
      <c r="B85" s="175" t="s">
        <v>505</v>
      </c>
      <c r="C85" s="141"/>
      <c r="D85" s="145"/>
      <c r="E85" s="146"/>
      <c r="F85" s="176">
        <f>SUM(F83:F84)</f>
        <v>15000018</v>
      </c>
      <c r="G85" s="141"/>
      <c r="H85" s="146"/>
      <c r="I85" s="146"/>
    </row>
    <row r="86" spans="1:9" ht="22.5" customHeight="1" x14ac:dyDescent="0.35">
      <c r="A86" s="144">
        <v>36</v>
      </c>
      <c r="B86" s="141" t="s">
        <v>506</v>
      </c>
      <c r="C86" s="146" t="s">
        <v>467</v>
      </c>
      <c r="D86" s="145">
        <v>45260</v>
      </c>
      <c r="E86" s="146" t="s">
        <v>20</v>
      </c>
      <c r="F86" s="177">
        <v>15029264</v>
      </c>
      <c r="G86" s="146" t="s">
        <v>331</v>
      </c>
      <c r="H86" s="146" t="s">
        <v>313</v>
      </c>
      <c r="I86" s="146" t="s">
        <v>424</v>
      </c>
    </row>
    <row r="87" spans="1:9" ht="22.5" customHeight="1" x14ac:dyDescent="0.35">
      <c r="A87" s="144">
        <v>37</v>
      </c>
      <c r="B87" s="141" t="s">
        <v>337</v>
      </c>
      <c r="C87" s="146" t="s">
        <v>333</v>
      </c>
      <c r="D87" s="145">
        <v>45272</v>
      </c>
      <c r="E87" s="146" t="s">
        <v>20</v>
      </c>
      <c r="F87" s="147">
        <v>1020000</v>
      </c>
      <c r="G87" s="146" t="s">
        <v>336</v>
      </c>
      <c r="H87" s="146"/>
      <c r="I87" s="146" t="s">
        <v>32</v>
      </c>
    </row>
    <row r="88" spans="1:9" ht="22.5" customHeight="1" x14ac:dyDescent="0.35">
      <c r="A88" s="144">
        <v>38</v>
      </c>
      <c r="B88" s="141" t="s">
        <v>335</v>
      </c>
      <c r="C88" s="146" t="s">
        <v>334</v>
      </c>
      <c r="D88" s="145">
        <v>45295</v>
      </c>
      <c r="E88" s="146" t="s">
        <v>20</v>
      </c>
      <c r="F88" s="147">
        <v>2500000</v>
      </c>
      <c r="G88" s="146" t="s">
        <v>339</v>
      </c>
      <c r="H88" s="146" t="s">
        <v>313</v>
      </c>
      <c r="I88" s="146" t="s">
        <v>340</v>
      </c>
    </row>
    <row r="89" spans="1:9" ht="22.5" customHeight="1" x14ac:dyDescent="0.35">
      <c r="A89" s="144">
        <v>39</v>
      </c>
      <c r="B89" s="141" t="s">
        <v>347</v>
      </c>
      <c r="C89" s="146" t="s">
        <v>346</v>
      </c>
      <c r="D89" s="145">
        <v>45352</v>
      </c>
      <c r="E89" s="146" t="s">
        <v>20</v>
      </c>
      <c r="F89" s="147">
        <v>15000000</v>
      </c>
      <c r="G89" s="146" t="s">
        <v>348</v>
      </c>
      <c r="H89" s="146" t="s">
        <v>313</v>
      </c>
      <c r="I89" s="146" t="s">
        <v>424</v>
      </c>
    </row>
    <row r="90" spans="1:9" ht="22.5" customHeight="1" x14ac:dyDescent="0.35">
      <c r="A90" s="144">
        <v>40</v>
      </c>
      <c r="B90" s="141" t="s">
        <v>428</v>
      </c>
      <c r="C90" s="146" t="s">
        <v>430</v>
      </c>
      <c r="D90" s="145">
        <v>45433</v>
      </c>
      <c r="E90" s="146" t="s">
        <v>20</v>
      </c>
      <c r="F90" s="147">
        <v>5006100</v>
      </c>
      <c r="G90" s="146" t="s">
        <v>429</v>
      </c>
      <c r="H90" s="146"/>
      <c r="I90" s="146"/>
    </row>
    <row r="91" spans="1:9" ht="22.5" customHeight="1" x14ac:dyDescent="0.35">
      <c r="A91" s="144">
        <v>41</v>
      </c>
      <c r="B91" s="141" t="s">
        <v>509</v>
      </c>
      <c r="C91" s="146" t="s">
        <v>142</v>
      </c>
      <c r="D91" s="145">
        <v>45510</v>
      </c>
      <c r="E91" s="146" t="s">
        <v>20</v>
      </c>
      <c r="F91" s="147">
        <v>50065716</v>
      </c>
      <c r="G91" s="146" t="s">
        <v>517</v>
      </c>
      <c r="H91" s="146"/>
      <c r="I91" s="146" t="s">
        <v>518</v>
      </c>
    </row>
    <row r="92" spans="1:9" ht="22.5" customHeight="1" x14ac:dyDescent="0.35">
      <c r="A92" s="144">
        <v>41</v>
      </c>
      <c r="B92" s="141" t="s">
        <v>477</v>
      </c>
      <c r="C92" s="146" t="s">
        <v>435</v>
      </c>
      <c r="D92" s="145">
        <v>45544</v>
      </c>
      <c r="E92" s="146" t="s">
        <v>20</v>
      </c>
      <c r="F92" s="147">
        <v>10080000</v>
      </c>
      <c r="G92" s="146" t="s">
        <v>476</v>
      </c>
      <c r="H92" s="146"/>
      <c r="I92" s="146" t="s">
        <v>32</v>
      </c>
    </row>
    <row r="93" spans="1:9" ht="22.5" customHeight="1" x14ac:dyDescent="0.35">
      <c r="A93" s="144">
        <v>42</v>
      </c>
      <c r="B93" s="170" t="s">
        <v>489</v>
      </c>
      <c r="C93" s="146" t="s">
        <v>478</v>
      </c>
      <c r="D93" s="145">
        <v>45555</v>
      </c>
      <c r="E93" s="146" t="s">
        <v>20</v>
      </c>
      <c r="F93" s="147">
        <v>130000050</v>
      </c>
      <c r="G93" s="146" t="s">
        <v>703</v>
      </c>
      <c r="H93" s="146"/>
      <c r="I93" s="146" t="s">
        <v>424</v>
      </c>
    </row>
    <row r="94" spans="1:9" ht="22.5" customHeight="1" x14ac:dyDescent="0.35">
      <c r="A94" s="144">
        <v>43</v>
      </c>
      <c r="B94" s="141" t="s">
        <v>507</v>
      </c>
      <c r="C94" s="146" t="s">
        <v>142</v>
      </c>
      <c r="D94" s="145">
        <v>45604</v>
      </c>
      <c r="E94" s="146" t="s">
        <v>20</v>
      </c>
      <c r="F94" s="147">
        <v>80100850</v>
      </c>
      <c r="G94" s="146" t="s">
        <v>512</v>
      </c>
      <c r="H94" s="146"/>
      <c r="I94" s="146" t="s">
        <v>470</v>
      </c>
    </row>
    <row r="95" spans="1:9" ht="22.5" customHeight="1" x14ac:dyDescent="0.35">
      <c r="A95" s="144">
        <v>44</v>
      </c>
      <c r="B95" s="141" t="s">
        <v>522</v>
      </c>
      <c r="C95" s="146" t="s">
        <v>520</v>
      </c>
      <c r="D95" s="145">
        <v>45630</v>
      </c>
      <c r="E95" s="146" t="s">
        <v>20</v>
      </c>
      <c r="F95" s="147">
        <v>29911700</v>
      </c>
      <c r="G95" s="146" t="s">
        <v>665</v>
      </c>
      <c r="H95" s="146"/>
      <c r="I95" s="146" t="s">
        <v>608</v>
      </c>
    </row>
    <row r="96" spans="1:9" ht="22.5" customHeight="1" x14ac:dyDescent="0.35">
      <c r="A96" s="144">
        <v>45</v>
      </c>
      <c r="B96" s="141" t="s">
        <v>523</v>
      </c>
      <c r="C96" s="146" t="s">
        <v>519</v>
      </c>
      <c r="D96" s="145">
        <v>45631</v>
      </c>
      <c r="E96" s="146" t="s">
        <v>20</v>
      </c>
      <c r="F96" s="147">
        <v>29999419</v>
      </c>
      <c r="G96" s="146" t="s">
        <v>521</v>
      </c>
      <c r="H96" s="146"/>
      <c r="I96" s="146" t="s">
        <v>608</v>
      </c>
    </row>
    <row r="97" spans="1:9" ht="16.5" customHeight="1" x14ac:dyDescent="0.35">
      <c r="A97" s="144">
        <v>46</v>
      </c>
      <c r="B97" s="141" t="s">
        <v>621</v>
      </c>
      <c r="C97" s="178" t="s">
        <v>632</v>
      </c>
      <c r="D97" s="157" t="s">
        <v>633</v>
      </c>
      <c r="E97" s="158" t="s">
        <v>150</v>
      </c>
      <c r="F97" s="159">
        <v>15251640</v>
      </c>
      <c r="G97" s="158" t="s">
        <v>634</v>
      </c>
      <c r="H97" s="146"/>
      <c r="I97" s="146"/>
    </row>
    <row r="98" spans="1:9" ht="16.5" customHeight="1" x14ac:dyDescent="0.35">
      <c r="A98" s="144">
        <v>47</v>
      </c>
      <c r="B98" s="141" t="s">
        <v>622</v>
      </c>
      <c r="C98" s="178" t="s">
        <v>632</v>
      </c>
      <c r="D98" s="157" t="s">
        <v>633</v>
      </c>
      <c r="E98" s="158" t="s">
        <v>150</v>
      </c>
      <c r="F98" s="159">
        <v>100000</v>
      </c>
      <c r="G98" s="146" t="s">
        <v>628</v>
      </c>
      <c r="H98" s="146"/>
      <c r="I98" s="146"/>
    </row>
    <row r="99" spans="1:9" ht="16.5" customHeight="1" x14ac:dyDescent="0.35">
      <c r="A99" s="144">
        <v>48</v>
      </c>
      <c r="B99" s="141" t="s">
        <v>657</v>
      </c>
      <c r="C99" s="141"/>
      <c r="D99" s="145">
        <v>45916</v>
      </c>
      <c r="E99" s="146" t="s">
        <v>20</v>
      </c>
      <c r="F99" s="147">
        <v>20000000</v>
      </c>
      <c r="G99" s="146"/>
      <c r="H99" s="146"/>
      <c r="I99" s="146"/>
    </row>
    <row r="100" spans="1:9" ht="16.5" customHeight="1" x14ac:dyDescent="0.35">
      <c r="A100" s="144">
        <v>49</v>
      </c>
      <c r="B100" s="141" t="s">
        <v>705</v>
      </c>
      <c r="C100" s="141" t="s">
        <v>612</v>
      </c>
      <c r="D100" s="145">
        <v>46059</v>
      </c>
      <c r="E100" s="146" t="s">
        <v>150</v>
      </c>
      <c r="F100" s="147">
        <v>93857991</v>
      </c>
      <c r="G100" s="146" t="s">
        <v>706</v>
      </c>
      <c r="H100" s="146"/>
      <c r="I100" s="146"/>
    </row>
    <row r="101" spans="1:9" ht="16.5" customHeight="1" x14ac:dyDescent="0.35">
      <c r="A101" s="144"/>
      <c r="B101" s="141"/>
      <c r="C101" s="141"/>
      <c r="D101" s="145"/>
      <c r="E101" s="146"/>
      <c r="F101" s="147"/>
      <c r="G101" s="146"/>
      <c r="H101" s="146"/>
      <c r="I101" s="146"/>
    </row>
    <row r="102" spans="1:9" ht="16.5" customHeight="1" x14ac:dyDescent="0.35">
      <c r="A102" s="144"/>
      <c r="B102" s="141"/>
      <c r="C102" s="141"/>
      <c r="D102" s="145"/>
      <c r="E102" s="146"/>
      <c r="F102" s="147"/>
      <c r="G102" s="146"/>
      <c r="H102" s="146"/>
      <c r="I102" s="146"/>
    </row>
    <row r="103" spans="1:9" ht="16.5" customHeight="1" x14ac:dyDescent="0.35">
      <c r="A103" s="144"/>
      <c r="B103" s="141"/>
      <c r="C103" s="141"/>
      <c r="D103" s="145"/>
      <c r="E103" s="146"/>
      <c r="F103" s="147"/>
      <c r="G103" s="146"/>
      <c r="H103" s="146"/>
      <c r="I103" s="146"/>
    </row>
    <row r="104" spans="1:9" ht="16.5" customHeight="1" x14ac:dyDescent="0.35">
      <c r="A104" s="144"/>
      <c r="B104" s="141"/>
      <c r="C104" s="141"/>
      <c r="D104" s="145"/>
      <c r="E104" s="146"/>
      <c r="F104" s="147"/>
      <c r="G104" s="146"/>
      <c r="H104" s="146"/>
      <c r="I104" s="146"/>
    </row>
    <row r="105" spans="1:9" ht="16.5" customHeight="1" x14ac:dyDescent="0.35">
      <c r="A105" s="180"/>
      <c r="B105" s="181"/>
      <c r="C105" s="181"/>
      <c r="D105" s="182"/>
      <c r="E105" s="183"/>
      <c r="F105" s="147"/>
      <c r="G105" s="183"/>
      <c r="H105" s="183"/>
      <c r="I105" s="183"/>
    </row>
    <row r="106" spans="1:9" ht="16.5" customHeight="1" x14ac:dyDescent="0.35">
      <c r="A106" s="180"/>
      <c r="B106" s="181"/>
      <c r="C106" s="181"/>
      <c r="D106" s="182"/>
      <c r="E106" s="183"/>
      <c r="F106" s="147"/>
      <c r="G106" s="183"/>
      <c r="H106" s="183"/>
      <c r="I106" s="183"/>
    </row>
    <row r="107" spans="1:9" ht="16.5" customHeight="1" x14ac:dyDescent="0.35">
      <c r="A107" s="180"/>
      <c r="B107" s="181"/>
      <c r="C107" s="181"/>
      <c r="D107" s="182"/>
      <c r="E107" s="183"/>
      <c r="F107" s="147"/>
      <c r="G107" s="183"/>
      <c r="H107" s="183"/>
      <c r="I107" s="183"/>
    </row>
    <row r="108" spans="1:9" ht="16.5" customHeight="1" x14ac:dyDescent="0.35">
      <c r="A108" s="180"/>
      <c r="B108" s="181"/>
      <c r="C108" s="181"/>
      <c r="D108" s="182"/>
      <c r="E108" s="183"/>
      <c r="F108" s="147"/>
      <c r="G108" s="183"/>
      <c r="H108" s="183"/>
      <c r="I108" s="183"/>
    </row>
    <row r="109" spans="1:9" ht="16.5" customHeight="1" x14ac:dyDescent="0.35">
      <c r="A109" s="180"/>
      <c r="B109" s="181"/>
      <c r="C109" s="181"/>
      <c r="D109" s="182"/>
      <c r="E109" s="183"/>
      <c r="F109" s="147"/>
      <c r="G109" s="183"/>
      <c r="H109" s="183"/>
      <c r="I109" s="183"/>
    </row>
    <row r="110" spans="1:9" ht="16.5" customHeight="1" x14ac:dyDescent="0.35">
      <c r="A110" s="180"/>
      <c r="B110" s="181"/>
      <c r="C110" s="181"/>
      <c r="D110" s="182"/>
      <c r="E110" s="183"/>
      <c r="F110" s="147"/>
      <c r="G110" s="183"/>
      <c r="H110" s="183"/>
      <c r="I110" s="183"/>
    </row>
    <row r="111" spans="1:9" ht="16.5" customHeight="1" x14ac:dyDescent="0.35">
      <c r="A111" s="180"/>
      <c r="B111" s="181"/>
      <c r="C111" s="181"/>
      <c r="D111" s="182"/>
      <c r="E111" s="183"/>
      <c r="F111" s="147"/>
      <c r="G111" s="183"/>
      <c r="H111" s="183"/>
      <c r="I111" s="183"/>
    </row>
    <row r="112" spans="1:9" ht="16.5" customHeight="1" x14ac:dyDescent="0.35">
      <c r="A112" s="180"/>
      <c r="B112" s="181"/>
      <c r="C112" s="181"/>
      <c r="D112" s="182"/>
      <c r="E112" s="183"/>
      <c r="F112" s="147"/>
      <c r="G112" s="183"/>
      <c r="H112" s="183"/>
      <c r="I112" s="183"/>
    </row>
    <row r="113" spans="1:9" ht="16.5" customHeight="1" x14ac:dyDescent="0.35">
      <c r="A113" s="180"/>
      <c r="B113" s="181"/>
      <c r="C113" s="181"/>
      <c r="D113" s="182"/>
      <c r="E113" s="183"/>
      <c r="F113" s="147"/>
      <c r="G113" s="183"/>
      <c r="H113" s="183"/>
      <c r="I113" s="183"/>
    </row>
    <row r="114" spans="1:9" ht="16.5" customHeight="1" x14ac:dyDescent="0.35">
      <c r="A114" s="180"/>
      <c r="B114" s="181"/>
      <c r="C114" s="181"/>
      <c r="D114" s="182"/>
      <c r="E114" s="183"/>
      <c r="F114" s="147"/>
      <c r="G114" s="183"/>
      <c r="H114" s="183"/>
      <c r="I114" s="183"/>
    </row>
    <row r="115" spans="1:9" ht="16.5" customHeight="1" x14ac:dyDescent="0.35">
      <c r="A115" s="180"/>
      <c r="B115" s="181"/>
      <c r="C115" s="181"/>
      <c r="D115" s="182"/>
      <c r="E115" s="183"/>
      <c r="F115" s="147"/>
      <c r="G115" s="183"/>
      <c r="H115" s="183"/>
      <c r="I115" s="183"/>
    </row>
    <row r="116" spans="1:9" ht="16.5" customHeight="1" x14ac:dyDescent="0.35">
      <c r="A116" s="180"/>
      <c r="B116" s="181"/>
      <c r="C116" s="181"/>
      <c r="D116" s="182"/>
      <c r="E116" s="183"/>
      <c r="F116" s="147"/>
      <c r="G116" s="183"/>
      <c r="H116" s="183"/>
      <c r="I116" s="183"/>
    </row>
    <row r="117" spans="1:9" ht="16.5" customHeight="1" x14ac:dyDescent="0.35">
      <c r="A117" s="180"/>
      <c r="B117" s="181"/>
      <c r="C117" s="181"/>
      <c r="D117" s="182"/>
      <c r="E117" s="183"/>
      <c r="F117" s="147"/>
      <c r="G117" s="183"/>
      <c r="H117" s="183"/>
      <c r="I117" s="183"/>
    </row>
    <row r="118" spans="1:9" ht="16.5" customHeight="1" x14ac:dyDescent="0.35">
      <c r="A118" s="180"/>
      <c r="B118" s="181"/>
      <c r="C118" s="181"/>
      <c r="D118" s="182"/>
      <c r="E118" s="183"/>
      <c r="F118" s="147"/>
      <c r="G118" s="183"/>
      <c r="H118" s="183"/>
      <c r="I118" s="183"/>
    </row>
    <row r="119" spans="1:9" ht="16.5" customHeight="1" x14ac:dyDescent="0.35">
      <c r="A119" s="144"/>
      <c r="B119" s="141"/>
      <c r="C119" s="141"/>
      <c r="D119" s="145"/>
      <c r="E119" s="146"/>
      <c r="F119" s="179"/>
      <c r="G119" s="146"/>
      <c r="H119" s="146"/>
      <c r="I119" s="146"/>
    </row>
    <row r="120" spans="1:9" ht="16.5" customHeight="1" x14ac:dyDescent="0.35">
      <c r="A120" s="144"/>
      <c r="B120" s="141"/>
      <c r="C120" s="141"/>
      <c r="D120" s="145"/>
      <c r="E120" s="146"/>
      <c r="F120" s="179"/>
      <c r="G120" s="146"/>
      <c r="H120" s="146"/>
      <c r="I120" s="146"/>
    </row>
    <row r="121" spans="1:9" ht="16.5" customHeight="1" x14ac:dyDescent="0.35">
      <c r="A121" s="144"/>
      <c r="B121" s="141"/>
      <c r="C121" s="141"/>
      <c r="D121" s="145"/>
      <c r="E121" s="146"/>
      <c r="F121" s="179"/>
      <c r="G121" s="146"/>
      <c r="H121" s="146"/>
      <c r="I121" s="146"/>
    </row>
    <row r="122" spans="1:9" ht="16.5" customHeight="1" x14ac:dyDescent="0.35">
      <c r="A122" s="144"/>
      <c r="B122" s="141"/>
      <c r="C122" s="141"/>
      <c r="D122" s="145"/>
      <c r="E122" s="146"/>
      <c r="F122" s="179"/>
      <c r="G122" s="146"/>
      <c r="H122" s="146"/>
      <c r="I122" s="146"/>
    </row>
    <row r="123" spans="1:9" ht="16.5" customHeight="1" x14ac:dyDescent="0.35">
      <c r="A123" s="144"/>
      <c r="B123" s="141"/>
      <c r="C123" s="141"/>
      <c r="D123" s="145"/>
      <c r="E123" s="146"/>
      <c r="F123" s="179"/>
      <c r="G123" s="146"/>
      <c r="H123" s="146"/>
      <c r="I123" s="146"/>
    </row>
    <row r="124" spans="1:9" ht="16.5" customHeight="1" x14ac:dyDescent="0.35">
      <c r="A124" s="144"/>
      <c r="B124" s="141"/>
      <c r="C124" s="141"/>
      <c r="D124" s="145"/>
      <c r="E124" s="146"/>
      <c r="F124" s="179"/>
      <c r="G124" s="146"/>
      <c r="H124" s="146"/>
      <c r="I124" s="146"/>
    </row>
    <row r="125" spans="1:9" ht="16.5" customHeight="1" x14ac:dyDescent="0.35">
      <c r="A125" s="144"/>
      <c r="B125" s="141"/>
      <c r="C125" s="141"/>
      <c r="D125" s="145"/>
      <c r="E125" s="146"/>
      <c r="F125" s="179"/>
      <c r="G125" s="146"/>
      <c r="H125" s="146"/>
      <c r="I125" s="146"/>
    </row>
    <row r="126" spans="1:9" ht="16.5" customHeight="1" x14ac:dyDescent="0.35">
      <c r="A126" s="144"/>
      <c r="B126" s="141"/>
      <c r="C126" s="141"/>
      <c r="D126" s="145"/>
      <c r="E126" s="146"/>
      <c r="F126" s="179"/>
      <c r="G126" s="146"/>
      <c r="H126" s="146"/>
      <c r="I126" s="146"/>
    </row>
    <row r="127" spans="1:9" ht="16.5" customHeight="1" x14ac:dyDescent="0.35">
      <c r="A127" s="144"/>
      <c r="B127" s="141"/>
      <c r="C127" s="141"/>
      <c r="D127" s="145"/>
      <c r="E127" s="146"/>
      <c r="F127" s="179"/>
      <c r="G127" s="146"/>
      <c r="H127" s="146"/>
      <c r="I127" s="146"/>
    </row>
    <row r="128" spans="1:9" ht="16.5" customHeight="1" x14ac:dyDescent="0.35">
      <c r="A128" s="144"/>
      <c r="B128" s="141"/>
      <c r="C128" s="141"/>
      <c r="D128" s="145"/>
      <c r="E128" s="146"/>
      <c r="F128" s="179"/>
      <c r="G128" s="146"/>
      <c r="H128" s="146"/>
      <c r="I128" s="146"/>
    </row>
    <row r="129" spans="1:9" ht="16.5" customHeight="1" x14ac:dyDescent="0.35">
      <c r="A129" s="144"/>
      <c r="B129" s="141"/>
      <c r="C129" s="141"/>
      <c r="D129" s="145"/>
      <c r="E129" s="146"/>
      <c r="F129" s="179"/>
      <c r="G129" s="146"/>
      <c r="H129" s="146"/>
      <c r="I129" s="146"/>
    </row>
    <row r="130" spans="1:9" ht="16.5" customHeight="1" x14ac:dyDescent="0.35">
      <c r="A130" s="144"/>
      <c r="B130" s="141"/>
      <c r="C130" s="141"/>
      <c r="D130" s="145"/>
      <c r="E130" s="146"/>
      <c r="F130" s="179"/>
      <c r="G130" s="146"/>
      <c r="H130" s="146"/>
      <c r="I130" s="146"/>
    </row>
    <row r="131" spans="1:9" ht="16.5" customHeight="1" x14ac:dyDescent="0.35">
      <c r="A131" s="144"/>
      <c r="B131" s="141"/>
      <c r="C131" s="141"/>
      <c r="D131" s="145"/>
      <c r="E131" s="146"/>
      <c r="F131" s="179"/>
      <c r="G131" s="146"/>
      <c r="H131" s="146"/>
      <c r="I131" s="146"/>
    </row>
    <row r="132" spans="1:9" ht="16.5" customHeight="1" x14ac:dyDescent="0.35">
      <c r="A132" s="144"/>
      <c r="B132" s="141"/>
      <c r="C132" s="141"/>
      <c r="D132" s="145"/>
      <c r="E132" s="146"/>
      <c r="F132" s="179"/>
      <c r="G132" s="146"/>
      <c r="H132" s="146"/>
      <c r="I132" s="146"/>
    </row>
    <row r="133" spans="1:9" ht="16.5" customHeight="1" x14ac:dyDescent="0.35">
      <c r="A133" s="144"/>
      <c r="B133" s="141"/>
      <c r="C133" s="141"/>
      <c r="D133" s="145"/>
      <c r="E133" s="146"/>
      <c r="F133" s="179"/>
      <c r="G133" s="146"/>
      <c r="H133" s="146"/>
      <c r="I133" s="146"/>
    </row>
    <row r="134" spans="1:9" ht="16.5" customHeight="1" x14ac:dyDescent="0.35">
      <c r="A134" s="144"/>
      <c r="B134" s="141"/>
      <c r="C134" s="141"/>
      <c r="D134" s="145"/>
      <c r="E134" s="146"/>
      <c r="F134" s="179"/>
      <c r="G134" s="146"/>
      <c r="H134" s="146"/>
      <c r="I134" s="146"/>
    </row>
    <row r="135" spans="1:9" ht="16.5" customHeight="1" x14ac:dyDescent="0.35">
      <c r="A135" s="144"/>
      <c r="B135" s="141"/>
      <c r="C135" s="141"/>
      <c r="D135" s="145"/>
      <c r="E135" s="146"/>
      <c r="F135" s="179"/>
      <c r="G135" s="146"/>
      <c r="H135" s="146"/>
      <c r="I135" s="146"/>
    </row>
    <row r="136" spans="1:9" ht="16.5" customHeight="1" x14ac:dyDescent="0.35">
      <c r="A136" s="144"/>
      <c r="B136" s="141"/>
      <c r="C136" s="141"/>
      <c r="D136" s="145"/>
      <c r="E136" s="146"/>
      <c r="F136" s="179"/>
      <c r="G136" s="146"/>
      <c r="H136" s="146"/>
      <c r="I136" s="146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FC02-9993-44C0-9916-C10A7F348AB3}">
  <dimension ref="A1:I18"/>
  <sheetViews>
    <sheetView topLeftCell="A4" workbookViewId="0">
      <selection activeCell="B4" sqref="B4"/>
    </sheetView>
  </sheetViews>
  <sheetFormatPr defaultRowHeight="14.5" x14ac:dyDescent="0.35"/>
  <cols>
    <col min="1" max="1" width="7.08984375" bestFit="1" customWidth="1"/>
    <col min="2" max="2" width="34.81640625" bestFit="1" customWidth="1"/>
    <col min="3" max="3" width="24.90625" bestFit="1" customWidth="1"/>
    <col min="4" max="4" width="10.453125" bestFit="1" customWidth="1"/>
    <col min="5" max="5" width="33" bestFit="1" customWidth="1"/>
    <col min="6" max="6" width="13.26953125" style="123" bestFit="1" customWidth="1"/>
    <col min="7" max="7" width="78.6328125" bestFit="1" customWidth="1"/>
    <col min="8" max="9" width="11.81640625" customWidth="1"/>
  </cols>
  <sheetData>
    <row r="1" spans="1:9" ht="43.5" x14ac:dyDescent="0.35">
      <c r="A1" s="116" t="s">
        <v>0</v>
      </c>
      <c r="B1" s="117" t="s">
        <v>1</v>
      </c>
      <c r="C1" s="117" t="s">
        <v>2</v>
      </c>
      <c r="D1" s="118" t="s">
        <v>3</v>
      </c>
      <c r="E1" s="117" t="s">
        <v>4</v>
      </c>
      <c r="F1" s="119" t="s">
        <v>5</v>
      </c>
      <c r="G1" s="117" t="s">
        <v>6</v>
      </c>
      <c r="H1" s="117" t="s">
        <v>7</v>
      </c>
      <c r="I1" s="117" t="s">
        <v>31</v>
      </c>
    </row>
    <row r="2" spans="1:9" x14ac:dyDescent="0.35">
      <c r="A2" s="124">
        <v>1</v>
      </c>
      <c r="B2" s="120" t="s">
        <v>637</v>
      </c>
      <c r="C2" s="120" t="s">
        <v>638</v>
      </c>
      <c r="D2" s="121">
        <v>45895</v>
      </c>
      <c r="E2" s="120" t="s">
        <v>639</v>
      </c>
      <c r="F2" s="122">
        <v>13500875</v>
      </c>
      <c r="G2" s="120" t="s">
        <v>641</v>
      </c>
      <c r="H2" s="120"/>
      <c r="I2" s="120"/>
    </row>
    <row r="3" spans="1:9" x14ac:dyDescent="0.35">
      <c r="A3" s="124">
        <v>2</v>
      </c>
      <c r="B3" s="120" t="s">
        <v>637</v>
      </c>
      <c r="C3" s="120" t="s">
        <v>638</v>
      </c>
      <c r="D3" s="121">
        <v>45895</v>
      </c>
      <c r="E3" s="120" t="s">
        <v>640</v>
      </c>
      <c r="F3" s="122">
        <v>13500875</v>
      </c>
      <c r="G3" s="120" t="s">
        <v>641</v>
      </c>
      <c r="H3" s="120"/>
      <c r="I3" s="120"/>
    </row>
    <row r="4" spans="1:9" x14ac:dyDescent="0.35">
      <c r="A4" s="124"/>
      <c r="B4" s="120"/>
      <c r="C4" s="120"/>
      <c r="D4" s="121"/>
      <c r="E4" s="120"/>
      <c r="F4" s="122"/>
      <c r="G4" s="120"/>
      <c r="H4" s="120"/>
      <c r="I4" s="120"/>
    </row>
    <row r="5" spans="1:9" x14ac:dyDescent="0.35">
      <c r="A5" s="124"/>
      <c r="B5" s="120"/>
      <c r="C5" s="120"/>
      <c r="D5" s="121"/>
      <c r="E5" s="120"/>
      <c r="F5" s="122"/>
      <c r="G5" s="120"/>
      <c r="H5" s="120"/>
      <c r="I5" s="120"/>
    </row>
    <row r="6" spans="1:9" x14ac:dyDescent="0.35">
      <c r="A6" s="124"/>
      <c r="B6" s="120"/>
      <c r="C6" s="120"/>
      <c r="D6" s="121"/>
      <c r="E6" s="120"/>
      <c r="F6" s="122"/>
      <c r="G6" s="120"/>
      <c r="H6" s="120"/>
      <c r="I6" s="120"/>
    </row>
    <row r="7" spans="1:9" x14ac:dyDescent="0.35">
      <c r="A7" s="124"/>
      <c r="B7" s="120"/>
      <c r="C7" s="120"/>
      <c r="D7" s="121"/>
      <c r="E7" s="120"/>
      <c r="F7" s="122"/>
      <c r="G7" s="120"/>
      <c r="H7" s="120"/>
      <c r="I7" s="120"/>
    </row>
    <row r="8" spans="1:9" x14ac:dyDescent="0.35">
      <c r="A8" s="124"/>
      <c r="B8" s="120"/>
      <c r="C8" s="120"/>
      <c r="D8" s="121"/>
      <c r="E8" s="120"/>
      <c r="F8" s="122"/>
      <c r="G8" s="120"/>
      <c r="H8" s="120"/>
      <c r="I8" s="120"/>
    </row>
    <row r="9" spans="1:9" x14ac:dyDescent="0.35">
      <c r="A9" s="124"/>
      <c r="B9" s="120"/>
      <c r="C9" s="120"/>
      <c r="D9" s="121"/>
      <c r="E9" s="120"/>
      <c r="F9" s="122"/>
      <c r="G9" s="120"/>
      <c r="H9" s="120"/>
      <c r="I9" s="120"/>
    </row>
    <row r="10" spans="1:9" x14ac:dyDescent="0.35">
      <c r="A10" s="124"/>
      <c r="B10" s="138" t="s">
        <v>733</v>
      </c>
      <c r="C10" s="120"/>
      <c r="D10" s="121"/>
      <c r="E10" s="120"/>
      <c r="F10" s="122"/>
      <c r="G10" s="120"/>
      <c r="H10" s="120"/>
      <c r="I10" s="120"/>
    </row>
    <row r="11" spans="1:9" x14ac:dyDescent="0.35">
      <c r="A11" s="124">
        <v>1</v>
      </c>
      <c r="B11" s="120" t="s">
        <v>644</v>
      </c>
      <c r="C11" s="120" t="s">
        <v>642</v>
      </c>
      <c r="D11" s="121">
        <v>45947</v>
      </c>
      <c r="E11" s="120" t="s">
        <v>639</v>
      </c>
      <c r="F11" s="122">
        <v>7500000</v>
      </c>
      <c r="G11" s="120" t="s">
        <v>643</v>
      </c>
      <c r="H11" s="120"/>
      <c r="I11" s="120"/>
    </row>
    <row r="12" spans="1:9" x14ac:dyDescent="0.35">
      <c r="A12" s="124">
        <v>2</v>
      </c>
      <c r="B12" s="120" t="s">
        <v>644</v>
      </c>
      <c r="C12" s="120" t="s">
        <v>642</v>
      </c>
      <c r="D12" s="121">
        <v>45947</v>
      </c>
      <c r="E12" s="120" t="s">
        <v>640</v>
      </c>
      <c r="F12" s="122">
        <v>7500000</v>
      </c>
      <c r="G12" s="120" t="s">
        <v>643</v>
      </c>
      <c r="H12" s="120"/>
      <c r="I12" s="120"/>
    </row>
    <row r="13" spans="1:9" x14ac:dyDescent="0.35">
      <c r="A13" s="124">
        <v>3</v>
      </c>
      <c r="B13" s="120" t="s">
        <v>693</v>
      </c>
      <c r="C13" s="120"/>
      <c r="D13" s="134">
        <v>45972</v>
      </c>
      <c r="E13" s="120" t="s">
        <v>696</v>
      </c>
      <c r="F13" s="122">
        <v>50000000</v>
      </c>
      <c r="G13" s="120" t="s">
        <v>699</v>
      </c>
      <c r="H13" s="120"/>
      <c r="I13" s="120"/>
    </row>
    <row r="14" spans="1:9" x14ac:dyDescent="0.35">
      <c r="A14" s="124">
        <v>4</v>
      </c>
      <c r="B14" s="120" t="s">
        <v>693</v>
      </c>
      <c r="C14" s="120"/>
      <c r="D14" s="134">
        <v>45972</v>
      </c>
      <c r="E14" s="120" t="s">
        <v>697</v>
      </c>
      <c r="F14" s="122">
        <v>50000000</v>
      </c>
      <c r="G14" s="120" t="s">
        <v>699</v>
      </c>
      <c r="H14" s="120"/>
      <c r="I14" s="120"/>
    </row>
    <row r="15" spans="1:9" x14ac:dyDescent="0.35">
      <c r="A15" s="124">
        <v>5</v>
      </c>
      <c r="B15" s="120" t="s">
        <v>694</v>
      </c>
      <c r="C15" s="120"/>
      <c r="D15" s="134">
        <v>46056</v>
      </c>
      <c r="E15" s="120" t="s">
        <v>696</v>
      </c>
      <c r="F15" s="122">
        <v>7500000</v>
      </c>
      <c r="G15" s="120" t="s">
        <v>700</v>
      </c>
      <c r="H15" s="120"/>
      <c r="I15" s="120"/>
    </row>
    <row r="16" spans="1:9" x14ac:dyDescent="0.35">
      <c r="A16" s="124">
        <v>6</v>
      </c>
      <c r="B16" s="120" t="s">
        <v>694</v>
      </c>
      <c r="C16" s="120"/>
      <c r="D16" s="134">
        <v>46056</v>
      </c>
      <c r="E16" s="120" t="s">
        <v>697</v>
      </c>
      <c r="F16" s="122">
        <v>7500000</v>
      </c>
      <c r="G16" s="120" t="s">
        <v>700</v>
      </c>
      <c r="H16" s="120"/>
      <c r="I16" s="120"/>
    </row>
    <row r="17" spans="1:9" ht="29" x14ac:dyDescent="0.35">
      <c r="A17" s="124">
        <v>9</v>
      </c>
      <c r="B17" s="120" t="s">
        <v>695</v>
      </c>
      <c r="C17" s="120"/>
      <c r="D17" s="134">
        <v>45839</v>
      </c>
      <c r="E17" s="120" t="s">
        <v>698</v>
      </c>
      <c r="F17" s="122">
        <v>67700000</v>
      </c>
      <c r="G17" s="135" t="s">
        <v>701</v>
      </c>
      <c r="H17" s="120"/>
      <c r="I17" s="120"/>
    </row>
    <row r="18" spans="1:9" x14ac:dyDescent="0.35">
      <c r="A18" s="124">
        <v>10</v>
      </c>
      <c r="B18" s="120" t="s">
        <v>695</v>
      </c>
      <c r="C18" s="120"/>
      <c r="D18" s="134">
        <v>45489</v>
      </c>
      <c r="E18" s="120" t="s">
        <v>698</v>
      </c>
      <c r="F18" s="122">
        <v>57500000</v>
      </c>
      <c r="G18" s="136" t="s">
        <v>702</v>
      </c>
      <c r="H18" s="120"/>
      <c r="I18" s="1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7C13-BCC6-4A7B-A4E5-494E3352B91E}">
  <dimension ref="A1:L103"/>
  <sheetViews>
    <sheetView zoomScaleNormal="100" workbookViewId="0">
      <pane ySplit="1" topLeftCell="A3" activePane="bottomLeft" state="frozen"/>
      <selection activeCell="G24" sqref="G24"/>
      <selection pane="bottomLeft" activeCell="D15" sqref="D15"/>
    </sheetView>
  </sheetViews>
  <sheetFormatPr defaultRowHeight="14.5" x14ac:dyDescent="0.35"/>
  <cols>
    <col min="1" max="1" width="7.453125" bestFit="1" customWidth="1"/>
    <col min="2" max="2" width="34.36328125" bestFit="1" customWidth="1"/>
    <col min="3" max="3" width="17.26953125" customWidth="1"/>
    <col min="4" max="4" width="10.453125" bestFit="1" customWidth="1"/>
    <col min="5" max="5" width="9.453125" bestFit="1" customWidth="1"/>
    <col min="6" max="6" width="13.1796875" bestFit="1" customWidth="1"/>
    <col min="7" max="7" width="14.7265625" bestFit="1" customWidth="1"/>
    <col min="8" max="8" width="26.7265625" customWidth="1"/>
    <col min="9" max="9" width="9.36328125" bestFit="1" customWidth="1"/>
    <col min="10" max="10" width="16.6328125" customWidth="1"/>
  </cols>
  <sheetData>
    <row r="1" spans="1:10" s="2" customFormat="1" ht="33" customHeight="1" x14ac:dyDescent="0.35">
      <c r="A1" s="69" t="s">
        <v>0</v>
      </c>
      <c r="B1" s="70" t="s">
        <v>1</v>
      </c>
      <c r="C1" s="70" t="s">
        <v>2</v>
      </c>
      <c r="D1" s="71" t="s">
        <v>3</v>
      </c>
      <c r="E1" s="70" t="s">
        <v>4</v>
      </c>
      <c r="F1" s="72" t="s">
        <v>5</v>
      </c>
      <c r="G1" s="70" t="s">
        <v>356</v>
      </c>
      <c r="H1" s="70" t="s">
        <v>357</v>
      </c>
      <c r="I1" s="65" t="s">
        <v>358</v>
      </c>
      <c r="J1" s="19" t="s">
        <v>359</v>
      </c>
    </row>
    <row r="2" spans="1:10" s="1" customFormat="1" ht="12.5" customHeight="1" x14ac:dyDescent="0.35">
      <c r="A2" s="73" t="s">
        <v>207</v>
      </c>
      <c r="B2" s="74" t="s">
        <v>100</v>
      </c>
      <c r="C2" s="74"/>
      <c r="D2" s="75">
        <v>44354</v>
      </c>
      <c r="E2" s="74" t="s">
        <v>20</v>
      </c>
      <c r="F2" s="76">
        <v>1000000</v>
      </c>
      <c r="G2" s="74"/>
      <c r="H2" s="74"/>
      <c r="I2" s="66">
        <v>45042</v>
      </c>
      <c r="J2" s="16">
        <v>1000000</v>
      </c>
    </row>
    <row r="3" spans="1:10" s="1" customFormat="1" ht="12.5" customHeight="1" x14ac:dyDescent="0.35">
      <c r="A3" s="73" t="s">
        <v>208</v>
      </c>
      <c r="B3" s="74" t="s">
        <v>100</v>
      </c>
      <c r="C3" s="74"/>
      <c r="D3" s="75">
        <v>44355</v>
      </c>
      <c r="E3" s="74" t="s">
        <v>20</v>
      </c>
      <c r="F3" s="76">
        <v>1000000</v>
      </c>
      <c r="G3" s="74"/>
      <c r="H3" s="74"/>
      <c r="I3" s="66">
        <v>45222</v>
      </c>
      <c r="J3" s="16">
        <v>1600000</v>
      </c>
    </row>
    <row r="4" spans="1:10" s="1" customFormat="1" ht="12.5" customHeight="1" x14ac:dyDescent="0.35">
      <c r="A4" s="73" t="s">
        <v>209</v>
      </c>
      <c r="B4" s="74" t="s">
        <v>100</v>
      </c>
      <c r="C4" s="74"/>
      <c r="D4" s="75">
        <v>44371</v>
      </c>
      <c r="E4" s="74" t="s">
        <v>20</v>
      </c>
      <c r="F4" s="76">
        <v>1500000</v>
      </c>
      <c r="G4" s="74"/>
      <c r="H4" s="74"/>
      <c r="I4" s="66">
        <v>44595</v>
      </c>
      <c r="J4" s="16">
        <v>1000000</v>
      </c>
    </row>
    <row r="5" spans="1:10" s="1" customFormat="1" ht="12.5" customHeight="1" x14ac:dyDescent="0.35">
      <c r="A5" s="73" t="s">
        <v>210</v>
      </c>
      <c r="B5" s="74" t="s">
        <v>100</v>
      </c>
      <c r="C5" s="74"/>
      <c r="D5" s="75">
        <v>44376</v>
      </c>
      <c r="E5" s="74" t="s">
        <v>20</v>
      </c>
      <c r="F5" s="76">
        <v>2831000</v>
      </c>
      <c r="G5" s="74"/>
      <c r="H5" s="74"/>
      <c r="I5" s="66">
        <v>44771</v>
      </c>
      <c r="J5" s="16">
        <v>200000</v>
      </c>
    </row>
    <row r="6" spans="1:10" s="1" customFormat="1" ht="12.5" customHeight="1" x14ac:dyDescent="0.35">
      <c r="A6" s="73" t="s">
        <v>211</v>
      </c>
      <c r="B6" s="74" t="s">
        <v>100</v>
      </c>
      <c r="C6" s="74"/>
      <c r="D6" s="75">
        <v>44379</v>
      </c>
      <c r="E6" s="74" t="s">
        <v>20</v>
      </c>
      <c r="F6" s="76">
        <v>1000000</v>
      </c>
      <c r="G6" s="74"/>
      <c r="H6" s="74"/>
      <c r="I6" s="66">
        <v>44817</v>
      </c>
      <c r="J6" s="16">
        <v>1000000</v>
      </c>
    </row>
    <row r="7" spans="1:10" s="1" customFormat="1" ht="12.5" customHeight="1" x14ac:dyDescent="0.35">
      <c r="A7" s="73" t="s">
        <v>212</v>
      </c>
      <c r="B7" s="74" t="s">
        <v>100</v>
      </c>
      <c r="C7" s="74"/>
      <c r="D7" s="75">
        <v>44396</v>
      </c>
      <c r="E7" s="74" t="s">
        <v>20</v>
      </c>
      <c r="F7" s="76">
        <v>500000</v>
      </c>
      <c r="G7" s="74"/>
      <c r="H7" s="74"/>
      <c r="I7" s="66">
        <v>44817</v>
      </c>
      <c r="J7" s="16">
        <v>1000000</v>
      </c>
    </row>
    <row r="8" spans="1:10" s="1" customFormat="1" ht="12.5" customHeight="1" x14ac:dyDescent="0.35">
      <c r="A8" s="73" t="s">
        <v>213</v>
      </c>
      <c r="B8" s="74" t="s">
        <v>100</v>
      </c>
      <c r="C8" s="74"/>
      <c r="D8" s="75">
        <v>44404</v>
      </c>
      <c r="E8" s="74" t="s">
        <v>20</v>
      </c>
      <c r="F8" s="76">
        <v>750000</v>
      </c>
      <c r="G8" s="74"/>
      <c r="H8" s="74"/>
    </row>
    <row r="9" spans="1:10" s="1" customFormat="1" ht="12.5" customHeight="1" x14ac:dyDescent="0.35">
      <c r="A9" s="73" t="s">
        <v>214</v>
      </c>
      <c r="B9" s="74" t="s">
        <v>100</v>
      </c>
      <c r="C9" s="74"/>
      <c r="D9" s="75">
        <v>44410</v>
      </c>
      <c r="E9" s="74" t="s">
        <v>20</v>
      </c>
      <c r="F9" s="76">
        <v>8835000</v>
      </c>
      <c r="G9" s="74"/>
      <c r="H9" s="74"/>
      <c r="I9" s="67" t="s">
        <v>360</v>
      </c>
      <c r="J9" s="23">
        <f>SUM(J2:J8)</f>
        <v>5800000</v>
      </c>
    </row>
    <row r="10" spans="1:10" s="1" customFormat="1" ht="12.5" customHeight="1" x14ac:dyDescent="0.35">
      <c r="A10" s="73" t="s">
        <v>215</v>
      </c>
      <c r="B10" s="74" t="s">
        <v>100</v>
      </c>
      <c r="C10" s="74"/>
      <c r="D10" s="75">
        <v>44412</v>
      </c>
      <c r="E10" s="74" t="s">
        <v>20</v>
      </c>
      <c r="F10" s="76">
        <v>140000</v>
      </c>
      <c r="G10" s="74"/>
      <c r="H10" s="74"/>
    </row>
    <row r="11" spans="1:10" s="1" customFormat="1" ht="12.5" customHeight="1" x14ac:dyDescent="0.35">
      <c r="A11" s="73" t="s">
        <v>216</v>
      </c>
      <c r="B11" s="74" t="s">
        <v>100</v>
      </c>
      <c r="C11" s="74"/>
      <c r="D11" s="75">
        <v>44417</v>
      </c>
      <c r="E11" s="74" t="s">
        <v>20</v>
      </c>
      <c r="F11" s="76">
        <v>300000</v>
      </c>
      <c r="G11" s="74"/>
      <c r="H11" s="74"/>
    </row>
    <row r="12" spans="1:10" s="1" customFormat="1" ht="12.5" customHeight="1" x14ac:dyDescent="0.35">
      <c r="A12" s="73" t="s">
        <v>217</v>
      </c>
      <c r="B12" s="74" t="s">
        <v>100</v>
      </c>
      <c r="C12" s="74"/>
      <c r="D12" s="75">
        <v>44439</v>
      </c>
      <c r="E12" s="74" t="s">
        <v>20</v>
      </c>
      <c r="F12" s="76">
        <v>280000</v>
      </c>
      <c r="G12" s="74"/>
      <c r="H12" s="74"/>
    </row>
    <row r="13" spans="1:10" s="1" customFormat="1" ht="12.5" customHeight="1" x14ac:dyDescent="0.35">
      <c r="A13" s="73" t="s">
        <v>218</v>
      </c>
      <c r="B13" s="74" t="s">
        <v>100</v>
      </c>
      <c r="C13" s="74"/>
      <c r="D13" s="75">
        <v>44440</v>
      </c>
      <c r="E13" s="74" t="s">
        <v>20</v>
      </c>
      <c r="F13" s="76">
        <v>25000</v>
      </c>
      <c r="G13" s="74"/>
      <c r="H13" s="74"/>
    </row>
    <row r="14" spans="1:10" s="1" customFormat="1" ht="12.5" customHeight="1" x14ac:dyDescent="0.35">
      <c r="A14" s="73" t="s">
        <v>219</v>
      </c>
      <c r="B14" s="74" t="s">
        <v>100</v>
      </c>
      <c r="C14" s="74"/>
      <c r="D14" s="75">
        <v>44442</v>
      </c>
      <c r="E14" s="74" t="s">
        <v>20</v>
      </c>
      <c r="F14" s="76">
        <v>50000</v>
      </c>
      <c r="G14" s="74"/>
      <c r="H14" s="74"/>
    </row>
    <row r="15" spans="1:10" s="1" customFormat="1" ht="12.5" customHeight="1" x14ac:dyDescent="0.35">
      <c r="A15" s="73" t="s">
        <v>220</v>
      </c>
      <c r="B15" s="74" t="s">
        <v>100</v>
      </c>
      <c r="C15" s="74"/>
      <c r="D15" s="75">
        <v>44446</v>
      </c>
      <c r="E15" s="74" t="s">
        <v>20</v>
      </c>
      <c r="F15" s="76">
        <v>154000</v>
      </c>
      <c r="G15" s="74"/>
      <c r="H15" s="74"/>
    </row>
    <row r="16" spans="1:10" s="1" customFormat="1" ht="12.5" customHeight="1" x14ac:dyDescent="0.35">
      <c r="A16" s="73" t="s">
        <v>235</v>
      </c>
      <c r="B16" s="74" t="s">
        <v>100</v>
      </c>
      <c r="C16" s="74"/>
      <c r="D16" s="75">
        <v>44474</v>
      </c>
      <c r="E16" s="74" t="s">
        <v>20</v>
      </c>
      <c r="F16" s="76">
        <v>154000</v>
      </c>
      <c r="G16" s="74"/>
      <c r="H16" s="74"/>
    </row>
    <row r="17" spans="1:8" s="1" customFormat="1" ht="12.5" customHeight="1" x14ac:dyDescent="0.35">
      <c r="A17" s="73" t="s">
        <v>320</v>
      </c>
      <c r="B17" s="74" t="s">
        <v>100</v>
      </c>
      <c r="C17" s="74"/>
      <c r="D17" s="75">
        <v>44515</v>
      </c>
      <c r="E17" s="74" t="s">
        <v>20</v>
      </c>
      <c r="F17" s="76">
        <v>4100000</v>
      </c>
      <c r="G17" s="74"/>
      <c r="H17" s="74"/>
    </row>
    <row r="18" spans="1:8" s="1" customFormat="1" ht="12.5" customHeight="1" x14ac:dyDescent="0.35">
      <c r="A18" s="73" t="s">
        <v>355</v>
      </c>
      <c r="B18" s="74" t="s">
        <v>100</v>
      </c>
      <c r="C18" s="74"/>
      <c r="D18" s="75">
        <v>44531</v>
      </c>
      <c r="E18" s="74" t="s">
        <v>20</v>
      </c>
      <c r="F18" s="76">
        <v>13500000</v>
      </c>
      <c r="G18" s="74"/>
      <c r="H18" s="74"/>
    </row>
    <row r="19" spans="1:8" s="1" customFormat="1" ht="12.5" customHeight="1" x14ac:dyDescent="0.35">
      <c r="A19" s="73" t="s">
        <v>361</v>
      </c>
      <c r="B19" s="74" t="s">
        <v>100</v>
      </c>
      <c r="C19" s="74"/>
      <c r="D19" s="75">
        <v>44537</v>
      </c>
      <c r="E19" s="74" t="s">
        <v>20</v>
      </c>
      <c r="F19" s="76">
        <v>154000</v>
      </c>
      <c r="G19" s="74"/>
      <c r="H19" s="74"/>
    </row>
    <row r="20" spans="1:8" s="1" customFormat="1" ht="12.5" customHeight="1" x14ac:dyDescent="0.35">
      <c r="A20" s="73" t="s">
        <v>362</v>
      </c>
      <c r="B20" s="74" t="s">
        <v>100</v>
      </c>
      <c r="C20" s="74"/>
      <c r="D20" s="75">
        <v>44782</v>
      </c>
      <c r="E20" s="74" t="s">
        <v>20</v>
      </c>
      <c r="F20" s="76">
        <v>50000</v>
      </c>
      <c r="G20" s="74"/>
      <c r="H20" s="74"/>
    </row>
    <row r="21" spans="1:8" s="1" customFormat="1" ht="12.5" customHeight="1" x14ac:dyDescent="0.35">
      <c r="A21" s="73" t="s">
        <v>363</v>
      </c>
      <c r="B21" s="74" t="s">
        <v>100</v>
      </c>
      <c r="C21" s="74"/>
      <c r="D21" s="75">
        <v>44946</v>
      </c>
      <c r="E21" s="74" t="s">
        <v>20</v>
      </c>
      <c r="F21" s="76">
        <v>22000000</v>
      </c>
      <c r="G21" s="74"/>
      <c r="H21" s="74"/>
    </row>
    <row r="22" spans="1:8" s="1" customFormat="1" ht="12.5" customHeight="1" x14ac:dyDescent="0.35">
      <c r="A22" s="73" t="s">
        <v>364</v>
      </c>
      <c r="B22" s="74" t="s">
        <v>100</v>
      </c>
      <c r="C22" s="74"/>
      <c r="D22" s="75">
        <v>45169</v>
      </c>
      <c r="E22" s="74" t="s">
        <v>20</v>
      </c>
      <c r="F22" s="76">
        <v>6000000</v>
      </c>
      <c r="G22" s="74"/>
      <c r="H22" s="74"/>
    </row>
    <row r="23" spans="1:8" s="1" customFormat="1" ht="12.5" customHeight="1" x14ac:dyDescent="0.35">
      <c r="A23" s="73" t="s">
        <v>365</v>
      </c>
      <c r="B23" s="74" t="s">
        <v>100</v>
      </c>
      <c r="C23" s="74"/>
      <c r="D23" s="75">
        <v>45299</v>
      </c>
      <c r="E23" s="74" t="s">
        <v>20</v>
      </c>
      <c r="F23" s="76">
        <v>12895522</v>
      </c>
      <c r="G23" s="74"/>
      <c r="H23" s="74"/>
    </row>
    <row r="24" spans="1:8" s="1" customFormat="1" ht="13.5" customHeight="1" x14ac:dyDescent="0.35">
      <c r="A24" s="73"/>
      <c r="B24" s="77" t="s">
        <v>131</v>
      </c>
      <c r="C24" s="74"/>
      <c r="D24" s="75"/>
      <c r="E24" s="74"/>
      <c r="F24" s="78">
        <f>SUM(F2:F23)</f>
        <v>77218522</v>
      </c>
      <c r="G24" s="74"/>
      <c r="H24" s="74"/>
    </row>
    <row r="25" spans="1:8" s="1" customFormat="1" ht="13.5" customHeight="1" x14ac:dyDescent="0.35">
      <c r="A25" s="81"/>
      <c r="B25" s="82"/>
      <c r="C25" s="83"/>
      <c r="D25" s="84"/>
      <c r="E25" s="83"/>
      <c r="F25" s="85"/>
      <c r="G25" s="83"/>
      <c r="H25" s="83"/>
    </row>
    <row r="26" spans="1:8" s="1" customFormat="1" ht="12.5" customHeight="1" x14ac:dyDescent="0.35">
      <c r="A26" s="73" t="s">
        <v>221</v>
      </c>
      <c r="B26" s="74" t="s">
        <v>101</v>
      </c>
      <c r="C26" s="74"/>
      <c r="D26" s="75">
        <v>43906</v>
      </c>
      <c r="E26" s="74" t="s">
        <v>20</v>
      </c>
      <c r="F26" s="76">
        <v>50000</v>
      </c>
      <c r="G26" s="74" t="s">
        <v>116</v>
      </c>
      <c r="H26" s="74"/>
    </row>
    <row r="27" spans="1:8" s="1" customFormat="1" ht="12.5" customHeight="1" x14ac:dyDescent="0.35">
      <c r="A27" s="73" t="s">
        <v>222</v>
      </c>
      <c r="B27" s="74" t="s">
        <v>101</v>
      </c>
      <c r="C27" s="74"/>
      <c r="D27" s="75">
        <v>43965</v>
      </c>
      <c r="E27" s="74" t="s">
        <v>20</v>
      </c>
      <c r="F27" s="76">
        <v>100000</v>
      </c>
      <c r="G27" s="74" t="s">
        <v>116</v>
      </c>
      <c r="H27" s="74"/>
    </row>
    <row r="28" spans="1:8" s="1" customFormat="1" ht="12.5" customHeight="1" x14ac:dyDescent="0.35">
      <c r="A28" s="73" t="s">
        <v>223</v>
      </c>
      <c r="B28" s="74" t="s">
        <v>101</v>
      </c>
      <c r="C28" s="74"/>
      <c r="D28" s="75">
        <v>43998</v>
      </c>
      <c r="E28" s="74" t="s">
        <v>20</v>
      </c>
      <c r="F28" s="76">
        <v>1000000</v>
      </c>
      <c r="G28" s="74" t="s">
        <v>116</v>
      </c>
      <c r="H28" s="74"/>
    </row>
    <row r="29" spans="1:8" s="1" customFormat="1" ht="12.5" customHeight="1" x14ac:dyDescent="0.35">
      <c r="A29" s="73" t="s">
        <v>224</v>
      </c>
      <c r="B29" s="74" t="s">
        <v>101</v>
      </c>
      <c r="C29" s="74"/>
      <c r="D29" s="75">
        <v>43999</v>
      </c>
      <c r="E29" s="74" t="s">
        <v>20</v>
      </c>
      <c r="F29" s="76">
        <v>650000</v>
      </c>
      <c r="G29" s="74" t="s">
        <v>116</v>
      </c>
      <c r="H29" s="74"/>
    </row>
    <row r="30" spans="1:8" s="1" customFormat="1" ht="13.5" customHeight="1" x14ac:dyDescent="0.35">
      <c r="A30" s="73"/>
      <c r="B30" s="77" t="s">
        <v>132</v>
      </c>
      <c r="C30" s="74"/>
      <c r="D30" s="75"/>
      <c r="E30" s="74"/>
      <c r="F30" s="78">
        <f>SUM(COMPANY!F26:F29)</f>
        <v>1800000</v>
      </c>
      <c r="G30" s="74"/>
      <c r="H30" s="74"/>
    </row>
    <row r="31" spans="1:8" s="1" customFormat="1" ht="12.5" customHeight="1" x14ac:dyDescent="0.35">
      <c r="A31" s="73" t="s">
        <v>227</v>
      </c>
      <c r="B31" s="74" t="s">
        <v>40</v>
      </c>
      <c r="C31" s="74" t="s">
        <v>62</v>
      </c>
      <c r="D31" s="75" t="s">
        <v>35</v>
      </c>
      <c r="E31" s="74" t="s">
        <v>20</v>
      </c>
      <c r="F31" s="76">
        <v>1000000</v>
      </c>
      <c r="G31" s="74" t="s">
        <v>84</v>
      </c>
      <c r="H31" s="74"/>
    </row>
    <row r="32" spans="1:8" s="1" customFormat="1" ht="12.5" customHeight="1" x14ac:dyDescent="0.35">
      <c r="A32" s="73" t="s">
        <v>228</v>
      </c>
      <c r="B32" s="74" t="s">
        <v>40</v>
      </c>
      <c r="C32" s="74" t="s">
        <v>62</v>
      </c>
      <c r="D32" s="75" t="s">
        <v>36</v>
      </c>
      <c r="E32" s="74" t="s">
        <v>20</v>
      </c>
      <c r="F32" s="76">
        <v>1000000</v>
      </c>
      <c r="G32" s="74" t="s">
        <v>84</v>
      </c>
      <c r="H32" s="74"/>
    </row>
    <row r="33" spans="1:10" s="1" customFormat="1" ht="12.5" customHeight="1" x14ac:dyDescent="0.35">
      <c r="A33" s="73" t="s">
        <v>229</v>
      </c>
      <c r="B33" s="74" t="s">
        <v>40</v>
      </c>
      <c r="C33" s="74" t="s">
        <v>62</v>
      </c>
      <c r="D33" s="75" t="s">
        <v>37</v>
      </c>
      <c r="E33" s="74" t="s">
        <v>20</v>
      </c>
      <c r="F33" s="76">
        <v>1000000</v>
      </c>
      <c r="G33" s="74" t="s">
        <v>84</v>
      </c>
      <c r="H33" s="74"/>
    </row>
    <row r="34" spans="1:10" s="1" customFormat="1" ht="12.5" customHeight="1" x14ac:dyDescent="0.35">
      <c r="A34" s="73" t="s">
        <v>230</v>
      </c>
      <c r="B34" s="74" t="s">
        <v>40</v>
      </c>
      <c r="C34" s="74" t="s">
        <v>62</v>
      </c>
      <c r="D34" s="75" t="s">
        <v>38</v>
      </c>
      <c r="E34" s="74" t="s">
        <v>20</v>
      </c>
      <c r="F34" s="76">
        <v>1000000</v>
      </c>
      <c r="G34" s="74" t="s">
        <v>84</v>
      </c>
      <c r="H34" s="74"/>
    </row>
    <row r="35" spans="1:10" s="1" customFormat="1" ht="12.5" customHeight="1" x14ac:dyDescent="0.35">
      <c r="A35" s="73" t="s">
        <v>231</v>
      </c>
      <c r="B35" s="74" t="s">
        <v>40</v>
      </c>
      <c r="C35" s="74" t="s">
        <v>62</v>
      </c>
      <c r="D35" s="75" t="s">
        <v>39</v>
      </c>
      <c r="E35" s="74" t="s">
        <v>20</v>
      </c>
      <c r="F35" s="76">
        <v>1000000</v>
      </c>
      <c r="G35" s="74" t="s">
        <v>84</v>
      </c>
      <c r="H35" s="74"/>
    </row>
    <row r="36" spans="1:10" s="1" customFormat="1" ht="20" x14ac:dyDescent="0.35">
      <c r="A36" s="73"/>
      <c r="B36" s="77" t="s">
        <v>58</v>
      </c>
      <c r="C36" s="74"/>
      <c r="D36" s="75"/>
      <c r="E36" s="74"/>
      <c r="F36" s="78">
        <f>SUM(F31:F35)</f>
        <v>5000000</v>
      </c>
      <c r="G36" s="74"/>
      <c r="H36" s="74"/>
      <c r="I36" s="65" t="s">
        <v>358</v>
      </c>
      <c r="J36" s="19" t="s">
        <v>359</v>
      </c>
    </row>
    <row r="37" spans="1:10" s="1" customFormat="1" ht="12.5" customHeight="1" x14ac:dyDescent="0.35">
      <c r="A37" s="73" t="s">
        <v>192</v>
      </c>
      <c r="B37" s="74" t="s">
        <v>314</v>
      </c>
      <c r="C37" s="74" t="s">
        <v>315</v>
      </c>
      <c r="D37" s="75">
        <v>45056</v>
      </c>
      <c r="E37" s="74" t="s">
        <v>20</v>
      </c>
      <c r="F37" s="76">
        <v>12500</v>
      </c>
      <c r="G37" s="74" t="s">
        <v>84</v>
      </c>
      <c r="H37" s="74" t="s">
        <v>316</v>
      </c>
      <c r="I37" s="79">
        <v>45155</v>
      </c>
      <c r="J37" s="29">
        <v>390000</v>
      </c>
    </row>
    <row r="38" spans="1:10" s="1" customFormat="1" ht="12.5" customHeight="1" x14ac:dyDescent="0.35">
      <c r="A38" s="73" t="s">
        <v>193</v>
      </c>
      <c r="B38" s="74" t="s">
        <v>314</v>
      </c>
      <c r="C38" s="74" t="s">
        <v>315</v>
      </c>
      <c r="D38" s="75">
        <v>45057</v>
      </c>
      <c r="E38" s="74" t="s">
        <v>20</v>
      </c>
      <c r="F38" s="76">
        <v>20000</v>
      </c>
      <c r="G38" s="74" t="s">
        <v>84</v>
      </c>
      <c r="H38" s="74" t="s">
        <v>317</v>
      </c>
      <c r="I38" s="80">
        <v>45174</v>
      </c>
      <c r="J38" s="16">
        <v>2300000</v>
      </c>
    </row>
    <row r="39" spans="1:10" s="1" customFormat="1" ht="12.5" customHeight="1" x14ac:dyDescent="0.35">
      <c r="A39" s="73" t="s">
        <v>194</v>
      </c>
      <c r="B39" s="74" t="s">
        <v>314</v>
      </c>
      <c r="C39" s="74" t="s">
        <v>315</v>
      </c>
      <c r="D39" s="75">
        <v>45069</v>
      </c>
      <c r="E39" s="74" t="s">
        <v>20</v>
      </c>
      <c r="F39" s="76">
        <v>14995500</v>
      </c>
      <c r="G39" s="74" t="s">
        <v>84</v>
      </c>
      <c r="H39" s="74"/>
      <c r="I39" s="80">
        <v>45183</v>
      </c>
      <c r="J39" s="16">
        <v>750000</v>
      </c>
    </row>
    <row r="40" spans="1:10" s="1" customFormat="1" ht="12.5" customHeight="1" x14ac:dyDescent="0.35">
      <c r="A40" s="73" t="s">
        <v>195</v>
      </c>
      <c r="B40" s="74" t="s">
        <v>314</v>
      </c>
      <c r="C40" s="74" t="s">
        <v>315</v>
      </c>
      <c r="D40" s="75">
        <v>45091</v>
      </c>
      <c r="E40" s="74" t="s">
        <v>20</v>
      </c>
      <c r="F40" s="76">
        <v>50000</v>
      </c>
      <c r="G40" s="74" t="s">
        <v>84</v>
      </c>
      <c r="H40" s="74"/>
      <c r="I40" s="80">
        <v>45189</v>
      </c>
      <c r="J40" s="16">
        <v>200000</v>
      </c>
    </row>
    <row r="41" spans="1:10" s="1" customFormat="1" ht="12.5" customHeight="1" x14ac:dyDescent="0.35">
      <c r="A41" s="73" t="s">
        <v>196</v>
      </c>
      <c r="B41" s="74" t="s">
        <v>314</v>
      </c>
      <c r="C41" s="74" t="s">
        <v>315</v>
      </c>
      <c r="D41" s="75">
        <v>45107</v>
      </c>
      <c r="E41" s="74" t="s">
        <v>20</v>
      </c>
      <c r="F41" s="76">
        <v>1800000</v>
      </c>
      <c r="G41" s="74" t="s">
        <v>84</v>
      </c>
      <c r="H41" s="74"/>
      <c r="I41" s="80">
        <v>45194</v>
      </c>
      <c r="J41" s="16">
        <v>1575000</v>
      </c>
    </row>
    <row r="42" spans="1:10" s="1" customFormat="1" ht="12.5" customHeight="1" x14ac:dyDescent="0.35">
      <c r="A42" s="73" t="s">
        <v>197</v>
      </c>
      <c r="B42" s="74" t="s">
        <v>314</v>
      </c>
      <c r="C42" s="74" t="s">
        <v>315</v>
      </c>
      <c r="D42" s="75">
        <v>45110</v>
      </c>
      <c r="E42" s="74" t="s">
        <v>20</v>
      </c>
      <c r="F42" s="76">
        <v>17400000</v>
      </c>
      <c r="G42" s="74" t="s">
        <v>84</v>
      </c>
      <c r="H42" s="74"/>
      <c r="I42" s="80">
        <v>45229</v>
      </c>
      <c r="J42" s="16">
        <v>1500000</v>
      </c>
    </row>
    <row r="43" spans="1:10" s="1" customFormat="1" ht="12.5" customHeight="1" x14ac:dyDescent="0.35">
      <c r="A43" s="73" t="s">
        <v>198</v>
      </c>
      <c r="B43" s="74" t="s">
        <v>314</v>
      </c>
      <c r="C43" s="74" t="s">
        <v>315</v>
      </c>
      <c r="D43" s="75">
        <v>45112</v>
      </c>
      <c r="E43" s="74" t="s">
        <v>20</v>
      </c>
      <c r="F43" s="76">
        <v>750000</v>
      </c>
      <c r="G43" s="74" t="s">
        <v>84</v>
      </c>
      <c r="H43" s="74"/>
      <c r="I43" s="80">
        <v>45240</v>
      </c>
      <c r="J43" s="16">
        <v>2000000</v>
      </c>
    </row>
    <row r="44" spans="1:10" s="1" customFormat="1" ht="12.5" customHeight="1" x14ac:dyDescent="0.35">
      <c r="A44" s="73" t="s">
        <v>199</v>
      </c>
      <c r="B44" s="74" t="s">
        <v>314</v>
      </c>
      <c r="C44" s="74" t="s">
        <v>315</v>
      </c>
      <c r="D44" s="75">
        <v>45121</v>
      </c>
      <c r="E44" s="74" t="s">
        <v>20</v>
      </c>
      <c r="F44" s="76">
        <v>100000</v>
      </c>
      <c r="G44" s="74" t="s">
        <v>84</v>
      </c>
      <c r="H44" s="74"/>
      <c r="I44" s="80">
        <v>45268</v>
      </c>
      <c r="J44" s="16">
        <v>1500000</v>
      </c>
    </row>
    <row r="45" spans="1:10" s="1" customFormat="1" ht="12.5" customHeight="1" x14ac:dyDescent="0.35">
      <c r="A45" s="73" t="s">
        <v>200</v>
      </c>
      <c r="B45" s="74" t="s">
        <v>314</v>
      </c>
      <c r="C45" s="74" t="s">
        <v>315</v>
      </c>
      <c r="D45" s="75">
        <v>45127</v>
      </c>
      <c r="E45" s="74" t="s">
        <v>20</v>
      </c>
      <c r="F45" s="76">
        <v>100000</v>
      </c>
      <c r="G45" s="74" t="s">
        <v>84</v>
      </c>
      <c r="H45" s="74"/>
      <c r="I45" s="80">
        <v>45280</v>
      </c>
      <c r="J45" s="16">
        <v>2200000</v>
      </c>
    </row>
    <row r="46" spans="1:10" s="1" customFormat="1" ht="12.5" customHeight="1" x14ac:dyDescent="0.35">
      <c r="A46" s="73" t="s">
        <v>318</v>
      </c>
      <c r="B46" s="74" t="s">
        <v>314</v>
      </c>
      <c r="C46" s="74" t="s">
        <v>315</v>
      </c>
      <c r="D46" s="75">
        <v>45134</v>
      </c>
      <c r="E46" s="74" t="s">
        <v>20</v>
      </c>
      <c r="F46" s="76">
        <v>1900000</v>
      </c>
      <c r="G46" s="74" t="s">
        <v>84</v>
      </c>
      <c r="H46" s="74"/>
      <c r="I46" s="80">
        <v>45296</v>
      </c>
      <c r="J46" s="16">
        <v>1500000</v>
      </c>
    </row>
    <row r="47" spans="1:10" s="1" customFormat="1" ht="12.5" customHeight="1" x14ac:dyDescent="0.35">
      <c r="A47" s="73" t="s">
        <v>324</v>
      </c>
      <c r="B47" s="74" t="s">
        <v>314</v>
      </c>
      <c r="C47" s="74" t="s">
        <v>315</v>
      </c>
      <c r="D47" s="24">
        <v>45140</v>
      </c>
      <c r="E47" s="74" t="s">
        <v>20</v>
      </c>
      <c r="F47" s="76">
        <v>15800000</v>
      </c>
      <c r="G47" s="74" t="s">
        <v>84</v>
      </c>
      <c r="H47" s="74"/>
      <c r="I47" s="80">
        <v>45327</v>
      </c>
      <c r="J47" s="31">
        <v>1450000</v>
      </c>
    </row>
    <row r="48" spans="1:10" s="1" customFormat="1" ht="12.5" customHeight="1" x14ac:dyDescent="0.35">
      <c r="A48" s="73" t="s">
        <v>366</v>
      </c>
      <c r="B48" s="74" t="s">
        <v>314</v>
      </c>
      <c r="C48" s="74" t="s">
        <v>315</v>
      </c>
      <c r="D48" s="75">
        <v>45160</v>
      </c>
      <c r="E48" s="74" t="s">
        <v>20</v>
      </c>
      <c r="F48" s="76">
        <v>3000000</v>
      </c>
      <c r="G48" s="74" t="s">
        <v>84</v>
      </c>
      <c r="H48" s="74"/>
      <c r="I48" s="80">
        <v>45355</v>
      </c>
      <c r="J48" s="16">
        <v>1400000</v>
      </c>
    </row>
    <row r="49" spans="1:10" s="1" customFormat="1" ht="12.5" customHeight="1" x14ac:dyDescent="0.35">
      <c r="A49" s="73" t="s">
        <v>367</v>
      </c>
      <c r="B49" s="74" t="s">
        <v>314</v>
      </c>
      <c r="C49" s="74" t="s">
        <v>315</v>
      </c>
      <c r="D49" s="75">
        <v>45168</v>
      </c>
      <c r="E49" s="74" t="s">
        <v>20</v>
      </c>
      <c r="F49" s="76">
        <v>625000</v>
      </c>
      <c r="G49" s="74" t="s">
        <v>84</v>
      </c>
      <c r="H49" s="74"/>
      <c r="I49" s="80">
        <v>45371</v>
      </c>
      <c r="J49" s="16">
        <v>3200000</v>
      </c>
    </row>
    <row r="50" spans="1:10" s="1" customFormat="1" ht="12.5" customHeight="1" x14ac:dyDescent="0.35">
      <c r="A50" s="73" t="s">
        <v>368</v>
      </c>
      <c r="B50" s="74" t="s">
        <v>314</v>
      </c>
      <c r="C50" s="74" t="s">
        <v>315</v>
      </c>
      <c r="D50" s="75">
        <v>45168</v>
      </c>
      <c r="E50" s="74" t="s">
        <v>20</v>
      </c>
      <c r="F50" s="76">
        <v>250000</v>
      </c>
      <c r="G50" s="74" t="s">
        <v>84</v>
      </c>
      <c r="H50" s="74"/>
      <c r="I50" s="32">
        <v>45391</v>
      </c>
      <c r="J50" s="16">
        <v>1600000</v>
      </c>
    </row>
    <row r="51" spans="1:10" s="1" customFormat="1" ht="12.5" customHeight="1" x14ac:dyDescent="0.35">
      <c r="A51" s="73" t="s">
        <v>369</v>
      </c>
      <c r="B51" s="74" t="s">
        <v>314</v>
      </c>
      <c r="C51" s="74" t="s">
        <v>315</v>
      </c>
      <c r="D51" s="24">
        <v>45175</v>
      </c>
      <c r="E51" s="74" t="s">
        <v>20</v>
      </c>
      <c r="F51" s="25">
        <v>300000</v>
      </c>
      <c r="G51" s="74" t="s">
        <v>84</v>
      </c>
      <c r="H51" s="74"/>
      <c r="I51" s="80">
        <v>45440</v>
      </c>
      <c r="J51" s="16">
        <v>1400000</v>
      </c>
    </row>
    <row r="52" spans="1:10" s="1" customFormat="1" ht="12.5" customHeight="1" x14ac:dyDescent="0.35">
      <c r="A52" s="73" t="s">
        <v>370</v>
      </c>
      <c r="B52" s="74" t="s">
        <v>314</v>
      </c>
      <c r="C52" s="74" t="s">
        <v>315</v>
      </c>
      <c r="D52" s="24">
        <v>45196</v>
      </c>
      <c r="E52" s="74" t="s">
        <v>20</v>
      </c>
      <c r="F52" s="26">
        <v>945000</v>
      </c>
      <c r="G52" s="74" t="s">
        <v>84</v>
      </c>
      <c r="H52" s="74"/>
      <c r="I52" s="32">
        <v>45453</v>
      </c>
      <c r="J52" s="16">
        <v>3200000</v>
      </c>
    </row>
    <row r="53" spans="1:10" s="1" customFormat="1" ht="12.5" customHeight="1" x14ac:dyDescent="0.35">
      <c r="A53" s="73" t="s">
        <v>371</v>
      </c>
      <c r="B53" s="74" t="s">
        <v>314</v>
      </c>
      <c r="C53" s="74" t="s">
        <v>315</v>
      </c>
      <c r="D53" s="24">
        <v>45209</v>
      </c>
      <c r="E53" s="74" t="s">
        <v>20</v>
      </c>
      <c r="F53" s="27">
        <v>5000000</v>
      </c>
      <c r="G53" s="74" t="s">
        <v>84</v>
      </c>
      <c r="H53" s="74"/>
      <c r="I53" s="80">
        <v>45475</v>
      </c>
      <c r="J53" s="16">
        <v>600000</v>
      </c>
    </row>
    <row r="54" spans="1:10" s="1" customFormat="1" ht="12.5" customHeight="1" x14ac:dyDescent="0.35">
      <c r="A54" s="73" t="s">
        <v>372</v>
      </c>
      <c r="B54" s="74" t="s">
        <v>314</v>
      </c>
      <c r="C54" s="74" t="s">
        <v>315</v>
      </c>
      <c r="D54" s="24">
        <v>45226</v>
      </c>
      <c r="E54" s="74" t="s">
        <v>20</v>
      </c>
      <c r="F54" s="28">
        <v>950000</v>
      </c>
      <c r="G54" s="74" t="s">
        <v>84</v>
      </c>
      <c r="H54" s="74"/>
      <c r="I54" s="80"/>
      <c r="J54" s="16"/>
    </row>
    <row r="55" spans="1:10" s="1" customFormat="1" ht="12.5" customHeight="1" x14ac:dyDescent="0.35">
      <c r="A55" s="73" t="s">
        <v>373</v>
      </c>
      <c r="B55" s="74" t="s">
        <v>314</v>
      </c>
      <c r="C55" s="74" t="s">
        <v>315</v>
      </c>
      <c r="D55" s="24">
        <v>45259</v>
      </c>
      <c r="E55" s="74" t="s">
        <v>20</v>
      </c>
      <c r="F55" s="28">
        <v>950000</v>
      </c>
      <c r="G55" s="74" t="s">
        <v>84</v>
      </c>
      <c r="H55" s="74"/>
      <c r="I55" s="80"/>
      <c r="J55" s="16"/>
    </row>
    <row r="56" spans="1:10" s="1" customFormat="1" ht="12.5" customHeight="1" x14ac:dyDescent="0.35">
      <c r="A56" s="73" t="s">
        <v>374</v>
      </c>
      <c r="B56" s="74" t="s">
        <v>314</v>
      </c>
      <c r="C56" s="74" t="s">
        <v>315</v>
      </c>
      <c r="D56" s="24">
        <v>45320</v>
      </c>
      <c r="E56" s="74" t="s">
        <v>20</v>
      </c>
      <c r="F56" s="28">
        <v>950000</v>
      </c>
      <c r="G56" s="74" t="s">
        <v>84</v>
      </c>
      <c r="H56" s="74"/>
      <c r="I56" s="67" t="s">
        <v>360</v>
      </c>
      <c r="J56" s="23">
        <f>SUM(J37:J55)</f>
        <v>26765000</v>
      </c>
    </row>
    <row r="57" spans="1:10" s="1" customFormat="1" ht="12.5" customHeight="1" x14ac:dyDescent="0.35">
      <c r="A57" s="73" t="s">
        <v>375</v>
      </c>
      <c r="B57" s="74" t="s">
        <v>314</v>
      </c>
      <c r="C57" s="74" t="s">
        <v>315</v>
      </c>
      <c r="D57" s="24">
        <v>45350</v>
      </c>
      <c r="E57" s="74" t="s">
        <v>20</v>
      </c>
      <c r="F57" s="28">
        <v>500000</v>
      </c>
      <c r="G57" s="74" t="s">
        <v>84</v>
      </c>
      <c r="H57" s="74"/>
    </row>
    <row r="58" spans="1:10" s="1" customFormat="1" ht="12.5" customHeight="1" x14ac:dyDescent="0.35">
      <c r="A58" s="73" t="s">
        <v>376</v>
      </c>
      <c r="B58" s="74" t="s">
        <v>314</v>
      </c>
      <c r="C58" s="74" t="s">
        <v>315</v>
      </c>
      <c r="D58" s="24">
        <v>45379</v>
      </c>
      <c r="E58" s="74" t="s">
        <v>20</v>
      </c>
      <c r="F58" s="28">
        <v>1000000</v>
      </c>
      <c r="G58" s="74" t="s">
        <v>84</v>
      </c>
      <c r="H58" s="74"/>
    </row>
    <row r="59" spans="1:10" s="1" customFormat="1" ht="12.5" customHeight="1" x14ac:dyDescent="0.35">
      <c r="A59" s="73" t="s">
        <v>416</v>
      </c>
      <c r="B59" s="74" t="s">
        <v>314</v>
      </c>
      <c r="C59" s="74" t="s">
        <v>315</v>
      </c>
      <c r="D59" s="24">
        <v>45446</v>
      </c>
      <c r="E59" s="74" t="s">
        <v>20</v>
      </c>
      <c r="F59" s="28">
        <v>10000000</v>
      </c>
      <c r="G59" s="74" t="s">
        <v>84</v>
      </c>
      <c r="H59" s="74"/>
    </row>
    <row r="60" spans="1:10" s="1" customFormat="1" ht="12.5" customHeight="1" x14ac:dyDescent="0.35">
      <c r="A60" s="73" t="s">
        <v>417</v>
      </c>
      <c r="B60" s="74" t="s">
        <v>314</v>
      </c>
      <c r="C60" s="74" t="s">
        <v>315</v>
      </c>
      <c r="D60" s="24">
        <v>45532</v>
      </c>
      <c r="E60" s="74" t="s">
        <v>20</v>
      </c>
      <c r="F60" s="28">
        <v>600000</v>
      </c>
      <c r="G60" s="74" t="s">
        <v>84</v>
      </c>
      <c r="H60" s="74"/>
    </row>
    <row r="61" spans="1:10" s="1" customFormat="1" ht="12.5" customHeight="1" x14ac:dyDescent="0.35">
      <c r="A61" s="73"/>
      <c r="B61" s="74"/>
      <c r="C61" s="74"/>
      <c r="D61" s="24"/>
      <c r="E61" s="74"/>
      <c r="F61" s="28"/>
      <c r="G61" s="74"/>
      <c r="H61" s="74"/>
    </row>
    <row r="62" spans="1:10" s="1" customFormat="1" ht="16.5" customHeight="1" x14ac:dyDescent="0.35">
      <c r="A62" s="73"/>
      <c r="B62" s="77" t="s">
        <v>319</v>
      </c>
      <c r="C62" s="74"/>
      <c r="D62" s="75"/>
      <c r="E62" s="74"/>
      <c r="F62" s="78">
        <f>SUM(F37:F60)</f>
        <v>77998000</v>
      </c>
      <c r="G62" s="74"/>
      <c r="H62" s="74"/>
    </row>
    <row r="63" spans="1:10" x14ac:dyDescent="0.35">
      <c r="A63" s="81"/>
      <c r="B63" s="83"/>
      <c r="C63" s="83"/>
      <c r="D63" s="84"/>
      <c r="E63" s="83"/>
      <c r="F63" s="86"/>
      <c r="G63" s="83"/>
      <c r="H63" s="83"/>
      <c r="I63" s="1"/>
      <c r="J63" s="1"/>
    </row>
    <row r="64" spans="1:10" ht="20" x14ac:dyDescent="0.35">
      <c r="A64" s="73" t="s">
        <v>192</v>
      </c>
      <c r="B64" s="74" t="s">
        <v>377</v>
      </c>
      <c r="C64" s="74" t="s">
        <v>315</v>
      </c>
      <c r="D64" s="87">
        <v>45215</v>
      </c>
      <c r="E64" s="74" t="s">
        <v>20</v>
      </c>
      <c r="F64" s="74">
        <v>5000000</v>
      </c>
      <c r="G64" s="74" t="s">
        <v>84</v>
      </c>
      <c r="H64" s="74"/>
      <c r="I64" s="65" t="s">
        <v>358</v>
      </c>
      <c r="J64" s="19" t="s">
        <v>359</v>
      </c>
    </row>
    <row r="65" spans="1:12" x14ac:dyDescent="0.35">
      <c r="A65" s="73" t="s">
        <v>193</v>
      </c>
      <c r="B65" s="74" t="s">
        <v>377</v>
      </c>
      <c r="C65" s="74" t="s">
        <v>315</v>
      </c>
      <c r="D65" s="87">
        <v>45187</v>
      </c>
      <c r="E65" s="74" t="s">
        <v>20</v>
      </c>
      <c r="F65" s="74">
        <v>250000</v>
      </c>
      <c r="G65" s="74" t="s">
        <v>84</v>
      </c>
      <c r="H65" s="74"/>
      <c r="I65" s="79">
        <v>45302</v>
      </c>
      <c r="J65" s="28">
        <v>300000</v>
      </c>
    </row>
    <row r="66" spans="1:12" x14ac:dyDescent="0.35">
      <c r="A66" s="73" t="s">
        <v>194</v>
      </c>
      <c r="B66" s="74" t="s">
        <v>377</v>
      </c>
      <c r="C66" s="74" t="s">
        <v>315</v>
      </c>
      <c r="D66" s="87">
        <v>45197</v>
      </c>
      <c r="E66" s="74" t="s">
        <v>20</v>
      </c>
      <c r="F66" s="74">
        <v>50000</v>
      </c>
      <c r="G66" s="74" t="s">
        <v>84</v>
      </c>
      <c r="H66" s="74"/>
      <c r="I66" s="79">
        <v>45327</v>
      </c>
      <c r="J66" s="28">
        <v>125000</v>
      </c>
    </row>
    <row r="67" spans="1:12" x14ac:dyDescent="0.35">
      <c r="A67" s="73" t="s">
        <v>195</v>
      </c>
      <c r="B67" s="74" t="s">
        <v>377</v>
      </c>
      <c r="C67" s="74" t="s">
        <v>315</v>
      </c>
      <c r="D67" s="87">
        <v>45232</v>
      </c>
      <c r="E67" s="74" t="s">
        <v>20</v>
      </c>
      <c r="F67" s="74">
        <v>2000000</v>
      </c>
      <c r="G67" s="74" t="s">
        <v>84</v>
      </c>
      <c r="H67" s="74"/>
      <c r="I67" s="80"/>
      <c r="J67" s="16"/>
    </row>
    <row r="68" spans="1:12" x14ac:dyDescent="0.35">
      <c r="A68" s="73" t="s">
        <v>196</v>
      </c>
      <c r="B68" s="74" t="s">
        <v>377</v>
      </c>
      <c r="C68" s="74" t="s">
        <v>315</v>
      </c>
      <c r="D68" s="87">
        <v>45250</v>
      </c>
      <c r="E68" s="74" t="s">
        <v>20</v>
      </c>
      <c r="F68" s="74">
        <v>10000000</v>
      </c>
      <c r="G68" s="74" t="s">
        <v>84</v>
      </c>
      <c r="H68" s="74"/>
      <c r="I68" s="80"/>
      <c r="J68" s="16"/>
    </row>
    <row r="69" spans="1:12" x14ac:dyDescent="0.35">
      <c r="A69" s="73" t="s">
        <v>197</v>
      </c>
      <c r="B69" s="74" t="s">
        <v>377</v>
      </c>
      <c r="C69" s="74" t="s">
        <v>315</v>
      </c>
      <c r="D69" s="87">
        <v>45260</v>
      </c>
      <c r="E69" s="74" t="s">
        <v>20</v>
      </c>
      <c r="F69" s="74">
        <v>10000000</v>
      </c>
      <c r="G69" s="74" t="s">
        <v>84</v>
      </c>
      <c r="H69" s="74"/>
      <c r="I69" s="80"/>
      <c r="J69" s="31"/>
    </row>
    <row r="70" spans="1:12" x14ac:dyDescent="0.35">
      <c r="A70" s="73" t="s">
        <v>198</v>
      </c>
      <c r="B70" s="74" t="s">
        <v>377</v>
      </c>
      <c r="C70" s="74" t="s">
        <v>315</v>
      </c>
      <c r="D70" s="87">
        <v>45264</v>
      </c>
      <c r="E70" s="74" t="s">
        <v>20</v>
      </c>
      <c r="F70" s="74">
        <v>10000000</v>
      </c>
      <c r="G70" s="74" t="s">
        <v>84</v>
      </c>
      <c r="H70" s="74"/>
      <c r="I70" s="80"/>
      <c r="J70" s="16"/>
    </row>
    <row r="71" spans="1:12" x14ac:dyDescent="0.35">
      <c r="A71" s="73" t="s">
        <v>199</v>
      </c>
      <c r="B71" s="74" t="s">
        <v>377</v>
      </c>
      <c r="C71" s="74" t="s">
        <v>315</v>
      </c>
      <c r="D71" s="87">
        <v>45320</v>
      </c>
      <c r="E71" s="74" t="s">
        <v>20</v>
      </c>
      <c r="F71" s="74">
        <v>7500000</v>
      </c>
      <c r="G71" s="74" t="s">
        <v>84</v>
      </c>
      <c r="H71" s="74"/>
      <c r="I71" s="80"/>
      <c r="J71" s="16"/>
    </row>
    <row r="72" spans="1:12" x14ac:dyDescent="0.35">
      <c r="A72" s="73" t="s">
        <v>200</v>
      </c>
      <c r="B72" s="74" t="s">
        <v>377</v>
      </c>
      <c r="C72" s="74" t="s">
        <v>315</v>
      </c>
      <c r="D72" s="87">
        <v>45446</v>
      </c>
      <c r="E72" s="74" t="s">
        <v>20</v>
      </c>
      <c r="F72" s="74">
        <v>10000000</v>
      </c>
      <c r="G72" s="74" t="s">
        <v>84</v>
      </c>
      <c r="H72" s="74"/>
      <c r="I72" s="80"/>
      <c r="J72" s="16"/>
    </row>
    <row r="73" spans="1:12" x14ac:dyDescent="0.35">
      <c r="A73" s="73" t="s">
        <v>318</v>
      </c>
      <c r="B73" s="74" t="s">
        <v>377</v>
      </c>
      <c r="C73" s="74" t="s">
        <v>315</v>
      </c>
      <c r="D73" s="87">
        <v>45504</v>
      </c>
      <c r="E73" s="74" t="s">
        <v>20</v>
      </c>
      <c r="F73" s="74">
        <v>1102000</v>
      </c>
      <c r="G73" s="74" t="s">
        <v>84</v>
      </c>
      <c r="H73" s="74"/>
      <c r="I73" s="80"/>
      <c r="J73" s="16"/>
    </row>
    <row r="74" spans="1:12" x14ac:dyDescent="0.35">
      <c r="A74" s="73" t="s">
        <v>324</v>
      </c>
      <c r="B74" s="74" t="s">
        <v>377</v>
      </c>
      <c r="C74" s="74" t="s">
        <v>315</v>
      </c>
      <c r="D74" s="87">
        <v>45532</v>
      </c>
      <c r="E74" s="74" t="s">
        <v>20</v>
      </c>
      <c r="F74" s="74">
        <v>20000000</v>
      </c>
      <c r="G74" s="74" t="s">
        <v>84</v>
      </c>
      <c r="H74" s="74"/>
      <c r="I74" s="80"/>
      <c r="J74" s="16"/>
    </row>
    <row r="75" spans="1:12" x14ac:dyDescent="0.35">
      <c r="A75" s="3"/>
      <c r="B75" s="68"/>
      <c r="C75" s="1"/>
      <c r="D75" s="32"/>
      <c r="E75" s="1"/>
      <c r="F75" s="68"/>
      <c r="G75" s="1"/>
      <c r="H75" s="1"/>
      <c r="I75" s="30"/>
      <c r="J75" s="16"/>
    </row>
    <row r="76" spans="1:12" x14ac:dyDescent="0.35">
      <c r="B76" s="21" t="s">
        <v>378</v>
      </c>
      <c r="F76" s="20">
        <f>SUM(F64:F75)</f>
        <v>75902000</v>
      </c>
      <c r="I76" s="21" t="s">
        <v>360</v>
      </c>
      <c r="J76" s="23">
        <f>SUM(J65:J71)</f>
        <v>425000</v>
      </c>
      <c r="L76">
        <v>425000</v>
      </c>
    </row>
    <row r="79" spans="1:12" s="43" customFormat="1" ht="18" customHeight="1" x14ac:dyDescent="0.35">
      <c r="A79" s="60">
        <v>5</v>
      </c>
      <c r="B79" s="61" t="s">
        <v>431</v>
      </c>
      <c r="C79" s="57" t="s">
        <v>432</v>
      </c>
      <c r="D79" s="58">
        <v>45429</v>
      </c>
      <c r="E79" s="57" t="s">
        <v>20</v>
      </c>
      <c r="F79" s="59">
        <v>19997568</v>
      </c>
      <c r="G79" s="57"/>
      <c r="H79" s="57" t="s">
        <v>479</v>
      </c>
      <c r="I79" s="57"/>
    </row>
    <row r="81" spans="1:9" s="43" customFormat="1" ht="18" customHeight="1" x14ac:dyDescent="0.35">
      <c r="A81" s="60">
        <v>6</v>
      </c>
      <c r="B81" s="61" t="s">
        <v>343</v>
      </c>
      <c r="C81" s="57" t="s">
        <v>379</v>
      </c>
      <c r="D81" s="58">
        <v>45337</v>
      </c>
      <c r="E81" s="57" t="s">
        <v>20</v>
      </c>
      <c r="F81" s="59">
        <v>5000000</v>
      </c>
      <c r="G81" s="57"/>
      <c r="H81" s="57" t="s">
        <v>344</v>
      </c>
      <c r="I81" s="57"/>
    </row>
    <row r="83" spans="1:9" s="43" customFormat="1" ht="18" customHeight="1" x14ac:dyDescent="0.35">
      <c r="A83" s="60" t="s">
        <v>203</v>
      </c>
      <c r="B83" s="61" t="s">
        <v>658</v>
      </c>
      <c r="C83" s="57" t="s">
        <v>379</v>
      </c>
      <c r="D83" s="58">
        <v>45786</v>
      </c>
      <c r="E83" s="57" t="s">
        <v>20</v>
      </c>
      <c r="F83" s="59">
        <v>5000000</v>
      </c>
      <c r="G83" s="57"/>
      <c r="H83" s="57"/>
      <c r="I83" s="57"/>
    </row>
    <row r="84" spans="1:9" s="43" customFormat="1" ht="18" customHeight="1" x14ac:dyDescent="0.35">
      <c r="A84" s="60" t="s">
        <v>204</v>
      </c>
      <c r="B84" s="61" t="s">
        <v>658</v>
      </c>
      <c r="C84" s="57" t="s">
        <v>379</v>
      </c>
      <c r="D84" s="58">
        <v>45791</v>
      </c>
      <c r="E84" s="57" t="s">
        <v>20</v>
      </c>
      <c r="F84" s="59">
        <v>5000000</v>
      </c>
      <c r="G84" s="57"/>
      <c r="H84" s="57"/>
      <c r="I84" s="57"/>
    </row>
    <row r="85" spans="1:9" s="43" customFormat="1" ht="18" customHeight="1" x14ac:dyDescent="0.35">
      <c r="A85" s="60" t="s">
        <v>291</v>
      </c>
      <c r="B85" s="61" t="s">
        <v>658</v>
      </c>
      <c r="C85" s="57" t="s">
        <v>379</v>
      </c>
      <c r="D85" s="58">
        <v>45812</v>
      </c>
      <c r="E85" s="57" t="s">
        <v>20</v>
      </c>
      <c r="F85" s="59">
        <v>3000000</v>
      </c>
      <c r="G85" s="57"/>
      <c r="H85" s="57"/>
      <c r="I85" s="57"/>
    </row>
    <row r="86" spans="1:9" s="43" customFormat="1" ht="18" customHeight="1" x14ac:dyDescent="0.35">
      <c r="A86" s="60" t="s">
        <v>292</v>
      </c>
      <c r="B86" s="61" t="s">
        <v>658</v>
      </c>
      <c r="C86" s="57" t="s">
        <v>379</v>
      </c>
      <c r="D86" s="58">
        <v>45862</v>
      </c>
      <c r="E86" s="57" t="s">
        <v>20</v>
      </c>
      <c r="F86" s="59">
        <v>4000000</v>
      </c>
      <c r="G86" s="57"/>
      <c r="H86" s="57"/>
      <c r="I86" s="57"/>
    </row>
    <row r="87" spans="1:9" ht="29" x14ac:dyDescent="0.35">
      <c r="B87" s="129" t="s">
        <v>663</v>
      </c>
      <c r="C87" s="126"/>
      <c r="D87" s="127"/>
      <c r="E87" s="128"/>
      <c r="F87" s="130">
        <f>SUM(F83:F86)</f>
        <v>17000000</v>
      </c>
    </row>
    <row r="102" spans="2:7" x14ac:dyDescent="0.35">
      <c r="B102" t="s">
        <v>337</v>
      </c>
      <c r="G102" t="s">
        <v>336</v>
      </c>
    </row>
    <row r="103" spans="2:7" x14ac:dyDescent="0.35">
      <c r="D103" s="22">
        <v>45295</v>
      </c>
      <c r="E103" t="s">
        <v>20</v>
      </c>
      <c r="G103" t="s">
        <v>338</v>
      </c>
    </row>
  </sheetData>
  <sortState xmlns:xlrd2="http://schemas.microsoft.com/office/spreadsheetml/2017/richdata2" ref="A83:F87">
    <sortCondition ref="D83:D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2ADD-839E-4067-AB90-A98D76D03AEA}">
  <dimension ref="A1:I134"/>
  <sheetViews>
    <sheetView zoomScale="90" zoomScaleNormal="90" workbookViewId="0">
      <pane ySplit="1" topLeftCell="A53" activePane="bottomLeft" state="frozen"/>
      <selection activeCell="G24" sqref="G24"/>
      <selection pane="bottomLeft" activeCell="A59" sqref="A59:XFD59"/>
    </sheetView>
  </sheetViews>
  <sheetFormatPr defaultColWidth="9.1796875" defaultRowHeight="20.25" customHeight="1" x14ac:dyDescent="0.35"/>
  <cols>
    <col min="1" max="1" width="7.453125" style="104" bestFit="1" customWidth="1"/>
    <col min="2" max="2" width="51.90625" style="96" customWidth="1"/>
    <col min="3" max="3" width="22.54296875" style="96" bestFit="1" customWidth="1"/>
    <col min="4" max="4" width="13.7265625" style="105" customWidth="1"/>
    <col min="5" max="5" width="21.08984375" style="96" customWidth="1"/>
    <col min="6" max="6" width="14.26953125" style="112" bestFit="1" customWidth="1"/>
    <col min="7" max="7" width="36.26953125" style="96" bestFit="1" customWidth="1"/>
    <col min="8" max="8" width="19.26953125" style="96" bestFit="1" customWidth="1"/>
    <col min="9" max="9" width="21.81640625" style="96" customWidth="1"/>
    <col min="10" max="16384" width="9.1796875" style="96"/>
  </cols>
  <sheetData>
    <row r="1" spans="1:9" s="92" customFormat="1" ht="33" customHeight="1" x14ac:dyDescent="0.35">
      <c r="A1" s="88" t="s">
        <v>0</v>
      </c>
      <c r="B1" s="89" t="s">
        <v>1</v>
      </c>
      <c r="C1" s="89" t="s">
        <v>2</v>
      </c>
      <c r="D1" s="90" t="s">
        <v>3</v>
      </c>
      <c r="E1" s="89" t="s">
        <v>4</v>
      </c>
      <c r="F1" s="106" t="s">
        <v>5</v>
      </c>
      <c r="G1" s="91" t="s">
        <v>6</v>
      </c>
      <c r="H1" s="91" t="s">
        <v>7</v>
      </c>
      <c r="I1" s="91" t="s">
        <v>31</v>
      </c>
    </row>
    <row r="2" spans="1:9" ht="20.25" customHeight="1" x14ac:dyDescent="0.35">
      <c r="A2" s="93" t="s">
        <v>207</v>
      </c>
      <c r="B2" s="94" t="s">
        <v>168</v>
      </c>
      <c r="C2" s="94" t="s">
        <v>157</v>
      </c>
      <c r="D2" s="95">
        <v>44756</v>
      </c>
      <c r="E2" s="94" t="s">
        <v>150</v>
      </c>
      <c r="F2" s="107">
        <v>15000000</v>
      </c>
      <c r="G2" s="94"/>
      <c r="H2" s="94"/>
      <c r="I2" s="94"/>
    </row>
    <row r="3" spans="1:9" ht="16.5" customHeight="1" x14ac:dyDescent="0.35">
      <c r="A3" s="93" t="s">
        <v>208</v>
      </c>
      <c r="B3" s="97" t="s">
        <v>107</v>
      </c>
      <c r="C3" s="94" t="s">
        <v>157</v>
      </c>
      <c r="D3" s="95">
        <v>44754</v>
      </c>
      <c r="E3" s="94" t="s">
        <v>20</v>
      </c>
      <c r="F3" s="107">
        <v>15000000</v>
      </c>
      <c r="G3" s="94"/>
      <c r="H3" s="94"/>
      <c r="I3" s="94"/>
    </row>
    <row r="4" spans="1:9" ht="16.5" customHeight="1" x14ac:dyDescent="0.35">
      <c r="A4" s="93" t="s">
        <v>407</v>
      </c>
      <c r="B4" s="97" t="s">
        <v>107</v>
      </c>
      <c r="C4" s="94" t="s">
        <v>157</v>
      </c>
      <c r="D4" s="95">
        <v>45503</v>
      </c>
      <c r="E4" s="94" t="s">
        <v>150</v>
      </c>
      <c r="F4" s="107">
        <v>180000000</v>
      </c>
      <c r="G4" s="94"/>
      <c r="H4" s="94"/>
      <c r="I4" s="94"/>
    </row>
    <row r="5" spans="1:9" ht="16.5" customHeight="1" x14ac:dyDescent="0.35">
      <c r="A5" s="93"/>
      <c r="B5" s="98" t="s">
        <v>408</v>
      </c>
      <c r="C5" s="94"/>
      <c r="D5" s="95"/>
      <c r="E5" s="94"/>
      <c r="F5" s="108">
        <f>SUM(F2:F4)</f>
        <v>210000000</v>
      </c>
      <c r="G5" s="94"/>
      <c r="H5" s="94"/>
      <c r="I5" s="94"/>
    </row>
    <row r="6" spans="1:9" ht="16.5" customHeight="1" x14ac:dyDescent="0.35">
      <c r="A6" s="93" t="s">
        <v>221</v>
      </c>
      <c r="B6" s="97" t="s">
        <v>158</v>
      </c>
      <c r="C6" s="97" t="s">
        <v>161</v>
      </c>
      <c r="D6" s="95">
        <v>44537</v>
      </c>
      <c r="E6" s="94" t="s">
        <v>150</v>
      </c>
      <c r="F6" s="107">
        <v>6400000</v>
      </c>
      <c r="G6" s="94" t="s">
        <v>183</v>
      </c>
      <c r="H6" s="94"/>
      <c r="I6" s="94"/>
    </row>
    <row r="7" spans="1:9" ht="16.5" customHeight="1" x14ac:dyDescent="0.35">
      <c r="A7" s="93" t="s">
        <v>222</v>
      </c>
      <c r="B7" s="97" t="s">
        <v>158</v>
      </c>
      <c r="C7" s="97" t="s">
        <v>161</v>
      </c>
      <c r="D7" s="95">
        <v>44572</v>
      </c>
      <c r="E7" s="94" t="s">
        <v>150</v>
      </c>
      <c r="F7" s="107">
        <v>4600000</v>
      </c>
      <c r="G7" s="94" t="s">
        <v>159</v>
      </c>
      <c r="H7" s="94"/>
      <c r="I7" s="94"/>
    </row>
    <row r="8" spans="1:9" ht="16.5" customHeight="1" x14ac:dyDescent="0.35">
      <c r="A8" s="93" t="s">
        <v>223</v>
      </c>
      <c r="B8" s="97" t="s">
        <v>158</v>
      </c>
      <c r="C8" s="97" t="s">
        <v>161</v>
      </c>
      <c r="D8" s="95">
        <v>44799</v>
      </c>
      <c r="E8" s="94" t="s">
        <v>150</v>
      </c>
      <c r="F8" s="107">
        <v>5000000</v>
      </c>
      <c r="G8" s="94" t="s">
        <v>160</v>
      </c>
      <c r="H8" s="94"/>
      <c r="I8" s="94"/>
    </row>
    <row r="9" spans="1:9" ht="16.5" customHeight="1" x14ac:dyDescent="0.35">
      <c r="A9" s="93"/>
      <c r="B9" s="98" t="s">
        <v>162</v>
      </c>
      <c r="C9" s="97"/>
      <c r="D9" s="95"/>
      <c r="E9" s="94"/>
      <c r="F9" s="108">
        <f>SUM(F6:F8)</f>
        <v>16000000</v>
      </c>
      <c r="G9" s="94"/>
      <c r="H9" s="94"/>
      <c r="I9" s="94"/>
    </row>
    <row r="10" spans="1:9" ht="16.5" customHeight="1" x14ac:dyDescent="0.35">
      <c r="A10" s="93" t="s">
        <v>227</v>
      </c>
      <c r="B10" s="97" t="s">
        <v>163</v>
      </c>
      <c r="C10" s="97" t="s">
        <v>182</v>
      </c>
      <c r="D10" s="95">
        <v>44466</v>
      </c>
      <c r="E10" s="94" t="s">
        <v>150</v>
      </c>
      <c r="F10" s="107">
        <v>1812500</v>
      </c>
      <c r="G10" s="94" t="s">
        <v>184</v>
      </c>
      <c r="H10" s="94"/>
      <c r="I10" s="94"/>
    </row>
    <row r="11" spans="1:9" ht="16.5" customHeight="1" x14ac:dyDescent="0.35">
      <c r="A11" s="93" t="s">
        <v>228</v>
      </c>
      <c r="B11" s="97" t="s">
        <v>163</v>
      </c>
      <c r="C11" s="97" t="s">
        <v>182</v>
      </c>
      <c r="D11" s="95">
        <v>44568</v>
      </c>
      <c r="E11" s="94" t="s">
        <v>150</v>
      </c>
      <c r="F11" s="107">
        <v>3187500</v>
      </c>
      <c r="G11" s="94" t="s">
        <v>159</v>
      </c>
      <c r="H11" s="94"/>
      <c r="I11" s="94"/>
    </row>
    <row r="12" spans="1:9" ht="16.5" customHeight="1" x14ac:dyDescent="0.35">
      <c r="A12" s="93" t="s">
        <v>265</v>
      </c>
      <c r="B12" s="97" t="s">
        <v>163</v>
      </c>
      <c r="C12" s="97" t="s">
        <v>182</v>
      </c>
      <c r="D12" s="95">
        <v>45008</v>
      </c>
      <c r="E12" s="94" t="s">
        <v>150</v>
      </c>
      <c r="F12" s="107">
        <v>5000000</v>
      </c>
      <c r="G12" s="94"/>
      <c r="H12" s="94"/>
      <c r="I12" s="94"/>
    </row>
    <row r="13" spans="1:9" ht="16.5" customHeight="1" x14ac:dyDescent="0.35">
      <c r="A13" s="93" t="s">
        <v>230</v>
      </c>
      <c r="B13" s="97" t="s">
        <v>163</v>
      </c>
      <c r="C13" s="97" t="s">
        <v>182</v>
      </c>
      <c r="D13" s="95">
        <v>45211</v>
      </c>
      <c r="E13" s="94" t="s">
        <v>150</v>
      </c>
      <c r="F13" s="107">
        <v>3000000</v>
      </c>
      <c r="G13" s="94"/>
      <c r="H13" s="94"/>
      <c r="I13" s="94"/>
    </row>
    <row r="14" spans="1:9" ht="16.5" customHeight="1" x14ac:dyDescent="0.35">
      <c r="A14" s="93" t="s">
        <v>231</v>
      </c>
      <c r="B14" s="97" t="s">
        <v>163</v>
      </c>
      <c r="C14" s="97" t="s">
        <v>182</v>
      </c>
      <c r="D14" s="95">
        <v>45468</v>
      </c>
      <c r="E14" s="94" t="s">
        <v>150</v>
      </c>
      <c r="F14" s="107">
        <v>2000000</v>
      </c>
      <c r="G14" s="94"/>
      <c r="H14" s="94"/>
      <c r="I14" s="94"/>
    </row>
    <row r="15" spans="1:9" ht="16.5" customHeight="1" x14ac:dyDescent="0.35">
      <c r="A15" s="93" t="s">
        <v>254</v>
      </c>
      <c r="B15" s="97" t="s">
        <v>163</v>
      </c>
      <c r="C15" s="97" t="s">
        <v>182</v>
      </c>
      <c r="D15" s="95">
        <v>45811</v>
      </c>
      <c r="E15" s="94" t="s">
        <v>150</v>
      </c>
      <c r="F15" s="107">
        <v>1500000</v>
      </c>
      <c r="G15" s="94"/>
      <c r="H15" s="94"/>
      <c r="I15" s="94"/>
    </row>
    <row r="16" spans="1:9" ht="16.5" customHeight="1" x14ac:dyDescent="0.35">
      <c r="A16" s="93" t="s">
        <v>255</v>
      </c>
      <c r="B16" s="97" t="s">
        <v>163</v>
      </c>
      <c r="C16" s="97" t="s">
        <v>182</v>
      </c>
      <c r="D16" s="95">
        <v>46035</v>
      </c>
      <c r="E16" s="94" t="s">
        <v>150</v>
      </c>
      <c r="F16" s="107">
        <v>4000000</v>
      </c>
      <c r="G16" s="94"/>
      <c r="H16" s="94"/>
      <c r="I16" s="94"/>
    </row>
    <row r="17" spans="1:9" ht="16.5" customHeight="1" x14ac:dyDescent="0.35">
      <c r="A17" s="93"/>
      <c r="B17" s="97"/>
      <c r="C17" s="97"/>
      <c r="D17" s="95"/>
      <c r="E17" s="94"/>
      <c r="F17" s="107"/>
      <c r="G17" s="94"/>
      <c r="H17" s="94"/>
      <c r="I17" s="94"/>
    </row>
    <row r="18" spans="1:9" ht="16.5" customHeight="1" x14ac:dyDescent="0.35">
      <c r="A18" s="93"/>
      <c r="B18" s="98" t="s">
        <v>164</v>
      </c>
      <c r="C18" s="97"/>
      <c r="D18" s="95"/>
      <c r="E18" s="94"/>
      <c r="F18" s="109">
        <f>SUM(F10:F16)</f>
        <v>20500000</v>
      </c>
      <c r="G18" s="94"/>
      <c r="H18" s="94"/>
      <c r="I18" s="94"/>
    </row>
    <row r="19" spans="1:9" ht="16.5" customHeight="1" x14ac:dyDescent="0.35">
      <c r="A19" s="93" t="s">
        <v>192</v>
      </c>
      <c r="B19" s="97" t="s">
        <v>149</v>
      </c>
      <c r="C19" s="97" t="s">
        <v>152</v>
      </c>
      <c r="D19" s="95">
        <v>44139</v>
      </c>
      <c r="E19" s="94" t="s">
        <v>150</v>
      </c>
      <c r="F19" s="107">
        <v>1000000</v>
      </c>
      <c r="G19" s="94" t="s">
        <v>153</v>
      </c>
      <c r="H19" s="94"/>
      <c r="I19" s="94"/>
    </row>
    <row r="20" spans="1:9" ht="16.5" customHeight="1" x14ac:dyDescent="0.35">
      <c r="A20" s="93" t="s">
        <v>193</v>
      </c>
      <c r="B20" s="97" t="s">
        <v>149</v>
      </c>
      <c r="C20" s="97" t="s">
        <v>152</v>
      </c>
      <c r="D20" s="95">
        <v>44293</v>
      </c>
      <c r="E20" s="94" t="s">
        <v>150</v>
      </c>
      <c r="F20" s="107">
        <v>1000000</v>
      </c>
      <c r="G20" s="94" t="s">
        <v>159</v>
      </c>
      <c r="H20" s="94"/>
      <c r="I20" s="94"/>
    </row>
    <row r="21" spans="1:9" ht="16.5" customHeight="1" x14ac:dyDescent="0.35">
      <c r="A21" s="93" t="s">
        <v>194</v>
      </c>
      <c r="B21" s="97" t="s">
        <v>149</v>
      </c>
      <c r="C21" s="97" t="s">
        <v>152</v>
      </c>
      <c r="D21" s="95">
        <v>44610</v>
      </c>
      <c r="E21" s="94" t="s">
        <v>150</v>
      </c>
      <c r="F21" s="107">
        <v>1500000</v>
      </c>
      <c r="G21" s="94" t="s">
        <v>160</v>
      </c>
      <c r="H21" s="94"/>
      <c r="I21" s="94"/>
    </row>
    <row r="22" spans="1:9" ht="16.5" customHeight="1" x14ac:dyDescent="0.35">
      <c r="A22" s="93" t="s">
        <v>195</v>
      </c>
      <c r="B22" s="97" t="s">
        <v>149</v>
      </c>
      <c r="C22" s="97" t="s">
        <v>152</v>
      </c>
      <c r="D22" s="95">
        <v>44890</v>
      </c>
      <c r="E22" s="94" t="s">
        <v>150</v>
      </c>
      <c r="F22" s="107">
        <v>500000</v>
      </c>
      <c r="G22" s="94" t="s">
        <v>181</v>
      </c>
      <c r="H22" s="94"/>
      <c r="I22" s="94"/>
    </row>
    <row r="23" spans="1:9" ht="16.5" customHeight="1" x14ac:dyDescent="0.35">
      <c r="A23" s="93" t="s">
        <v>196</v>
      </c>
      <c r="B23" s="97" t="s">
        <v>149</v>
      </c>
      <c r="C23" s="97" t="s">
        <v>152</v>
      </c>
      <c r="D23" s="95">
        <v>45264</v>
      </c>
      <c r="E23" s="94" t="s">
        <v>150</v>
      </c>
      <c r="F23" s="107">
        <v>500000</v>
      </c>
      <c r="G23" s="94" t="s">
        <v>272</v>
      </c>
      <c r="H23" s="94"/>
      <c r="I23" s="94"/>
    </row>
    <row r="24" spans="1:9" ht="16.5" customHeight="1" x14ac:dyDescent="0.35">
      <c r="A24" s="93" t="s">
        <v>197</v>
      </c>
      <c r="B24" s="97" t="s">
        <v>149</v>
      </c>
      <c r="C24" s="97" t="s">
        <v>152</v>
      </c>
      <c r="D24" s="95">
        <v>45211</v>
      </c>
      <c r="E24" s="94" t="s">
        <v>150</v>
      </c>
      <c r="F24" s="107">
        <v>750000</v>
      </c>
      <c r="G24" s="94" t="s">
        <v>353</v>
      </c>
      <c r="H24" s="94"/>
      <c r="I24" s="94"/>
    </row>
    <row r="25" spans="1:9" ht="16.5" customHeight="1" x14ac:dyDescent="0.35">
      <c r="A25" s="93" t="s">
        <v>198</v>
      </c>
      <c r="B25" s="97" t="s">
        <v>149</v>
      </c>
      <c r="C25" s="97" t="s">
        <v>152</v>
      </c>
      <c r="D25" s="95">
        <v>45363</v>
      </c>
      <c r="E25" s="94" t="s">
        <v>150</v>
      </c>
      <c r="F25" s="107">
        <v>650000</v>
      </c>
      <c r="G25" s="94" t="s">
        <v>354</v>
      </c>
      <c r="H25" s="94"/>
      <c r="I25" s="94"/>
    </row>
    <row r="26" spans="1:9" ht="16.5" customHeight="1" x14ac:dyDescent="0.35">
      <c r="A26" s="93" t="s">
        <v>199</v>
      </c>
      <c r="B26" s="97" t="s">
        <v>149</v>
      </c>
      <c r="C26" s="97" t="s">
        <v>152</v>
      </c>
      <c r="D26" s="95">
        <v>45525</v>
      </c>
      <c r="E26" s="94" t="s">
        <v>150</v>
      </c>
      <c r="F26" s="107">
        <v>500000</v>
      </c>
      <c r="G26" s="94" t="s">
        <v>433</v>
      </c>
      <c r="H26" s="94"/>
      <c r="I26" s="94"/>
    </row>
    <row r="27" spans="1:9" ht="16.5" customHeight="1" x14ac:dyDescent="0.35">
      <c r="A27" s="93" t="s">
        <v>200</v>
      </c>
      <c r="B27" s="97" t="s">
        <v>149</v>
      </c>
      <c r="C27" s="97" t="s">
        <v>152</v>
      </c>
      <c r="D27" s="95">
        <v>45723</v>
      </c>
      <c r="E27" s="94" t="s">
        <v>150</v>
      </c>
      <c r="F27" s="107">
        <v>600000</v>
      </c>
      <c r="G27" s="94" t="s">
        <v>433</v>
      </c>
      <c r="H27" s="94"/>
      <c r="I27" s="94"/>
    </row>
    <row r="28" spans="1:9" ht="16.5" customHeight="1" x14ac:dyDescent="0.35">
      <c r="A28" s="93" t="s">
        <v>318</v>
      </c>
      <c r="B28" s="97" t="s">
        <v>149</v>
      </c>
      <c r="C28" s="97" t="s">
        <v>152</v>
      </c>
      <c r="D28" s="95">
        <v>45895</v>
      </c>
      <c r="E28" s="94" t="s">
        <v>150</v>
      </c>
      <c r="F28" s="107">
        <v>500000</v>
      </c>
      <c r="G28" s="94" t="s">
        <v>433</v>
      </c>
      <c r="H28" s="94"/>
      <c r="I28" s="94"/>
    </row>
    <row r="29" spans="1:9" ht="16.5" customHeight="1" x14ac:dyDescent="0.35">
      <c r="A29" s="93" t="s">
        <v>324</v>
      </c>
      <c r="B29" s="97" t="s">
        <v>149</v>
      </c>
      <c r="C29" s="97" t="s">
        <v>152</v>
      </c>
      <c r="D29" s="95">
        <v>45918</v>
      </c>
      <c r="E29" s="94" t="s">
        <v>150</v>
      </c>
      <c r="F29" s="107">
        <v>450000</v>
      </c>
      <c r="G29" s="94" t="s">
        <v>433</v>
      </c>
      <c r="H29" s="94"/>
      <c r="I29" s="94"/>
    </row>
    <row r="30" spans="1:9" ht="16.5" customHeight="1" x14ac:dyDescent="0.35">
      <c r="A30" s="93"/>
      <c r="B30" s="98" t="s">
        <v>151</v>
      </c>
      <c r="C30" s="97"/>
      <c r="D30" s="95"/>
      <c r="E30" s="94"/>
      <c r="F30" s="109">
        <f>SUM(F19:F29)</f>
        <v>7950000</v>
      </c>
      <c r="G30" s="94"/>
      <c r="H30" s="94"/>
      <c r="I30" s="94"/>
    </row>
    <row r="31" spans="1:9" ht="16.5" customHeight="1" x14ac:dyDescent="0.35">
      <c r="A31" s="93">
        <v>5</v>
      </c>
      <c r="B31" s="97" t="s">
        <v>94</v>
      </c>
      <c r="C31" s="97"/>
      <c r="D31" s="95">
        <v>44308</v>
      </c>
      <c r="E31" s="94" t="s">
        <v>20</v>
      </c>
      <c r="F31" s="107">
        <v>10000000</v>
      </c>
      <c r="G31" s="94"/>
      <c r="H31" s="94"/>
      <c r="I31" s="94"/>
    </row>
    <row r="32" spans="1:9" ht="16.5" customHeight="1" x14ac:dyDescent="0.35">
      <c r="A32" s="93" t="s">
        <v>232</v>
      </c>
      <c r="B32" s="97" t="s">
        <v>273</v>
      </c>
      <c r="C32" s="97" t="s">
        <v>274</v>
      </c>
      <c r="D32" s="95" t="s">
        <v>275</v>
      </c>
      <c r="E32" s="94" t="s">
        <v>150</v>
      </c>
      <c r="F32" s="107">
        <v>50000000</v>
      </c>
      <c r="G32" s="94"/>
      <c r="H32" s="94"/>
      <c r="I32" s="94"/>
    </row>
    <row r="33" spans="1:9" ht="16.5" customHeight="1" x14ac:dyDescent="0.35">
      <c r="A33" s="93" t="s">
        <v>251</v>
      </c>
      <c r="B33" s="97" t="s">
        <v>273</v>
      </c>
      <c r="C33" s="97" t="s">
        <v>274</v>
      </c>
      <c r="D33" s="95">
        <v>45852</v>
      </c>
      <c r="E33" s="94" t="s">
        <v>150</v>
      </c>
      <c r="F33" s="107">
        <v>30000000</v>
      </c>
      <c r="G33" s="94"/>
      <c r="H33" s="94"/>
      <c r="I33" s="94"/>
    </row>
    <row r="34" spans="1:9" ht="16.5" customHeight="1" x14ac:dyDescent="0.35">
      <c r="A34" s="93" t="s">
        <v>233</v>
      </c>
      <c r="B34" s="97" t="s">
        <v>273</v>
      </c>
      <c r="C34" s="97" t="s">
        <v>274</v>
      </c>
      <c r="D34" s="95">
        <v>45961</v>
      </c>
      <c r="E34" s="94" t="s">
        <v>150</v>
      </c>
      <c r="F34" s="107">
        <v>30000000</v>
      </c>
      <c r="G34" s="94"/>
      <c r="H34" s="94"/>
      <c r="I34" s="94"/>
    </row>
    <row r="35" spans="1:9" ht="16.5" customHeight="1" x14ac:dyDescent="0.35">
      <c r="A35" s="93" t="s">
        <v>234</v>
      </c>
      <c r="B35" s="97" t="s">
        <v>273</v>
      </c>
      <c r="C35" s="97" t="s">
        <v>274</v>
      </c>
      <c r="D35" s="95">
        <v>45989</v>
      </c>
      <c r="E35" s="94" t="s">
        <v>150</v>
      </c>
      <c r="F35" s="107">
        <v>80000000</v>
      </c>
      <c r="G35" s="94"/>
      <c r="H35" s="94"/>
      <c r="I35" s="94"/>
    </row>
    <row r="36" spans="1:9" ht="16.5" customHeight="1" x14ac:dyDescent="0.35">
      <c r="A36" s="93"/>
      <c r="B36" s="97"/>
      <c r="C36" s="97"/>
      <c r="D36" s="95"/>
      <c r="E36" s="94"/>
      <c r="F36" s="107"/>
      <c r="G36" s="94"/>
      <c r="H36" s="94"/>
      <c r="I36" s="94"/>
    </row>
    <row r="37" spans="1:9" ht="16.5" customHeight="1" x14ac:dyDescent="0.35">
      <c r="A37" s="93"/>
      <c r="B37" s="98" t="s">
        <v>151</v>
      </c>
      <c r="C37" s="97"/>
      <c r="D37" s="95"/>
      <c r="E37" s="94"/>
      <c r="F37" s="109">
        <f>SUM(F32:F34)</f>
        <v>110000000</v>
      </c>
      <c r="G37" s="94"/>
      <c r="H37" s="94"/>
      <c r="I37" s="94"/>
    </row>
    <row r="38" spans="1:9" ht="16.5" customHeight="1" x14ac:dyDescent="0.35">
      <c r="A38" s="93"/>
      <c r="B38" s="97"/>
      <c r="C38" s="97"/>
      <c r="D38" s="95"/>
      <c r="E38" s="94"/>
      <c r="F38" s="107"/>
      <c r="G38" s="94"/>
      <c r="H38" s="94"/>
      <c r="I38" s="94"/>
    </row>
    <row r="39" spans="1:9" ht="16.5" customHeight="1" x14ac:dyDescent="0.35">
      <c r="A39" s="93">
        <v>7</v>
      </c>
      <c r="B39" s="97" t="s">
        <v>105</v>
      </c>
      <c r="C39" s="97" t="s">
        <v>140</v>
      </c>
      <c r="D39" s="95">
        <v>44610</v>
      </c>
      <c r="E39" s="94" t="s">
        <v>20</v>
      </c>
      <c r="F39" s="107">
        <v>1010000</v>
      </c>
      <c r="G39" s="94" t="s">
        <v>147</v>
      </c>
      <c r="H39" s="94"/>
      <c r="I39" s="94"/>
    </row>
    <row r="40" spans="1:9" ht="16.5" customHeight="1" x14ac:dyDescent="0.35">
      <c r="A40" s="93">
        <v>8</v>
      </c>
      <c r="B40" s="97" t="s">
        <v>135</v>
      </c>
      <c r="C40" s="97" t="s">
        <v>139</v>
      </c>
      <c r="D40" s="95">
        <v>44690</v>
      </c>
      <c r="E40" s="94" t="s">
        <v>20</v>
      </c>
      <c r="F40" s="107">
        <v>2500000</v>
      </c>
      <c r="G40" s="94" t="s">
        <v>147</v>
      </c>
      <c r="H40" s="94"/>
      <c r="I40" s="94"/>
    </row>
    <row r="41" spans="1:9" ht="16.5" customHeight="1" x14ac:dyDescent="0.35">
      <c r="A41" s="93">
        <v>9</v>
      </c>
      <c r="B41" s="97" t="s">
        <v>341</v>
      </c>
      <c r="C41" s="97"/>
      <c r="D41" s="95">
        <v>45075</v>
      </c>
      <c r="E41" s="94" t="s">
        <v>150</v>
      </c>
      <c r="F41" s="107">
        <v>2000000</v>
      </c>
      <c r="G41" s="94"/>
      <c r="H41" s="94"/>
      <c r="I41" s="94"/>
    </row>
    <row r="42" spans="1:9" ht="16.5" customHeight="1" x14ac:dyDescent="0.35">
      <c r="A42" s="93">
        <v>10</v>
      </c>
      <c r="B42" s="97" t="s">
        <v>342</v>
      </c>
      <c r="C42" s="97"/>
      <c r="D42" s="95">
        <v>45113</v>
      </c>
      <c r="E42" s="94" t="s">
        <v>150</v>
      </c>
      <c r="F42" s="107">
        <v>500000</v>
      </c>
      <c r="G42" s="94"/>
      <c r="H42" s="94"/>
      <c r="I42" s="94"/>
    </row>
    <row r="43" spans="1:9" ht="16.5" customHeight="1" x14ac:dyDescent="0.35">
      <c r="A43" s="93">
        <v>11</v>
      </c>
      <c r="B43" s="97" t="s">
        <v>345</v>
      </c>
      <c r="C43" s="97" t="s">
        <v>410</v>
      </c>
      <c r="D43" s="95">
        <v>45299</v>
      </c>
      <c r="E43" s="94" t="s">
        <v>20</v>
      </c>
      <c r="F43" s="107">
        <v>5000000</v>
      </c>
      <c r="G43" s="94"/>
      <c r="H43" s="94"/>
      <c r="I43" s="94"/>
    </row>
    <row r="44" spans="1:9" ht="16.5" customHeight="1" x14ac:dyDescent="0.35">
      <c r="A44" s="93" t="s">
        <v>267</v>
      </c>
      <c r="B44" s="97" t="s">
        <v>406</v>
      </c>
      <c r="C44" s="97" t="s">
        <v>274</v>
      </c>
      <c r="D44" s="95">
        <v>45443</v>
      </c>
      <c r="E44" s="94" t="s">
        <v>150</v>
      </c>
      <c r="F44" s="107">
        <v>20000000</v>
      </c>
      <c r="G44" s="94"/>
      <c r="H44" s="94"/>
      <c r="I44" s="94"/>
    </row>
    <row r="45" spans="1:9" ht="16.5" customHeight="1" x14ac:dyDescent="0.35">
      <c r="A45" s="93" t="s">
        <v>268</v>
      </c>
      <c r="B45" s="97" t="s">
        <v>406</v>
      </c>
      <c r="C45" s="97" t="s">
        <v>274</v>
      </c>
      <c r="D45" s="95">
        <v>45867</v>
      </c>
      <c r="E45" s="94" t="s">
        <v>150</v>
      </c>
      <c r="F45" s="107">
        <v>25000000</v>
      </c>
      <c r="G45" s="94"/>
      <c r="H45" s="94"/>
      <c r="I45" s="94"/>
    </row>
    <row r="46" spans="1:9" ht="14.5" x14ac:dyDescent="0.35">
      <c r="A46" s="93" t="s">
        <v>380</v>
      </c>
      <c r="B46" s="97" t="s">
        <v>406</v>
      </c>
      <c r="C46" s="97" t="s">
        <v>274</v>
      </c>
      <c r="D46" s="95">
        <v>45688</v>
      </c>
      <c r="E46" s="94" t="s">
        <v>150</v>
      </c>
      <c r="F46" s="107">
        <v>100000000</v>
      </c>
      <c r="G46" s="94"/>
      <c r="H46" s="94"/>
      <c r="I46" s="94"/>
    </row>
    <row r="47" spans="1:9" ht="14.5" x14ac:dyDescent="0.35">
      <c r="A47" s="93" t="s">
        <v>651</v>
      </c>
      <c r="B47" s="97" t="s">
        <v>406</v>
      </c>
      <c r="C47" s="97" t="s">
        <v>274</v>
      </c>
      <c r="D47" s="95" t="s">
        <v>645</v>
      </c>
      <c r="E47" s="94" t="s">
        <v>150</v>
      </c>
      <c r="F47" s="107">
        <v>50000000</v>
      </c>
      <c r="G47" s="94"/>
      <c r="H47" s="94"/>
      <c r="I47" s="94"/>
    </row>
    <row r="48" spans="1:9" ht="14.5" x14ac:dyDescent="0.35">
      <c r="A48" s="93" t="s">
        <v>684</v>
      </c>
      <c r="B48" s="97" t="s">
        <v>406</v>
      </c>
      <c r="C48" s="97" t="s">
        <v>274</v>
      </c>
      <c r="D48" s="95">
        <v>46021</v>
      </c>
      <c r="E48" s="94" t="s">
        <v>150</v>
      </c>
      <c r="F48" s="107">
        <v>53500000</v>
      </c>
      <c r="G48" s="94"/>
      <c r="H48" s="94"/>
      <c r="I48" s="94"/>
    </row>
    <row r="49" spans="1:9" ht="16.5" customHeight="1" x14ac:dyDescent="0.35">
      <c r="A49" s="93"/>
      <c r="B49" s="98" t="s">
        <v>556</v>
      </c>
      <c r="C49" s="97"/>
      <c r="D49" s="95"/>
      <c r="E49" s="94"/>
      <c r="F49" s="109">
        <f>SUM(F44:F48)</f>
        <v>248500000</v>
      </c>
      <c r="G49" s="94"/>
      <c r="H49" s="94"/>
      <c r="I49" s="94"/>
    </row>
    <row r="50" spans="1:9" ht="16.5" customHeight="1" x14ac:dyDescent="0.35">
      <c r="A50" s="93">
        <v>13</v>
      </c>
      <c r="B50" s="97" t="s">
        <v>409</v>
      </c>
      <c r="C50" s="97" t="s">
        <v>274</v>
      </c>
      <c r="D50" s="95">
        <v>45504</v>
      </c>
      <c r="E50" s="94" t="s">
        <v>150</v>
      </c>
      <c r="F50" s="107">
        <v>70000000</v>
      </c>
      <c r="G50" s="94"/>
      <c r="H50" s="94"/>
      <c r="I50" s="94"/>
    </row>
    <row r="51" spans="1:9" ht="16.5" customHeight="1" x14ac:dyDescent="0.35">
      <c r="A51" s="93" t="s">
        <v>276</v>
      </c>
      <c r="B51" s="97" t="s">
        <v>421</v>
      </c>
      <c r="C51" s="97" t="s">
        <v>423</v>
      </c>
      <c r="D51" s="95">
        <v>45546</v>
      </c>
      <c r="E51" s="94" t="s">
        <v>20</v>
      </c>
      <c r="F51" s="110">
        <v>5000000</v>
      </c>
      <c r="G51" s="94" t="s">
        <v>480</v>
      </c>
      <c r="H51" s="94"/>
      <c r="I51" s="94"/>
    </row>
    <row r="52" spans="1:9" ht="16.5" customHeight="1" x14ac:dyDescent="0.35">
      <c r="A52" s="93" t="s">
        <v>277</v>
      </c>
      <c r="B52" s="97" t="s">
        <v>421</v>
      </c>
      <c r="C52" s="97" t="s">
        <v>423</v>
      </c>
      <c r="D52" s="95">
        <v>45579</v>
      </c>
      <c r="E52" s="94" t="s">
        <v>20</v>
      </c>
      <c r="F52" s="110">
        <v>2500000</v>
      </c>
      <c r="G52" s="94" t="s">
        <v>514</v>
      </c>
      <c r="H52" s="94"/>
      <c r="I52" s="94"/>
    </row>
    <row r="53" spans="1:9" ht="16.5" customHeight="1" x14ac:dyDescent="0.35">
      <c r="A53" s="93" t="s">
        <v>513</v>
      </c>
      <c r="B53" s="97" t="s">
        <v>421</v>
      </c>
      <c r="C53" s="97" t="s">
        <v>423</v>
      </c>
      <c r="D53" s="95">
        <v>45625</v>
      </c>
      <c r="E53" s="94" t="s">
        <v>20</v>
      </c>
      <c r="F53" s="110">
        <v>2500000</v>
      </c>
      <c r="G53" s="94" t="s">
        <v>514</v>
      </c>
      <c r="H53" s="94"/>
      <c r="I53" s="94"/>
    </row>
    <row r="54" spans="1:9" ht="16.5" customHeight="1" x14ac:dyDescent="0.35">
      <c r="A54" s="93" t="s">
        <v>690</v>
      </c>
      <c r="B54" s="97" t="s">
        <v>421</v>
      </c>
      <c r="C54" s="97" t="s">
        <v>423</v>
      </c>
      <c r="D54" s="95" t="s">
        <v>631</v>
      </c>
      <c r="E54" s="94" t="s">
        <v>20</v>
      </c>
      <c r="F54" s="110">
        <v>5000000</v>
      </c>
      <c r="G54" s="94"/>
      <c r="H54" s="94"/>
      <c r="I54" s="94"/>
    </row>
    <row r="55" spans="1:9" ht="16.5" customHeight="1" x14ac:dyDescent="0.35">
      <c r="A55" s="93" t="s">
        <v>691</v>
      </c>
      <c r="B55" s="97" t="s">
        <v>421</v>
      </c>
      <c r="C55" s="97" t="s">
        <v>423</v>
      </c>
      <c r="D55" s="95">
        <v>45925</v>
      </c>
      <c r="E55" s="94" t="s">
        <v>20</v>
      </c>
      <c r="F55" s="110">
        <v>3000000</v>
      </c>
      <c r="G55" s="94"/>
      <c r="H55" s="94"/>
      <c r="I55" s="94"/>
    </row>
    <row r="56" spans="1:9" ht="16.5" customHeight="1" x14ac:dyDescent="0.35">
      <c r="A56" s="93" t="s">
        <v>692</v>
      </c>
      <c r="B56" s="97" t="s">
        <v>421</v>
      </c>
      <c r="C56" s="97" t="s">
        <v>423</v>
      </c>
      <c r="D56" s="95">
        <v>46017</v>
      </c>
      <c r="E56" s="94" t="s">
        <v>20</v>
      </c>
      <c r="F56" s="110">
        <v>2000000</v>
      </c>
      <c r="G56" s="94"/>
      <c r="H56" s="94"/>
      <c r="I56" s="94"/>
    </row>
    <row r="57" spans="1:9" ht="16.5" customHeight="1" x14ac:dyDescent="0.35">
      <c r="A57" s="93" t="s">
        <v>738</v>
      </c>
      <c r="B57" s="97" t="s">
        <v>421</v>
      </c>
      <c r="C57" s="97" t="s">
        <v>423</v>
      </c>
      <c r="D57" s="95" t="s">
        <v>735</v>
      </c>
      <c r="E57" s="94" t="s">
        <v>20</v>
      </c>
      <c r="F57" s="139">
        <v>2500000</v>
      </c>
      <c r="G57" s="94"/>
      <c r="H57" s="94"/>
      <c r="I57" s="94"/>
    </row>
    <row r="58" spans="1:9" ht="16.5" customHeight="1" x14ac:dyDescent="0.35">
      <c r="A58" s="93" t="s">
        <v>739</v>
      </c>
      <c r="B58" s="97" t="s">
        <v>421</v>
      </c>
      <c r="C58" s="97" t="s">
        <v>423</v>
      </c>
      <c r="D58" s="95">
        <v>46105</v>
      </c>
      <c r="E58" s="94" t="s">
        <v>20</v>
      </c>
      <c r="F58" s="110">
        <v>4500000</v>
      </c>
      <c r="G58" s="94"/>
      <c r="H58" s="94"/>
      <c r="I58" s="94"/>
    </row>
    <row r="59" spans="1:9" ht="16.5" customHeight="1" x14ac:dyDescent="0.35">
      <c r="A59" s="93"/>
      <c r="B59" s="98" t="s">
        <v>483</v>
      </c>
      <c r="C59" s="97"/>
      <c r="D59" s="95"/>
      <c r="E59" s="94"/>
      <c r="F59" s="109">
        <f>SUM(F51:F58)</f>
        <v>27000000</v>
      </c>
      <c r="G59" s="94"/>
      <c r="H59" s="94"/>
      <c r="I59" s="94"/>
    </row>
    <row r="60" spans="1:9" ht="16.5" customHeight="1" x14ac:dyDescent="0.35">
      <c r="A60" s="93" t="s">
        <v>297</v>
      </c>
      <c r="B60" s="97" t="s">
        <v>421</v>
      </c>
      <c r="C60" s="97" t="s">
        <v>423</v>
      </c>
      <c r="D60" s="95">
        <v>45582</v>
      </c>
      <c r="E60" s="94" t="s">
        <v>150</v>
      </c>
      <c r="F60" s="110">
        <v>7500000</v>
      </c>
      <c r="G60" s="94" t="s">
        <v>515</v>
      </c>
      <c r="H60" s="94"/>
      <c r="I60" s="94"/>
    </row>
    <row r="61" spans="1:9" ht="16.5" customHeight="1" x14ac:dyDescent="0.35">
      <c r="A61" s="93" t="s">
        <v>298</v>
      </c>
      <c r="B61" s="97" t="s">
        <v>421</v>
      </c>
      <c r="C61" s="97" t="s">
        <v>423</v>
      </c>
      <c r="D61" s="95">
        <v>45625</v>
      </c>
      <c r="E61" s="94" t="s">
        <v>150</v>
      </c>
      <c r="F61" s="110">
        <v>2500000</v>
      </c>
      <c r="G61" s="94" t="s">
        <v>516</v>
      </c>
      <c r="H61" s="94"/>
      <c r="I61" s="94"/>
    </row>
    <row r="62" spans="1:9" ht="16.5" customHeight="1" x14ac:dyDescent="0.35">
      <c r="A62" s="93" t="s">
        <v>630</v>
      </c>
      <c r="B62" s="97" t="s">
        <v>421</v>
      </c>
      <c r="C62" s="97" t="s">
        <v>423</v>
      </c>
      <c r="D62" s="95" t="s">
        <v>631</v>
      </c>
      <c r="E62" s="94" t="s">
        <v>150</v>
      </c>
      <c r="F62" s="110">
        <v>5000000</v>
      </c>
      <c r="G62" s="94"/>
      <c r="H62" s="94"/>
      <c r="I62" s="94"/>
    </row>
    <row r="63" spans="1:9" ht="16.5" customHeight="1" x14ac:dyDescent="0.35">
      <c r="A63" s="93" t="s">
        <v>647</v>
      </c>
      <c r="B63" s="97" t="s">
        <v>421</v>
      </c>
      <c r="C63" s="97" t="s">
        <v>423</v>
      </c>
      <c r="D63" s="95">
        <v>45925</v>
      </c>
      <c r="E63" s="94" t="s">
        <v>150</v>
      </c>
      <c r="F63" s="110">
        <v>3000000</v>
      </c>
      <c r="G63" s="94"/>
      <c r="H63" s="94"/>
      <c r="I63" s="94"/>
    </row>
    <row r="64" spans="1:9" ht="16.5" customHeight="1" x14ac:dyDescent="0.35">
      <c r="A64" s="93" t="s">
        <v>689</v>
      </c>
      <c r="B64" s="97" t="s">
        <v>421</v>
      </c>
      <c r="C64" s="97" t="s">
        <v>423</v>
      </c>
      <c r="D64" s="95">
        <v>46017</v>
      </c>
      <c r="E64" s="94" t="s">
        <v>150</v>
      </c>
      <c r="F64" s="110">
        <v>2000000</v>
      </c>
      <c r="G64" s="94"/>
      <c r="H64" s="94"/>
      <c r="I64" s="94"/>
    </row>
    <row r="65" spans="1:9" ht="16.5" customHeight="1" x14ac:dyDescent="0.35">
      <c r="A65" s="93" t="s">
        <v>736</v>
      </c>
      <c r="B65" s="97" t="s">
        <v>421</v>
      </c>
      <c r="C65" s="97" t="s">
        <v>423</v>
      </c>
      <c r="D65" s="95" t="s">
        <v>735</v>
      </c>
      <c r="E65" s="94" t="s">
        <v>150</v>
      </c>
      <c r="F65" s="139">
        <v>2500000</v>
      </c>
      <c r="G65" s="94"/>
      <c r="H65" s="94"/>
      <c r="I65" s="94"/>
    </row>
    <row r="66" spans="1:9" ht="16.5" customHeight="1" x14ac:dyDescent="0.35">
      <c r="A66" s="93" t="s">
        <v>737</v>
      </c>
      <c r="B66" s="97" t="s">
        <v>421</v>
      </c>
      <c r="C66" s="97" t="s">
        <v>423</v>
      </c>
      <c r="D66" s="95">
        <v>46105</v>
      </c>
      <c r="E66" s="94" t="s">
        <v>150</v>
      </c>
      <c r="F66" s="110">
        <v>4500000</v>
      </c>
      <c r="G66" s="94"/>
      <c r="H66" s="94"/>
      <c r="I66" s="94"/>
    </row>
    <row r="67" spans="1:9" ht="16.5" customHeight="1" x14ac:dyDescent="0.35">
      <c r="A67" s="93"/>
      <c r="B67" s="98" t="s">
        <v>483</v>
      </c>
      <c r="C67" s="97"/>
      <c r="D67" s="95"/>
      <c r="E67" s="94"/>
      <c r="F67" s="109">
        <f>SUM(F60:F66)</f>
        <v>27000000</v>
      </c>
      <c r="G67" s="94"/>
      <c r="H67" s="94"/>
      <c r="I67" s="94"/>
    </row>
    <row r="68" spans="1:9" ht="16.5" customHeight="1" x14ac:dyDescent="0.35">
      <c r="A68" s="93" t="s">
        <v>299</v>
      </c>
      <c r="B68" s="97" t="s">
        <v>434</v>
      </c>
      <c r="C68" s="97" t="s">
        <v>274</v>
      </c>
      <c r="D68" s="95">
        <v>45511</v>
      </c>
      <c r="E68" s="94" t="s">
        <v>150</v>
      </c>
      <c r="F68" s="107">
        <v>30000000</v>
      </c>
      <c r="G68" s="94"/>
      <c r="H68" s="94"/>
      <c r="I68" s="94"/>
    </row>
    <row r="69" spans="1:9" ht="16.5" customHeight="1" x14ac:dyDescent="0.35">
      <c r="A69" s="93" t="s">
        <v>300</v>
      </c>
      <c r="B69" s="97" t="s">
        <v>434</v>
      </c>
      <c r="C69" s="97" t="s">
        <v>274</v>
      </c>
      <c r="D69" s="95">
        <v>45509</v>
      </c>
      <c r="E69" s="94" t="s">
        <v>150</v>
      </c>
      <c r="F69" s="107">
        <v>15000000</v>
      </c>
      <c r="G69" s="94"/>
      <c r="H69" s="94"/>
      <c r="I69" s="94"/>
    </row>
    <row r="70" spans="1:9" ht="16.5" customHeight="1" x14ac:dyDescent="0.35">
      <c r="A70" s="93" t="s">
        <v>484</v>
      </c>
      <c r="B70" s="97" t="s">
        <v>434</v>
      </c>
      <c r="C70" s="97" t="s">
        <v>274</v>
      </c>
      <c r="D70" s="95">
        <v>45559</v>
      </c>
      <c r="E70" s="94" t="s">
        <v>150</v>
      </c>
      <c r="F70" s="107">
        <v>10000000</v>
      </c>
      <c r="G70" s="94"/>
      <c r="H70" s="94"/>
      <c r="I70" s="94"/>
    </row>
    <row r="71" spans="1:9" ht="16.5" customHeight="1" x14ac:dyDescent="0.35">
      <c r="A71" s="93"/>
      <c r="B71" s="99" t="s">
        <v>482</v>
      </c>
      <c r="C71" s="97"/>
      <c r="D71" s="95"/>
      <c r="E71" s="94"/>
      <c r="F71" s="100">
        <f>SUM(F68:F70)</f>
        <v>55000000</v>
      </c>
      <c r="G71" s="94"/>
      <c r="H71" s="94"/>
      <c r="I71" s="94"/>
    </row>
    <row r="72" spans="1:9" ht="16.5" customHeight="1" x14ac:dyDescent="0.35">
      <c r="A72" s="101" t="s">
        <v>485</v>
      </c>
      <c r="B72" s="101" t="s">
        <v>487</v>
      </c>
      <c r="C72" s="101" t="s">
        <v>274</v>
      </c>
      <c r="D72" s="102">
        <v>45510</v>
      </c>
      <c r="E72" s="101" t="s">
        <v>150</v>
      </c>
      <c r="F72" s="107">
        <v>50000000</v>
      </c>
      <c r="G72" s="101"/>
      <c r="H72" s="101"/>
      <c r="I72" s="101"/>
    </row>
    <row r="73" spans="1:9" ht="16.5" customHeight="1" x14ac:dyDescent="0.35">
      <c r="A73" s="101" t="s">
        <v>486</v>
      </c>
      <c r="B73" s="101" t="s">
        <v>487</v>
      </c>
      <c r="C73" s="101" t="s">
        <v>274</v>
      </c>
      <c r="D73" s="102">
        <v>45544</v>
      </c>
      <c r="E73" s="101" t="s">
        <v>150</v>
      </c>
      <c r="F73" s="107">
        <v>10000000</v>
      </c>
      <c r="G73" s="101"/>
      <c r="H73" s="101"/>
      <c r="I73" s="101"/>
    </row>
    <row r="74" spans="1:9" ht="16.5" customHeight="1" x14ac:dyDescent="0.35">
      <c r="A74" s="93"/>
      <c r="B74" s="99" t="s">
        <v>488</v>
      </c>
      <c r="C74" s="97"/>
      <c r="D74" s="95"/>
      <c r="E74" s="94"/>
      <c r="F74" s="100">
        <f>SUM(F72:F73)</f>
        <v>60000000</v>
      </c>
      <c r="G74" s="94"/>
      <c r="H74" s="94"/>
      <c r="I74" s="94"/>
    </row>
    <row r="75" spans="1:9" ht="16.5" customHeight="1" x14ac:dyDescent="0.35">
      <c r="A75" s="93"/>
      <c r="B75" s="97"/>
      <c r="C75" s="97"/>
      <c r="D75" s="95"/>
      <c r="E75" s="94"/>
      <c r="F75" s="107"/>
      <c r="G75" s="94"/>
      <c r="H75" s="94"/>
      <c r="I75" s="94"/>
    </row>
    <row r="76" spans="1:9" ht="16.5" customHeight="1" x14ac:dyDescent="0.35">
      <c r="A76" s="101">
        <v>18</v>
      </c>
      <c r="B76" s="101" t="s">
        <v>493</v>
      </c>
      <c r="C76" s="101" t="s">
        <v>495</v>
      </c>
      <c r="D76" s="102">
        <v>45575</v>
      </c>
      <c r="E76" s="101" t="s">
        <v>20</v>
      </c>
      <c r="F76" s="111">
        <v>10000000</v>
      </c>
      <c r="G76" s="101" t="s">
        <v>494</v>
      </c>
      <c r="H76" s="101"/>
      <c r="I76" s="101"/>
    </row>
    <row r="77" spans="1:9" s="101" customFormat="1" ht="16.5" customHeight="1" x14ac:dyDescent="0.35">
      <c r="A77" s="101" t="s">
        <v>614</v>
      </c>
      <c r="B77" s="101" t="s">
        <v>524</v>
      </c>
      <c r="C77" s="101" t="s">
        <v>20</v>
      </c>
      <c r="D77" s="102">
        <v>45628</v>
      </c>
      <c r="E77" s="101" t="s">
        <v>20</v>
      </c>
      <c r="F77" s="111">
        <v>50000000</v>
      </c>
    </row>
    <row r="78" spans="1:9" s="101" customFormat="1" ht="16.5" customHeight="1" x14ac:dyDescent="0.35">
      <c r="A78" s="101" t="s">
        <v>615</v>
      </c>
      <c r="B78" s="101" t="s">
        <v>524</v>
      </c>
      <c r="C78" s="101" t="s">
        <v>20</v>
      </c>
      <c r="D78" s="102">
        <v>45959</v>
      </c>
      <c r="E78" s="101" t="s">
        <v>20</v>
      </c>
      <c r="F78" s="111">
        <v>15000000</v>
      </c>
    </row>
    <row r="79" spans="1:9" s="101" customFormat="1" ht="16.5" customHeight="1" x14ac:dyDescent="0.35">
      <c r="B79" s="99" t="s">
        <v>654</v>
      </c>
      <c r="C79" s="97"/>
      <c r="D79" s="95"/>
      <c r="E79" s="94"/>
      <c r="F79" s="100">
        <f>SUM(F77:F78)</f>
        <v>65000000</v>
      </c>
    </row>
    <row r="80" spans="1:9" s="101" customFormat="1" ht="16.5" customHeight="1" x14ac:dyDescent="0.35">
      <c r="A80" s="101">
        <v>20</v>
      </c>
      <c r="B80" s="101" t="s">
        <v>529</v>
      </c>
      <c r="C80" s="101" t="s">
        <v>527</v>
      </c>
      <c r="D80" s="102">
        <v>45670</v>
      </c>
      <c r="E80" s="101" t="s">
        <v>150</v>
      </c>
      <c r="F80" s="111">
        <v>50000000</v>
      </c>
      <c r="G80" s="101" t="s">
        <v>528</v>
      </c>
    </row>
    <row r="81" spans="1:9" ht="16.5" customHeight="1" x14ac:dyDescent="0.35">
      <c r="A81" s="93"/>
      <c r="B81" s="97"/>
      <c r="C81" s="97"/>
      <c r="D81" s="95"/>
      <c r="E81" s="94"/>
      <c r="F81" s="107"/>
      <c r="G81" s="94"/>
      <c r="H81" s="94"/>
      <c r="I81" s="94"/>
    </row>
    <row r="82" spans="1:9" ht="16.5" customHeight="1" x14ac:dyDescent="0.35">
      <c r="A82" s="93" t="s">
        <v>535</v>
      </c>
      <c r="B82" s="97" t="s">
        <v>531</v>
      </c>
      <c r="C82" s="97" t="s">
        <v>385</v>
      </c>
      <c r="D82" s="102" t="s">
        <v>534</v>
      </c>
      <c r="E82" s="94" t="s">
        <v>150</v>
      </c>
      <c r="F82" s="107">
        <v>10000000</v>
      </c>
      <c r="G82" s="94"/>
      <c r="H82" s="94"/>
      <c r="I82" s="94"/>
    </row>
    <row r="83" spans="1:9" s="101" customFormat="1" ht="16.5" customHeight="1" x14ac:dyDescent="0.35">
      <c r="A83" s="93" t="s">
        <v>536</v>
      </c>
      <c r="B83" s="97" t="s">
        <v>531</v>
      </c>
      <c r="C83" s="97" t="s">
        <v>385</v>
      </c>
      <c r="D83" s="102" t="s">
        <v>537</v>
      </c>
      <c r="E83" s="94" t="s">
        <v>150</v>
      </c>
      <c r="F83" s="107">
        <v>40000000</v>
      </c>
      <c r="G83" s="94"/>
      <c r="H83" s="94"/>
      <c r="I83" s="94"/>
    </row>
    <row r="84" spans="1:9" s="101" customFormat="1" ht="16.5" customHeight="1" x14ac:dyDescent="0.35">
      <c r="A84" s="93" t="s">
        <v>538</v>
      </c>
      <c r="B84" s="97" t="s">
        <v>531</v>
      </c>
      <c r="C84" s="97" t="s">
        <v>385</v>
      </c>
      <c r="D84" s="102" t="s">
        <v>539</v>
      </c>
      <c r="E84" s="94" t="s">
        <v>150</v>
      </c>
      <c r="F84" s="107">
        <v>40000000</v>
      </c>
      <c r="G84" s="94"/>
      <c r="H84" s="94"/>
      <c r="I84" s="94"/>
    </row>
    <row r="85" spans="1:9" s="101" customFormat="1" ht="16.5" customHeight="1" x14ac:dyDescent="0.35">
      <c r="A85" s="93"/>
      <c r="B85" s="97"/>
      <c r="C85" s="97"/>
      <c r="D85" s="103"/>
      <c r="E85" s="94"/>
      <c r="F85" s="107"/>
      <c r="G85" s="94"/>
      <c r="H85" s="94"/>
      <c r="I85" s="94"/>
    </row>
    <row r="86" spans="1:9" ht="16.5" customHeight="1" x14ac:dyDescent="0.35">
      <c r="A86" s="93" t="s">
        <v>541</v>
      </c>
      <c r="B86" s="97" t="s">
        <v>532</v>
      </c>
      <c r="C86" s="97" t="s">
        <v>385</v>
      </c>
      <c r="D86" s="95" t="s">
        <v>533</v>
      </c>
      <c r="E86" s="94" t="s">
        <v>150</v>
      </c>
      <c r="F86" s="107">
        <v>6500000</v>
      </c>
      <c r="G86" s="94"/>
      <c r="H86" s="94"/>
      <c r="I86" s="94"/>
    </row>
    <row r="87" spans="1:9" ht="16.5" customHeight="1" x14ac:dyDescent="0.35">
      <c r="A87" s="93" t="s">
        <v>540</v>
      </c>
      <c r="B87" s="97" t="s">
        <v>532</v>
      </c>
      <c r="C87" s="97" t="s">
        <v>385</v>
      </c>
      <c r="D87" s="95" t="s">
        <v>542</v>
      </c>
      <c r="E87" s="94" t="s">
        <v>150</v>
      </c>
      <c r="F87" s="107">
        <v>5000000</v>
      </c>
      <c r="G87" s="94"/>
      <c r="H87" s="94"/>
      <c r="I87" s="94"/>
    </row>
    <row r="88" spans="1:9" ht="16.5" customHeight="1" x14ac:dyDescent="0.35">
      <c r="A88" s="93" t="s">
        <v>648</v>
      </c>
      <c r="B88" s="97" t="s">
        <v>532</v>
      </c>
      <c r="C88" s="97" t="s">
        <v>385</v>
      </c>
      <c r="D88" s="95">
        <v>45860</v>
      </c>
      <c r="E88" s="94" t="s">
        <v>150</v>
      </c>
      <c r="F88" s="107">
        <v>2500000</v>
      </c>
      <c r="G88" s="94"/>
      <c r="H88" s="94"/>
      <c r="I88" s="94"/>
    </row>
    <row r="89" spans="1:9" ht="16.5" customHeight="1" x14ac:dyDescent="0.35">
      <c r="A89" s="93" t="s">
        <v>652</v>
      </c>
      <c r="B89" s="97" t="s">
        <v>532</v>
      </c>
      <c r="C89" s="97" t="s">
        <v>385</v>
      </c>
      <c r="D89" s="95">
        <v>45925</v>
      </c>
      <c r="E89" s="94" t="s">
        <v>150</v>
      </c>
      <c r="F89" s="107">
        <v>6250000</v>
      </c>
      <c r="G89" s="94"/>
      <c r="H89" s="94"/>
      <c r="I89" s="94"/>
    </row>
    <row r="90" spans="1:9" ht="16.5" customHeight="1" x14ac:dyDescent="0.35">
      <c r="A90" s="93"/>
      <c r="B90" s="99" t="s">
        <v>532</v>
      </c>
      <c r="C90" s="97"/>
      <c r="D90" s="95"/>
      <c r="E90" s="94"/>
      <c r="F90" s="100">
        <f>SUM(F86:F89)</f>
        <v>20250000</v>
      </c>
      <c r="G90" s="94"/>
      <c r="H90" s="94"/>
      <c r="I90" s="94"/>
    </row>
    <row r="91" spans="1:9" ht="16.5" customHeight="1" x14ac:dyDescent="0.35">
      <c r="A91" s="93">
        <v>23</v>
      </c>
      <c r="B91" s="97" t="s">
        <v>543</v>
      </c>
      <c r="C91" s="97" t="s">
        <v>544</v>
      </c>
      <c r="D91" s="95">
        <v>45646</v>
      </c>
      <c r="E91" s="94" t="s">
        <v>150</v>
      </c>
      <c r="F91" s="107">
        <v>2500000</v>
      </c>
      <c r="G91" s="94"/>
      <c r="H91" s="94"/>
      <c r="I91" s="94"/>
    </row>
    <row r="92" spans="1:9" ht="16.5" customHeight="1" x14ac:dyDescent="0.35">
      <c r="A92" s="93">
        <v>24</v>
      </c>
      <c r="B92" s="97" t="s">
        <v>548</v>
      </c>
      <c r="C92" s="97" t="s">
        <v>385</v>
      </c>
      <c r="D92" s="95">
        <v>45321</v>
      </c>
      <c r="E92" s="94" t="s">
        <v>20</v>
      </c>
      <c r="F92" s="107">
        <v>31000000</v>
      </c>
      <c r="G92" s="94"/>
      <c r="H92" s="94"/>
      <c r="I92" s="94"/>
    </row>
    <row r="93" spans="1:9" ht="16.5" customHeight="1" x14ac:dyDescent="0.35">
      <c r="A93" s="93" t="s">
        <v>303</v>
      </c>
      <c r="B93" s="97" t="s">
        <v>610</v>
      </c>
      <c r="C93" s="97" t="s">
        <v>481</v>
      </c>
      <c r="D93" s="95" t="s">
        <v>629</v>
      </c>
      <c r="E93" s="94" t="s">
        <v>150</v>
      </c>
      <c r="F93" s="107">
        <v>10000000</v>
      </c>
      <c r="G93" s="94"/>
      <c r="H93" s="94"/>
      <c r="I93" s="94"/>
    </row>
    <row r="94" spans="1:9" ht="16.5" customHeight="1" x14ac:dyDescent="0.35">
      <c r="A94" s="93" t="s">
        <v>304</v>
      </c>
      <c r="B94" s="97" t="s">
        <v>610</v>
      </c>
      <c r="C94" s="97" t="s">
        <v>481</v>
      </c>
      <c r="D94" s="95">
        <v>45902</v>
      </c>
      <c r="E94" s="94" t="s">
        <v>150</v>
      </c>
      <c r="F94" s="107">
        <v>100000000</v>
      </c>
      <c r="G94" s="94"/>
      <c r="H94" s="94"/>
      <c r="I94" s="94"/>
    </row>
    <row r="95" spans="1:9" ht="16.5" customHeight="1" x14ac:dyDescent="0.35">
      <c r="A95" s="93" t="s">
        <v>649</v>
      </c>
      <c r="B95" s="97" t="s">
        <v>610</v>
      </c>
      <c r="C95" s="97" t="s">
        <v>481</v>
      </c>
      <c r="D95" s="95" t="s">
        <v>646</v>
      </c>
      <c r="E95" s="94" t="s">
        <v>150</v>
      </c>
      <c r="F95" s="107">
        <v>100000000</v>
      </c>
      <c r="G95" s="94"/>
      <c r="H95" s="94"/>
      <c r="I95" s="94"/>
    </row>
    <row r="96" spans="1:9" ht="16.5" customHeight="1" x14ac:dyDescent="0.35">
      <c r="A96" s="93"/>
      <c r="B96" s="99" t="s">
        <v>655</v>
      </c>
      <c r="C96" s="97"/>
      <c r="D96" s="95"/>
      <c r="E96" s="94"/>
      <c r="F96" s="100">
        <f>SUM(F93:F95)</f>
        <v>210000000</v>
      </c>
      <c r="G96" s="94"/>
      <c r="H96" s="94"/>
      <c r="I96" s="94"/>
    </row>
    <row r="97" spans="1:9" ht="16.5" customHeight="1" x14ac:dyDescent="0.35">
      <c r="A97" s="93" t="s">
        <v>382</v>
      </c>
      <c r="B97" s="97" t="s">
        <v>610</v>
      </c>
      <c r="C97" s="97" t="s">
        <v>481</v>
      </c>
      <c r="D97" s="95" t="s">
        <v>656</v>
      </c>
      <c r="E97" s="94" t="s">
        <v>20</v>
      </c>
      <c r="F97" s="131">
        <v>150000000</v>
      </c>
      <c r="G97" s="94"/>
      <c r="H97" s="94"/>
      <c r="I97" s="94"/>
    </row>
    <row r="98" spans="1:9" ht="16.5" customHeight="1" x14ac:dyDescent="0.35">
      <c r="A98" s="93"/>
      <c r="B98" s="99" t="s">
        <v>655</v>
      </c>
      <c r="C98" s="97"/>
      <c r="D98" s="95"/>
      <c r="E98" s="94"/>
      <c r="F98" s="100">
        <f>SUM(F97)</f>
        <v>150000000</v>
      </c>
      <c r="G98" s="94"/>
      <c r="H98" s="94"/>
      <c r="I98" s="94"/>
    </row>
    <row r="99" spans="1:9" ht="16.5" customHeight="1" x14ac:dyDescent="0.35">
      <c r="A99" s="93"/>
      <c r="B99" s="132"/>
      <c r="C99" s="97"/>
      <c r="D99" s="95"/>
      <c r="E99" s="94"/>
      <c r="F99" s="133"/>
      <c r="G99" s="94"/>
      <c r="H99" s="94"/>
      <c r="I99" s="94"/>
    </row>
    <row r="100" spans="1:9" ht="16.5" customHeight="1" x14ac:dyDescent="0.35">
      <c r="A100" s="93">
        <v>26</v>
      </c>
      <c r="B100" s="97" t="s">
        <v>619</v>
      </c>
      <c r="C100" s="97" t="s">
        <v>385</v>
      </c>
      <c r="D100" s="95">
        <v>45867</v>
      </c>
      <c r="E100" s="94" t="s">
        <v>150</v>
      </c>
      <c r="F100" s="107">
        <v>50000000</v>
      </c>
      <c r="G100" s="94"/>
      <c r="H100" s="94"/>
      <c r="I100" s="94"/>
    </row>
    <row r="101" spans="1:9" ht="16.5" customHeight="1" x14ac:dyDescent="0.35">
      <c r="A101" s="93" t="s">
        <v>685</v>
      </c>
      <c r="B101" s="39" t="s">
        <v>650</v>
      </c>
      <c r="C101" s="97" t="s">
        <v>385</v>
      </c>
      <c r="D101" s="95">
        <v>45898</v>
      </c>
      <c r="E101" s="94" t="s">
        <v>150</v>
      </c>
      <c r="F101" s="107">
        <v>100000000</v>
      </c>
      <c r="G101" s="94"/>
      <c r="H101" s="94"/>
      <c r="I101" s="94"/>
    </row>
    <row r="102" spans="1:9" ht="16.5" customHeight="1" x14ac:dyDescent="0.35">
      <c r="A102" s="93" t="s">
        <v>686</v>
      </c>
      <c r="B102" s="39" t="s">
        <v>650</v>
      </c>
      <c r="C102" s="97" t="s">
        <v>385</v>
      </c>
      <c r="D102" s="95">
        <v>46021</v>
      </c>
      <c r="E102" s="94" t="s">
        <v>150</v>
      </c>
      <c r="F102" s="107">
        <v>50000000</v>
      </c>
      <c r="H102" s="94"/>
      <c r="I102" s="94"/>
    </row>
    <row r="103" spans="1:9" ht="16.5" customHeight="1" x14ac:dyDescent="0.35">
      <c r="A103" s="93"/>
      <c r="B103" s="99" t="s">
        <v>687</v>
      </c>
      <c r="C103" s="97"/>
      <c r="D103" s="95"/>
      <c r="E103" s="94"/>
      <c r="F103" s="100">
        <f>SUM(F101:F102)</f>
        <v>150000000</v>
      </c>
      <c r="H103" s="94"/>
      <c r="I103" s="94"/>
    </row>
    <row r="104" spans="1:9" ht="16.5" customHeight="1" x14ac:dyDescent="0.35">
      <c r="A104" s="93">
        <v>28</v>
      </c>
      <c r="B104" s="39" t="s">
        <v>688</v>
      </c>
      <c r="C104" s="97" t="s">
        <v>682</v>
      </c>
      <c r="D104" s="95">
        <v>46017</v>
      </c>
      <c r="E104" s="94" t="s">
        <v>150</v>
      </c>
      <c r="F104" s="107">
        <v>75000000</v>
      </c>
      <c r="G104" s="115"/>
      <c r="H104" s="94"/>
      <c r="I104" s="94"/>
    </row>
    <row r="105" spans="1:9" ht="16.5" customHeight="1" x14ac:dyDescent="0.35">
      <c r="A105" s="93">
        <v>29</v>
      </c>
      <c r="B105" s="97" t="s">
        <v>734</v>
      </c>
      <c r="C105" s="97" t="s">
        <v>61</v>
      </c>
      <c r="D105" s="95">
        <v>46104</v>
      </c>
      <c r="E105" s="94" t="s">
        <v>150</v>
      </c>
      <c r="F105" s="107">
        <v>11000000</v>
      </c>
      <c r="G105" s="94"/>
      <c r="H105" s="94"/>
      <c r="I105" s="94"/>
    </row>
    <row r="106" spans="1:9" ht="16.5" customHeight="1" x14ac:dyDescent="0.35">
      <c r="A106" s="93"/>
      <c r="B106" s="97"/>
      <c r="C106" s="97"/>
      <c r="D106" s="95"/>
      <c r="E106" s="94"/>
      <c r="F106" s="107"/>
      <c r="G106" s="94"/>
      <c r="H106" s="94"/>
      <c r="I106" s="94"/>
    </row>
    <row r="107" spans="1:9" ht="16.5" customHeight="1" x14ac:dyDescent="0.35">
      <c r="A107" s="93"/>
      <c r="B107" s="97"/>
      <c r="C107" s="97"/>
      <c r="D107" s="95"/>
      <c r="E107" s="94"/>
      <c r="F107" s="107"/>
      <c r="G107" s="94"/>
      <c r="H107" s="94"/>
      <c r="I107" s="94"/>
    </row>
    <row r="108" spans="1:9" ht="16.5" customHeight="1" x14ac:dyDescent="0.35">
      <c r="A108" s="93"/>
      <c r="B108" s="97"/>
      <c r="C108" s="97"/>
      <c r="D108" s="95"/>
      <c r="E108" s="94"/>
      <c r="F108" s="107"/>
      <c r="G108" s="94"/>
      <c r="H108" s="94"/>
      <c r="I108" s="94"/>
    </row>
    <row r="109" spans="1:9" ht="16.5" customHeight="1" x14ac:dyDescent="0.35"/>
    <row r="110" spans="1:9" ht="16.5" customHeight="1" x14ac:dyDescent="0.35"/>
    <row r="111" spans="1:9" ht="16.5" customHeight="1" x14ac:dyDescent="0.35"/>
    <row r="112" spans="1:9" ht="16.5" customHeight="1" x14ac:dyDescent="0.35"/>
    <row r="113" ht="16.5" customHeight="1" x14ac:dyDescent="0.35"/>
    <row r="133" spans="2:7" ht="20.25" customHeight="1" x14ac:dyDescent="0.35">
      <c r="B133" s="96" t="s">
        <v>337</v>
      </c>
      <c r="G133" s="96" t="s">
        <v>336</v>
      </c>
    </row>
    <row r="134" spans="2:7" ht="20.25" customHeight="1" x14ac:dyDescent="0.35">
      <c r="D134" s="105">
        <v>45295</v>
      </c>
      <c r="E134" s="96" t="s">
        <v>20</v>
      </c>
      <c r="G134" s="96" t="s">
        <v>338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71E7-62A0-40D2-9815-ABF4182BEEC3}">
  <dimension ref="A1:I80"/>
  <sheetViews>
    <sheetView topLeftCell="A46" workbookViewId="0">
      <selection activeCell="B63" sqref="B63"/>
    </sheetView>
  </sheetViews>
  <sheetFormatPr defaultRowHeight="14.5" customHeight="1" x14ac:dyDescent="0.35"/>
  <cols>
    <col min="1" max="1" width="7.453125" bestFit="1" customWidth="1"/>
    <col min="2" max="2" width="39.1796875" bestFit="1" customWidth="1"/>
    <col min="3" max="3" width="31" customWidth="1"/>
    <col min="4" max="4" width="10.453125" bestFit="1" customWidth="1"/>
    <col min="5" max="5" width="9.453125" bestFit="1" customWidth="1"/>
    <col min="6" max="6" width="11.26953125" bestFit="1" customWidth="1"/>
    <col min="7" max="7" width="13.453125" bestFit="1" customWidth="1"/>
    <col min="8" max="8" width="8.81640625" bestFit="1" customWidth="1"/>
    <col min="9" max="9" width="11.453125" bestFit="1" customWidth="1"/>
  </cols>
  <sheetData>
    <row r="1" spans="1:9" s="2" customFormat="1" ht="30" x14ac:dyDescent="0.35">
      <c r="A1" s="4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5" t="s">
        <v>31</v>
      </c>
    </row>
    <row r="2" spans="1:9" s="1" customFormat="1" ht="14.5" customHeight="1" x14ac:dyDescent="0.35">
      <c r="A2" s="8" t="s">
        <v>207</v>
      </c>
      <c r="B2" s="9" t="s">
        <v>88</v>
      </c>
      <c r="C2" s="9"/>
      <c r="D2" s="10">
        <v>44243</v>
      </c>
      <c r="E2" s="9" t="s">
        <v>20</v>
      </c>
      <c r="F2" s="11">
        <v>200000</v>
      </c>
      <c r="G2" s="9"/>
      <c r="H2" s="9"/>
      <c r="I2" s="9"/>
    </row>
    <row r="3" spans="1:9" s="1" customFormat="1" ht="14.5" customHeight="1" x14ac:dyDescent="0.35">
      <c r="A3" s="8" t="s">
        <v>208</v>
      </c>
      <c r="B3" s="9" t="s">
        <v>88</v>
      </c>
      <c r="C3" s="9"/>
      <c r="D3" s="10">
        <v>44244</v>
      </c>
      <c r="E3" s="9" t="s">
        <v>20</v>
      </c>
      <c r="F3" s="11">
        <v>100000</v>
      </c>
      <c r="G3" s="9"/>
      <c r="H3" s="9"/>
      <c r="I3" s="9"/>
    </row>
    <row r="4" spans="1:9" s="1" customFormat="1" ht="14.5" customHeight="1" x14ac:dyDescent="0.35">
      <c r="A4" s="8" t="s">
        <v>209</v>
      </c>
      <c r="B4" s="9" t="s">
        <v>88</v>
      </c>
      <c r="C4" s="9"/>
      <c r="D4" s="10">
        <v>44246</v>
      </c>
      <c r="E4" s="9" t="s">
        <v>20</v>
      </c>
      <c r="F4" s="11">
        <v>200000</v>
      </c>
      <c r="G4" s="9"/>
      <c r="H4" s="9"/>
      <c r="I4" s="9"/>
    </row>
    <row r="5" spans="1:9" s="1" customFormat="1" ht="14.5" customHeight="1" x14ac:dyDescent="0.35">
      <c r="A5" s="8" t="s">
        <v>210</v>
      </c>
      <c r="B5" s="9" t="s">
        <v>88</v>
      </c>
      <c r="C5" s="9"/>
      <c r="D5" s="10">
        <v>44246</v>
      </c>
      <c r="E5" s="9" t="s">
        <v>20</v>
      </c>
      <c r="F5" s="11">
        <v>100000</v>
      </c>
      <c r="G5" s="9"/>
      <c r="H5" s="9"/>
      <c r="I5" s="9"/>
    </row>
    <row r="6" spans="1:9" s="1" customFormat="1" ht="14.5" customHeight="1" x14ac:dyDescent="0.35">
      <c r="A6" s="8" t="s">
        <v>211</v>
      </c>
      <c r="B6" s="9" t="s">
        <v>88</v>
      </c>
      <c r="C6" s="9"/>
      <c r="D6" s="10">
        <v>44249</v>
      </c>
      <c r="E6" s="9" t="s">
        <v>20</v>
      </c>
      <c r="F6" s="11">
        <v>200000</v>
      </c>
      <c r="G6" s="9"/>
      <c r="H6" s="9"/>
      <c r="I6" s="9"/>
    </row>
    <row r="7" spans="1:9" s="1" customFormat="1" ht="14.5" customHeight="1" x14ac:dyDescent="0.35">
      <c r="A7" s="8" t="s">
        <v>212</v>
      </c>
      <c r="B7" s="9" t="s">
        <v>88</v>
      </c>
      <c r="C7" s="9"/>
      <c r="D7" s="10">
        <v>44263</v>
      </c>
      <c r="E7" s="9" t="s">
        <v>20</v>
      </c>
      <c r="F7" s="11">
        <v>25000</v>
      </c>
      <c r="G7" s="9"/>
      <c r="H7" s="9"/>
      <c r="I7" s="9"/>
    </row>
    <row r="8" spans="1:9" s="1" customFormat="1" ht="14.5" customHeight="1" x14ac:dyDescent="0.35">
      <c r="A8" s="8" t="s">
        <v>213</v>
      </c>
      <c r="B8" s="9" t="s">
        <v>88</v>
      </c>
      <c r="C8" s="9"/>
      <c r="D8" s="10">
        <v>44265</v>
      </c>
      <c r="E8" s="9" t="s">
        <v>20</v>
      </c>
      <c r="F8" s="11">
        <v>200000</v>
      </c>
      <c r="G8" s="9"/>
      <c r="H8" s="9"/>
      <c r="I8" s="9"/>
    </row>
    <row r="9" spans="1:9" s="1" customFormat="1" ht="14.5" customHeight="1" x14ac:dyDescent="0.35">
      <c r="A9" s="8" t="s">
        <v>214</v>
      </c>
      <c r="B9" s="9" t="s">
        <v>88</v>
      </c>
      <c r="C9" s="9"/>
      <c r="D9" s="10">
        <v>44274</v>
      </c>
      <c r="E9" s="9" t="s">
        <v>20</v>
      </c>
      <c r="F9" s="11">
        <v>200000</v>
      </c>
      <c r="G9" s="9"/>
      <c r="H9" s="9"/>
      <c r="I9" s="9"/>
    </row>
    <row r="10" spans="1:9" s="1" customFormat="1" ht="14.5" customHeight="1" x14ac:dyDescent="0.35">
      <c r="A10" s="8" t="s">
        <v>215</v>
      </c>
      <c r="B10" s="9" t="s">
        <v>88</v>
      </c>
      <c r="C10" s="9"/>
      <c r="D10" s="10">
        <v>44275</v>
      </c>
      <c r="E10" s="9" t="s">
        <v>20</v>
      </c>
      <c r="F10" s="11">
        <v>100000</v>
      </c>
      <c r="G10" s="9"/>
      <c r="H10" s="9"/>
      <c r="I10" s="9"/>
    </row>
    <row r="11" spans="1:9" s="1" customFormat="1" ht="14.5" customHeight="1" x14ac:dyDescent="0.35">
      <c r="A11" s="8" t="s">
        <v>216</v>
      </c>
      <c r="B11" s="9" t="s">
        <v>88</v>
      </c>
      <c r="C11" s="9"/>
      <c r="D11" s="10">
        <v>44277</v>
      </c>
      <c r="E11" s="9" t="s">
        <v>20</v>
      </c>
      <c r="F11" s="11">
        <v>15000</v>
      </c>
      <c r="G11" s="9"/>
      <c r="H11" s="9"/>
      <c r="I11" s="9"/>
    </row>
    <row r="12" spans="1:9" s="1" customFormat="1" ht="14.5" customHeight="1" x14ac:dyDescent="0.35">
      <c r="A12" s="8" t="s">
        <v>217</v>
      </c>
      <c r="B12" s="9" t="s">
        <v>88</v>
      </c>
      <c r="C12" s="9"/>
      <c r="D12" s="10">
        <v>44321</v>
      </c>
      <c r="E12" s="9" t="s">
        <v>20</v>
      </c>
      <c r="F12" s="11">
        <v>500000</v>
      </c>
      <c r="G12" s="9"/>
      <c r="H12" s="9"/>
      <c r="I12" s="9"/>
    </row>
    <row r="13" spans="1:9" s="1" customFormat="1" ht="14.5" customHeight="1" x14ac:dyDescent="0.35">
      <c r="A13" s="8" t="s">
        <v>218</v>
      </c>
      <c r="B13" s="9" t="s">
        <v>88</v>
      </c>
      <c r="C13" s="9"/>
      <c r="D13" s="10">
        <v>44321</v>
      </c>
      <c r="E13" s="9" t="s">
        <v>20</v>
      </c>
      <c r="F13" s="11">
        <v>200000</v>
      </c>
      <c r="G13" s="9"/>
      <c r="H13" s="9"/>
      <c r="I13" s="9"/>
    </row>
    <row r="14" spans="1:9" s="1" customFormat="1" ht="14.5" customHeight="1" x14ac:dyDescent="0.35">
      <c r="A14" s="8" t="s">
        <v>219</v>
      </c>
      <c r="B14" s="9" t="s">
        <v>88</v>
      </c>
      <c r="C14" s="9"/>
      <c r="D14" s="10">
        <v>44322</v>
      </c>
      <c r="E14" s="9" t="s">
        <v>20</v>
      </c>
      <c r="F14" s="11">
        <v>50000</v>
      </c>
      <c r="G14" s="9"/>
      <c r="H14" s="9"/>
      <c r="I14" s="9"/>
    </row>
    <row r="15" spans="1:9" s="1" customFormat="1" ht="14.5" customHeight="1" x14ac:dyDescent="0.35">
      <c r="A15" s="8" t="s">
        <v>220</v>
      </c>
      <c r="B15" s="9" t="s">
        <v>88</v>
      </c>
      <c r="C15" s="9"/>
      <c r="D15" s="10">
        <v>44322</v>
      </c>
      <c r="E15" s="9" t="s">
        <v>20</v>
      </c>
      <c r="F15" s="11">
        <v>100000</v>
      </c>
      <c r="G15" s="9"/>
      <c r="H15" s="9"/>
      <c r="I15" s="9"/>
    </row>
    <row r="16" spans="1:9" s="1" customFormat="1" ht="14.5" customHeight="1" x14ac:dyDescent="0.35">
      <c r="A16" s="8" t="s">
        <v>235</v>
      </c>
      <c r="B16" s="9" t="s">
        <v>88</v>
      </c>
      <c r="C16" s="9"/>
      <c r="D16" s="10">
        <v>44737</v>
      </c>
      <c r="E16" s="9" t="s">
        <v>20</v>
      </c>
      <c r="F16" s="11">
        <v>200000</v>
      </c>
      <c r="G16" s="9"/>
      <c r="H16" s="9"/>
      <c r="I16" s="9"/>
    </row>
    <row r="17" spans="1:9" s="1" customFormat="1" ht="14.5" customHeight="1" x14ac:dyDescent="0.35">
      <c r="A17" s="8"/>
      <c r="B17" s="12" t="s">
        <v>124</v>
      </c>
      <c r="C17" s="9"/>
      <c r="D17" s="10"/>
      <c r="E17" s="9"/>
      <c r="F17" s="13">
        <f>SUM(F2:F16)</f>
        <v>2390000</v>
      </c>
      <c r="G17" s="9"/>
      <c r="H17" s="9"/>
      <c r="I17" s="9"/>
    </row>
    <row r="18" spans="1:9" s="1" customFormat="1" ht="14.5" customHeight="1" x14ac:dyDescent="0.35">
      <c r="A18" s="8" t="s">
        <v>221</v>
      </c>
      <c r="B18" s="9" t="s">
        <v>89</v>
      </c>
      <c r="C18" s="9"/>
      <c r="D18" s="10">
        <v>44235</v>
      </c>
      <c r="E18" s="9" t="s">
        <v>20</v>
      </c>
      <c r="F18" s="11">
        <v>50000</v>
      </c>
      <c r="G18" s="9"/>
      <c r="H18" s="9"/>
      <c r="I18" s="9"/>
    </row>
    <row r="19" spans="1:9" s="1" customFormat="1" ht="14.5" customHeight="1" x14ac:dyDescent="0.35">
      <c r="A19" s="8" t="s">
        <v>222</v>
      </c>
      <c r="B19" s="9" t="s">
        <v>89</v>
      </c>
      <c r="C19" s="9"/>
      <c r="D19" s="10">
        <v>44280</v>
      </c>
      <c r="E19" s="9" t="s">
        <v>20</v>
      </c>
      <c r="F19" s="11">
        <v>200000</v>
      </c>
      <c r="G19" s="9"/>
      <c r="H19" s="9"/>
      <c r="I19" s="9"/>
    </row>
    <row r="20" spans="1:9" s="1" customFormat="1" ht="14.5" customHeight="1" x14ac:dyDescent="0.35">
      <c r="A20" s="8" t="s">
        <v>223</v>
      </c>
      <c r="B20" s="9" t="s">
        <v>89</v>
      </c>
      <c r="C20" s="9"/>
      <c r="D20" s="10">
        <v>44286</v>
      </c>
      <c r="E20" s="9" t="s">
        <v>20</v>
      </c>
      <c r="F20" s="11">
        <v>400000</v>
      </c>
      <c r="G20" s="9"/>
      <c r="H20" s="9"/>
      <c r="I20" s="9"/>
    </row>
    <row r="21" spans="1:9" s="1" customFormat="1" ht="14.5" customHeight="1" x14ac:dyDescent="0.35">
      <c r="A21" s="8" t="s">
        <v>224</v>
      </c>
      <c r="B21" s="9" t="s">
        <v>89</v>
      </c>
      <c r="C21" s="9"/>
      <c r="D21" s="10">
        <v>44287</v>
      </c>
      <c r="E21" s="9" t="s">
        <v>20</v>
      </c>
      <c r="F21" s="11">
        <v>200000</v>
      </c>
      <c r="G21" s="9"/>
      <c r="H21" s="9"/>
      <c r="I21" s="9"/>
    </row>
    <row r="22" spans="1:9" s="1" customFormat="1" ht="14.5" customHeight="1" x14ac:dyDescent="0.35">
      <c r="A22" s="8" t="s">
        <v>225</v>
      </c>
      <c r="B22" s="9" t="s">
        <v>89</v>
      </c>
      <c r="C22" s="9"/>
      <c r="D22" s="10">
        <v>44287</v>
      </c>
      <c r="E22" s="9" t="s">
        <v>20</v>
      </c>
      <c r="F22" s="11">
        <v>200000</v>
      </c>
      <c r="G22" s="9"/>
      <c r="H22" s="9"/>
      <c r="I22" s="9"/>
    </row>
    <row r="23" spans="1:9" s="1" customFormat="1" ht="14.5" customHeight="1" x14ac:dyDescent="0.35">
      <c r="A23" s="8" t="s">
        <v>226</v>
      </c>
      <c r="B23" s="9" t="s">
        <v>89</v>
      </c>
      <c r="C23" s="9"/>
      <c r="D23" s="10">
        <v>44288</v>
      </c>
      <c r="E23" s="9" t="s">
        <v>20</v>
      </c>
      <c r="F23" s="11">
        <v>500000</v>
      </c>
      <c r="G23" s="9"/>
      <c r="H23" s="9"/>
      <c r="I23" s="9"/>
    </row>
    <row r="24" spans="1:9" s="1" customFormat="1" ht="14.5" customHeight="1" x14ac:dyDescent="0.35">
      <c r="A24" s="8" t="s">
        <v>236</v>
      </c>
      <c r="B24" s="9" t="s">
        <v>89</v>
      </c>
      <c r="C24" s="9"/>
      <c r="D24" s="10">
        <v>44293</v>
      </c>
      <c r="E24" s="9" t="s">
        <v>20</v>
      </c>
      <c r="F24" s="11">
        <v>300000</v>
      </c>
      <c r="G24" s="9"/>
      <c r="H24" s="9"/>
      <c r="I24" s="9"/>
    </row>
    <row r="25" spans="1:9" s="1" customFormat="1" ht="14.5" customHeight="1" x14ac:dyDescent="0.35">
      <c r="A25" s="8" t="s">
        <v>237</v>
      </c>
      <c r="B25" s="9" t="s">
        <v>89</v>
      </c>
      <c r="C25" s="9"/>
      <c r="D25" s="10">
        <v>44548</v>
      </c>
      <c r="E25" s="9" t="s">
        <v>20</v>
      </c>
      <c r="F25" s="11">
        <v>50000</v>
      </c>
      <c r="G25" s="9"/>
      <c r="H25" s="9"/>
      <c r="I25" s="9"/>
    </row>
    <row r="26" spans="1:9" s="1" customFormat="1" ht="14.5" customHeight="1" x14ac:dyDescent="0.35">
      <c r="A26" s="8" t="s">
        <v>238</v>
      </c>
      <c r="B26" s="9" t="s">
        <v>89</v>
      </c>
      <c r="C26" s="9"/>
      <c r="D26" s="10">
        <v>44552</v>
      </c>
      <c r="E26" s="9" t="s">
        <v>20</v>
      </c>
      <c r="F26" s="11">
        <v>300000</v>
      </c>
      <c r="G26" s="9"/>
      <c r="H26" s="9"/>
      <c r="I26" s="9"/>
    </row>
    <row r="27" spans="1:9" s="1" customFormat="1" ht="14.5" customHeight="1" x14ac:dyDescent="0.35">
      <c r="A27" s="8" t="s">
        <v>239</v>
      </c>
      <c r="B27" s="9" t="s">
        <v>89</v>
      </c>
      <c r="C27" s="9"/>
      <c r="D27" s="10">
        <v>44583</v>
      </c>
      <c r="E27" s="9" t="s">
        <v>20</v>
      </c>
      <c r="F27" s="11">
        <v>200000</v>
      </c>
      <c r="G27" s="9"/>
      <c r="H27" s="9"/>
      <c r="I27" s="9"/>
    </row>
    <row r="28" spans="1:9" s="1" customFormat="1" ht="14.5" customHeight="1" x14ac:dyDescent="0.35">
      <c r="A28" s="8" t="s">
        <v>240</v>
      </c>
      <c r="B28" s="9" t="s">
        <v>89</v>
      </c>
      <c r="C28" s="9"/>
      <c r="D28" s="10">
        <v>44583</v>
      </c>
      <c r="E28" s="9" t="s">
        <v>20</v>
      </c>
      <c r="F28" s="11">
        <v>200000</v>
      </c>
      <c r="G28" s="9"/>
      <c r="H28" s="9"/>
      <c r="I28" s="9"/>
    </row>
    <row r="29" spans="1:9" s="1" customFormat="1" ht="14.5" customHeight="1" x14ac:dyDescent="0.35">
      <c r="A29" s="8" t="s">
        <v>241</v>
      </c>
      <c r="B29" s="9" t="s">
        <v>89</v>
      </c>
      <c r="C29" s="9"/>
      <c r="D29" s="10">
        <v>44583</v>
      </c>
      <c r="E29" s="9" t="s">
        <v>20</v>
      </c>
      <c r="F29" s="11">
        <v>200000</v>
      </c>
      <c r="G29" s="9"/>
      <c r="H29" s="9"/>
      <c r="I29" s="9"/>
    </row>
    <row r="30" spans="1:9" s="1" customFormat="1" ht="14.5" customHeight="1" x14ac:dyDescent="0.35">
      <c r="A30" s="8" t="s">
        <v>242</v>
      </c>
      <c r="B30" s="9" t="s">
        <v>89</v>
      </c>
      <c r="C30" s="9"/>
      <c r="D30" s="10">
        <v>44583</v>
      </c>
      <c r="E30" s="9" t="s">
        <v>20</v>
      </c>
      <c r="F30" s="11">
        <v>200000</v>
      </c>
      <c r="G30" s="9"/>
      <c r="H30" s="9"/>
      <c r="I30" s="9"/>
    </row>
    <row r="31" spans="1:9" s="1" customFormat="1" ht="14.5" customHeight="1" x14ac:dyDescent="0.35">
      <c r="A31" s="8" t="s">
        <v>243</v>
      </c>
      <c r="B31" s="9" t="s">
        <v>89</v>
      </c>
      <c r="C31" s="9"/>
      <c r="D31" s="10">
        <v>44583</v>
      </c>
      <c r="E31" s="9" t="s">
        <v>20</v>
      </c>
      <c r="F31" s="11">
        <v>200000</v>
      </c>
      <c r="G31" s="9"/>
      <c r="H31" s="9"/>
      <c r="I31" s="9"/>
    </row>
    <row r="32" spans="1:9" s="1" customFormat="1" ht="14.5" customHeight="1" x14ac:dyDescent="0.35">
      <c r="A32" s="8" t="s">
        <v>244</v>
      </c>
      <c r="B32" s="9" t="s">
        <v>89</v>
      </c>
      <c r="C32" s="9"/>
      <c r="D32" s="10">
        <v>44584</v>
      </c>
      <c r="E32" s="9" t="s">
        <v>20</v>
      </c>
      <c r="F32" s="11">
        <v>200000</v>
      </c>
      <c r="G32" s="9"/>
      <c r="H32" s="9"/>
      <c r="I32" s="9"/>
    </row>
    <row r="33" spans="1:9" s="1" customFormat="1" ht="14.5" customHeight="1" x14ac:dyDescent="0.35">
      <c r="A33" s="8" t="s">
        <v>245</v>
      </c>
      <c r="B33" s="9" t="s">
        <v>89</v>
      </c>
      <c r="C33" s="9"/>
      <c r="D33" s="10">
        <v>44584</v>
      </c>
      <c r="E33" s="9" t="s">
        <v>20</v>
      </c>
      <c r="F33" s="11">
        <v>200000</v>
      </c>
      <c r="G33" s="9"/>
      <c r="H33" s="9"/>
      <c r="I33" s="9"/>
    </row>
    <row r="34" spans="1:9" s="1" customFormat="1" ht="14.5" customHeight="1" x14ac:dyDescent="0.35">
      <c r="A34" s="8" t="s">
        <v>246</v>
      </c>
      <c r="B34" s="9" t="s">
        <v>89</v>
      </c>
      <c r="C34" s="9"/>
      <c r="D34" s="10">
        <v>44585</v>
      </c>
      <c r="E34" s="9" t="s">
        <v>20</v>
      </c>
      <c r="F34" s="11">
        <v>500000</v>
      </c>
      <c r="G34" s="9"/>
      <c r="H34" s="9"/>
      <c r="I34" s="9"/>
    </row>
    <row r="35" spans="1:9" s="1" customFormat="1" ht="14.5" customHeight="1" x14ac:dyDescent="0.35">
      <c r="A35" s="8" t="s">
        <v>247</v>
      </c>
      <c r="B35" s="9" t="s">
        <v>89</v>
      </c>
      <c r="C35" s="9"/>
      <c r="D35" s="10">
        <v>44726</v>
      </c>
      <c r="E35" s="9" t="s">
        <v>20</v>
      </c>
      <c r="F35" s="11">
        <v>500000</v>
      </c>
      <c r="G35" s="9"/>
      <c r="H35" s="9"/>
      <c r="I35" s="9"/>
    </row>
    <row r="36" spans="1:9" s="1" customFormat="1" ht="14.5" customHeight="1" x14ac:dyDescent="0.35">
      <c r="A36" s="8" t="s">
        <v>248</v>
      </c>
      <c r="B36" s="9" t="s">
        <v>89</v>
      </c>
      <c r="C36" s="9"/>
      <c r="D36" s="10">
        <v>44732</v>
      </c>
      <c r="E36" s="9" t="s">
        <v>20</v>
      </c>
      <c r="F36" s="11">
        <v>500000</v>
      </c>
      <c r="G36" s="9"/>
      <c r="H36" s="9"/>
      <c r="I36" s="9"/>
    </row>
    <row r="37" spans="1:9" s="1" customFormat="1" ht="14.5" customHeight="1" x14ac:dyDescent="0.35">
      <c r="A37" s="8" t="s">
        <v>249</v>
      </c>
      <c r="B37" s="9" t="s">
        <v>89</v>
      </c>
      <c r="C37" s="9"/>
      <c r="D37" s="10">
        <v>44733</v>
      </c>
      <c r="E37" s="9" t="s">
        <v>20</v>
      </c>
      <c r="F37" s="11">
        <v>300000</v>
      </c>
      <c r="G37" s="9"/>
      <c r="H37" s="9"/>
      <c r="I37" s="9"/>
    </row>
    <row r="38" spans="1:9" s="1" customFormat="1" ht="14.5" customHeight="1" x14ac:dyDescent="0.35">
      <c r="A38" s="8" t="s">
        <v>250</v>
      </c>
      <c r="B38" s="9" t="s">
        <v>89</v>
      </c>
      <c r="C38" s="9"/>
      <c r="D38" s="10" t="s">
        <v>109</v>
      </c>
      <c r="E38" s="9" t="s">
        <v>20</v>
      </c>
      <c r="F38" s="11">
        <v>500000</v>
      </c>
      <c r="G38" s="9"/>
      <c r="H38" s="9"/>
      <c r="I38" s="9"/>
    </row>
    <row r="39" spans="1:9" s="1" customFormat="1" ht="14.5" customHeight="1" x14ac:dyDescent="0.35">
      <c r="A39" s="8"/>
      <c r="B39" s="12" t="s">
        <v>125</v>
      </c>
      <c r="C39" s="9"/>
      <c r="D39" s="10"/>
      <c r="E39" s="9"/>
      <c r="F39" s="13">
        <f>SUM(F18:F38)</f>
        <v>5900000</v>
      </c>
      <c r="G39" s="9"/>
      <c r="H39" s="9"/>
      <c r="I39" s="9"/>
    </row>
    <row r="40" spans="1:9" s="1" customFormat="1" ht="14.5" customHeight="1" x14ac:dyDescent="0.35">
      <c r="A40" s="8" t="s">
        <v>227</v>
      </c>
      <c r="B40" s="9" t="s">
        <v>90</v>
      </c>
      <c r="C40" s="9"/>
      <c r="D40" s="10">
        <v>44281</v>
      </c>
      <c r="E40" s="9" t="s">
        <v>20</v>
      </c>
      <c r="F40" s="11">
        <v>200000</v>
      </c>
      <c r="G40" s="9"/>
      <c r="H40" s="9"/>
      <c r="I40" s="9"/>
    </row>
    <row r="41" spans="1:9" s="1" customFormat="1" ht="14.5" customHeight="1" x14ac:dyDescent="0.35">
      <c r="A41" s="8" t="s">
        <v>228</v>
      </c>
      <c r="B41" s="9" t="s">
        <v>90</v>
      </c>
      <c r="C41" s="9"/>
      <c r="D41" s="10">
        <v>44281</v>
      </c>
      <c r="E41" s="9" t="s">
        <v>20</v>
      </c>
      <c r="F41" s="11">
        <v>200000</v>
      </c>
      <c r="G41" s="9"/>
      <c r="H41" s="9"/>
      <c r="I41" s="9"/>
    </row>
    <row r="42" spans="1:9" s="1" customFormat="1" ht="14.5" customHeight="1" x14ac:dyDescent="0.35">
      <c r="A42" s="8" t="s">
        <v>229</v>
      </c>
      <c r="B42" s="9" t="s">
        <v>90</v>
      </c>
      <c r="C42" s="9"/>
      <c r="D42" s="10">
        <v>44282</v>
      </c>
      <c r="E42" s="9" t="s">
        <v>20</v>
      </c>
      <c r="F42" s="11">
        <v>200000</v>
      </c>
      <c r="G42" s="9"/>
      <c r="H42" s="9"/>
      <c r="I42" s="9"/>
    </row>
    <row r="43" spans="1:9" s="1" customFormat="1" ht="14.5" customHeight="1" x14ac:dyDescent="0.35">
      <c r="A43" s="8"/>
      <c r="B43" s="12" t="s">
        <v>126</v>
      </c>
      <c r="C43" s="9"/>
      <c r="D43" s="10"/>
      <c r="E43" s="9"/>
      <c r="F43" s="13">
        <f>SUM(F40:F42)</f>
        <v>600000</v>
      </c>
      <c r="G43" s="9"/>
      <c r="H43" s="9"/>
      <c r="I43" s="9"/>
    </row>
    <row r="44" spans="1:9" s="1" customFormat="1" ht="14.5" customHeight="1" x14ac:dyDescent="0.35">
      <c r="A44" s="8" t="s">
        <v>192</v>
      </c>
      <c r="B44" s="9" t="s">
        <v>91</v>
      </c>
      <c r="C44" s="9"/>
      <c r="D44" s="10">
        <v>44280</v>
      </c>
      <c r="E44" s="9" t="s">
        <v>20</v>
      </c>
      <c r="F44" s="11">
        <v>200000</v>
      </c>
      <c r="G44" s="9"/>
      <c r="H44" s="9"/>
      <c r="I44" s="9"/>
    </row>
    <row r="45" spans="1:9" s="1" customFormat="1" ht="14.5" customHeight="1" x14ac:dyDescent="0.35">
      <c r="A45" s="8" t="s">
        <v>193</v>
      </c>
      <c r="B45" s="9" t="s">
        <v>91</v>
      </c>
      <c r="C45" s="9"/>
      <c r="D45" s="10">
        <v>44288</v>
      </c>
      <c r="E45" s="9" t="s">
        <v>20</v>
      </c>
      <c r="F45" s="11">
        <v>500000</v>
      </c>
      <c r="G45" s="9"/>
      <c r="H45" s="9"/>
      <c r="I45" s="9"/>
    </row>
    <row r="46" spans="1:9" s="1" customFormat="1" ht="14.5" customHeight="1" x14ac:dyDescent="0.35">
      <c r="A46" s="8" t="s">
        <v>194</v>
      </c>
      <c r="B46" s="9" t="s">
        <v>91</v>
      </c>
      <c r="C46" s="9"/>
      <c r="D46" s="10">
        <v>44288</v>
      </c>
      <c r="E46" s="9" t="s">
        <v>20</v>
      </c>
      <c r="F46" s="11">
        <v>200000</v>
      </c>
      <c r="G46" s="9"/>
      <c r="H46" s="9"/>
      <c r="I46" s="9"/>
    </row>
    <row r="47" spans="1:9" s="1" customFormat="1" ht="14.5" customHeight="1" x14ac:dyDescent="0.35">
      <c r="A47" s="8" t="s">
        <v>195</v>
      </c>
      <c r="B47" s="9" t="s">
        <v>91</v>
      </c>
      <c r="C47" s="9"/>
      <c r="D47" s="10" t="s">
        <v>110</v>
      </c>
      <c r="E47" s="9" t="s">
        <v>20</v>
      </c>
      <c r="F47" s="11">
        <v>200000</v>
      </c>
      <c r="G47" s="9"/>
      <c r="H47" s="9"/>
      <c r="I47" s="9"/>
    </row>
    <row r="48" spans="1:9" s="1" customFormat="1" ht="14.5" customHeight="1" x14ac:dyDescent="0.35">
      <c r="A48" s="8" t="s">
        <v>196</v>
      </c>
      <c r="B48" s="9" t="s">
        <v>91</v>
      </c>
      <c r="C48" s="9"/>
      <c r="D48" s="10" t="s">
        <v>111</v>
      </c>
      <c r="E48" s="9" t="s">
        <v>20</v>
      </c>
      <c r="F48" s="11">
        <v>300000</v>
      </c>
      <c r="G48" s="9"/>
      <c r="H48" s="9"/>
      <c r="I48" s="9"/>
    </row>
    <row r="49" spans="1:9" s="1" customFormat="1" ht="14.5" customHeight="1" x14ac:dyDescent="0.35">
      <c r="A49" s="8"/>
      <c r="B49" s="12" t="s">
        <v>127</v>
      </c>
      <c r="C49" s="9"/>
      <c r="D49" s="10"/>
      <c r="E49" s="9"/>
      <c r="F49" s="13">
        <f>SUM(F44:F48)</f>
        <v>1400000</v>
      </c>
      <c r="G49" s="9"/>
      <c r="H49" s="9"/>
      <c r="I49" s="9"/>
    </row>
    <row r="50" spans="1:9" s="1" customFormat="1" ht="14.5" customHeight="1" x14ac:dyDescent="0.35">
      <c r="A50" s="8">
        <v>5</v>
      </c>
      <c r="B50" s="9" t="s">
        <v>92</v>
      </c>
      <c r="C50" s="9"/>
      <c r="D50" s="10" t="s">
        <v>112</v>
      </c>
      <c r="E50" s="9" t="s">
        <v>20</v>
      </c>
      <c r="F50" s="11">
        <v>200000</v>
      </c>
      <c r="G50" s="9"/>
      <c r="H50" s="9"/>
      <c r="I50" s="9"/>
    </row>
    <row r="51" spans="1:9" s="1" customFormat="1" ht="14.5" customHeight="1" x14ac:dyDescent="0.35">
      <c r="A51" s="8" t="s">
        <v>232</v>
      </c>
      <c r="B51" s="9" t="s">
        <v>93</v>
      </c>
      <c r="C51" s="9"/>
      <c r="D51" s="10">
        <v>44544</v>
      </c>
      <c r="E51" s="9" t="s">
        <v>20</v>
      </c>
      <c r="F51" s="11">
        <v>200000</v>
      </c>
      <c r="G51" s="9"/>
      <c r="H51" s="9"/>
      <c r="I51" s="9"/>
    </row>
    <row r="52" spans="1:9" s="1" customFormat="1" ht="14.5" customHeight="1" x14ac:dyDescent="0.35">
      <c r="A52" s="8" t="s">
        <v>233</v>
      </c>
      <c r="B52" s="9" t="s">
        <v>93</v>
      </c>
      <c r="C52" s="9"/>
      <c r="D52" s="10">
        <v>44544</v>
      </c>
      <c r="E52" s="9" t="s">
        <v>20</v>
      </c>
      <c r="F52" s="11">
        <v>200000</v>
      </c>
      <c r="G52" s="9"/>
      <c r="H52" s="9"/>
      <c r="I52" s="9"/>
    </row>
    <row r="53" spans="1:9" s="1" customFormat="1" ht="14.5" customHeight="1" x14ac:dyDescent="0.35">
      <c r="A53" s="8" t="s">
        <v>234</v>
      </c>
      <c r="B53" s="9" t="s">
        <v>93</v>
      </c>
      <c r="C53" s="9"/>
      <c r="D53" s="10">
        <v>44544</v>
      </c>
      <c r="E53" s="9" t="s">
        <v>20</v>
      </c>
      <c r="F53" s="11">
        <v>200000</v>
      </c>
      <c r="G53" s="9"/>
      <c r="H53" s="9"/>
      <c r="I53" s="9"/>
    </row>
    <row r="54" spans="1:9" s="1" customFormat="1" ht="14.5" customHeight="1" x14ac:dyDescent="0.35">
      <c r="A54" s="8" t="s">
        <v>251</v>
      </c>
      <c r="B54" s="9" t="s">
        <v>93</v>
      </c>
      <c r="C54" s="9"/>
      <c r="D54" s="10">
        <v>44544</v>
      </c>
      <c r="E54" s="9" t="s">
        <v>20</v>
      </c>
      <c r="F54" s="11">
        <v>200000</v>
      </c>
      <c r="G54" s="9"/>
      <c r="H54" s="9"/>
      <c r="I54" s="9"/>
    </row>
    <row r="55" spans="1:9" s="1" customFormat="1" ht="14.5" customHeight="1" x14ac:dyDescent="0.35">
      <c r="A55" s="8" t="s">
        <v>252</v>
      </c>
      <c r="B55" s="9" t="s">
        <v>93</v>
      </c>
      <c r="C55" s="9"/>
      <c r="D55" s="10" t="s">
        <v>113</v>
      </c>
      <c r="E55" s="9" t="s">
        <v>20</v>
      </c>
      <c r="F55" s="11">
        <v>200000</v>
      </c>
      <c r="G55" s="9"/>
      <c r="H55" s="9"/>
      <c r="I55" s="9"/>
    </row>
    <row r="56" spans="1:9" s="1" customFormat="1" ht="14.5" customHeight="1" x14ac:dyDescent="0.35">
      <c r="A56" s="8" t="s">
        <v>253</v>
      </c>
      <c r="B56" s="9" t="s">
        <v>93</v>
      </c>
      <c r="C56" s="9"/>
      <c r="D56" s="10">
        <v>44585</v>
      </c>
      <c r="E56" s="9" t="s">
        <v>20</v>
      </c>
      <c r="F56" s="11">
        <v>500000</v>
      </c>
      <c r="G56" s="9"/>
      <c r="H56" s="9"/>
      <c r="I56" s="9"/>
    </row>
    <row r="57" spans="1:9" s="1" customFormat="1" ht="14.5" customHeight="1" x14ac:dyDescent="0.35">
      <c r="A57" s="8"/>
      <c r="B57" s="12" t="s">
        <v>128</v>
      </c>
      <c r="C57" s="9"/>
      <c r="D57" s="10"/>
      <c r="E57" s="9"/>
      <c r="F57" s="13">
        <f>SUM(F51:F56)</f>
        <v>1500000</v>
      </c>
      <c r="G57" s="9"/>
      <c r="H57" s="9"/>
      <c r="I57" s="9"/>
    </row>
    <row r="58" spans="1:9" s="1" customFormat="1" ht="14.5" customHeight="1" x14ac:dyDescent="0.35">
      <c r="A58" s="18">
        <v>7</v>
      </c>
      <c r="B58" s="17" t="s">
        <v>108</v>
      </c>
      <c r="C58" s="17"/>
      <c r="D58" s="15">
        <v>44757</v>
      </c>
      <c r="E58" s="14" t="s">
        <v>20</v>
      </c>
      <c r="F58" s="16">
        <v>1015250</v>
      </c>
      <c r="G58" s="17" t="s">
        <v>138</v>
      </c>
      <c r="H58" s="14"/>
      <c r="I58" s="14"/>
    </row>
    <row r="79" spans="2:7" ht="14.5" customHeight="1" x14ac:dyDescent="0.35">
      <c r="B79" t="s">
        <v>337</v>
      </c>
      <c r="G79" t="s">
        <v>336</v>
      </c>
    </row>
    <row r="80" spans="2:7" ht="14.5" customHeight="1" x14ac:dyDescent="0.35">
      <c r="D80" s="22">
        <v>45295</v>
      </c>
      <c r="E80" t="s">
        <v>20</v>
      </c>
      <c r="G80" t="s">
        <v>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DF32-0A05-4E6C-99D9-E285A05FE2C6}">
  <dimension ref="A1:I80"/>
  <sheetViews>
    <sheetView topLeftCell="A5" zoomScale="90" zoomScaleNormal="90" workbookViewId="0">
      <selection activeCell="B10" sqref="B10"/>
    </sheetView>
  </sheetViews>
  <sheetFormatPr defaultColWidth="9.1796875" defaultRowHeight="18.75" customHeight="1" x14ac:dyDescent="0.35"/>
  <cols>
    <col min="1" max="1" width="7.453125" style="46" bestFit="1" customWidth="1"/>
    <col min="2" max="2" width="59.7265625" style="37" customWidth="1"/>
    <col min="3" max="3" width="22" style="37" customWidth="1"/>
    <col min="4" max="4" width="13.7265625" style="47" customWidth="1"/>
    <col min="5" max="5" width="13.453125" style="43" customWidth="1"/>
    <col min="6" max="6" width="13.81640625" style="48" customWidth="1"/>
    <col min="7" max="7" width="58.1796875" style="43" customWidth="1"/>
    <col min="8" max="8" width="27.453125" style="43" bestFit="1" customWidth="1"/>
    <col min="9" max="9" width="21.81640625" style="43" customWidth="1"/>
    <col min="10" max="16384" width="9.1796875" style="43"/>
  </cols>
  <sheetData>
    <row r="1" spans="1:9" s="37" customFormat="1" ht="36" customHeight="1" x14ac:dyDescent="0.35">
      <c r="A1" s="33" t="s">
        <v>0</v>
      </c>
      <c r="B1" s="34" t="s">
        <v>1</v>
      </c>
      <c r="C1" s="34" t="s">
        <v>2</v>
      </c>
      <c r="D1" s="35" t="s">
        <v>3</v>
      </c>
      <c r="E1" s="34" t="s">
        <v>4</v>
      </c>
      <c r="F1" s="36" t="s">
        <v>5</v>
      </c>
      <c r="G1" s="34" t="s">
        <v>6</v>
      </c>
      <c r="H1" s="34" t="s">
        <v>7</v>
      </c>
      <c r="I1" s="34" t="s">
        <v>31</v>
      </c>
    </row>
    <row r="2" spans="1:9" ht="18.75" customHeight="1" x14ac:dyDescent="0.35">
      <c r="A2" s="38" t="s">
        <v>207</v>
      </c>
      <c r="B2" s="39" t="s">
        <v>55</v>
      </c>
      <c r="C2" s="39" t="s">
        <v>8</v>
      </c>
      <c r="D2" s="40" t="s">
        <v>9</v>
      </c>
      <c r="E2" s="41" t="s">
        <v>15</v>
      </c>
      <c r="F2" s="42">
        <v>1450013</v>
      </c>
      <c r="G2" s="39" t="s">
        <v>12</v>
      </c>
      <c r="H2" s="43" t="s">
        <v>27</v>
      </c>
    </row>
    <row r="3" spans="1:9" ht="18.75" customHeight="1" x14ac:dyDescent="0.35">
      <c r="A3" s="38" t="s">
        <v>208</v>
      </c>
      <c r="B3" s="39" t="s">
        <v>55</v>
      </c>
      <c r="C3" s="39" t="s">
        <v>8</v>
      </c>
      <c r="D3" s="40" t="s">
        <v>10</v>
      </c>
      <c r="E3" s="41" t="s">
        <v>15</v>
      </c>
      <c r="F3" s="42">
        <v>1000013</v>
      </c>
      <c r="G3" s="39" t="s">
        <v>13</v>
      </c>
      <c r="H3" s="43" t="s">
        <v>27</v>
      </c>
    </row>
    <row r="4" spans="1:9" ht="18.75" customHeight="1" x14ac:dyDescent="0.35">
      <c r="A4" s="38" t="s">
        <v>209</v>
      </c>
      <c r="B4" s="39" t="s">
        <v>55</v>
      </c>
      <c r="C4" s="39" t="s">
        <v>8</v>
      </c>
      <c r="D4" s="40" t="s">
        <v>11</v>
      </c>
      <c r="E4" s="41" t="s">
        <v>15</v>
      </c>
      <c r="F4" s="42">
        <v>312500</v>
      </c>
      <c r="G4" s="39" t="s">
        <v>14</v>
      </c>
      <c r="H4" s="43" t="s">
        <v>27</v>
      </c>
    </row>
    <row r="5" spans="1:9" ht="18.75" customHeight="1" x14ac:dyDescent="0.35">
      <c r="A5" s="38"/>
      <c r="B5" s="44" t="s">
        <v>56</v>
      </c>
      <c r="C5" s="39"/>
      <c r="D5" s="40"/>
      <c r="E5" s="41"/>
      <c r="F5" s="45">
        <f>SUM(F2:F4)</f>
        <v>2762526</v>
      </c>
      <c r="G5" s="39"/>
      <c r="H5" s="41"/>
      <c r="I5" s="41"/>
    </row>
    <row r="6" spans="1:9" ht="18.75" customHeight="1" x14ac:dyDescent="0.35">
      <c r="A6" s="38" t="s">
        <v>221</v>
      </c>
      <c r="B6" s="39" t="s">
        <v>18</v>
      </c>
      <c r="C6" s="39" t="s">
        <v>19</v>
      </c>
      <c r="D6" s="40" t="s">
        <v>16</v>
      </c>
      <c r="E6" s="41" t="s">
        <v>20</v>
      </c>
      <c r="F6" s="42">
        <v>3000000</v>
      </c>
      <c r="G6" s="39" t="s">
        <v>22</v>
      </c>
      <c r="H6" s="41"/>
      <c r="I6" s="41" t="s">
        <v>32</v>
      </c>
    </row>
    <row r="7" spans="1:9" ht="18.75" customHeight="1" x14ac:dyDescent="0.35">
      <c r="A7" s="38" t="s">
        <v>222</v>
      </c>
      <c r="B7" s="39" t="s">
        <v>18</v>
      </c>
      <c r="C7" s="39" t="s">
        <v>19</v>
      </c>
      <c r="D7" s="40" t="s">
        <v>17</v>
      </c>
      <c r="E7" s="41" t="s">
        <v>20</v>
      </c>
      <c r="F7" s="42">
        <v>496320</v>
      </c>
      <c r="G7" s="39" t="s">
        <v>21</v>
      </c>
      <c r="H7" s="41"/>
      <c r="I7" s="41" t="s">
        <v>32</v>
      </c>
    </row>
    <row r="8" spans="1:9" ht="18.75" customHeight="1" x14ac:dyDescent="0.35">
      <c r="A8" s="38"/>
      <c r="B8" s="44" t="s">
        <v>57</v>
      </c>
      <c r="C8" s="39"/>
      <c r="D8" s="40"/>
      <c r="E8" s="41"/>
      <c r="F8" s="45">
        <f>SUM(F6:F7)</f>
        <v>3496320</v>
      </c>
      <c r="G8" s="39"/>
      <c r="H8" s="41"/>
      <c r="I8" s="41"/>
    </row>
    <row r="9" spans="1:9" ht="16.5" customHeight="1" x14ac:dyDescent="0.35">
      <c r="A9" s="38">
        <v>3</v>
      </c>
      <c r="B9" s="39" t="s">
        <v>77</v>
      </c>
      <c r="C9" s="39" t="s">
        <v>19</v>
      </c>
      <c r="D9" s="40" t="s">
        <v>78</v>
      </c>
      <c r="E9" s="41" t="s">
        <v>20</v>
      </c>
      <c r="F9" s="42">
        <v>450000</v>
      </c>
      <c r="G9" s="41"/>
      <c r="H9" s="41"/>
      <c r="I9" s="41"/>
    </row>
    <row r="10" spans="1:9" ht="16.5" customHeight="1" x14ac:dyDescent="0.35">
      <c r="A10" s="38" t="s">
        <v>192</v>
      </c>
      <c r="B10" s="39" t="s">
        <v>95</v>
      </c>
      <c r="C10" s="39"/>
      <c r="D10" s="40">
        <v>44313</v>
      </c>
      <c r="E10" s="41" t="s">
        <v>20</v>
      </c>
      <c r="F10" s="42">
        <v>200000</v>
      </c>
      <c r="G10" s="41" t="s">
        <v>116</v>
      </c>
      <c r="H10" s="41"/>
      <c r="I10" s="41"/>
    </row>
    <row r="11" spans="1:9" ht="16.5" customHeight="1" x14ac:dyDescent="0.35">
      <c r="A11" s="38" t="s">
        <v>193</v>
      </c>
      <c r="B11" s="39" t="s">
        <v>95</v>
      </c>
      <c r="C11" s="39"/>
      <c r="D11" s="40">
        <v>44314</v>
      </c>
      <c r="E11" s="41" t="s">
        <v>20</v>
      </c>
      <c r="F11" s="42">
        <v>1300000</v>
      </c>
      <c r="G11" s="41" t="s">
        <v>116</v>
      </c>
      <c r="H11" s="41"/>
      <c r="I11" s="41"/>
    </row>
    <row r="12" spans="1:9" ht="17.25" customHeight="1" x14ac:dyDescent="0.35">
      <c r="A12" s="50"/>
      <c r="B12" s="51" t="s">
        <v>129</v>
      </c>
      <c r="C12" s="52"/>
      <c r="D12" s="53"/>
      <c r="E12" s="54"/>
      <c r="F12" s="55">
        <f>SUM(F10:F11)</f>
        <v>1500000</v>
      </c>
      <c r="G12" s="54"/>
      <c r="H12" s="54"/>
      <c r="I12" s="54"/>
    </row>
    <row r="13" spans="1:9" ht="20.25" customHeight="1" x14ac:dyDescent="0.35">
      <c r="A13" s="56">
        <v>5</v>
      </c>
      <c r="B13" s="57" t="s">
        <v>154</v>
      </c>
      <c r="C13" s="57" t="s">
        <v>155</v>
      </c>
      <c r="D13" s="58">
        <v>44141</v>
      </c>
      <c r="E13" s="57" t="s">
        <v>150</v>
      </c>
      <c r="F13" s="59">
        <v>5000000</v>
      </c>
      <c r="G13" s="57" t="s">
        <v>156</v>
      </c>
      <c r="H13" s="57"/>
      <c r="I13" s="57"/>
    </row>
    <row r="14" spans="1:9" ht="16.5" customHeight="1" x14ac:dyDescent="0.35">
      <c r="A14" s="60" t="s">
        <v>232</v>
      </c>
      <c r="B14" s="61" t="s">
        <v>67</v>
      </c>
      <c r="C14" s="61"/>
      <c r="D14" s="58" t="s">
        <v>65</v>
      </c>
      <c r="E14" s="57" t="s">
        <v>20</v>
      </c>
      <c r="F14" s="59">
        <v>510000</v>
      </c>
      <c r="G14" s="57" t="s">
        <v>189</v>
      </c>
      <c r="H14" s="57"/>
      <c r="I14" s="57"/>
    </row>
    <row r="15" spans="1:9" ht="16.5" customHeight="1" x14ac:dyDescent="0.35">
      <c r="A15" s="60" t="s">
        <v>233</v>
      </c>
      <c r="B15" s="61" t="s">
        <v>67</v>
      </c>
      <c r="C15" s="61"/>
      <c r="D15" s="58" t="s">
        <v>66</v>
      </c>
      <c r="E15" s="57" t="s">
        <v>20</v>
      </c>
      <c r="F15" s="59">
        <v>2700000</v>
      </c>
      <c r="G15" s="57"/>
      <c r="H15" s="57"/>
      <c r="I15" s="57"/>
    </row>
    <row r="16" spans="1:9" ht="16.5" customHeight="1" x14ac:dyDescent="0.35">
      <c r="A16" s="60"/>
      <c r="B16" s="62" t="s">
        <v>68</v>
      </c>
      <c r="C16" s="61"/>
      <c r="D16" s="58"/>
      <c r="E16" s="57"/>
      <c r="F16" s="63">
        <f>SUM(F14:F15)</f>
        <v>3210000</v>
      </c>
      <c r="G16" s="57"/>
      <c r="H16" s="57"/>
      <c r="I16" s="57"/>
    </row>
    <row r="17" spans="1:9" ht="16.5" customHeight="1" x14ac:dyDescent="0.35">
      <c r="A17" s="60">
        <v>7</v>
      </c>
      <c r="B17" s="61" t="s">
        <v>24</v>
      </c>
      <c r="C17" s="61" t="s">
        <v>23</v>
      </c>
      <c r="D17" s="58" t="s">
        <v>25</v>
      </c>
      <c r="E17" s="57" t="s">
        <v>20</v>
      </c>
      <c r="F17" s="59">
        <v>500000</v>
      </c>
      <c r="G17" s="57" t="s">
        <v>26</v>
      </c>
      <c r="H17" s="57"/>
      <c r="I17" s="57" t="s">
        <v>32</v>
      </c>
    </row>
    <row r="79" spans="2:7" ht="18.75" customHeight="1" x14ac:dyDescent="0.35">
      <c r="B79" s="37" t="s">
        <v>337</v>
      </c>
      <c r="G79" s="43" t="s">
        <v>336</v>
      </c>
    </row>
    <row r="80" spans="2:7" ht="18.75" customHeight="1" x14ac:dyDescent="0.35">
      <c r="D80" s="47">
        <v>45295</v>
      </c>
      <c r="E80" s="43" t="s">
        <v>20</v>
      </c>
      <c r="G80" s="43" t="s">
        <v>338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CC07-34F7-4780-B273-EA94CE938DD1}">
  <dimension ref="A1:L107"/>
  <sheetViews>
    <sheetView zoomScale="80" zoomScaleNormal="80" workbookViewId="0">
      <pane xSplit="2" ySplit="1" topLeftCell="C30" activePane="bottomRight" state="frozen"/>
      <selection activeCell="G24" sqref="G24"/>
      <selection pane="topRight" activeCell="G24" sqref="G24"/>
      <selection pane="bottomLeft" activeCell="G24" sqref="G24"/>
      <selection pane="bottomRight" activeCell="B30" sqref="B30"/>
    </sheetView>
  </sheetViews>
  <sheetFormatPr defaultColWidth="9.1796875" defaultRowHeight="14.5" x14ac:dyDescent="0.35"/>
  <cols>
    <col min="1" max="1" width="9.08984375" style="46" customWidth="1"/>
    <col min="2" max="2" width="59.7265625" style="37" customWidth="1"/>
    <col min="3" max="3" width="21.90625" style="37" customWidth="1"/>
    <col min="4" max="4" width="13.1796875" style="47" customWidth="1"/>
    <col min="5" max="5" width="11.26953125" style="43" customWidth="1"/>
    <col min="6" max="6" width="21.7265625" style="113" customWidth="1"/>
    <col min="7" max="7" width="58.1796875" style="43" customWidth="1"/>
    <col min="8" max="8" width="36.26953125" style="43" customWidth="1"/>
    <col min="9" max="9" width="30.90625" style="43" customWidth="1"/>
    <col min="10" max="11" width="24.54296875" style="43" customWidth="1"/>
    <col min="12" max="16384" width="9.1796875" style="43"/>
  </cols>
  <sheetData>
    <row r="1" spans="1:11" s="37" customFormat="1" ht="33" customHeight="1" x14ac:dyDescent="0.35">
      <c r="A1" s="163" t="s">
        <v>0</v>
      </c>
      <c r="B1" s="164" t="s">
        <v>1</v>
      </c>
      <c r="C1" s="164" t="s">
        <v>2</v>
      </c>
      <c r="D1" s="165" t="s">
        <v>3</v>
      </c>
      <c r="E1" s="164" t="s">
        <v>4</v>
      </c>
      <c r="F1" s="166" t="s">
        <v>5</v>
      </c>
      <c r="G1" s="167" t="s">
        <v>6</v>
      </c>
      <c r="H1" s="164" t="s">
        <v>451</v>
      </c>
      <c r="I1" s="164" t="s">
        <v>31</v>
      </c>
      <c r="J1" s="164" t="s">
        <v>565</v>
      </c>
      <c r="K1" s="164" t="s">
        <v>566</v>
      </c>
    </row>
    <row r="2" spans="1:11" ht="18" customHeight="1" x14ac:dyDescent="0.35">
      <c r="A2" s="144">
        <v>1</v>
      </c>
      <c r="B2" s="141" t="s">
        <v>180</v>
      </c>
      <c r="C2" s="141" t="s">
        <v>152</v>
      </c>
      <c r="D2" s="145">
        <v>44706</v>
      </c>
      <c r="E2" s="146" t="s">
        <v>173</v>
      </c>
      <c r="F2" s="147">
        <v>17000000</v>
      </c>
      <c r="G2" s="146" t="s">
        <v>392</v>
      </c>
      <c r="H2" s="146" t="s">
        <v>452</v>
      </c>
      <c r="I2" s="146" t="s">
        <v>669</v>
      </c>
      <c r="J2" s="146" t="s">
        <v>313</v>
      </c>
      <c r="K2" s="146"/>
    </row>
    <row r="3" spans="1:11" ht="18" customHeight="1" x14ac:dyDescent="0.35">
      <c r="A3" s="144"/>
      <c r="B3" s="141"/>
      <c r="C3" s="141"/>
      <c r="D3" s="145"/>
      <c r="E3" s="146"/>
      <c r="F3" s="147"/>
      <c r="G3" s="146"/>
      <c r="H3" s="146"/>
      <c r="I3" s="146"/>
      <c r="J3" s="146"/>
      <c r="K3" s="146"/>
    </row>
    <row r="4" spans="1:11" ht="18" customHeight="1" x14ac:dyDescent="0.35">
      <c r="A4" s="144" t="s">
        <v>221</v>
      </c>
      <c r="B4" s="141" t="s">
        <v>165</v>
      </c>
      <c r="C4" s="141" t="s">
        <v>166</v>
      </c>
      <c r="D4" s="145">
        <v>44736</v>
      </c>
      <c r="E4" s="146" t="s">
        <v>173</v>
      </c>
      <c r="F4" s="147">
        <v>5000000</v>
      </c>
      <c r="G4" s="146" t="s">
        <v>587</v>
      </c>
      <c r="H4" s="146" t="s">
        <v>452</v>
      </c>
      <c r="I4" s="146" t="s">
        <v>669</v>
      </c>
      <c r="J4" s="146"/>
      <c r="K4" s="146"/>
    </row>
    <row r="5" spans="1:11" ht="18" customHeight="1" x14ac:dyDescent="0.35">
      <c r="A5" s="144" t="s">
        <v>222</v>
      </c>
      <c r="B5" s="141" t="s">
        <v>165</v>
      </c>
      <c r="C5" s="141" t="s">
        <v>166</v>
      </c>
      <c r="D5" s="145">
        <v>44971</v>
      </c>
      <c r="E5" s="146" t="s">
        <v>173</v>
      </c>
      <c r="F5" s="147">
        <v>5000000</v>
      </c>
      <c r="G5" s="146" t="s">
        <v>588</v>
      </c>
      <c r="H5" s="146" t="s">
        <v>452</v>
      </c>
      <c r="I5" s="146" t="s">
        <v>669</v>
      </c>
      <c r="J5" s="146"/>
      <c r="K5" s="146"/>
    </row>
    <row r="6" spans="1:11" ht="18" customHeight="1" x14ac:dyDescent="0.35">
      <c r="A6" s="144"/>
      <c r="B6" s="148" t="s">
        <v>725</v>
      </c>
      <c r="C6" s="141"/>
      <c r="D6" s="145"/>
      <c r="E6" s="146"/>
      <c r="F6" s="149">
        <f>SUM(F4:F5)</f>
        <v>10000000</v>
      </c>
      <c r="G6" s="146"/>
      <c r="H6" s="146"/>
      <c r="I6" s="146"/>
      <c r="J6" s="146"/>
      <c r="K6" s="146"/>
    </row>
    <row r="7" spans="1:11" ht="18" customHeight="1" x14ac:dyDescent="0.35">
      <c r="A7" s="144"/>
      <c r="B7" s="150"/>
      <c r="C7" s="141"/>
      <c r="D7" s="145"/>
      <c r="E7" s="146"/>
      <c r="F7" s="151"/>
      <c r="G7" s="146"/>
      <c r="H7" s="146"/>
      <c r="I7" s="146"/>
      <c r="J7" s="146"/>
      <c r="K7" s="146"/>
    </row>
    <row r="8" spans="1:11" ht="18" customHeight="1" x14ac:dyDescent="0.35">
      <c r="A8" s="144">
        <v>3</v>
      </c>
      <c r="B8" s="141" t="s">
        <v>98</v>
      </c>
      <c r="C8" s="141" t="s">
        <v>178</v>
      </c>
      <c r="D8" s="145">
        <v>44554</v>
      </c>
      <c r="E8" s="146" t="s">
        <v>173</v>
      </c>
      <c r="F8" s="147">
        <v>14999980.380000001</v>
      </c>
      <c r="G8" s="146" t="s">
        <v>179</v>
      </c>
      <c r="H8" s="146" t="s">
        <v>452</v>
      </c>
      <c r="I8" s="146" t="s">
        <v>675</v>
      </c>
      <c r="J8" s="146"/>
      <c r="K8" s="146"/>
    </row>
    <row r="9" spans="1:11" ht="18" customHeight="1" x14ac:dyDescent="0.35">
      <c r="A9" s="144"/>
      <c r="B9" s="141"/>
      <c r="C9" s="141"/>
      <c r="D9" s="145"/>
      <c r="E9" s="146"/>
      <c r="F9" s="147"/>
      <c r="G9" s="146"/>
      <c r="H9" s="146"/>
      <c r="I9" s="146"/>
      <c r="J9" s="146"/>
      <c r="K9" s="146"/>
    </row>
    <row r="10" spans="1:11" ht="18" customHeight="1" x14ac:dyDescent="0.35">
      <c r="A10" s="144" t="s">
        <v>192</v>
      </c>
      <c r="B10" s="141" t="s">
        <v>106</v>
      </c>
      <c r="C10" s="141" t="s">
        <v>146</v>
      </c>
      <c r="D10" s="145">
        <v>44571</v>
      </c>
      <c r="E10" s="146" t="s">
        <v>173</v>
      </c>
      <c r="F10" s="147">
        <v>10034580</v>
      </c>
      <c r="G10" s="146" t="s">
        <v>187</v>
      </c>
      <c r="H10" s="146" t="s">
        <v>452</v>
      </c>
      <c r="I10" s="146" t="s">
        <v>672</v>
      </c>
      <c r="J10" s="146"/>
      <c r="K10" s="146"/>
    </row>
    <row r="11" spans="1:11" ht="18" customHeight="1" x14ac:dyDescent="0.35">
      <c r="A11" s="144" t="s">
        <v>193</v>
      </c>
      <c r="B11" s="141" t="s">
        <v>106</v>
      </c>
      <c r="C11" s="141" t="s">
        <v>146</v>
      </c>
      <c r="D11" s="145">
        <v>44685</v>
      </c>
      <c r="E11" s="146" t="s">
        <v>173</v>
      </c>
      <c r="F11" s="147">
        <v>5186168</v>
      </c>
      <c r="G11" s="146" t="s">
        <v>188</v>
      </c>
      <c r="H11" s="146" t="s">
        <v>452</v>
      </c>
      <c r="I11" s="146" t="s">
        <v>673</v>
      </c>
      <c r="J11" s="146"/>
      <c r="K11" s="146"/>
    </row>
    <row r="12" spans="1:11" ht="18" customHeight="1" x14ac:dyDescent="0.35">
      <c r="A12" s="144" t="s">
        <v>194</v>
      </c>
      <c r="B12" s="141" t="s">
        <v>106</v>
      </c>
      <c r="C12" s="141" t="s">
        <v>146</v>
      </c>
      <c r="D12" s="145">
        <v>45061</v>
      </c>
      <c r="E12" s="146" t="s">
        <v>173</v>
      </c>
      <c r="F12" s="147">
        <v>10097840</v>
      </c>
      <c r="G12" s="146" t="s">
        <v>312</v>
      </c>
      <c r="H12" s="146" t="s">
        <v>452</v>
      </c>
      <c r="I12" s="146" t="s">
        <v>261</v>
      </c>
      <c r="J12" s="146"/>
      <c r="K12" s="146"/>
    </row>
    <row r="13" spans="1:11" ht="18" customHeight="1" x14ac:dyDescent="0.35">
      <c r="A13" s="144"/>
      <c r="B13" s="148" t="s">
        <v>176</v>
      </c>
      <c r="C13" s="141"/>
      <c r="D13" s="145"/>
      <c r="E13" s="146"/>
      <c r="F13" s="149">
        <f>SUM(F10:F12)</f>
        <v>25318588</v>
      </c>
      <c r="G13" s="146"/>
      <c r="H13" s="146"/>
      <c r="I13" s="146"/>
      <c r="J13" s="146"/>
      <c r="K13" s="146"/>
    </row>
    <row r="14" spans="1:11" ht="18" customHeight="1" x14ac:dyDescent="0.35">
      <c r="A14" s="144">
        <v>5</v>
      </c>
      <c r="B14" s="141" t="s">
        <v>386</v>
      </c>
      <c r="C14" s="141" t="s">
        <v>393</v>
      </c>
      <c r="D14" s="145">
        <v>45157</v>
      </c>
      <c r="E14" s="146" t="s">
        <v>173</v>
      </c>
      <c r="F14" s="147">
        <v>1550000</v>
      </c>
      <c r="G14" s="146" t="s">
        <v>394</v>
      </c>
      <c r="H14" s="146" t="s">
        <v>466</v>
      </c>
      <c r="I14" s="146" t="s">
        <v>669</v>
      </c>
      <c r="J14" s="146" t="s">
        <v>313</v>
      </c>
      <c r="K14" s="146"/>
    </row>
    <row r="15" spans="1:11" ht="18" customHeight="1" x14ac:dyDescent="0.35">
      <c r="A15" s="144">
        <v>6</v>
      </c>
      <c r="B15" s="141" t="s">
        <v>448</v>
      </c>
      <c r="C15" s="141" t="s">
        <v>467</v>
      </c>
      <c r="D15" s="145">
        <v>45260</v>
      </c>
      <c r="E15" s="146" t="s">
        <v>173</v>
      </c>
      <c r="F15" s="147">
        <v>30045012</v>
      </c>
      <c r="G15" s="146" t="s">
        <v>468</v>
      </c>
      <c r="H15" s="146" t="s">
        <v>452</v>
      </c>
      <c r="I15" s="146" t="s">
        <v>669</v>
      </c>
      <c r="J15" s="146" t="s">
        <v>313</v>
      </c>
      <c r="K15" s="146"/>
    </row>
    <row r="16" spans="1:11" ht="18" customHeight="1" x14ac:dyDescent="0.35">
      <c r="A16" s="144"/>
      <c r="B16" s="141"/>
      <c r="C16" s="141"/>
      <c r="D16" s="145"/>
      <c r="E16" s="146"/>
      <c r="F16" s="147"/>
      <c r="G16" s="146"/>
      <c r="H16" s="146"/>
      <c r="I16" s="146"/>
      <c r="J16" s="146"/>
      <c r="K16" s="146"/>
    </row>
    <row r="17" spans="1:11" ht="18" customHeight="1" x14ac:dyDescent="0.35">
      <c r="A17" s="144" t="s">
        <v>203</v>
      </c>
      <c r="B17" s="141" t="s">
        <v>389</v>
      </c>
      <c r="C17" s="141" t="s">
        <v>437</v>
      </c>
      <c r="D17" s="145">
        <v>45336</v>
      </c>
      <c r="E17" s="146" t="s">
        <v>173</v>
      </c>
      <c r="F17" s="168">
        <v>6321000</v>
      </c>
      <c r="G17" s="146" t="s">
        <v>604</v>
      </c>
      <c r="H17" s="146" t="s">
        <v>452</v>
      </c>
      <c r="I17" s="146" t="s">
        <v>674</v>
      </c>
      <c r="J17" s="146" t="s">
        <v>395</v>
      </c>
      <c r="K17" s="146"/>
    </row>
    <row r="18" spans="1:11" ht="18" customHeight="1" x14ac:dyDescent="0.35">
      <c r="A18" s="144" t="s">
        <v>204</v>
      </c>
      <c r="B18" s="141" t="s">
        <v>389</v>
      </c>
      <c r="C18" s="141" t="s">
        <v>437</v>
      </c>
      <c r="D18" s="145">
        <v>45378</v>
      </c>
      <c r="E18" s="146" t="s">
        <v>173</v>
      </c>
      <c r="F18" s="168">
        <v>9956250</v>
      </c>
      <c r="G18" s="146"/>
      <c r="H18" s="146" t="s">
        <v>452</v>
      </c>
      <c r="I18" s="146"/>
      <c r="J18" s="146" t="s">
        <v>396</v>
      </c>
      <c r="K18" s="146"/>
    </row>
    <row r="19" spans="1:11" ht="18" customHeight="1" x14ac:dyDescent="0.35">
      <c r="A19" s="144"/>
      <c r="B19" s="148" t="s">
        <v>390</v>
      </c>
      <c r="C19" s="141"/>
      <c r="D19" s="145"/>
      <c r="E19" s="146"/>
      <c r="F19" s="149">
        <f>SUM(F17:F18)</f>
        <v>16277250</v>
      </c>
      <c r="G19" s="146"/>
      <c r="H19" s="146"/>
      <c r="I19" s="146"/>
      <c r="J19" s="146" t="s">
        <v>313</v>
      </c>
      <c r="K19" s="146"/>
    </row>
    <row r="20" spans="1:11" ht="18" customHeight="1" x14ac:dyDescent="0.35">
      <c r="A20" s="144"/>
      <c r="B20" s="150"/>
      <c r="C20" s="141"/>
      <c r="D20" s="145"/>
      <c r="E20" s="146"/>
      <c r="F20" s="151"/>
      <c r="G20" s="146"/>
      <c r="H20" s="146"/>
      <c r="I20" s="146"/>
      <c r="J20" s="146"/>
      <c r="K20" s="146"/>
    </row>
    <row r="21" spans="1:11" ht="18" customHeight="1" x14ac:dyDescent="0.35">
      <c r="A21" s="144">
        <v>8</v>
      </c>
      <c r="B21" s="141" t="s">
        <v>347</v>
      </c>
      <c r="C21" s="141" t="s">
        <v>438</v>
      </c>
      <c r="D21" s="145">
        <v>45352</v>
      </c>
      <c r="E21" s="146" t="s">
        <v>173</v>
      </c>
      <c r="F21" s="147">
        <v>30000000</v>
      </c>
      <c r="G21" s="146" t="s">
        <v>415</v>
      </c>
      <c r="H21" s="146" t="s">
        <v>452</v>
      </c>
      <c r="I21" s="146" t="s">
        <v>679</v>
      </c>
      <c r="J21" s="146" t="s">
        <v>313</v>
      </c>
      <c r="K21" s="146"/>
    </row>
    <row r="22" spans="1:11" ht="18" customHeight="1" x14ac:dyDescent="0.35">
      <c r="A22" s="144"/>
      <c r="B22" s="141"/>
      <c r="C22" s="141"/>
      <c r="D22" s="145"/>
      <c r="E22" s="146"/>
      <c r="F22" s="147"/>
      <c r="G22" s="146"/>
      <c r="H22" s="146"/>
      <c r="I22" s="146"/>
      <c r="J22" s="146"/>
      <c r="K22" s="146"/>
    </row>
    <row r="23" spans="1:11" ht="18" customHeight="1" x14ac:dyDescent="0.35">
      <c r="A23" s="144" t="s">
        <v>295</v>
      </c>
      <c r="B23" s="141" t="s">
        <v>449</v>
      </c>
      <c r="C23" s="141" t="s">
        <v>439</v>
      </c>
      <c r="D23" s="145">
        <v>45397</v>
      </c>
      <c r="E23" s="146" t="s">
        <v>173</v>
      </c>
      <c r="F23" s="147">
        <v>7000084</v>
      </c>
      <c r="G23" s="146" t="s">
        <v>596</v>
      </c>
      <c r="H23" s="146" t="s">
        <v>453</v>
      </c>
      <c r="I23" s="146" t="s">
        <v>669</v>
      </c>
      <c r="J23" s="146" t="s">
        <v>313</v>
      </c>
      <c r="K23" s="146"/>
    </row>
    <row r="24" spans="1:11" ht="18" customHeight="1" x14ac:dyDescent="0.35">
      <c r="A24" s="144" t="s">
        <v>296</v>
      </c>
      <c r="B24" s="141" t="s">
        <v>450</v>
      </c>
      <c r="C24" s="141" t="s">
        <v>439</v>
      </c>
      <c r="D24" s="145">
        <v>45427</v>
      </c>
      <c r="E24" s="146" t="s">
        <v>173</v>
      </c>
      <c r="F24" s="147">
        <v>3000036</v>
      </c>
      <c r="G24" s="146"/>
      <c r="H24" s="146" t="s">
        <v>453</v>
      </c>
      <c r="I24" s="146" t="s">
        <v>669</v>
      </c>
      <c r="J24" s="146" t="s">
        <v>313</v>
      </c>
      <c r="K24" s="146"/>
    </row>
    <row r="25" spans="1:11" ht="22.5" customHeight="1" x14ac:dyDescent="0.35">
      <c r="A25" s="144"/>
      <c r="B25" s="148" t="s">
        <v>400</v>
      </c>
      <c r="C25" s="141"/>
      <c r="D25" s="145"/>
      <c r="E25" s="146"/>
      <c r="F25" s="149">
        <f>SUM(F23:F24)</f>
        <v>10000120</v>
      </c>
      <c r="G25" s="146"/>
      <c r="H25" s="146"/>
      <c r="I25" s="146"/>
      <c r="J25" s="146" t="s">
        <v>313</v>
      </c>
      <c r="K25" s="146"/>
    </row>
    <row r="26" spans="1:11" ht="22.5" customHeight="1" x14ac:dyDescent="0.35">
      <c r="A26" s="144"/>
      <c r="B26" s="150"/>
      <c r="C26" s="141"/>
      <c r="D26" s="145"/>
      <c r="E26" s="146"/>
      <c r="F26" s="151"/>
      <c r="G26" s="146"/>
      <c r="H26" s="146"/>
      <c r="I26" s="146"/>
      <c r="J26" s="146"/>
      <c r="K26" s="146"/>
    </row>
    <row r="27" spans="1:11" ht="22.5" customHeight="1" x14ac:dyDescent="0.35">
      <c r="A27" s="144" t="s">
        <v>205</v>
      </c>
      <c r="B27" s="141" t="s">
        <v>398</v>
      </c>
      <c r="C27" s="141" t="s">
        <v>440</v>
      </c>
      <c r="D27" s="145">
        <v>45420</v>
      </c>
      <c r="E27" s="146" t="s">
        <v>173</v>
      </c>
      <c r="F27" s="147">
        <f>25000000+9180</f>
        <v>25009180</v>
      </c>
      <c r="G27" s="146" t="s">
        <v>459</v>
      </c>
      <c r="H27" s="146" t="s">
        <v>453</v>
      </c>
      <c r="I27" s="146" t="s">
        <v>669</v>
      </c>
      <c r="J27" s="146" t="s">
        <v>313</v>
      </c>
      <c r="K27" s="146"/>
    </row>
    <row r="28" spans="1:11" ht="22.5" customHeight="1" x14ac:dyDescent="0.35">
      <c r="A28" s="144" t="s">
        <v>206</v>
      </c>
      <c r="B28" s="141" t="s">
        <v>398</v>
      </c>
      <c r="C28" s="141" t="s">
        <v>440</v>
      </c>
      <c r="D28" s="145">
        <v>45512</v>
      </c>
      <c r="E28" s="146" t="s">
        <v>173</v>
      </c>
      <c r="F28" s="147">
        <v>10003672</v>
      </c>
      <c r="G28" s="146" t="s">
        <v>460</v>
      </c>
      <c r="H28" s="146" t="s">
        <v>453</v>
      </c>
      <c r="I28" s="146" t="s">
        <v>669</v>
      </c>
      <c r="J28" s="146" t="s">
        <v>313</v>
      </c>
      <c r="K28" s="146"/>
    </row>
    <row r="29" spans="1:11" ht="22.5" customHeight="1" x14ac:dyDescent="0.35">
      <c r="A29" s="144" t="s">
        <v>381</v>
      </c>
      <c r="B29" s="141" t="s">
        <v>398</v>
      </c>
      <c r="C29" s="141" t="s">
        <v>440</v>
      </c>
      <c r="D29" s="145">
        <v>45512</v>
      </c>
      <c r="E29" s="146" t="s">
        <v>173</v>
      </c>
      <c r="F29" s="147">
        <v>10003672</v>
      </c>
      <c r="G29" s="146" t="s">
        <v>461</v>
      </c>
      <c r="H29" s="146" t="s">
        <v>453</v>
      </c>
      <c r="I29" s="146" t="s">
        <v>669</v>
      </c>
      <c r="J29" s="146" t="s">
        <v>313</v>
      </c>
      <c r="K29" s="146"/>
    </row>
    <row r="30" spans="1:11" ht="22.5" customHeight="1" x14ac:dyDescent="0.35">
      <c r="A30" s="144" t="s">
        <v>457</v>
      </c>
      <c r="B30" s="141" t="s">
        <v>398</v>
      </c>
      <c r="C30" s="141" t="s">
        <v>440</v>
      </c>
      <c r="D30" s="145">
        <v>45512</v>
      </c>
      <c r="E30" s="146" t="s">
        <v>173</v>
      </c>
      <c r="F30" s="147">
        <v>2500918</v>
      </c>
      <c r="G30" s="146" t="s">
        <v>462</v>
      </c>
      <c r="H30" s="146" t="s">
        <v>453</v>
      </c>
      <c r="I30" s="146" t="s">
        <v>669</v>
      </c>
      <c r="J30" s="146" t="s">
        <v>313</v>
      </c>
      <c r="K30" s="146"/>
    </row>
    <row r="31" spans="1:11" ht="22.5" customHeight="1" x14ac:dyDescent="0.35">
      <c r="A31" s="144"/>
      <c r="B31" s="148" t="s">
        <v>401</v>
      </c>
      <c r="C31" s="141"/>
      <c r="D31" s="145"/>
      <c r="E31" s="146"/>
      <c r="F31" s="149">
        <f>SUM(F27:F30)</f>
        <v>47517442</v>
      </c>
      <c r="G31" s="169" t="s">
        <v>458</v>
      </c>
      <c r="H31" s="146"/>
      <c r="I31" s="146"/>
      <c r="J31" s="146" t="s">
        <v>313</v>
      </c>
      <c r="K31" s="146"/>
    </row>
    <row r="32" spans="1:11" ht="22.5" customHeight="1" x14ac:dyDescent="0.35">
      <c r="A32" s="144"/>
      <c r="B32" s="150"/>
      <c r="C32" s="141"/>
      <c r="D32" s="145"/>
      <c r="E32" s="146"/>
      <c r="F32" s="151"/>
      <c r="G32" s="169"/>
      <c r="H32" s="146"/>
      <c r="I32" s="146"/>
      <c r="J32" s="146"/>
      <c r="K32" s="146"/>
    </row>
    <row r="33" spans="1:11" ht="22.5" customHeight="1" x14ac:dyDescent="0.35">
      <c r="A33" s="144">
        <v>11</v>
      </c>
      <c r="B33" s="170" t="s">
        <v>405</v>
      </c>
      <c r="C33" s="146" t="s">
        <v>403</v>
      </c>
      <c r="D33" s="145">
        <v>45436</v>
      </c>
      <c r="E33" s="146" t="s">
        <v>173</v>
      </c>
      <c r="F33" s="147">
        <v>10001255</v>
      </c>
      <c r="G33" s="146" t="s">
        <v>595</v>
      </c>
      <c r="H33" s="146" t="s">
        <v>453</v>
      </c>
      <c r="I33" s="146" t="s">
        <v>669</v>
      </c>
      <c r="J33" s="146" t="s">
        <v>313</v>
      </c>
      <c r="K33" s="146"/>
    </row>
    <row r="34" spans="1:11" ht="22.5" customHeight="1" x14ac:dyDescent="0.35">
      <c r="A34" s="144"/>
      <c r="B34" s="170"/>
      <c r="C34" s="146"/>
      <c r="D34" s="145"/>
      <c r="E34" s="146"/>
      <c r="F34" s="147"/>
      <c r="G34" s="146"/>
      <c r="H34" s="146"/>
      <c r="I34" s="146"/>
      <c r="J34" s="146"/>
      <c r="K34" s="146"/>
    </row>
    <row r="35" spans="1:11" ht="22.5" customHeight="1" x14ac:dyDescent="0.35">
      <c r="A35" s="144" t="s">
        <v>267</v>
      </c>
      <c r="B35" s="170" t="s">
        <v>414</v>
      </c>
      <c r="C35" s="146" t="s">
        <v>404</v>
      </c>
      <c r="D35" s="145">
        <v>45436</v>
      </c>
      <c r="E35" s="146" t="s">
        <v>173</v>
      </c>
      <c r="F35" s="147">
        <v>50000250</v>
      </c>
      <c r="G35" s="146" t="s">
        <v>591</v>
      </c>
      <c r="H35" s="146" t="s">
        <v>453</v>
      </c>
      <c r="I35" s="146" t="s">
        <v>678</v>
      </c>
      <c r="J35" s="146" t="s">
        <v>313</v>
      </c>
      <c r="K35" s="146"/>
    </row>
    <row r="36" spans="1:11" ht="22.5" customHeight="1" x14ac:dyDescent="0.35">
      <c r="A36" s="144" t="s">
        <v>268</v>
      </c>
      <c r="B36" s="170" t="s">
        <v>414</v>
      </c>
      <c r="C36" s="146" t="s">
        <v>404</v>
      </c>
      <c r="D36" s="145">
        <v>45890</v>
      </c>
      <c r="E36" s="146" t="s">
        <v>173</v>
      </c>
      <c r="F36" s="147">
        <v>25000100</v>
      </c>
      <c r="G36" s="146" t="s">
        <v>626</v>
      </c>
      <c r="H36" s="146"/>
      <c r="I36" s="146"/>
      <c r="J36" s="146"/>
      <c r="K36" s="146"/>
    </row>
    <row r="37" spans="1:11" ht="22.5" customHeight="1" x14ac:dyDescent="0.35">
      <c r="A37" s="144"/>
      <c r="B37" s="148" t="s">
        <v>623</v>
      </c>
      <c r="C37" s="141"/>
      <c r="D37" s="145"/>
      <c r="E37" s="146"/>
      <c r="F37" s="149">
        <f>SUM(F35:F36)</f>
        <v>75000350</v>
      </c>
      <c r="G37" s="146"/>
      <c r="H37" s="146"/>
      <c r="I37" s="146"/>
      <c r="J37" s="146"/>
      <c r="K37" s="146"/>
    </row>
    <row r="38" spans="1:11" ht="22.5" customHeight="1" x14ac:dyDescent="0.35">
      <c r="A38" s="144"/>
      <c r="B38" s="150"/>
      <c r="C38" s="141"/>
      <c r="D38" s="145"/>
      <c r="E38" s="146"/>
      <c r="F38" s="151"/>
      <c r="G38" s="146"/>
      <c r="H38" s="146"/>
      <c r="I38" s="146"/>
      <c r="J38" s="146"/>
      <c r="K38" s="146"/>
    </row>
    <row r="39" spans="1:11" ht="22.5" customHeight="1" x14ac:dyDescent="0.35">
      <c r="A39" s="144">
        <v>13</v>
      </c>
      <c r="B39" s="170" t="s">
        <v>602</v>
      </c>
      <c r="C39" s="146" t="s">
        <v>432</v>
      </c>
      <c r="D39" s="145">
        <v>45491</v>
      </c>
      <c r="E39" s="146" t="s">
        <v>173</v>
      </c>
      <c r="F39" s="147">
        <v>9996000</v>
      </c>
      <c r="G39" s="146" t="s">
        <v>454</v>
      </c>
      <c r="H39" s="146" t="s">
        <v>453</v>
      </c>
      <c r="I39" s="146" t="s">
        <v>669</v>
      </c>
      <c r="J39" s="146" t="s">
        <v>313</v>
      </c>
      <c r="K39" s="146"/>
    </row>
    <row r="40" spans="1:11" ht="22.5" customHeight="1" x14ac:dyDescent="0.35">
      <c r="A40" s="144"/>
      <c r="B40" s="170"/>
      <c r="C40" s="146"/>
      <c r="D40" s="145"/>
      <c r="E40" s="146"/>
      <c r="F40" s="147"/>
      <c r="G40" s="146"/>
      <c r="H40" s="146"/>
      <c r="I40" s="146"/>
      <c r="J40" s="146"/>
      <c r="K40" s="146"/>
    </row>
    <row r="41" spans="1:11" ht="22.5" customHeight="1" x14ac:dyDescent="0.35">
      <c r="A41" s="144" t="s">
        <v>276</v>
      </c>
      <c r="B41" s="170" t="s">
        <v>412</v>
      </c>
      <c r="C41" s="146" t="s">
        <v>455</v>
      </c>
      <c r="D41" s="145">
        <v>45485</v>
      </c>
      <c r="E41" s="146" t="s">
        <v>173</v>
      </c>
      <c r="F41" s="147">
        <v>12500400</v>
      </c>
      <c r="G41" s="146" t="s">
        <v>664</v>
      </c>
      <c r="H41" s="146" t="s">
        <v>453</v>
      </c>
      <c r="I41" s="146" t="s">
        <v>710</v>
      </c>
      <c r="J41" s="146" t="s">
        <v>456</v>
      </c>
      <c r="K41" s="146"/>
    </row>
    <row r="42" spans="1:11" ht="18" customHeight="1" x14ac:dyDescent="0.35">
      <c r="A42" s="144" t="s">
        <v>277</v>
      </c>
      <c r="B42" s="170" t="s">
        <v>661</v>
      </c>
      <c r="C42" s="146" t="s">
        <v>481</v>
      </c>
      <c r="D42" s="145">
        <v>45964</v>
      </c>
      <c r="E42" s="146" t="s">
        <v>173</v>
      </c>
      <c r="F42" s="147">
        <v>7500000</v>
      </c>
      <c r="G42" s="146" t="s">
        <v>662</v>
      </c>
      <c r="H42" s="146"/>
      <c r="I42" s="146"/>
      <c r="J42" s="146"/>
      <c r="K42" s="146"/>
    </row>
    <row r="43" spans="1:11" ht="18" customHeight="1" x14ac:dyDescent="0.35">
      <c r="A43" s="144"/>
      <c r="B43" s="170"/>
      <c r="C43" s="146"/>
      <c r="D43" s="145"/>
      <c r="E43" s="146"/>
      <c r="F43" s="147"/>
      <c r="G43" s="146"/>
      <c r="H43" s="146"/>
      <c r="I43" s="146"/>
      <c r="J43" s="146"/>
      <c r="K43" s="146"/>
    </row>
    <row r="44" spans="1:11" ht="18" customHeight="1" x14ac:dyDescent="0.35">
      <c r="A44" s="144">
        <v>15</v>
      </c>
      <c r="B44" s="170" t="s">
        <v>413</v>
      </c>
      <c r="C44" s="146" t="s">
        <v>432</v>
      </c>
      <c r="D44" s="145">
        <v>45458</v>
      </c>
      <c r="E44" s="146" t="s">
        <v>173</v>
      </c>
      <c r="F44" s="147">
        <v>20060000</v>
      </c>
      <c r="G44" s="146" t="s">
        <v>445</v>
      </c>
      <c r="H44" s="146" t="s">
        <v>453</v>
      </c>
      <c r="I44" s="146" t="s">
        <v>669</v>
      </c>
      <c r="J44" s="146" t="s">
        <v>313</v>
      </c>
      <c r="K44" s="146"/>
    </row>
    <row r="45" spans="1:11" ht="18" customHeight="1" x14ac:dyDescent="0.35">
      <c r="A45" s="144">
        <v>16</v>
      </c>
      <c r="B45" s="170" t="s">
        <v>419</v>
      </c>
      <c r="C45" s="146" t="s">
        <v>418</v>
      </c>
      <c r="D45" s="145">
        <v>45524</v>
      </c>
      <c r="E45" s="146" t="s">
        <v>173</v>
      </c>
      <c r="F45" s="147">
        <v>30015000</v>
      </c>
      <c r="G45" s="146" t="s">
        <v>469</v>
      </c>
      <c r="H45" s="146" t="s">
        <v>452</v>
      </c>
      <c r="I45" s="146"/>
      <c r="J45" s="146" t="s">
        <v>313</v>
      </c>
      <c r="K45" s="146"/>
    </row>
    <row r="46" spans="1:11" ht="18" customHeight="1" x14ac:dyDescent="0.35">
      <c r="A46" s="144">
        <v>17</v>
      </c>
      <c r="B46" s="170" t="s">
        <v>420</v>
      </c>
      <c r="C46" s="146" t="s">
        <v>463</v>
      </c>
      <c r="D46" s="145">
        <v>45534</v>
      </c>
      <c r="E46" s="146" t="s">
        <v>173</v>
      </c>
      <c r="F46" s="147">
        <v>4642872</v>
      </c>
      <c r="G46" s="146" t="s">
        <v>444</v>
      </c>
      <c r="H46" s="146" t="s">
        <v>453</v>
      </c>
      <c r="I46" s="146" t="s">
        <v>668</v>
      </c>
      <c r="J46" s="146" t="s">
        <v>313</v>
      </c>
      <c r="K46" s="146"/>
    </row>
    <row r="47" spans="1:11" ht="18" customHeight="1" x14ac:dyDescent="0.35">
      <c r="A47" s="144">
        <v>18</v>
      </c>
      <c r="B47" s="170" t="s">
        <v>436</v>
      </c>
      <c r="C47" s="146" t="s">
        <v>440</v>
      </c>
      <c r="D47" s="145">
        <v>45555</v>
      </c>
      <c r="E47" s="146" t="s">
        <v>173</v>
      </c>
      <c r="F47" s="147">
        <v>24998958.5</v>
      </c>
      <c r="G47" s="146" t="s">
        <v>465</v>
      </c>
      <c r="H47" s="146" t="s">
        <v>453</v>
      </c>
      <c r="I47" s="146" t="s">
        <v>669</v>
      </c>
      <c r="J47" s="146" t="s">
        <v>313</v>
      </c>
      <c r="K47" s="146"/>
    </row>
    <row r="48" spans="1:11" ht="18" customHeight="1" collapsed="1" x14ac:dyDescent="0.35">
      <c r="A48" s="144">
        <v>19</v>
      </c>
      <c r="B48" s="170" t="s">
        <v>441</v>
      </c>
      <c r="C48" s="146" t="s">
        <v>442</v>
      </c>
      <c r="D48" s="145">
        <v>45554</v>
      </c>
      <c r="E48" s="146" t="s">
        <v>173</v>
      </c>
      <c r="F48" s="147">
        <v>10106085</v>
      </c>
      <c r="G48" s="146" t="s">
        <v>446</v>
      </c>
      <c r="H48" s="146" t="s">
        <v>453</v>
      </c>
      <c r="I48" s="146" t="s">
        <v>669</v>
      </c>
      <c r="J48" s="146" t="s">
        <v>313</v>
      </c>
      <c r="K48" s="146"/>
    </row>
    <row r="49" spans="1:12" ht="18" customHeight="1" x14ac:dyDescent="0.35">
      <c r="A49" s="144"/>
      <c r="B49" s="170"/>
      <c r="C49" s="146"/>
      <c r="D49" s="145"/>
      <c r="E49" s="146"/>
      <c r="F49" s="147"/>
      <c r="G49" s="146"/>
      <c r="H49" s="146"/>
      <c r="I49" s="146"/>
      <c r="J49" s="146"/>
      <c r="K49" s="146"/>
    </row>
    <row r="50" spans="1:12" ht="18" customHeight="1" x14ac:dyDescent="0.35">
      <c r="A50" s="144" t="s">
        <v>301</v>
      </c>
      <c r="B50" s="170" t="s">
        <v>477</v>
      </c>
      <c r="C50" s="146" t="s">
        <v>432</v>
      </c>
      <c r="D50" s="145">
        <v>45544</v>
      </c>
      <c r="E50" s="146" t="s">
        <v>173</v>
      </c>
      <c r="F50" s="147">
        <v>30000000</v>
      </c>
      <c r="G50" s="146" t="s">
        <v>464</v>
      </c>
      <c r="H50" s="146" t="s">
        <v>452</v>
      </c>
      <c r="I50" s="146"/>
      <c r="J50" s="146" t="s">
        <v>313</v>
      </c>
      <c r="K50" s="146"/>
    </row>
    <row r="51" spans="1:12" ht="18" customHeight="1" x14ac:dyDescent="0.35">
      <c r="A51" s="144" t="s">
        <v>302</v>
      </c>
      <c r="B51" s="170" t="s">
        <v>477</v>
      </c>
      <c r="C51" s="146" t="s">
        <v>432</v>
      </c>
      <c r="D51" s="145">
        <v>45546</v>
      </c>
      <c r="E51" s="146" t="s">
        <v>173</v>
      </c>
      <c r="F51" s="147">
        <v>240000</v>
      </c>
      <c r="G51" s="146"/>
      <c r="H51" s="146"/>
      <c r="I51" s="146"/>
      <c r="J51" s="146"/>
      <c r="K51" s="146"/>
    </row>
    <row r="52" spans="1:12" ht="18" customHeight="1" x14ac:dyDescent="0.35">
      <c r="A52" s="144"/>
      <c r="B52" s="148" t="s">
        <v>502</v>
      </c>
      <c r="C52" s="141"/>
      <c r="D52" s="145"/>
      <c r="E52" s="146"/>
      <c r="F52" s="149">
        <f>SUM(F50:F51)</f>
        <v>30240000</v>
      </c>
      <c r="G52" s="146"/>
      <c r="H52" s="146"/>
      <c r="I52" s="146"/>
      <c r="J52" s="146"/>
      <c r="K52" s="146"/>
      <c r="L52" s="43" t="s">
        <v>582</v>
      </c>
    </row>
    <row r="53" spans="1:12" ht="18" customHeight="1" x14ac:dyDescent="0.35">
      <c r="A53" s="144"/>
      <c r="B53" s="150"/>
      <c r="C53" s="141"/>
      <c r="D53" s="145"/>
      <c r="E53" s="146"/>
      <c r="F53" s="151"/>
      <c r="G53" s="146"/>
      <c r="H53" s="146"/>
      <c r="I53" s="146"/>
      <c r="J53" s="146"/>
      <c r="K53" s="146"/>
      <c r="L53" s="43" t="s">
        <v>586</v>
      </c>
    </row>
    <row r="54" spans="1:12" ht="18" customHeight="1" x14ac:dyDescent="0.35">
      <c r="A54" s="144">
        <v>21</v>
      </c>
      <c r="B54" s="170" t="s">
        <v>597</v>
      </c>
      <c r="C54" s="146" t="s">
        <v>478</v>
      </c>
      <c r="D54" s="145">
        <v>45555</v>
      </c>
      <c r="E54" s="146" t="s">
        <v>173</v>
      </c>
      <c r="F54" s="171">
        <v>84500100</v>
      </c>
      <c r="G54" s="146" t="s">
        <v>599</v>
      </c>
      <c r="H54" s="146" t="s">
        <v>452</v>
      </c>
      <c r="I54" s="146" t="s">
        <v>424</v>
      </c>
      <c r="J54" s="146" t="s">
        <v>598</v>
      </c>
      <c r="K54" s="146"/>
      <c r="L54" s="43" t="s">
        <v>578</v>
      </c>
    </row>
    <row r="55" spans="1:12" ht="18" customHeight="1" x14ac:dyDescent="0.35">
      <c r="A55" s="144"/>
      <c r="B55" s="170"/>
      <c r="C55" s="146"/>
      <c r="D55" s="145"/>
      <c r="E55" s="146"/>
      <c r="F55" s="171"/>
      <c r="G55" s="146"/>
      <c r="H55" s="146"/>
      <c r="I55" s="146"/>
      <c r="J55" s="146"/>
      <c r="K55" s="146"/>
      <c r="L55" s="43" t="s">
        <v>576</v>
      </c>
    </row>
    <row r="56" spans="1:12" ht="18" customHeight="1" x14ac:dyDescent="0.35">
      <c r="A56" s="144" t="s">
        <v>541</v>
      </c>
      <c r="B56" s="170" t="s">
        <v>490</v>
      </c>
      <c r="C56" s="146" t="s">
        <v>432</v>
      </c>
      <c r="D56" s="145">
        <v>45552</v>
      </c>
      <c r="E56" s="146" t="s">
        <v>173</v>
      </c>
      <c r="F56" s="147">
        <v>35643628</v>
      </c>
      <c r="G56" s="146" t="s">
        <v>447</v>
      </c>
      <c r="H56" s="146" t="s">
        <v>453</v>
      </c>
      <c r="I56" s="146" t="s">
        <v>669</v>
      </c>
      <c r="J56" s="146" t="s">
        <v>313</v>
      </c>
      <c r="K56" s="146"/>
      <c r="L56" t="s">
        <v>574</v>
      </c>
    </row>
    <row r="57" spans="1:12" ht="18" customHeight="1" x14ac:dyDescent="0.35">
      <c r="A57" s="144" t="s">
        <v>540</v>
      </c>
      <c r="B57" s="170" t="s">
        <v>490</v>
      </c>
      <c r="C57" s="146" t="s">
        <v>432</v>
      </c>
      <c r="D57" s="145">
        <v>45565</v>
      </c>
      <c r="E57" s="146" t="s">
        <v>173</v>
      </c>
      <c r="F57" s="147">
        <v>4356332</v>
      </c>
      <c r="G57" s="146" t="s">
        <v>492</v>
      </c>
      <c r="H57" s="146" t="s">
        <v>453</v>
      </c>
      <c r="I57" s="146" t="s">
        <v>669</v>
      </c>
      <c r="J57" s="146" t="s">
        <v>313</v>
      </c>
      <c r="K57" s="146"/>
      <c r="L57" s="43" t="s">
        <v>573</v>
      </c>
    </row>
    <row r="58" spans="1:12" ht="18" customHeight="1" x14ac:dyDescent="0.35">
      <c r="A58" s="144"/>
      <c r="B58" s="148" t="s">
        <v>491</v>
      </c>
      <c r="C58" s="141"/>
      <c r="D58" s="145"/>
      <c r="E58" s="146"/>
      <c r="F58" s="149">
        <f>SUM(F56:F57)</f>
        <v>39999960</v>
      </c>
      <c r="G58" s="146"/>
      <c r="H58" s="146"/>
      <c r="I58" s="146"/>
      <c r="J58" s="146" t="s">
        <v>313</v>
      </c>
      <c r="K58" s="146"/>
    </row>
    <row r="59" spans="1:12" ht="18" customHeight="1" x14ac:dyDescent="0.35">
      <c r="A59" s="144"/>
      <c r="B59" s="141"/>
      <c r="C59" s="141"/>
      <c r="D59" s="145"/>
      <c r="E59" s="146"/>
      <c r="F59" s="147"/>
      <c r="G59" s="146"/>
      <c r="H59" s="146"/>
      <c r="I59" s="146"/>
      <c r="J59" s="146" t="s">
        <v>313</v>
      </c>
      <c r="K59" s="146"/>
    </row>
    <row r="60" spans="1:12" ht="18" customHeight="1" x14ac:dyDescent="0.35">
      <c r="A60" s="144" t="s">
        <v>600</v>
      </c>
      <c r="B60" s="141" t="s">
        <v>498</v>
      </c>
      <c r="C60" s="141" t="s">
        <v>432</v>
      </c>
      <c r="D60" s="145">
        <v>45582</v>
      </c>
      <c r="E60" s="146" t="s">
        <v>173</v>
      </c>
      <c r="F60" s="147">
        <v>10000064</v>
      </c>
      <c r="G60" s="146" t="s">
        <v>558</v>
      </c>
      <c r="H60" s="146"/>
      <c r="I60" s="146" t="s">
        <v>671</v>
      </c>
      <c r="J60" s="146" t="s">
        <v>313</v>
      </c>
      <c r="K60" s="146"/>
    </row>
    <row r="61" spans="1:12" ht="18" customHeight="1" x14ac:dyDescent="0.35">
      <c r="A61" s="144" t="s">
        <v>601</v>
      </c>
      <c r="B61" s="141" t="s">
        <v>498</v>
      </c>
      <c r="C61" s="141" t="s">
        <v>432</v>
      </c>
      <c r="D61" s="145">
        <v>45686</v>
      </c>
      <c r="E61" s="146" t="s">
        <v>173</v>
      </c>
      <c r="F61" s="147">
        <v>2290950</v>
      </c>
      <c r="G61" s="146" t="s">
        <v>557</v>
      </c>
      <c r="H61" s="146"/>
      <c r="I61" s="146" t="s">
        <v>669</v>
      </c>
      <c r="J61" s="146"/>
      <c r="K61" s="146"/>
    </row>
    <row r="62" spans="1:12" ht="18" customHeight="1" x14ac:dyDescent="0.35">
      <c r="A62" s="144"/>
      <c r="B62" s="148" t="s">
        <v>550</v>
      </c>
      <c r="C62" s="141"/>
      <c r="D62" s="145"/>
      <c r="E62" s="146"/>
      <c r="F62" s="149">
        <f>SUM(F60:F61)</f>
        <v>12291014</v>
      </c>
      <c r="G62" s="146"/>
      <c r="H62" s="146"/>
      <c r="I62" s="146"/>
      <c r="J62" s="146"/>
      <c r="K62" s="146"/>
    </row>
    <row r="63" spans="1:12" ht="18" customHeight="1" x14ac:dyDescent="0.35">
      <c r="A63" s="144"/>
      <c r="B63" s="150"/>
      <c r="C63" s="141"/>
      <c r="D63" s="145"/>
      <c r="E63" s="146"/>
      <c r="F63" s="151"/>
      <c r="G63" s="146"/>
      <c r="H63" s="146"/>
      <c r="I63" s="146"/>
      <c r="J63" s="146"/>
      <c r="K63" s="146"/>
    </row>
    <row r="64" spans="1:12" ht="18" customHeight="1" x14ac:dyDescent="0.35">
      <c r="A64" s="152">
        <v>24</v>
      </c>
      <c r="B64" s="146" t="s">
        <v>509</v>
      </c>
      <c r="C64" s="141" t="s">
        <v>142</v>
      </c>
      <c r="D64" s="145">
        <v>45510</v>
      </c>
      <c r="E64" s="146" t="s">
        <v>173</v>
      </c>
      <c r="F64" s="147">
        <v>50065716</v>
      </c>
      <c r="G64" s="141" t="s">
        <v>510</v>
      </c>
      <c r="H64" s="146"/>
      <c r="I64" s="146" t="s">
        <v>669</v>
      </c>
      <c r="J64" s="146"/>
      <c r="K64" s="146"/>
    </row>
    <row r="65" spans="1:11" ht="18" customHeight="1" x14ac:dyDescent="0.35">
      <c r="A65" s="144">
        <v>25</v>
      </c>
      <c r="B65" s="141" t="s">
        <v>508</v>
      </c>
      <c r="C65" s="141" t="s">
        <v>142</v>
      </c>
      <c r="D65" s="145">
        <v>45609</v>
      </c>
      <c r="E65" s="146" t="s">
        <v>173</v>
      </c>
      <c r="F65" s="147">
        <v>150015960</v>
      </c>
      <c r="G65" s="146" t="s">
        <v>511</v>
      </c>
      <c r="H65" s="146"/>
      <c r="I65" s="146"/>
      <c r="J65" s="146" t="s">
        <v>313</v>
      </c>
      <c r="K65" s="146"/>
    </row>
    <row r="66" spans="1:11" ht="18" customHeight="1" x14ac:dyDescent="0.35">
      <c r="A66" s="152">
        <v>26</v>
      </c>
      <c r="B66" s="141" t="s">
        <v>507</v>
      </c>
      <c r="C66" s="146" t="s">
        <v>142</v>
      </c>
      <c r="D66" s="145">
        <v>45604</v>
      </c>
      <c r="E66" s="146" t="s">
        <v>173</v>
      </c>
      <c r="F66" s="147">
        <v>120150611</v>
      </c>
      <c r="G66" s="146" t="s">
        <v>592</v>
      </c>
      <c r="H66" s="146"/>
      <c r="I66" s="146" t="s">
        <v>669</v>
      </c>
      <c r="J66" s="146"/>
      <c r="K66" s="146"/>
    </row>
    <row r="67" spans="1:11" ht="18" customHeight="1" x14ac:dyDescent="0.35">
      <c r="A67" s="144">
        <v>27</v>
      </c>
      <c r="B67" s="141" t="s">
        <v>522</v>
      </c>
      <c r="C67" s="146" t="s">
        <v>520</v>
      </c>
      <c r="D67" s="145">
        <v>45630</v>
      </c>
      <c r="E67" s="146" t="s">
        <v>173</v>
      </c>
      <c r="F67" s="147">
        <v>69684400</v>
      </c>
      <c r="G67" s="146" t="s">
        <v>603</v>
      </c>
      <c r="H67" s="146"/>
      <c r="I67" s="146" t="s">
        <v>676</v>
      </c>
      <c r="J67" s="146"/>
      <c r="K67" s="146" t="s">
        <v>584</v>
      </c>
    </row>
    <row r="68" spans="1:11" ht="18" customHeight="1" x14ac:dyDescent="0.35">
      <c r="A68" s="152">
        <v>28</v>
      </c>
      <c r="B68" s="141" t="s">
        <v>523</v>
      </c>
      <c r="C68" s="146" t="s">
        <v>519</v>
      </c>
      <c r="D68" s="145">
        <v>45631</v>
      </c>
      <c r="E68" s="146" t="s">
        <v>173</v>
      </c>
      <c r="F68" s="147">
        <v>99998625</v>
      </c>
      <c r="G68" s="146" t="s">
        <v>593</v>
      </c>
      <c r="H68" s="146"/>
      <c r="I68" s="146" t="s">
        <v>677</v>
      </c>
      <c r="J68" s="172" t="s">
        <v>583</v>
      </c>
      <c r="K68" s="146" t="s">
        <v>585</v>
      </c>
    </row>
    <row r="69" spans="1:11" ht="18" customHeight="1" x14ac:dyDescent="0.35">
      <c r="A69" s="144">
        <v>29</v>
      </c>
      <c r="B69" s="141" t="s">
        <v>525</v>
      </c>
      <c r="C69" s="141" t="s">
        <v>432</v>
      </c>
      <c r="D69" s="145">
        <v>45650</v>
      </c>
      <c r="E69" s="146" t="s">
        <v>173</v>
      </c>
      <c r="F69" s="147">
        <v>39999168</v>
      </c>
      <c r="G69" s="146" t="s">
        <v>594</v>
      </c>
      <c r="H69" s="146" t="s">
        <v>313</v>
      </c>
      <c r="I69" s="146"/>
      <c r="J69" s="172" t="s">
        <v>581</v>
      </c>
      <c r="K69" s="146" t="s">
        <v>580</v>
      </c>
    </row>
    <row r="70" spans="1:11" ht="18" customHeight="1" x14ac:dyDescent="0.35">
      <c r="A70" s="152">
        <v>30</v>
      </c>
      <c r="B70" s="141" t="s">
        <v>559</v>
      </c>
      <c r="C70" s="141" t="s">
        <v>432</v>
      </c>
      <c r="D70" s="145">
        <v>45681</v>
      </c>
      <c r="E70" s="146" t="s">
        <v>173</v>
      </c>
      <c r="F70" s="147">
        <v>79999960</v>
      </c>
      <c r="G70" s="146" t="s">
        <v>570</v>
      </c>
      <c r="H70" s="146"/>
      <c r="I70" s="146" t="s">
        <v>391</v>
      </c>
      <c r="J70" s="173" t="s">
        <v>579</v>
      </c>
      <c r="K70" s="146" t="s">
        <v>577</v>
      </c>
    </row>
    <row r="71" spans="1:11" ht="18" customHeight="1" x14ac:dyDescent="0.35">
      <c r="A71" s="144">
        <v>31</v>
      </c>
      <c r="B71" s="141" t="s">
        <v>560</v>
      </c>
      <c r="C71" s="141" t="s">
        <v>481</v>
      </c>
      <c r="D71" s="145">
        <v>45691</v>
      </c>
      <c r="E71" s="146" t="s">
        <v>173</v>
      </c>
      <c r="F71" s="147">
        <v>50000000</v>
      </c>
      <c r="G71" s="146" t="s">
        <v>563</v>
      </c>
      <c r="H71" s="146"/>
      <c r="I71" s="146" t="s">
        <v>680</v>
      </c>
      <c r="J71" s="146"/>
      <c r="K71" s="146" t="s">
        <v>575</v>
      </c>
    </row>
    <row r="72" spans="1:11" ht="18" customHeight="1" x14ac:dyDescent="0.35">
      <c r="A72" s="152">
        <v>32</v>
      </c>
      <c r="B72" s="141" t="s">
        <v>562</v>
      </c>
      <c r="C72" s="141" t="s">
        <v>481</v>
      </c>
      <c r="D72" s="145">
        <v>45701</v>
      </c>
      <c r="E72" s="146" t="s">
        <v>173</v>
      </c>
      <c r="F72" s="168">
        <v>37499885</v>
      </c>
      <c r="G72" s="146" t="s">
        <v>564</v>
      </c>
      <c r="H72" s="146"/>
      <c r="I72" s="146" t="s">
        <v>670</v>
      </c>
      <c r="J72" s="146"/>
      <c r="K72" s="146" t="s">
        <v>567</v>
      </c>
    </row>
    <row r="73" spans="1:11" ht="18" customHeight="1" x14ac:dyDescent="0.35">
      <c r="A73" s="144">
        <v>33</v>
      </c>
      <c r="B73" s="141" t="s">
        <v>568</v>
      </c>
      <c r="C73" s="141" t="s">
        <v>481</v>
      </c>
      <c r="D73" s="145">
        <v>45740</v>
      </c>
      <c r="E73" s="146" t="s">
        <v>173</v>
      </c>
      <c r="F73" s="147">
        <v>29958400</v>
      </c>
      <c r="G73" s="146" t="s">
        <v>571</v>
      </c>
      <c r="H73" s="146"/>
      <c r="I73" s="146" t="s">
        <v>669</v>
      </c>
      <c r="J73" s="146"/>
      <c r="K73" s="146" t="s">
        <v>572</v>
      </c>
    </row>
    <row r="74" spans="1:11" ht="18" customHeight="1" x14ac:dyDescent="0.35">
      <c r="A74" s="152">
        <v>34</v>
      </c>
      <c r="B74" s="141" t="s">
        <v>589</v>
      </c>
      <c r="C74" s="141" t="s">
        <v>481</v>
      </c>
      <c r="D74" s="145">
        <v>45763</v>
      </c>
      <c r="E74" s="146" t="s">
        <v>173</v>
      </c>
      <c r="F74" s="147">
        <v>10030000</v>
      </c>
      <c r="G74" s="146" t="s">
        <v>590</v>
      </c>
      <c r="H74" s="146"/>
      <c r="I74" s="146" t="s">
        <v>681</v>
      </c>
      <c r="J74" s="146"/>
      <c r="K74" s="146"/>
    </row>
    <row r="75" spans="1:11" ht="18" customHeight="1" x14ac:dyDescent="0.35">
      <c r="A75" s="144">
        <v>35</v>
      </c>
      <c r="B75" s="141" t="s">
        <v>611</v>
      </c>
      <c r="C75" s="141" t="s">
        <v>612</v>
      </c>
      <c r="D75" s="145">
        <v>45845</v>
      </c>
      <c r="E75" s="146" t="s">
        <v>173</v>
      </c>
      <c r="F75" s="147">
        <v>176878881</v>
      </c>
      <c r="G75" s="146" t="s">
        <v>613</v>
      </c>
      <c r="H75" s="146"/>
      <c r="I75" s="146" t="s">
        <v>709</v>
      </c>
      <c r="J75" s="146"/>
      <c r="K75" s="146"/>
    </row>
    <row r="76" spans="1:11" ht="18" customHeight="1" x14ac:dyDescent="0.35">
      <c r="A76" s="152">
        <v>36</v>
      </c>
      <c r="B76" s="141" t="s">
        <v>618</v>
      </c>
      <c r="C76" s="141" t="s">
        <v>481</v>
      </c>
      <c r="D76" s="145">
        <v>45863</v>
      </c>
      <c r="E76" s="146" t="s">
        <v>173</v>
      </c>
      <c r="F76" s="147">
        <v>149999976</v>
      </c>
      <c r="G76" s="146" t="s">
        <v>625</v>
      </c>
      <c r="H76" s="146"/>
      <c r="I76" s="146"/>
      <c r="J76" s="146"/>
      <c r="K76" s="146"/>
    </row>
    <row r="77" spans="1:11" ht="18" customHeight="1" x14ac:dyDescent="0.35">
      <c r="A77" s="144">
        <v>37</v>
      </c>
      <c r="B77" s="141" t="s">
        <v>620</v>
      </c>
      <c r="C77" s="141" t="s">
        <v>481</v>
      </c>
      <c r="D77" s="145">
        <v>45875</v>
      </c>
      <c r="E77" s="146" t="s">
        <v>173</v>
      </c>
      <c r="F77" s="147">
        <v>50000016</v>
      </c>
      <c r="G77" s="146" t="s">
        <v>624</v>
      </c>
      <c r="H77" s="146"/>
      <c r="I77" s="146" t="s">
        <v>667</v>
      </c>
      <c r="J77" s="146"/>
      <c r="K77" s="146"/>
    </row>
    <row r="78" spans="1:11" ht="18" customHeight="1" x14ac:dyDescent="0.35">
      <c r="A78" s="152">
        <v>38</v>
      </c>
      <c r="B78" s="141" t="s">
        <v>622</v>
      </c>
      <c r="C78" s="141" t="s">
        <v>20</v>
      </c>
      <c r="D78" s="145">
        <v>45889</v>
      </c>
      <c r="E78" s="146" t="s">
        <v>173</v>
      </c>
      <c r="F78" s="147">
        <v>100000</v>
      </c>
      <c r="G78" s="141" t="s">
        <v>628</v>
      </c>
      <c r="H78" s="146"/>
      <c r="I78" s="146" t="s">
        <v>666</v>
      </c>
      <c r="J78" s="146"/>
      <c r="K78" s="146"/>
    </row>
    <row r="79" spans="1:11" ht="18" customHeight="1" x14ac:dyDescent="0.35">
      <c r="A79" s="144">
        <v>39</v>
      </c>
      <c r="B79" s="141" t="s">
        <v>707</v>
      </c>
      <c r="C79" s="141" t="s">
        <v>20</v>
      </c>
      <c r="D79" s="145">
        <v>45889</v>
      </c>
      <c r="E79" s="146" t="s">
        <v>173</v>
      </c>
      <c r="F79" s="147">
        <v>17810640</v>
      </c>
      <c r="G79" s="141" t="s">
        <v>708</v>
      </c>
      <c r="H79" s="146"/>
      <c r="I79" s="146"/>
      <c r="J79" s="146"/>
      <c r="K79" s="146"/>
    </row>
    <row r="80" spans="1:11" ht="18" customHeight="1" x14ac:dyDescent="0.35">
      <c r="A80" s="152">
        <v>40</v>
      </c>
      <c r="B80" s="141" t="s">
        <v>621</v>
      </c>
      <c r="C80" s="141" t="s">
        <v>20</v>
      </c>
      <c r="D80" s="145">
        <v>45890</v>
      </c>
      <c r="E80" s="146" t="s">
        <v>173</v>
      </c>
      <c r="F80" s="147">
        <v>5108000</v>
      </c>
      <c r="G80" s="141" t="s">
        <v>627</v>
      </c>
      <c r="H80" s="146"/>
      <c r="I80" s="146"/>
      <c r="J80" s="146"/>
      <c r="K80" s="146"/>
    </row>
    <row r="81" spans="1:11" ht="18" customHeight="1" x14ac:dyDescent="0.35">
      <c r="A81" s="144">
        <v>41</v>
      </c>
      <c r="B81" s="141" t="s">
        <v>659</v>
      </c>
      <c r="C81" s="141" t="s">
        <v>481</v>
      </c>
      <c r="D81" s="145">
        <v>45987</v>
      </c>
      <c r="E81" s="146" t="s">
        <v>173</v>
      </c>
      <c r="F81" s="147">
        <v>50032848</v>
      </c>
      <c r="G81" s="146" t="s">
        <v>660</v>
      </c>
      <c r="H81" s="146"/>
      <c r="I81" s="146"/>
      <c r="J81" s="146"/>
      <c r="K81" s="146"/>
    </row>
    <row r="82" spans="1:11" ht="18" customHeight="1" x14ac:dyDescent="0.35">
      <c r="A82" s="152">
        <v>42</v>
      </c>
      <c r="B82" s="141" t="s">
        <v>705</v>
      </c>
      <c r="C82" s="141" t="s">
        <v>612</v>
      </c>
      <c r="D82" s="145">
        <v>46059</v>
      </c>
      <c r="E82" s="146" t="s">
        <v>173</v>
      </c>
      <c r="F82" s="147">
        <v>93857991</v>
      </c>
      <c r="G82" s="146" t="s">
        <v>706</v>
      </c>
      <c r="H82" s="146"/>
      <c r="I82" s="146"/>
      <c r="J82" s="146"/>
      <c r="K82" s="146"/>
    </row>
    <row r="83" spans="1:11" ht="18" customHeight="1" x14ac:dyDescent="0.35">
      <c r="A83" s="144"/>
      <c r="B83" s="141"/>
      <c r="C83" s="141"/>
      <c r="D83" s="145"/>
      <c r="E83" s="146"/>
      <c r="F83" s="147"/>
      <c r="G83" s="146"/>
      <c r="H83" s="146"/>
      <c r="I83" s="146"/>
      <c r="J83" s="146"/>
      <c r="K83" s="146"/>
    </row>
    <row r="84" spans="1:11" x14ac:dyDescent="0.35">
      <c r="A84" s="144"/>
      <c r="B84" s="141"/>
      <c r="C84" s="141"/>
      <c r="D84" s="145"/>
      <c r="E84" s="146"/>
      <c r="F84" s="147"/>
      <c r="G84" s="146"/>
      <c r="H84" s="146"/>
      <c r="I84" s="146"/>
      <c r="J84" s="146"/>
      <c r="K84" s="146"/>
    </row>
    <row r="85" spans="1:11" x14ac:dyDescent="0.35">
      <c r="A85" s="144"/>
      <c r="B85" s="141"/>
      <c r="C85" s="141"/>
      <c r="D85" s="145"/>
      <c r="E85" s="146"/>
      <c r="F85" s="147"/>
      <c r="G85" s="146"/>
      <c r="H85" s="146"/>
      <c r="I85" s="146"/>
      <c r="J85" s="146"/>
      <c r="K85" s="146"/>
    </row>
    <row r="86" spans="1:11" x14ac:dyDescent="0.35">
      <c r="A86" s="144"/>
      <c r="B86" s="141"/>
      <c r="C86" s="141"/>
      <c r="D86" s="145"/>
      <c r="E86" s="146"/>
      <c r="F86" s="147"/>
      <c r="G86" s="146"/>
      <c r="H86" s="146"/>
      <c r="I86" s="146"/>
      <c r="J86" s="146"/>
      <c r="K86" s="146"/>
    </row>
    <row r="87" spans="1:11" x14ac:dyDescent="0.35">
      <c r="A87" s="144"/>
      <c r="B87" s="141"/>
      <c r="C87" s="141"/>
      <c r="D87" s="145"/>
      <c r="E87" s="146"/>
      <c r="F87" s="147"/>
      <c r="G87" s="146"/>
      <c r="H87" s="146"/>
      <c r="I87" s="146"/>
      <c r="J87" s="146"/>
      <c r="K87" s="146"/>
    </row>
    <row r="88" spans="1:11" x14ac:dyDescent="0.35">
      <c r="A88" s="144"/>
      <c r="B88" s="141"/>
      <c r="C88" s="141"/>
      <c r="D88" s="145"/>
      <c r="E88" s="146"/>
      <c r="F88" s="147"/>
      <c r="G88" s="146"/>
      <c r="H88" s="146"/>
      <c r="I88" s="146"/>
      <c r="J88" s="146"/>
      <c r="K88" s="146"/>
    </row>
    <row r="89" spans="1:11" x14ac:dyDescent="0.35">
      <c r="A89" s="144"/>
      <c r="B89" s="141"/>
      <c r="C89" s="141"/>
      <c r="D89" s="145"/>
      <c r="E89" s="146"/>
      <c r="F89" s="147"/>
      <c r="G89" s="146"/>
      <c r="H89" s="146"/>
      <c r="I89" s="146"/>
      <c r="J89" s="146"/>
      <c r="K89" s="146"/>
    </row>
    <row r="90" spans="1:11" x14ac:dyDescent="0.35">
      <c r="A90" s="144"/>
      <c r="B90" s="141"/>
      <c r="C90" s="141"/>
      <c r="D90" s="145"/>
      <c r="E90" s="146"/>
      <c r="F90" s="147"/>
      <c r="G90" s="146"/>
      <c r="H90" s="146"/>
      <c r="I90" s="146"/>
      <c r="J90" s="146"/>
      <c r="K90" s="146"/>
    </row>
    <row r="91" spans="1:11" x14ac:dyDescent="0.35">
      <c r="A91" s="144"/>
      <c r="B91" s="141"/>
      <c r="C91" s="141"/>
      <c r="D91" s="145"/>
      <c r="E91" s="146"/>
      <c r="F91" s="147"/>
      <c r="G91" s="146"/>
      <c r="H91" s="146"/>
      <c r="I91" s="146"/>
      <c r="J91" s="146"/>
      <c r="K91" s="146"/>
    </row>
    <row r="92" spans="1:11" x14ac:dyDescent="0.35">
      <c r="A92" s="144"/>
      <c r="B92" s="141"/>
      <c r="C92" s="141"/>
      <c r="D92" s="145"/>
      <c r="E92" s="146"/>
      <c r="F92" s="147"/>
      <c r="G92" s="146"/>
      <c r="H92" s="146"/>
      <c r="I92" s="146"/>
      <c r="J92" s="146"/>
      <c r="K92" s="146"/>
    </row>
    <row r="93" spans="1:11" x14ac:dyDescent="0.35">
      <c r="A93" s="144"/>
      <c r="B93" s="141"/>
      <c r="C93" s="141"/>
      <c r="D93" s="145"/>
      <c r="E93" s="146"/>
      <c r="F93" s="147"/>
      <c r="G93" s="146"/>
      <c r="H93" s="146"/>
      <c r="I93" s="146"/>
      <c r="J93" s="146"/>
      <c r="K93" s="146"/>
    </row>
    <row r="94" spans="1:11" x14ac:dyDescent="0.35">
      <c r="A94" s="144"/>
      <c r="B94" s="141"/>
      <c r="C94" s="141"/>
      <c r="D94" s="145"/>
      <c r="E94" s="146"/>
      <c r="F94" s="147"/>
      <c r="G94" s="146"/>
      <c r="H94" s="146"/>
      <c r="I94" s="146"/>
      <c r="J94" s="146"/>
      <c r="K94" s="146"/>
    </row>
    <row r="95" spans="1:11" x14ac:dyDescent="0.35">
      <c r="A95" s="144"/>
      <c r="B95" s="141"/>
      <c r="C95" s="141"/>
      <c r="D95" s="145"/>
      <c r="E95" s="146"/>
      <c r="F95" s="147"/>
      <c r="G95" s="146"/>
      <c r="H95" s="146"/>
      <c r="I95" s="146"/>
      <c r="J95" s="146"/>
      <c r="K95" s="146"/>
    </row>
    <row r="96" spans="1:11" x14ac:dyDescent="0.35">
      <c r="A96" s="144"/>
      <c r="B96" s="141"/>
      <c r="C96" s="141"/>
      <c r="D96" s="145"/>
      <c r="E96" s="146"/>
      <c r="F96" s="147"/>
      <c r="G96" s="146"/>
      <c r="H96" s="146"/>
      <c r="I96" s="146"/>
      <c r="J96" s="146"/>
      <c r="K96" s="146"/>
    </row>
    <row r="97" spans="1:11" x14ac:dyDescent="0.35">
      <c r="A97" s="144"/>
      <c r="B97" s="141"/>
      <c r="C97" s="141"/>
      <c r="D97" s="145"/>
      <c r="E97" s="146"/>
      <c r="F97" s="147"/>
      <c r="G97" s="146"/>
      <c r="H97" s="146"/>
      <c r="I97" s="146"/>
      <c r="J97" s="146"/>
      <c r="K97" s="146"/>
    </row>
    <row r="98" spans="1:11" x14ac:dyDescent="0.35">
      <c r="A98" s="144"/>
      <c r="B98" s="141"/>
      <c r="C98" s="141"/>
      <c r="D98" s="145"/>
      <c r="E98" s="146"/>
      <c r="F98" s="147"/>
      <c r="G98" s="146"/>
      <c r="H98" s="146"/>
      <c r="I98" s="146"/>
      <c r="J98" s="146"/>
      <c r="K98" s="146"/>
    </row>
    <row r="99" spans="1:11" x14ac:dyDescent="0.35">
      <c r="A99" s="144"/>
      <c r="B99" s="141"/>
      <c r="C99" s="141"/>
      <c r="D99" s="145"/>
      <c r="E99" s="146"/>
      <c r="F99" s="147"/>
      <c r="G99" s="146"/>
      <c r="H99" s="146"/>
      <c r="I99" s="146"/>
      <c r="J99" s="146"/>
      <c r="K99" s="146"/>
    </row>
    <row r="106" spans="1:11" x14ac:dyDescent="0.35">
      <c r="B106" s="37" t="s">
        <v>337</v>
      </c>
      <c r="G106" s="43" t="s">
        <v>336</v>
      </c>
    </row>
    <row r="107" spans="1:11" x14ac:dyDescent="0.35">
      <c r="D107" s="47">
        <v>45295</v>
      </c>
      <c r="E107" s="43" t="s">
        <v>20</v>
      </c>
      <c r="G107" s="43" t="s">
        <v>338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A007-FF6C-48D2-9BBE-B53FA2020D4F}">
  <dimension ref="A1:I101"/>
  <sheetViews>
    <sheetView zoomScale="80" zoomScaleNormal="80" workbookViewId="0">
      <pane ySplit="1" topLeftCell="A30" activePane="bottomLeft" state="frozen"/>
      <selection activeCell="G24" sqref="G24"/>
      <selection pane="bottomLeft" activeCell="E37" sqref="E37"/>
    </sheetView>
  </sheetViews>
  <sheetFormatPr defaultRowHeight="17.5" customHeight="1" x14ac:dyDescent="0.35"/>
  <cols>
    <col min="1" max="1" width="9" style="64" customWidth="1"/>
    <col min="2" max="2" width="49.36328125" style="49" customWidth="1"/>
    <col min="3" max="3" width="15.81640625" style="64" customWidth="1"/>
    <col min="4" max="4" width="17.81640625" style="49" customWidth="1"/>
    <col min="5" max="5" width="12.26953125" style="49" customWidth="1"/>
    <col min="6" max="6" width="21.6328125" style="114" customWidth="1"/>
    <col min="7" max="7" width="35.81640625" style="49" customWidth="1"/>
    <col min="8" max="8" width="20.54296875" style="49" customWidth="1"/>
    <col min="9" max="9" width="30.26953125" style="49" customWidth="1"/>
    <col min="10" max="16384" width="8.7265625" style="49"/>
  </cols>
  <sheetData>
    <row r="1" spans="1:9" ht="25.5" customHeight="1" x14ac:dyDescent="0.35">
      <c r="A1" s="140" t="s">
        <v>0</v>
      </c>
      <c r="B1" s="141" t="s">
        <v>1</v>
      </c>
      <c r="C1" s="140" t="s">
        <v>2</v>
      </c>
      <c r="D1" s="142" t="s">
        <v>3</v>
      </c>
      <c r="E1" s="141" t="s">
        <v>4</v>
      </c>
      <c r="F1" s="143" t="s">
        <v>5</v>
      </c>
      <c r="G1" s="141" t="s">
        <v>6</v>
      </c>
      <c r="H1" s="141" t="s">
        <v>7</v>
      </c>
      <c r="I1" s="141" t="s">
        <v>31</v>
      </c>
    </row>
    <row r="2" spans="1:9" s="43" customFormat="1" ht="17.5" customHeight="1" x14ac:dyDescent="0.35">
      <c r="A2" s="144" t="s">
        <v>207</v>
      </c>
      <c r="B2" s="141" t="s">
        <v>107</v>
      </c>
      <c r="C2" s="144" t="s">
        <v>157</v>
      </c>
      <c r="D2" s="145">
        <v>44215</v>
      </c>
      <c r="E2" s="146" t="s">
        <v>171</v>
      </c>
      <c r="F2" s="147">
        <v>25000000</v>
      </c>
      <c r="G2" s="146"/>
      <c r="H2" s="146"/>
      <c r="I2" s="146"/>
    </row>
    <row r="3" spans="1:9" s="43" customFormat="1" ht="17.5" customHeight="1" x14ac:dyDescent="0.35">
      <c r="A3" s="144" t="s">
        <v>208</v>
      </c>
      <c r="B3" s="141" t="s">
        <v>107</v>
      </c>
      <c r="C3" s="144" t="s">
        <v>157</v>
      </c>
      <c r="D3" s="145" t="s">
        <v>170</v>
      </c>
      <c r="E3" s="146" t="s">
        <v>171</v>
      </c>
      <c r="F3" s="147">
        <v>10000000</v>
      </c>
      <c r="G3" s="146"/>
      <c r="H3" s="146"/>
      <c r="I3" s="146"/>
    </row>
    <row r="4" spans="1:9" s="43" customFormat="1" ht="17.5" customHeight="1" x14ac:dyDescent="0.35">
      <c r="A4" s="144"/>
      <c r="B4" s="148" t="s">
        <v>172</v>
      </c>
      <c r="C4" s="144"/>
      <c r="D4" s="145"/>
      <c r="E4" s="137"/>
      <c r="F4" s="149">
        <f>SUM(F2:F3)</f>
        <v>35000000</v>
      </c>
      <c r="G4" s="146"/>
      <c r="H4" s="146"/>
      <c r="I4" s="146"/>
    </row>
    <row r="5" spans="1:9" s="43" customFormat="1" ht="17.5" customHeight="1" x14ac:dyDescent="0.35">
      <c r="A5" s="144"/>
      <c r="B5" s="150"/>
      <c r="C5" s="144"/>
      <c r="D5" s="145"/>
      <c r="E5" s="137"/>
      <c r="F5" s="151"/>
      <c r="G5" s="146"/>
      <c r="H5" s="146"/>
      <c r="I5" s="146"/>
    </row>
    <row r="6" spans="1:9" s="43" customFormat="1" ht="17.5" customHeight="1" x14ac:dyDescent="0.35">
      <c r="A6" s="152" t="s">
        <v>221</v>
      </c>
      <c r="B6" s="146" t="s">
        <v>107</v>
      </c>
      <c r="C6" s="144" t="s">
        <v>157</v>
      </c>
      <c r="D6" s="145">
        <v>44215</v>
      </c>
      <c r="E6" s="137" t="s">
        <v>173</v>
      </c>
      <c r="F6" s="147">
        <v>25000000</v>
      </c>
      <c r="G6" s="141"/>
      <c r="H6" s="146"/>
      <c r="I6" s="146"/>
    </row>
    <row r="7" spans="1:9" s="43" customFormat="1" ht="17.5" customHeight="1" x14ac:dyDescent="0.35">
      <c r="A7" s="152" t="s">
        <v>222</v>
      </c>
      <c r="B7" s="146" t="s">
        <v>107</v>
      </c>
      <c r="C7" s="144" t="s">
        <v>157</v>
      </c>
      <c r="D7" s="145">
        <v>44301</v>
      </c>
      <c r="E7" s="137" t="s">
        <v>173</v>
      </c>
      <c r="F7" s="147">
        <v>100000000</v>
      </c>
      <c r="G7" s="141"/>
      <c r="H7" s="146"/>
      <c r="I7" s="146"/>
    </row>
    <row r="8" spans="1:9" s="43" customFormat="1" ht="17.5" customHeight="1" x14ac:dyDescent="0.35">
      <c r="A8" s="152" t="s">
        <v>223</v>
      </c>
      <c r="B8" s="146" t="s">
        <v>107</v>
      </c>
      <c r="C8" s="144" t="s">
        <v>157</v>
      </c>
      <c r="D8" s="145" t="s">
        <v>174</v>
      </c>
      <c r="E8" s="137" t="s">
        <v>173</v>
      </c>
      <c r="F8" s="147">
        <v>150000000</v>
      </c>
      <c r="G8" s="141"/>
      <c r="H8" s="146"/>
      <c r="I8" s="146"/>
    </row>
    <row r="9" spans="1:9" s="43" customFormat="1" ht="17.5" customHeight="1" x14ac:dyDescent="0.35">
      <c r="A9" s="152" t="s">
        <v>224</v>
      </c>
      <c r="B9" s="146" t="s">
        <v>107</v>
      </c>
      <c r="C9" s="144" t="s">
        <v>157</v>
      </c>
      <c r="D9" s="145">
        <v>45503</v>
      </c>
      <c r="E9" s="137" t="s">
        <v>173</v>
      </c>
      <c r="F9" s="147">
        <v>200000000</v>
      </c>
      <c r="G9" s="141"/>
      <c r="H9" s="146"/>
      <c r="I9" s="146"/>
    </row>
    <row r="10" spans="1:9" s="43" customFormat="1" ht="17.5" customHeight="1" collapsed="1" x14ac:dyDescent="0.35">
      <c r="A10" s="152"/>
      <c r="B10" s="153" t="s">
        <v>175</v>
      </c>
      <c r="C10" s="144"/>
      <c r="D10" s="145"/>
      <c r="E10" s="137"/>
      <c r="F10" s="149">
        <f>SUM(F6:F9)</f>
        <v>475000000</v>
      </c>
      <c r="G10" s="141"/>
      <c r="H10" s="146"/>
      <c r="I10" s="146"/>
    </row>
    <row r="11" spans="1:9" s="43" customFormat="1" ht="17.5" customHeight="1" collapsed="1" x14ac:dyDescent="0.35">
      <c r="A11" s="152"/>
      <c r="B11" s="154"/>
      <c r="C11" s="144"/>
      <c r="D11" s="145"/>
      <c r="E11" s="137"/>
      <c r="F11" s="151"/>
      <c r="G11" s="141"/>
      <c r="H11" s="146"/>
      <c r="I11" s="146"/>
    </row>
    <row r="12" spans="1:9" s="43" customFormat="1" ht="17.5" customHeight="1" x14ac:dyDescent="0.35">
      <c r="A12" s="152">
        <v>3</v>
      </c>
      <c r="B12" s="146" t="s">
        <v>94</v>
      </c>
      <c r="C12" s="144" t="s">
        <v>177</v>
      </c>
      <c r="D12" s="145">
        <v>44308</v>
      </c>
      <c r="E12" s="146" t="s">
        <v>173</v>
      </c>
      <c r="F12" s="147">
        <v>10100000</v>
      </c>
      <c r="G12" s="141"/>
      <c r="H12" s="146"/>
      <c r="I12" s="146"/>
    </row>
    <row r="13" spans="1:9" s="43" customFormat="1" ht="17.5" customHeight="1" x14ac:dyDescent="0.35">
      <c r="A13" s="152"/>
      <c r="B13" s="146"/>
      <c r="C13" s="144"/>
      <c r="D13" s="145"/>
      <c r="E13" s="146"/>
      <c r="F13" s="147"/>
      <c r="G13" s="141"/>
      <c r="H13" s="146"/>
      <c r="I13" s="146"/>
    </row>
    <row r="14" spans="1:9" s="43" customFormat="1" ht="17.5" customHeight="1" x14ac:dyDescent="0.35">
      <c r="A14" s="152" t="s">
        <v>192</v>
      </c>
      <c r="B14" s="146" t="s">
        <v>273</v>
      </c>
      <c r="C14" s="144" t="s">
        <v>385</v>
      </c>
      <c r="D14" s="145">
        <v>45041</v>
      </c>
      <c r="E14" s="146" t="s">
        <v>173</v>
      </c>
      <c r="F14" s="147">
        <v>50000000</v>
      </c>
      <c r="G14" s="141"/>
      <c r="H14" s="146"/>
      <c r="I14" s="146"/>
    </row>
    <row r="15" spans="1:9" s="43" customFormat="1" ht="17.5" customHeight="1" x14ac:dyDescent="0.35">
      <c r="A15" s="152" t="s">
        <v>193</v>
      </c>
      <c r="B15" s="141" t="s">
        <v>273</v>
      </c>
      <c r="C15" s="144" t="s">
        <v>385</v>
      </c>
      <c r="D15" s="145">
        <v>45443</v>
      </c>
      <c r="E15" s="146" t="s">
        <v>173</v>
      </c>
      <c r="F15" s="147">
        <v>20000000</v>
      </c>
      <c r="G15" s="141"/>
      <c r="H15" s="146"/>
      <c r="I15" s="146"/>
    </row>
    <row r="16" spans="1:9" s="43" customFormat="1" ht="17.5" customHeight="1" x14ac:dyDescent="0.35">
      <c r="A16" s="152" t="s">
        <v>194</v>
      </c>
      <c r="B16" s="141" t="s">
        <v>273</v>
      </c>
      <c r="C16" s="144" t="s">
        <v>385</v>
      </c>
      <c r="D16" s="145">
        <v>45848</v>
      </c>
      <c r="E16" s="146" t="s">
        <v>173</v>
      </c>
      <c r="F16" s="147">
        <v>40000000</v>
      </c>
      <c r="G16" s="141"/>
      <c r="H16" s="146"/>
      <c r="I16" s="146"/>
    </row>
    <row r="17" spans="1:9" s="43" customFormat="1" ht="17.5" customHeight="1" x14ac:dyDescent="0.35">
      <c r="A17" s="152" t="s">
        <v>195</v>
      </c>
      <c r="B17" s="141" t="s">
        <v>273</v>
      </c>
      <c r="C17" s="144" t="s">
        <v>385</v>
      </c>
      <c r="D17" s="145">
        <v>45506</v>
      </c>
      <c r="E17" s="146" t="s">
        <v>173</v>
      </c>
      <c r="F17" s="147">
        <v>100000000</v>
      </c>
      <c r="G17" s="141"/>
      <c r="H17" s="146"/>
      <c r="I17" s="146"/>
    </row>
    <row r="18" spans="1:9" s="43" customFormat="1" ht="17.5" customHeight="1" collapsed="1" x14ac:dyDescent="0.35">
      <c r="A18" s="152" t="s">
        <v>196</v>
      </c>
      <c r="B18" s="141" t="s">
        <v>273</v>
      </c>
      <c r="C18" s="144" t="s">
        <v>385</v>
      </c>
      <c r="D18" s="145">
        <v>45510</v>
      </c>
      <c r="E18" s="146" t="s">
        <v>173</v>
      </c>
      <c r="F18" s="147">
        <v>10000000</v>
      </c>
      <c r="G18" s="141"/>
      <c r="H18" s="146"/>
      <c r="I18" s="146"/>
    </row>
    <row r="19" spans="1:9" s="43" customFormat="1" ht="17.5" customHeight="1" collapsed="1" x14ac:dyDescent="0.35">
      <c r="A19" s="152" t="s">
        <v>197</v>
      </c>
      <c r="B19" s="141" t="s">
        <v>273</v>
      </c>
      <c r="C19" s="144" t="s">
        <v>385</v>
      </c>
      <c r="D19" s="145">
        <v>45961</v>
      </c>
      <c r="E19" s="146" t="s">
        <v>173</v>
      </c>
      <c r="F19" s="147">
        <v>45000000</v>
      </c>
      <c r="G19" s="141"/>
      <c r="H19" s="146"/>
      <c r="I19" s="146"/>
    </row>
    <row r="20" spans="1:9" s="43" customFormat="1" ht="17.5" customHeight="1" x14ac:dyDescent="0.35">
      <c r="A20" s="152" t="s">
        <v>198</v>
      </c>
      <c r="B20" s="141" t="s">
        <v>273</v>
      </c>
      <c r="C20" s="144" t="s">
        <v>385</v>
      </c>
      <c r="D20" s="145">
        <v>45989</v>
      </c>
      <c r="E20" s="146" t="s">
        <v>173</v>
      </c>
      <c r="F20" s="147">
        <v>120000000</v>
      </c>
      <c r="G20" s="141"/>
      <c r="H20" s="146"/>
      <c r="I20" s="146"/>
    </row>
    <row r="21" spans="1:9" s="43" customFormat="1" ht="17.5" customHeight="1" x14ac:dyDescent="0.35">
      <c r="A21" s="152"/>
      <c r="B21" s="153" t="s">
        <v>402</v>
      </c>
      <c r="C21" s="144"/>
      <c r="D21" s="145"/>
      <c r="E21" s="137"/>
      <c r="F21" s="149">
        <f>SUM(F14:F20)</f>
        <v>385000000</v>
      </c>
      <c r="G21" s="141"/>
      <c r="H21" s="146"/>
      <c r="I21" s="146"/>
    </row>
    <row r="22" spans="1:9" s="43" customFormat="1" ht="17.5" customHeight="1" x14ac:dyDescent="0.35">
      <c r="A22" s="152"/>
      <c r="B22" s="154"/>
      <c r="C22" s="144"/>
      <c r="D22" s="145"/>
      <c r="E22" s="137"/>
      <c r="F22" s="151"/>
      <c r="G22" s="141"/>
      <c r="H22" s="146"/>
      <c r="I22" s="146"/>
    </row>
    <row r="23" spans="1:9" s="43" customFormat="1" ht="17.5" customHeight="1" collapsed="1" x14ac:dyDescent="0.35">
      <c r="A23" s="152" t="s">
        <v>201</v>
      </c>
      <c r="B23" s="146" t="s">
        <v>387</v>
      </c>
      <c r="C23" s="144" t="s">
        <v>385</v>
      </c>
      <c r="D23" s="145">
        <v>45203</v>
      </c>
      <c r="E23" s="146" t="s">
        <v>173</v>
      </c>
      <c r="F23" s="147">
        <v>2500000</v>
      </c>
      <c r="G23" s="141"/>
      <c r="H23" s="146"/>
      <c r="I23" s="146"/>
    </row>
    <row r="24" spans="1:9" s="43" customFormat="1" ht="17.5" customHeight="1" collapsed="1" x14ac:dyDescent="0.35">
      <c r="A24" s="152" t="s">
        <v>202</v>
      </c>
      <c r="B24" s="146" t="s">
        <v>387</v>
      </c>
      <c r="C24" s="144" t="s">
        <v>385</v>
      </c>
      <c r="D24" s="145">
        <v>45223</v>
      </c>
      <c r="E24" s="146" t="s">
        <v>173</v>
      </c>
      <c r="F24" s="147">
        <v>7500000</v>
      </c>
      <c r="G24" s="141"/>
      <c r="H24" s="146"/>
      <c r="I24" s="146"/>
    </row>
    <row r="25" spans="1:9" s="43" customFormat="1" ht="17.5" customHeight="1" x14ac:dyDescent="0.35">
      <c r="A25" s="152" t="s">
        <v>501</v>
      </c>
      <c r="B25" s="146" t="s">
        <v>387</v>
      </c>
      <c r="C25" s="144" t="s">
        <v>385</v>
      </c>
      <c r="D25" s="145">
        <v>45348</v>
      </c>
      <c r="E25" s="146" t="s">
        <v>173</v>
      </c>
      <c r="F25" s="147">
        <v>10000000</v>
      </c>
      <c r="G25" s="141"/>
      <c r="H25" s="146"/>
      <c r="I25" s="146"/>
    </row>
    <row r="26" spans="1:9" s="43" customFormat="1" ht="17.5" customHeight="1" x14ac:dyDescent="0.35">
      <c r="A26" s="152" t="s">
        <v>635</v>
      </c>
      <c r="B26" s="146" t="s">
        <v>387</v>
      </c>
      <c r="C26" s="144" t="s">
        <v>385</v>
      </c>
      <c r="D26" s="145">
        <v>45925</v>
      </c>
      <c r="E26" s="146" t="s">
        <v>173</v>
      </c>
      <c r="F26" s="147">
        <v>7500000</v>
      </c>
      <c r="G26" s="141"/>
      <c r="H26" s="146"/>
      <c r="I26" s="146"/>
    </row>
    <row r="27" spans="1:9" s="43" customFormat="1" ht="17.5" customHeight="1" x14ac:dyDescent="0.35">
      <c r="A27" s="152" t="s">
        <v>712</v>
      </c>
      <c r="B27" s="146" t="s">
        <v>387</v>
      </c>
      <c r="C27" s="144" t="s">
        <v>385</v>
      </c>
      <c r="D27" s="145">
        <v>46058</v>
      </c>
      <c r="E27" s="146" t="s">
        <v>173</v>
      </c>
      <c r="F27" s="147">
        <v>7500000</v>
      </c>
      <c r="G27" s="141"/>
      <c r="H27" s="146"/>
      <c r="I27" s="146"/>
    </row>
    <row r="28" spans="1:9" s="43" customFormat="1" ht="17.5" customHeight="1" collapsed="1" x14ac:dyDescent="0.35">
      <c r="A28" s="152"/>
      <c r="B28" s="153" t="s">
        <v>388</v>
      </c>
      <c r="C28" s="144"/>
      <c r="D28" s="145"/>
      <c r="E28" s="137"/>
      <c r="F28" s="149">
        <f>SUM(F23:F27)</f>
        <v>35000000</v>
      </c>
      <c r="G28" s="141"/>
      <c r="H28" s="146"/>
      <c r="I28" s="146"/>
    </row>
    <row r="29" spans="1:9" s="43" customFormat="1" ht="17.5" customHeight="1" collapsed="1" x14ac:dyDescent="0.35">
      <c r="A29" s="152"/>
      <c r="B29" s="154"/>
      <c r="C29" s="144"/>
      <c r="D29" s="145"/>
      <c r="E29" s="137"/>
      <c r="F29" s="151"/>
      <c r="G29" s="141"/>
      <c r="H29" s="146"/>
      <c r="I29" s="146"/>
    </row>
    <row r="30" spans="1:9" s="43" customFormat="1" ht="17.5" customHeight="1" collapsed="1" x14ac:dyDescent="0.35">
      <c r="A30" s="144" t="s">
        <v>232</v>
      </c>
      <c r="B30" s="141" t="s">
        <v>399</v>
      </c>
      <c r="C30" s="144" t="s">
        <v>385</v>
      </c>
      <c r="D30" s="145">
        <v>45443</v>
      </c>
      <c r="E30" s="146" t="s">
        <v>173</v>
      </c>
      <c r="F30" s="147">
        <v>35000000</v>
      </c>
      <c r="G30" s="141"/>
      <c r="H30" s="146"/>
      <c r="I30" s="146"/>
    </row>
    <row r="31" spans="1:9" s="43" customFormat="1" ht="17.5" customHeight="1" x14ac:dyDescent="0.35">
      <c r="A31" s="144" t="s">
        <v>233</v>
      </c>
      <c r="B31" s="141" t="s">
        <v>399</v>
      </c>
      <c r="C31" s="144" t="s">
        <v>385</v>
      </c>
      <c r="D31" s="145">
        <v>45848</v>
      </c>
      <c r="E31" s="146" t="s">
        <v>173</v>
      </c>
      <c r="F31" s="147">
        <v>25000000</v>
      </c>
      <c r="G31" s="141"/>
      <c r="H31" s="146"/>
      <c r="I31" s="146"/>
    </row>
    <row r="32" spans="1:9" s="43" customFormat="1" ht="17.5" customHeight="1" x14ac:dyDescent="0.35">
      <c r="A32" s="144" t="s">
        <v>234</v>
      </c>
      <c r="B32" s="141" t="s">
        <v>399</v>
      </c>
      <c r="C32" s="144" t="s">
        <v>385</v>
      </c>
      <c r="D32" s="145">
        <v>45961</v>
      </c>
      <c r="E32" s="146" t="s">
        <v>173</v>
      </c>
      <c r="F32" s="147">
        <v>50000000</v>
      </c>
      <c r="G32" s="141"/>
      <c r="H32" s="146"/>
      <c r="I32" s="146"/>
    </row>
    <row r="33" spans="1:9" s="43" customFormat="1" ht="17.5" customHeight="1" x14ac:dyDescent="0.35">
      <c r="A33" s="144" t="s">
        <v>251</v>
      </c>
      <c r="B33" s="141" t="s">
        <v>399</v>
      </c>
      <c r="C33" s="144" t="s">
        <v>385</v>
      </c>
      <c r="D33" s="145">
        <v>46104</v>
      </c>
      <c r="E33" s="146" t="s">
        <v>173</v>
      </c>
      <c r="F33" s="147">
        <v>100000000</v>
      </c>
      <c r="G33" s="141"/>
      <c r="H33" s="146"/>
      <c r="I33" s="146"/>
    </row>
    <row r="34" spans="1:9" s="43" customFormat="1" ht="17.5" customHeight="1" x14ac:dyDescent="0.35">
      <c r="A34" s="144"/>
      <c r="B34" s="153" t="s">
        <v>715</v>
      </c>
      <c r="C34" s="144"/>
      <c r="D34" s="145"/>
      <c r="E34" s="137"/>
      <c r="F34" s="149">
        <f>SUM(F30:F33)</f>
        <v>210000000</v>
      </c>
      <c r="G34" s="141"/>
      <c r="H34" s="146"/>
      <c r="I34" s="146"/>
    </row>
    <row r="35" spans="1:9" s="43" customFormat="1" ht="17.5" customHeight="1" x14ac:dyDescent="0.35">
      <c r="A35" s="144"/>
      <c r="B35" s="154"/>
      <c r="C35" s="144"/>
      <c r="D35" s="145"/>
      <c r="E35" s="137"/>
      <c r="F35" s="151"/>
      <c r="G35" s="141"/>
      <c r="H35" s="146"/>
      <c r="I35" s="146"/>
    </row>
    <row r="36" spans="1:9" s="43" customFormat="1" ht="17.5" customHeight="1" x14ac:dyDescent="0.35">
      <c r="A36" s="152">
        <v>7</v>
      </c>
      <c r="B36" s="146" t="s">
        <v>411</v>
      </c>
      <c r="C36" s="144" t="s">
        <v>385</v>
      </c>
      <c r="D36" s="145">
        <v>45499</v>
      </c>
      <c r="E36" s="146" t="s">
        <v>173</v>
      </c>
      <c r="F36" s="147">
        <v>130000000</v>
      </c>
      <c r="G36" s="141"/>
      <c r="H36" s="146"/>
      <c r="I36" s="146"/>
    </row>
    <row r="37" spans="1:9" s="43" customFormat="1" ht="17.5" customHeight="1" x14ac:dyDescent="0.35">
      <c r="A37" s="152">
        <v>8</v>
      </c>
      <c r="B37" s="146" t="s">
        <v>497</v>
      </c>
      <c r="C37" s="144" t="s">
        <v>385</v>
      </c>
      <c r="D37" s="145">
        <v>45581</v>
      </c>
      <c r="E37" s="146" t="s">
        <v>173</v>
      </c>
      <c r="F37" s="147">
        <v>100000000</v>
      </c>
      <c r="G37" s="141"/>
      <c r="H37" s="146"/>
      <c r="I37" s="146"/>
    </row>
    <row r="38" spans="1:9" s="43" customFormat="1" ht="17.5" customHeight="1" x14ac:dyDescent="0.35">
      <c r="A38" s="152"/>
      <c r="B38" s="146"/>
      <c r="C38" s="144"/>
      <c r="D38" s="145"/>
      <c r="E38" s="146"/>
      <c r="F38" s="147"/>
      <c r="G38" s="141"/>
      <c r="H38" s="146"/>
      <c r="I38" s="146"/>
    </row>
    <row r="39" spans="1:9" s="43" customFormat="1" ht="17.5" customHeight="1" x14ac:dyDescent="0.35">
      <c r="A39" s="152" t="s">
        <v>295</v>
      </c>
      <c r="B39" s="146" t="s">
        <v>421</v>
      </c>
      <c r="C39" s="144" t="s">
        <v>422</v>
      </c>
      <c r="D39" s="145">
        <v>45546</v>
      </c>
      <c r="E39" s="146" t="s">
        <v>173</v>
      </c>
      <c r="F39" s="147">
        <v>15000000</v>
      </c>
      <c r="G39" s="141"/>
      <c r="H39" s="146"/>
      <c r="I39" s="146"/>
    </row>
    <row r="40" spans="1:9" s="43" customFormat="1" ht="17.5" customHeight="1" collapsed="1" x14ac:dyDescent="0.35">
      <c r="A40" s="152" t="s">
        <v>296</v>
      </c>
      <c r="B40" s="146" t="s">
        <v>421</v>
      </c>
      <c r="C40" s="144" t="s">
        <v>422</v>
      </c>
      <c r="D40" s="145">
        <v>45582</v>
      </c>
      <c r="E40" s="146" t="s">
        <v>173</v>
      </c>
      <c r="F40" s="147">
        <v>7500000</v>
      </c>
      <c r="G40" s="141"/>
      <c r="H40" s="146"/>
      <c r="I40" s="146"/>
    </row>
    <row r="41" spans="1:9" s="43" customFormat="1" ht="17.5" customHeight="1" x14ac:dyDescent="0.35">
      <c r="A41" s="152" t="s">
        <v>530</v>
      </c>
      <c r="B41" s="146" t="s">
        <v>421</v>
      </c>
      <c r="C41" s="144" t="s">
        <v>422</v>
      </c>
      <c r="D41" s="145">
        <v>45625</v>
      </c>
      <c r="E41" s="146" t="s">
        <v>173</v>
      </c>
      <c r="F41" s="147">
        <v>7500000</v>
      </c>
      <c r="G41" s="141"/>
      <c r="H41" s="146"/>
      <c r="I41" s="146"/>
    </row>
    <row r="42" spans="1:9" s="43" customFormat="1" ht="17.5" customHeight="1" x14ac:dyDescent="0.35">
      <c r="A42" s="152" t="s">
        <v>636</v>
      </c>
      <c r="B42" s="146" t="s">
        <v>421</v>
      </c>
      <c r="C42" s="144" t="s">
        <v>422</v>
      </c>
      <c r="D42" s="145">
        <v>45925</v>
      </c>
      <c r="E42" s="146" t="s">
        <v>173</v>
      </c>
      <c r="F42" s="147">
        <v>9000000</v>
      </c>
      <c r="G42" s="141"/>
      <c r="H42" s="146"/>
      <c r="I42" s="146"/>
    </row>
    <row r="43" spans="1:9" s="43" customFormat="1" ht="17.5" customHeight="1" collapsed="1" x14ac:dyDescent="0.35">
      <c r="A43" s="152" t="s">
        <v>711</v>
      </c>
      <c r="B43" s="146" t="s">
        <v>421</v>
      </c>
      <c r="C43" s="144" t="s">
        <v>422</v>
      </c>
      <c r="D43" s="145">
        <v>46066</v>
      </c>
      <c r="E43" s="146" t="s">
        <v>173</v>
      </c>
      <c r="F43" s="147">
        <v>7500000</v>
      </c>
      <c r="G43" s="141"/>
      <c r="H43" s="146"/>
      <c r="I43" s="146"/>
    </row>
    <row r="44" spans="1:9" s="43" customFormat="1" ht="17.5" customHeight="1" collapsed="1" x14ac:dyDescent="0.35">
      <c r="A44" s="152" t="s">
        <v>742</v>
      </c>
      <c r="B44" s="146" t="s">
        <v>421</v>
      </c>
      <c r="C44" s="144" t="s">
        <v>422</v>
      </c>
      <c r="D44" s="145" t="s">
        <v>741</v>
      </c>
      <c r="E44" s="146" t="s">
        <v>173</v>
      </c>
      <c r="F44" s="147">
        <v>13500000</v>
      </c>
      <c r="G44" s="141"/>
      <c r="H44" s="146"/>
      <c r="I44" s="146"/>
    </row>
    <row r="45" spans="1:9" s="43" customFormat="1" ht="17.5" customHeight="1" x14ac:dyDescent="0.35">
      <c r="A45" s="152"/>
      <c r="B45" s="153" t="s">
        <v>526</v>
      </c>
      <c r="C45" s="144"/>
      <c r="D45" s="145"/>
      <c r="E45" s="137"/>
      <c r="F45" s="149">
        <f>SUM(F39:F44)</f>
        <v>60000000</v>
      </c>
      <c r="G45" s="141"/>
      <c r="H45" s="146"/>
      <c r="I45" s="146"/>
    </row>
    <row r="46" spans="1:9" s="43" customFormat="1" ht="17.5" customHeight="1" collapsed="1" x14ac:dyDescent="0.35">
      <c r="A46" s="152"/>
      <c r="B46" s="154"/>
      <c r="C46" s="144"/>
      <c r="D46" s="145"/>
      <c r="E46" s="137"/>
      <c r="F46" s="151"/>
      <c r="G46" s="141"/>
      <c r="H46" s="146"/>
      <c r="I46" s="146"/>
    </row>
    <row r="47" spans="1:9" s="43" customFormat="1" ht="17.5" customHeight="1" collapsed="1" x14ac:dyDescent="0.35">
      <c r="A47" s="144" t="s">
        <v>205</v>
      </c>
      <c r="B47" s="141" t="s">
        <v>443</v>
      </c>
      <c r="C47" s="144" t="s">
        <v>481</v>
      </c>
      <c r="D47" s="145">
        <v>45538</v>
      </c>
      <c r="E47" s="146" t="s">
        <v>173</v>
      </c>
      <c r="F47" s="147">
        <v>50000000</v>
      </c>
      <c r="G47" s="146"/>
      <c r="H47" s="146"/>
      <c r="I47" s="146"/>
    </row>
    <row r="48" spans="1:9" s="43" customFormat="1" ht="17.5" customHeight="1" collapsed="1" x14ac:dyDescent="0.35">
      <c r="A48" s="144" t="s">
        <v>206</v>
      </c>
      <c r="B48" s="141" t="s">
        <v>443</v>
      </c>
      <c r="C48" s="144" t="s">
        <v>452</v>
      </c>
      <c r="D48" s="145">
        <v>45673</v>
      </c>
      <c r="E48" s="146" t="s">
        <v>173</v>
      </c>
      <c r="F48" s="147">
        <v>30000000</v>
      </c>
      <c r="G48" s="146"/>
      <c r="H48" s="146"/>
      <c r="I48" s="146"/>
    </row>
    <row r="49" spans="1:9" s="43" customFormat="1" ht="17.5" customHeight="1" collapsed="1" x14ac:dyDescent="0.35">
      <c r="A49" s="144" t="s">
        <v>381</v>
      </c>
      <c r="B49" s="141" t="s">
        <v>443</v>
      </c>
      <c r="C49" s="144" t="s">
        <v>452</v>
      </c>
      <c r="D49" s="145">
        <v>45702</v>
      </c>
      <c r="E49" s="146" t="s">
        <v>173</v>
      </c>
      <c r="F49" s="147">
        <v>30000000</v>
      </c>
      <c r="G49" s="146"/>
      <c r="H49" s="146"/>
      <c r="I49" s="146"/>
    </row>
    <row r="50" spans="1:9" s="43" customFormat="1" ht="17.5" customHeight="1" collapsed="1" x14ac:dyDescent="0.35">
      <c r="A50" s="144"/>
      <c r="B50" s="153" t="s">
        <v>547</v>
      </c>
      <c r="C50" s="144"/>
      <c r="D50" s="145"/>
      <c r="E50" s="137"/>
      <c r="F50" s="149">
        <f>SUM(F47:F49)</f>
        <v>110000000</v>
      </c>
      <c r="G50" s="146"/>
      <c r="H50" s="146"/>
      <c r="I50" s="146"/>
    </row>
    <row r="51" spans="1:9" s="43" customFormat="1" ht="17.5" customHeight="1" x14ac:dyDescent="0.35">
      <c r="A51" s="144"/>
      <c r="B51" s="154"/>
      <c r="C51" s="144"/>
      <c r="D51" s="145"/>
      <c r="E51" s="137"/>
      <c r="F51" s="151"/>
      <c r="G51" s="146"/>
      <c r="H51" s="146"/>
      <c r="I51" s="146"/>
    </row>
    <row r="52" spans="1:9" s="43" customFormat="1" ht="17.5" customHeight="1" x14ac:dyDescent="0.35">
      <c r="A52" s="152" t="s">
        <v>545</v>
      </c>
      <c r="B52" s="146" t="s">
        <v>434</v>
      </c>
      <c r="C52" s="144" t="s">
        <v>385</v>
      </c>
      <c r="D52" s="145">
        <v>45569</v>
      </c>
      <c r="E52" s="146" t="s">
        <v>173</v>
      </c>
      <c r="F52" s="147">
        <v>30000000</v>
      </c>
      <c r="G52" s="141"/>
      <c r="H52" s="146"/>
      <c r="I52" s="146"/>
    </row>
    <row r="53" spans="1:9" s="43" customFormat="1" ht="17.5" customHeight="1" x14ac:dyDescent="0.35">
      <c r="A53" s="152" t="s">
        <v>546</v>
      </c>
      <c r="B53" s="146" t="s">
        <v>434</v>
      </c>
      <c r="C53" s="144" t="s">
        <v>385</v>
      </c>
      <c r="D53" s="145">
        <v>45332</v>
      </c>
      <c r="E53" s="146" t="s">
        <v>173</v>
      </c>
      <c r="F53" s="147">
        <v>100000000</v>
      </c>
      <c r="G53" s="141"/>
      <c r="H53" s="146"/>
      <c r="I53" s="146"/>
    </row>
    <row r="54" spans="1:9" s="43" customFormat="1" ht="17.5" customHeight="1" x14ac:dyDescent="0.35">
      <c r="A54" s="152"/>
      <c r="B54" s="153" t="s">
        <v>561</v>
      </c>
      <c r="C54" s="144"/>
      <c r="D54" s="145"/>
      <c r="E54" s="137"/>
      <c r="F54" s="149">
        <f>SUM(F52:F53)</f>
        <v>130000000</v>
      </c>
      <c r="G54" s="141"/>
      <c r="H54" s="146"/>
      <c r="I54" s="146"/>
    </row>
    <row r="55" spans="1:9" s="43" customFormat="1" ht="17.5" customHeight="1" x14ac:dyDescent="0.35">
      <c r="A55" s="152"/>
      <c r="B55" s="154"/>
      <c r="C55" s="144"/>
      <c r="D55" s="145"/>
      <c r="E55" s="137"/>
      <c r="F55" s="151"/>
      <c r="G55" s="141"/>
      <c r="H55" s="146"/>
      <c r="I55" s="146"/>
    </row>
    <row r="56" spans="1:9" s="43" customFormat="1" ht="17.5" customHeight="1" collapsed="1" x14ac:dyDescent="0.35">
      <c r="A56" s="152">
        <v>12</v>
      </c>
      <c r="B56" s="141" t="s">
        <v>493</v>
      </c>
      <c r="C56" s="146" t="s">
        <v>495</v>
      </c>
      <c r="D56" s="145">
        <v>45575</v>
      </c>
      <c r="E56" s="146" t="s">
        <v>173</v>
      </c>
      <c r="F56" s="147">
        <v>30000000</v>
      </c>
      <c r="G56" s="146" t="s">
        <v>496</v>
      </c>
      <c r="H56" s="146"/>
      <c r="I56" s="146"/>
    </row>
    <row r="57" spans="1:9" s="43" customFormat="1" ht="17.5" customHeight="1" collapsed="1" x14ac:dyDescent="0.35">
      <c r="A57" s="152"/>
      <c r="B57" s="141"/>
      <c r="C57" s="146"/>
      <c r="D57" s="145"/>
      <c r="E57" s="146"/>
      <c r="F57" s="147"/>
      <c r="G57" s="146"/>
      <c r="H57" s="146"/>
      <c r="I57" s="146"/>
    </row>
    <row r="58" spans="1:9" s="43" customFormat="1" ht="17.5" customHeight="1" x14ac:dyDescent="0.35">
      <c r="A58" s="152" t="s">
        <v>726</v>
      </c>
      <c r="B58" s="146" t="s">
        <v>500</v>
      </c>
      <c r="C58" s="144" t="s">
        <v>385</v>
      </c>
      <c r="D58" s="145">
        <v>45580</v>
      </c>
      <c r="E58" s="146" t="s">
        <v>173</v>
      </c>
      <c r="F58" s="147">
        <v>10000000</v>
      </c>
      <c r="G58" s="141"/>
      <c r="H58" s="146"/>
      <c r="I58" s="146"/>
    </row>
    <row r="59" spans="1:9" s="43" customFormat="1" ht="17.5" customHeight="1" x14ac:dyDescent="0.35">
      <c r="A59" s="152" t="s">
        <v>727</v>
      </c>
      <c r="B59" s="146" t="s">
        <v>500</v>
      </c>
      <c r="C59" s="144" t="s">
        <v>385</v>
      </c>
      <c r="D59" s="145">
        <v>45588</v>
      </c>
      <c r="E59" s="146" t="s">
        <v>173</v>
      </c>
      <c r="F59" s="147">
        <v>50000000</v>
      </c>
      <c r="G59" s="141"/>
      <c r="H59" s="146"/>
      <c r="I59" s="146"/>
    </row>
    <row r="60" spans="1:9" s="43" customFormat="1" ht="17.5" customHeight="1" collapsed="1" x14ac:dyDescent="0.35">
      <c r="A60" s="152"/>
      <c r="B60" s="146"/>
      <c r="C60" s="144"/>
      <c r="D60" s="145"/>
      <c r="E60" s="146"/>
      <c r="F60" s="147"/>
      <c r="G60" s="141"/>
      <c r="H60" s="146"/>
      <c r="I60" s="146"/>
    </row>
    <row r="61" spans="1:9" s="43" customFormat="1" ht="17.5" customHeight="1" x14ac:dyDescent="0.35">
      <c r="A61" s="152">
        <v>14</v>
      </c>
      <c r="B61" s="146" t="s">
        <v>499</v>
      </c>
      <c r="C61" s="144" t="s">
        <v>432</v>
      </c>
      <c r="D61" s="145">
        <v>45588</v>
      </c>
      <c r="E61" s="146" t="s">
        <v>173</v>
      </c>
      <c r="F61" s="147">
        <v>10000000</v>
      </c>
      <c r="G61" s="146" t="s">
        <v>494</v>
      </c>
      <c r="H61" s="146"/>
      <c r="I61" s="146"/>
    </row>
    <row r="62" spans="1:9" s="43" customFormat="1" ht="17.5" customHeight="1" x14ac:dyDescent="0.35">
      <c r="A62" s="152">
        <v>15</v>
      </c>
      <c r="B62" s="146" t="s">
        <v>549</v>
      </c>
      <c r="C62" s="144" t="s">
        <v>385</v>
      </c>
      <c r="D62" s="145">
        <v>45687</v>
      </c>
      <c r="E62" s="146" t="s">
        <v>173</v>
      </c>
      <c r="F62" s="147">
        <v>200000000</v>
      </c>
      <c r="G62" s="141"/>
      <c r="H62" s="146"/>
      <c r="I62" s="146"/>
    </row>
    <row r="63" spans="1:9" s="43" customFormat="1" ht="17.5" customHeight="1" x14ac:dyDescent="0.35">
      <c r="A63" s="152">
        <v>16</v>
      </c>
      <c r="B63" s="146" t="s">
        <v>529</v>
      </c>
      <c r="C63" s="144" t="s">
        <v>527</v>
      </c>
      <c r="D63" s="145">
        <v>45673</v>
      </c>
      <c r="E63" s="146" t="s">
        <v>173</v>
      </c>
      <c r="F63" s="147">
        <v>100000000</v>
      </c>
      <c r="G63" s="141"/>
      <c r="H63" s="146"/>
      <c r="I63" s="146"/>
    </row>
    <row r="64" spans="1:9" s="43" customFormat="1" ht="17.5" customHeight="1" x14ac:dyDescent="0.35">
      <c r="A64" s="152"/>
      <c r="B64" s="146"/>
      <c r="C64" s="144"/>
      <c r="D64" s="145"/>
      <c r="E64" s="146"/>
      <c r="F64" s="147"/>
      <c r="G64" s="141"/>
      <c r="H64" s="146"/>
      <c r="I64" s="146"/>
    </row>
    <row r="65" spans="1:9" s="43" customFormat="1" ht="17.5" customHeight="1" collapsed="1" x14ac:dyDescent="0.35">
      <c r="A65" s="152" t="s">
        <v>485</v>
      </c>
      <c r="B65" s="146" t="s">
        <v>551</v>
      </c>
      <c r="C65" s="144" t="s">
        <v>481</v>
      </c>
      <c r="D65" s="145">
        <v>45667</v>
      </c>
      <c r="E65" s="146" t="s">
        <v>173</v>
      </c>
      <c r="F65" s="147">
        <v>5000000</v>
      </c>
      <c r="G65" s="141"/>
      <c r="H65" s="146"/>
      <c r="I65" s="146"/>
    </row>
    <row r="66" spans="1:9" s="96" customFormat="1" ht="17.5" customHeight="1" x14ac:dyDescent="0.35">
      <c r="A66" s="152" t="s">
        <v>486</v>
      </c>
      <c r="B66" s="146" t="s">
        <v>551</v>
      </c>
      <c r="C66" s="144" t="s">
        <v>481</v>
      </c>
      <c r="D66" s="145">
        <v>45671</v>
      </c>
      <c r="E66" s="146" t="s">
        <v>173</v>
      </c>
      <c r="F66" s="147">
        <v>13000000</v>
      </c>
      <c r="G66" s="141"/>
      <c r="H66" s="146"/>
      <c r="I66" s="146"/>
    </row>
    <row r="67" spans="1:9" s="43" customFormat="1" ht="17.5" customHeight="1" collapsed="1" x14ac:dyDescent="0.35">
      <c r="A67" s="152" t="s">
        <v>728</v>
      </c>
      <c r="B67" s="146" t="s">
        <v>569</v>
      </c>
      <c r="C67" s="144" t="s">
        <v>481</v>
      </c>
      <c r="D67" s="145">
        <v>45701</v>
      </c>
      <c r="E67" s="146" t="s">
        <v>173</v>
      </c>
      <c r="F67" s="147">
        <v>6000000</v>
      </c>
      <c r="G67" s="141"/>
      <c r="H67" s="146"/>
      <c r="I67" s="146"/>
    </row>
    <row r="68" spans="1:9" s="43" customFormat="1" ht="17.5" customHeight="1" collapsed="1" x14ac:dyDescent="0.35">
      <c r="A68" s="152" t="s">
        <v>729</v>
      </c>
      <c r="B68" s="146" t="s">
        <v>569</v>
      </c>
      <c r="C68" s="144" t="s">
        <v>481</v>
      </c>
      <c r="D68" s="145">
        <v>45701</v>
      </c>
      <c r="E68" s="146" t="s">
        <v>173</v>
      </c>
      <c r="F68" s="147">
        <v>2000000</v>
      </c>
      <c r="G68" s="141"/>
      <c r="H68" s="146"/>
      <c r="I68" s="146"/>
    </row>
    <row r="69" spans="1:9" s="43" customFormat="1" ht="17.5" customHeight="1" collapsed="1" x14ac:dyDescent="0.35">
      <c r="A69" s="152" t="s">
        <v>730</v>
      </c>
      <c r="B69" s="146" t="s">
        <v>569</v>
      </c>
      <c r="C69" s="144" t="s">
        <v>481</v>
      </c>
      <c r="D69" s="145">
        <v>45719</v>
      </c>
      <c r="E69" s="146" t="s">
        <v>173</v>
      </c>
      <c r="F69" s="147">
        <v>2500000</v>
      </c>
      <c r="G69" s="141"/>
      <c r="H69" s="146"/>
      <c r="I69" s="146"/>
    </row>
    <row r="70" spans="1:9" ht="17.5" customHeight="1" x14ac:dyDescent="0.35">
      <c r="A70" s="152" t="s">
        <v>731</v>
      </c>
      <c r="B70" s="146" t="s">
        <v>569</v>
      </c>
      <c r="C70" s="144" t="s">
        <v>481</v>
      </c>
      <c r="D70" s="145">
        <v>45723</v>
      </c>
      <c r="E70" s="146" t="s">
        <v>173</v>
      </c>
      <c r="F70" s="147">
        <v>400000</v>
      </c>
      <c r="G70" s="141"/>
      <c r="H70" s="146"/>
      <c r="I70" s="146"/>
    </row>
    <row r="71" spans="1:9" ht="17.5" customHeight="1" x14ac:dyDescent="0.35">
      <c r="A71" s="152" t="s">
        <v>732</v>
      </c>
      <c r="B71" s="146" t="s">
        <v>569</v>
      </c>
      <c r="C71" s="144" t="s">
        <v>481</v>
      </c>
      <c r="D71" s="145">
        <v>45734</v>
      </c>
      <c r="E71" s="146" t="s">
        <v>173</v>
      </c>
      <c r="F71" s="147">
        <v>4000000</v>
      </c>
      <c r="G71" s="141"/>
      <c r="H71" s="146"/>
      <c r="I71" s="146"/>
    </row>
    <row r="72" spans="1:9" ht="17.5" customHeight="1" x14ac:dyDescent="0.35">
      <c r="A72" s="152"/>
      <c r="B72" s="153" t="s">
        <v>554</v>
      </c>
      <c r="C72" s="144"/>
      <c r="D72" s="145"/>
      <c r="E72" s="137"/>
      <c r="F72" s="149">
        <f>SUM(F65:F71)</f>
        <v>32900000</v>
      </c>
      <c r="G72" s="141"/>
      <c r="H72" s="146"/>
      <c r="I72" s="146"/>
    </row>
    <row r="73" spans="1:9" ht="17.5" customHeight="1" x14ac:dyDescent="0.35">
      <c r="A73" s="152"/>
      <c r="B73" s="154"/>
      <c r="C73" s="144"/>
      <c r="D73" s="145"/>
      <c r="E73" s="137"/>
      <c r="F73" s="151"/>
      <c r="G73" s="141"/>
      <c r="H73" s="146"/>
      <c r="I73" s="146"/>
    </row>
    <row r="74" spans="1:9" ht="17.5" customHeight="1" x14ac:dyDescent="0.35">
      <c r="A74" s="152" t="s">
        <v>553</v>
      </c>
      <c r="B74" s="146" t="s">
        <v>555</v>
      </c>
      <c r="C74" s="144" t="s">
        <v>527</v>
      </c>
      <c r="D74" s="145">
        <v>45661</v>
      </c>
      <c r="E74" s="146" t="s">
        <v>173</v>
      </c>
      <c r="F74" s="147">
        <v>200000000</v>
      </c>
      <c r="G74" s="141"/>
      <c r="H74" s="146"/>
      <c r="I74" s="146"/>
    </row>
    <row r="75" spans="1:9" ht="17.5" customHeight="1" x14ac:dyDescent="0.35">
      <c r="A75" s="152" t="s">
        <v>552</v>
      </c>
      <c r="B75" s="146" t="s">
        <v>555</v>
      </c>
      <c r="C75" s="144" t="s">
        <v>616</v>
      </c>
      <c r="D75" s="145">
        <v>45847</v>
      </c>
      <c r="E75" s="146" t="s">
        <v>173</v>
      </c>
      <c r="F75" s="147">
        <v>30000000</v>
      </c>
      <c r="G75" s="141"/>
      <c r="H75" s="146"/>
      <c r="I75" s="146"/>
    </row>
    <row r="76" spans="1:9" ht="17.5" customHeight="1" x14ac:dyDescent="0.35">
      <c r="A76" s="152"/>
      <c r="B76" s="153" t="s">
        <v>617</v>
      </c>
      <c r="C76" s="144"/>
      <c r="D76" s="145"/>
      <c r="E76" s="137"/>
      <c r="F76" s="149">
        <f>SUM(F74:F75)</f>
        <v>230000000</v>
      </c>
      <c r="G76" s="141"/>
      <c r="H76" s="146"/>
      <c r="I76" s="146"/>
    </row>
    <row r="77" spans="1:9" ht="17.5" customHeight="1" x14ac:dyDescent="0.35">
      <c r="A77" s="152"/>
      <c r="B77" s="154"/>
      <c r="C77" s="144"/>
      <c r="D77" s="145"/>
      <c r="E77" s="137"/>
      <c r="F77" s="151"/>
      <c r="G77" s="141"/>
      <c r="H77" s="146"/>
      <c r="I77" s="146"/>
    </row>
    <row r="78" spans="1:9" ht="17.5" customHeight="1" x14ac:dyDescent="0.35">
      <c r="A78" s="152" t="s">
        <v>301</v>
      </c>
      <c r="B78" s="146" t="s">
        <v>610</v>
      </c>
      <c r="C78" s="144" t="s">
        <v>481</v>
      </c>
      <c r="D78" s="145" t="s">
        <v>718</v>
      </c>
      <c r="E78" s="146" t="s">
        <v>173</v>
      </c>
      <c r="F78" s="147">
        <v>27500000</v>
      </c>
      <c r="G78" s="141"/>
      <c r="H78" s="146"/>
      <c r="I78" s="146"/>
    </row>
    <row r="79" spans="1:9" ht="17.5" customHeight="1" x14ac:dyDescent="0.35">
      <c r="A79" s="152" t="s">
        <v>302</v>
      </c>
      <c r="B79" s="146" t="s">
        <v>610</v>
      </c>
      <c r="C79" s="144" t="s">
        <v>481</v>
      </c>
      <c r="D79" s="145" t="s">
        <v>719</v>
      </c>
      <c r="E79" s="146" t="s">
        <v>173</v>
      </c>
      <c r="F79" s="147">
        <v>27500000</v>
      </c>
      <c r="G79" s="141"/>
      <c r="H79" s="146"/>
      <c r="I79" s="146"/>
    </row>
    <row r="80" spans="1:9" ht="17.5" customHeight="1" x14ac:dyDescent="0.35">
      <c r="A80" s="152" t="s">
        <v>722</v>
      </c>
      <c r="B80" s="146" t="s">
        <v>610</v>
      </c>
      <c r="C80" s="144" t="s">
        <v>481</v>
      </c>
      <c r="D80" s="145" t="s">
        <v>720</v>
      </c>
      <c r="E80" s="146" t="s">
        <v>173</v>
      </c>
      <c r="F80" s="147">
        <v>150000000</v>
      </c>
      <c r="G80" s="141"/>
      <c r="H80" s="146"/>
      <c r="I80" s="146"/>
    </row>
    <row r="81" spans="1:9" ht="17.5" customHeight="1" x14ac:dyDescent="0.35">
      <c r="A81" s="152" t="s">
        <v>723</v>
      </c>
      <c r="B81" s="146" t="s">
        <v>610</v>
      </c>
      <c r="C81" s="144" t="s">
        <v>481</v>
      </c>
      <c r="D81" s="145" t="s">
        <v>721</v>
      </c>
      <c r="E81" s="146" t="s">
        <v>173</v>
      </c>
      <c r="F81" s="147">
        <v>250000000</v>
      </c>
      <c r="G81" s="141"/>
      <c r="H81" s="146"/>
      <c r="I81" s="146"/>
    </row>
    <row r="82" spans="1:9" ht="17.5" customHeight="1" x14ac:dyDescent="0.35">
      <c r="A82" s="152"/>
      <c r="B82" s="153" t="s">
        <v>724</v>
      </c>
      <c r="C82" s="144"/>
      <c r="D82" s="145"/>
      <c r="E82" s="137"/>
      <c r="F82" s="149">
        <f>SUM(F78:F81)</f>
        <v>455000000</v>
      </c>
      <c r="G82" s="141"/>
      <c r="H82" s="146"/>
      <c r="I82" s="146"/>
    </row>
    <row r="83" spans="1:9" ht="17.5" customHeight="1" x14ac:dyDescent="0.35">
      <c r="A83" s="152"/>
      <c r="B83" s="154"/>
      <c r="C83" s="144"/>
      <c r="D83" s="145"/>
      <c r="E83" s="137"/>
      <c r="F83" s="151"/>
      <c r="G83" s="141"/>
      <c r="H83" s="146"/>
      <c r="I83" s="146"/>
    </row>
    <row r="84" spans="1:9" ht="17.5" customHeight="1" x14ac:dyDescent="0.35">
      <c r="A84" s="152">
        <v>21</v>
      </c>
      <c r="B84" s="146" t="s">
        <v>717</v>
      </c>
      <c r="C84" s="144" t="s">
        <v>385</v>
      </c>
      <c r="D84" s="145">
        <v>45868</v>
      </c>
      <c r="E84" s="146" t="s">
        <v>173</v>
      </c>
      <c r="F84" s="147">
        <v>75000000</v>
      </c>
      <c r="G84" s="141"/>
      <c r="H84" s="146"/>
      <c r="I84" s="146"/>
    </row>
    <row r="85" spans="1:9" ht="17.5" customHeight="1" x14ac:dyDescent="0.35">
      <c r="A85" s="155">
        <v>22</v>
      </c>
      <c r="B85" s="141" t="s">
        <v>683</v>
      </c>
      <c r="C85" s="156" t="s">
        <v>682</v>
      </c>
      <c r="D85" s="157">
        <v>46017</v>
      </c>
      <c r="E85" s="158" t="s">
        <v>173</v>
      </c>
      <c r="F85" s="159">
        <v>175000000</v>
      </c>
      <c r="G85" s="146"/>
      <c r="H85" s="158"/>
      <c r="I85" s="158"/>
    </row>
    <row r="86" spans="1:9" ht="17.5" customHeight="1" x14ac:dyDescent="0.35">
      <c r="A86" s="152">
        <v>23</v>
      </c>
      <c r="B86" s="146" t="s">
        <v>658</v>
      </c>
      <c r="C86" s="144" t="s">
        <v>61</v>
      </c>
      <c r="D86" s="145">
        <v>46056</v>
      </c>
      <c r="E86" s="158" t="s">
        <v>173</v>
      </c>
      <c r="F86" s="147">
        <v>15000000</v>
      </c>
      <c r="G86" s="141"/>
      <c r="H86" s="146"/>
      <c r="I86" s="146"/>
    </row>
    <row r="87" spans="1:9" ht="17.5" customHeight="1" x14ac:dyDescent="0.35">
      <c r="A87" s="152">
        <v>24</v>
      </c>
      <c r="B87" s="146" t="s">
        <v>713</v>
      </c>
      <c r="C87" s="144" t="s">
        <v>385</v>
      </c>
      <c r="D87" s="145">
        <v>46041</v>
      </c>
      <c r="E87" s="158" t="s">
        <v>173</v>
      </c>
      <c r="F87" s="147">
        <v>272500000</v>
      </c>
      <c r="G87" s="141" t="s">
        <v>714</v>
      </c>
      <c r="H87" s="146"/>
      <c r="I87" s="146"/>
    </row>
    <row r="88" spans="1:9" ht="17.5" customHeight="1" x14ac:dyDescent="0.35">
      <c r="A88" s="152">
        <v>25</v>
      </c>
      <c r="B88" s="146" t="s">
        <v>740</v>
      </c>
      <c r="C88" s="144" t="s">
        <v>716</v>
      </c>
      <c r="D88" s="145">
        <v>45889</v>
      </c>
      <c r="E88" s="158" t="s">
        <v>173</v>
      </c>
      <c r="F88" s="147">
        <v>100000</v>
      </c>
      <c r="G88" s="141"/>
      <c r="H88" s="146"/>
      <c r="I88" s="146"/>
    </row>
    <row r="89" spans="1:9" ht="17.5" customHeight="1" x14ac:dyDescent="0.35">
      <c r="A89" s="161"/>
      <c r="B89" s="160"/>
      <c r="C89" s="161"/>
      <c r="D89" s="160"/>
      <c r="E89" s="160"/>
      <c r="F89" s="162"/>
      <c r="G89" s="160"/>
      <c r="H89" s="160"/>
      <c r="I89" s="160"/>
    </row>
    <row r="90" spans="1:9" ht="17.5" customHeight="1" x14ac:dyDescent="0.35">
      <c r="A90" s="161"/>
      <c r="B90" s="160"/>
      <c r="C90" s="161"/>
      <c r="D90" s="160"/>
      <c r="E90" s="160"/>
      <c r="F90" s="162"/>
      <c r="G90" s="160"/>
      <c r="H90" s="160"/>
      <c r="I90" s="160"/>
    </row>
    <row r="91" spans="1:9" ht="17.5" customHeight="1" x14ac:dyDescent="0.35">
      <c r="A91" s="161"/>
      <c r="B91" s="160"/>
      <c r="C91" s="161"/>
      <c r="D91" s="160"/>
      <c r="E91" s="160"/>
      <c r="F91" s="162"/>
      <c r="G91" s="160"/>
      <c r="H91" s="160"/>
      <c r="I91" s="160"/>
    </row>
    <row r="92" spans="1:9" ht="17.5" customHeight="1" x14ac:dyDescent="0.35">
      <c r="A92" s="161"/>
      <c r="B92" s="160"/>
      <c r="C92" s="161"/>
      <c r="D92" s="160"/>
      <c r="E92" s="160"/>
      <c r="F92" s="162"/>
      <c r="G92" s="160"/>
      <c r="H92" s="160"/>
      <c r="I92" s="160"/>
    </row>
    <row r="93" spans="1:9" ht="17.5" customHeight="1" x14ac:dyDescent="0.35">
      <c r="A93" s="161"/>
      <c r="B93" s="160"/>
      <c r="C93" s="161"/>
      <c r="D93" s="160"/>
      <c r="E93" s="160"/>
      <c r="F93" s="162"/>
      <c r="G93" s="160"/>
      <c r="H93" s="160"/>
      <c r="I93" s="160"/>
    </row>
    <row r="94" spans="1:9" ht="17.5" customHeight="1" x14ac:dyDescent="0.35">
      <c r="A94" s="161"/>
      <c r="B94" s="160"/>
      <c r="C94" s="161"/>
      <c r="D94" s="160"/>
      <c r="E94" s="160"/>
      <c r="F94" s="162"/>
      <c r="G94" s="160"/>
      <c r="H94" s="160"/>
      <c r="I94" s="160"/>
    </row>
    <row r="95" spans="1:9" ht="17.5" customHeight="1" x14ac:dyDescent="0.35">
      <c r="A95" s="161"/>
      <c r="B95" s="160"/>
      <c r="C95" s="161"/>
      <c r="D95" s="160"/>
      <c r="E95" s="160"/>
      <c r="F95" s="162"/>
      <c r="G95" s="160"/>
      <c r="H95" s="160"/>
      <c r="I95" s="160"/>
    </row>
    <row r="96" spans="1:9" ht="17.5" customHeight="1" x14ac:dyDescent="0.35">
      <c r="A96" s="161"/>
      <c r="B96" s="160"/>
      <c r="C96" s="161"/>
      <c r="D96" s="160"/>
      <c r="E96" s="160"/>
      <c r="F96" s="162"/>
      <c r="G96" s="160"/>
      <c r="H96" s="160"/>
      <c r="I96" s="160"/>
    </row>
    <row r="97" spans="1:9" ht="17.5" customHeight="1" x14ac:dyDescent="0.35">
      <c r="A97" s="161"/>
      <c r="B97" s="160"/>
      <c r="C97" s="161"/>
      <c r="D97" s="160"/>
      <c r="E97" s="160"/>
      <c r="F97" s="162"/>
      <c r="G97" s="160"/>
      <c r="H97" s="160"/>
      <c r="I97" s="160"/>
    </row>
    <row r="98" spans="1:9" ht="17.5" customHeight="1" x14ac:dyDescent="0.35">
      <c r="A98" s="161"/>
      <c r="B98" s="160"/>
      <c r="C98" s="161"/>
      <c r="D98" s="160"/>
      <c r="E98" s="160"/>
      <c r="F98" s="162"/>
      <c r="G98" s="160"/>
      <c r="H98" s="160"/>
      <c r="I98" s="160"/>
    </row>
    <row r="99" spans="1:9" ht="17.5" customHeight="1" x14ac:dyDescent="0.35">
      <c r="A99" s="161"/>
      <c r="B99" s="160"/>
      <c r="C99" s="161"/>
      <c r="D99" s="160"/>
      <c r="E99" s="160"/>
      <c r="F99" s="162"/>
      <c r="G99" s="160"/>
      <c r="H99" s="160"/>
      <c r="I99" s="160"/>
    </row>
    <row r="100" spans="1:9" ht="17.5" customHeight="1" x14ac:dyDescent="0.35">
      <c r="A100" s="161"/>
      <c r="B100" s="160"/>
      <c r="C100" s="161"/>
      <c r="D100" s="160"/>
      <c r="E100" s="160"/>
      <c r="F100" s="162"/>
      <c r="G100" s="160"/>
      <c r="H100" s="160"/>
      <c r="I100" s="160"/>
    </row>
    <row r="101" spans="1:9" ht="17.5" customHeight="1" x14ac:dyDescent="0.35">
      <c r="A101" s="161"/>
      <c r="B101" s="160"/>
      <c r="C101" s="161"/>
      <c r="D101" s="160"/>
      <c r="E101" s="160"/>
      <c r="F101" s="162"/>
      <c r="G101" s="160"/>
      <c r="H101" s="160"/>
      <c r="I101" s="160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1f08c63-3cf1-4569-ae34-17c5f78c9224}" enabled="1" method="Standard" siteId="{6fd283e5-a68d-45f0-af66-6cdb9c5002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PVT INV</vt:lpstr>
      <vt:lpstr>TRUST INVESTMENT</vt:lpstr>
      <vt:lpstr>COMPANY</vt:lpstr>
      <vt:lpstr>FUND HOUSE</vt:lpstr>
      <vt:lpstr>CRYPTO</vt:lpstr>
      <vt:lpstr>WRITE OFF - EXIT </vt:lpstr>
      <vt:lpstr>AJAY SIR - AARTI</vt:lpstr>
      <vt:lpstr>ATJ-AAJ FUND 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Ashwini Darne</dc:creator>
  <cp:lastModifiedBy>Ashwini Darne</cp:lastModifiedBy>
  <dcterms:created xsi:type="dcterms:W3CDTF">2023-01-20T07:34:19Z</dcterms:created>
  <dcterms:modified xsi:type="dcterms:W3CDTF">2026-05-08T05:16:22Z</dcterms:modified>
</cp:coreProperties>
</file>