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codeName="ThisWorkbook" defaultThemeVersion="124226"/>
  <xr:revisionPtr revIDLastSave="9" documentId="8_{D1810F1E-FE69-4D40-AA96-50192135DE7D}" xr6:coauthVersionLast="47" xr6:coauthVersionMax="47" xr10:uidLastSave="{14219132-A850-4479-BEA3-FC3A1DD27D3E}"/>
  <bookViews>
    <workbookView xWindow="-98" yWindow="-98" windowWidth="21795" windowHeight="13875" tabRatio="839" firstSheet="5" activeTab="12" xr2:uid="{00000000-000D-0000-FFFF-FFFF00000000}"/>
  </bookViews>
  <sheets>
    <sheet name="Portfolio Allocation" sheetId="2" r:id="rId1"/>
    <sheet name="Promoter Holding" sheetId="15" state="hidden" r:id="rId2"/>
    <sheet name="Live Equity Performance" sheetId="12" r:id="rId3"/>
    <sheet name="Asset Allocation" sheetId="10" r:id="rId4"/>
    <sheet name="Stable Growth" sheetId="29" r:id="rId5"/>
    <sheet name="Entrepreneruial Growth" sheetId="30" r:id="rId6"/>
    <sheet name="Thematic,Tactical" sheetId="32" r:id="rId7"/>
    <sheet name="Liquid" sheetId="31" r:id="rId8"/>
    <sheet name="Equity" sheetId="14" r:id="rId9"/>
    <sheet name="Month on Month Equity Change" sheetId="9" r:id="rId10"/>
    <sheet name="Equity Quants" sheetId="11" r:id="rId11"/>
    <sheet name="Attribution Analysis" sheetId="22" r:id="rId12"/>
    <sheet name="Sheet1" sheetId="34" r:id="rId13"/>
    <sheet name="Cash" sheetId="4" r:id="rId14"/>
    <sheet name="Debt" sheetId="5" r:id="rId15"/>
    <sheet name="Alternate" sheetId="6" r:id="rId16"/>
    <sheet name="Private Investments " sheetId="23" r:id="rId17"/>
    <sheet name="Investorwise Summary" sheetId="8" r:id="rId18"/>
    <sheet name="Transactions" sheetId="21" state="hidden" r:id="rId19"/>
    <sheet name="Private Equity Excl Pre IPO" sheetId="26" r:id="rId20"/>
    <sheet name="Pre IPO " sheetId="25" r:id="rId21"/>
    <sheet name="Transactions since inception" sheetId="33" r:id="rId22"/>
    <sheet name="Transactions all Asset class" sheetId="27" r:id="rId23"/>
    <sheet name="Equity Scheme details" sheetId="28" r:id="rId24"/>
    <sheet name="Plan of Action - Equity" sheetId="24" state="hidden" r:id="rId25"/>
  </sheets>
  <externalReferences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11" hidden="1">'Attribution Analysis'!$A$3:$J$79</definedName>
    <definedName name="_xlnm._FilterDatabase" localSheetId="8" hidden="1">Equity!$A$2:$R$77</definedName>
    <definedName name="_xlnm._FilterDatabase" localSheetId="23" hidden="1">'Equity Scheme details'!$A$2:$B$29</definedName>
    <definedName name="_xlnm._FilterDatabase" localSheetId="16" hidden="1">'Private Investments '!$B$2:$G$91</definedName>
    <definedName name="_xlnm._FilterDatabase" localSheetId="6" hidden="1">'Thematic,Tactical'!$C$2:$N$47</definedName>
    <definedName name="_xlnm._FilterDatabase" localSheetId="18" hidden="1">Transactions!$B$2:$F$35</definedName>
    <definedName name="_xlnm._FilterDatabase" localSheetId="22" hidden="1">'Transactions all Asset class'!$A$3:$N$23</definedName>
    <definedName name="Index" localSheetId="11">#REF!</definedName>
    <definedName name="Index" localSheetId="8">'[1]Term Dump'!$B$3:$B$38</definedName>
    <definedName name="Index" localSheetId="23">'[1]Term Dump'!$B$3:$B$38</definedName>
    <definedName name="Index" localSheetId="2">'[2]Term Dump'!$B$3:$B$38</definedName>
    <definedName name="Index" localSheetId="9">'[3]Term Dump'!$B$3:$B$38</definedName>
    <definedName name="Index" localSheetId="16">'[4]Term Dump'!$B$3:$B$38</definedName>
    <definedName name="Index" localSheetId="18">#REF!</definedName>
    <definedName name="Index" localSheetId="22">#REF!</definedName>
    <definedName name="Index">#REF!</definedName>
    <definedName name="Transaction" localSheetId="11">#REF!</definedName>
    <definedName name="Transaction" localSheetId="8">'[1]Term Dump'!$C$3:$C$8</definedName>
    <definedName name="Transaction" localSheetId="23">'[1]Term Dump'!$C$3:$C$8</definedName>
    <definedName name="Transaction" localSheetId="2">'[2]Term Dump'!$C$3:$C$8</definedName>
    <definedName name="Transaction" localSheetId="9">'[3]Term Dump'!$C$3:$C$8</definedName>
    <definedName name="Transaction" localSheetId="16">'[4]Term Dump'!$C$3:$C$8</definedName>
    <definedName name="Transaction" localSheetId="18">#REF!</definedName>
    <definedName name="Transaction" localSheetId="22">#REF!</definedName>
    <definedName name="Transaction">#REF!</definedName>
  </definedNames>
  <calcPr calcId="191029" calcMode="manual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34" l="1"/>
  <c r="E7" i="34"/>
  <c r="K44" i="11"/>
  <c r="O39" i="11"/>
  <c r="O38" i="11"/>
  <c r="O37" i="11"/>
  <c r="O36" i="11"/>
  <c r="O35" i="11"/>
  <c r="K38" i="11"/>
  <c r="I13" i="11"/>
  <c r="K12" i="11"/>
  <c r="J12" i="11"/>
  <c r="K10" i="11"/>
  <c r="J10" i="11"/>
  <c r="K9" i="11"/>
  <c r="J9" i="11"/>
  <c r="K8" i="11"/>
  <c r="J8" i="11"/>
  <c r="K7" i="11"/>
  <c r="J7" i="11"/>
  <c r="K6" i="11"/>
  <c r="J6" i="11"/>
  <c r="K5" i="11"/>
  <c r="J5" i="11"/>
  <c r="K4" i="11"/>
  <c r="J4" i="11"/>
  <c r="K3" i="11"/>
  <c r="J3" i="11"/>
  <c r="L33" i="27" l="1"/>
  <c r="L32" i="27"/>
  <c r="L28" i="27"/>
  <c r="L31" i="27"/>
  <c r="L30" i="27"/>
  <c r="L29" i="27"/>
  <c r="L27" i="27"/>
  <c r="F31" i="27"/>
  <c r="F30" i="27"/>
  <c r="F29" i="27"/>
  <c r="F28" i="27"/>
  <c r="F27" i="27"/>
  <c r="C35" i="22"/>
  <c r="F8" i="9"/>
  <c r="E28" i="22"/>
  <c r="E27" i="22"/>
  <c r="E26" i="22"/>
  <c r="C36" i="22" l="1"/>
  <c r="D51" i="22" l="1"/>
  <c r="E51" i="22"/>
  <c r="D52" i="22"/>
  <c r="E52" i="22"/>
  <c r="K16" i="10" l="1"/>
  <c r="K14" i="10"/>
  <c r="G15" i="10"/>
  <c r="F7" i="25" l="1"/>
  <c r="E7" i="25"/>
  <c r="F6" i="25"/>
  <c r="E6" i="25"/>
  <c r="G5" i="25"/>
  <c r="F86" i="26"/>
  <c r="E86" i="26"/>
  <c r="D86" i="26"/>
  <c r="L3" i="6"/>
  <c r="K3" i="6"/>
  <c r="J3" i="6"/>
  <c r="I3" i="6"/>
  <c r="F3" i="6"/>
  <c r="E3" i="6"/>
  <c r="D3" i="6"/>
  <c r="J9" i="5"/>
  <c r="E70" i="22"/>
  <c r="D70" i="22"/>
  <c r="E69" i="22"/>
  <c r="D69" i="22"/>
  <c r="E68" i="22"/>
  <c r="D68" i="22"/>
  <c r="E67" i="22"/>
  <c r="D67" i="22"/>
  <c r="E66" i="22"/>
  <c r="D66" i="22"/>
  <c r="E65" i="22"/>
  <c r="D65" i="22"/>
  <c r="E64" i="22"/>
  <c r="D64" i="22"/>
  <c r="E63" i="22"/>
  <c r="D63" i="22"/>
  <c r="E62" i="22"/>
  <c r="D62" i="22"/>
  <c r="I61" i="22"/>
  <c r="E61" i="22"/>
  <c r="D61" i="22"/>
  <c r="I60" i="22"/>
  <c r="E60" i="22"/>
  <c r="D60" i="22"/>
  <c r="I59" i="22"/>
  <c r="E59" i="22"/>
  <c r="D59" i="22"/>
  <c r="I58" i="22"/>
  <c r="E58" i="22"/>
  <c r="D58" i="22"/>
  <c r="E57" i="22"/>
  <c r="D57" i="22"/>
  <c r="E56" i="22"/>
  <c r="D56" i="22"/>
  <c r="E55" i="22"/>
  <c r="D55" i="22"/>
  <c r="E54" i="22"/>
  <c r="D54" i="22"/>
  <c r="E53" i="22"/>
  <c r="D53" i="22"/>
  <c r="E50" i="22"/>
  <c r="D50" i="22"/>
  <c r="E49" i="22"/>
  <c r="D49" i="22"/>
  <c r="E48" i="22"/>
  <c r="D48" i="22"/>
  <c r="E47" i="22"/>
  <c r="D47" i="22"/>
  <c r="E46" i="22"/>
  <c r="D46" i="22"/>
  <c r="E45" i="22"/>
  <c r="D45" i="22"/>
  <c r="E44" i="22"/>
  <c r="D44" i="22"/>
  <c r="E43" i="22"/>
  <c r="D43" i="22"/>
  <c r="E42" i="22"/>
  <c r="D42" i="22"/>
  <c r="E41" i="22"/>
  <c r="D41" i="22"/>
  <c r="E40" i="22"/>
  <c r="D40" i="22"/>
  <c r="E39" i="22"/>
  <c r="D39" i="22"/>
  <c r="E38" i="22"/>
  <c r="D38" i="22"/>
  <c r="E37" i="22"/>
  <c r="D37" i="22"/>
  <c r="D35" i="22"/>
  <c r="E34" i="22"/>
  <c r="D34" i="22"/>
  <c r="E33" i="22"/>
  <c r="D33" i="22"/>
  <c r="C32" i="22"/>
  <c r="E31" i="22"/>
  <c r="D31" i="22"/>
  <c r="D29" i="22" s="1"/>
  <c r="E30" i="22"/>
  <c r="C29" i="22"/>
  <c r="D28" i="22"/>
  <c r="D27" i="22"/>
  <c r="D26" i="22"/>
  <c r="E25" i="22"/>
  <c r="C25" i="22"/>
  <c r="E24" i="22"/>
  <c r="D24" i="22"/>
  <c r="E23" i="22"/>
  <c r="D23" i="22"/>
  <c r="E22" i="22"/>
  <c r="D22" i="22"/>
  <c r="C21" i="22"/>
  <c r="E20" i="22"/>
  <c r="E19" i="22" s="1"/>
  <c r="D20" i="22"/>
  <c r="D19" i="22" s="1"/>
  <c r="C19" i="22"/>
  <c r="E18" i="22"/>
  <c r="D18" i="22"/>
  <c r="E17" i="22"/>
  <c r="D17" i="22"/>
  <c r="E16" i="22"/>
  <c r="D16" i="22"/>
  <c r="E15" i="22"/>
  <c r="D15" i="22"/>
  <c r="E12" i="22"/>
  <c r="D12" i="22"/>
  <c r="E14" i="22"/>
  <c r="D14" i="22"/>
  <c r="E13" i="22"/>
  <c r="D13" i="22"/>
  <c r="E11" i="22"/>
  <c r="D11" i="22"/>
  <c r="E10" i="22"/>
  <c r="D10" i="22"/>
  <c r="E9" i="22"/>
  <c r="D9" i="22"/>
  <c r="E8" i="22"/>
  <c r="D8" i="22"/>
  <c r="E7" i="22"/>
  <c r="D7" i="22"/>
  <c r="E6" i="22"/>
  <c r="D6" i="22"/>
  <c r="E5" i="22"/>
  <c r="D5" i="22"/>
  <c r="C4" i="22"/>
  <c r="I2" i="22"/>
  <c r="N44" i="11"/>
  <c r="M44" i="11"/>
  <c r="L44" i="11"/>
  <c r="Q43" i="11"/>
  <c r="P43" i="11"/>
  <c r="Q42" i="11"/>
  <c r="P42" i="11"/>
  <c r="P44" i="11" s="1"/>
  <c r="Q39" i="11"/>
  <c r="P39" i="11"/>
  <c r="N38" i="11"/>
  <c r="M38" i="11"/>
  <c r="L38" i="11"/>
  <c r="Q37" i="11"/>
  <c r="P37" i="11"/>
  <c r="Q36" i="11"/>
  <c r="P36" i="11"/>
  <c r="Q35" i="11"/>
  <c r="P35" i="11"/>
  <c r="V18" i="11"/>
  <c r="P7" i="11"/>
  <c r="P6" i="11"/>
  <c r="P5" i="11"/>
  <c r="P4" i="11"/>
  <c r="F14" i="9"/>
  <c r="F13" i="9" s="1"/>
  <c r="E14" i="9"/>
  <c r="E13" i="9" s="1"/>
  <c r="D13" i="9"/>
  <c r="F12" i="9"/>
  <c r="E12" i="9"/>
  <c r="U11" i="9"/>
  <c r="S11" i="9"/>
  <c r="Q11" i="9"/>
  <c r="G63" i="22" s="1"/>
  <c r="L11" i="9"/>
  <c r="F11" i="9"/>
  <c r="E11" i="9"/>
  <c r="U10" i="9"/>
  <c r="S10" i="9"/>
  <c r="Q10" i="9"/>
  <c r="F10" i="9"/>
  <c r="E10" i="9"/>
  <c r="U9" i="9"/>
  <c r="S9" i="9"/>
  <c r="Q9" i="9"/>
  <c r="K10" i="9" s="1"/>
  <c r="G19" i="22" s="1"/>
  <c r="F9" i="9"/>
  <c r="E9" i="9"/>
  <c r="U8" i="9"/>
  <c r="S8" i="9"/>
  <c r="Q8" i="9"/>
  <c r="E8" i="9"/>
  <c r="U7" i="9"/>
  <c r="S7" i="9"/>
  <c r="Q7" i="9"/>
  <c r="G27" i="22" s="1"/>
  <c r="L7" i="9"/>
  <c r="F7" i="9"/>
  <c r="E7" i="9"/>
  <c r="F6" i="9"/>
  <c r="E35" i="22" s="1"/>
  <c r="E6" i="9"/>
  <c r="U5" i="9"/>
  <c r="S5" i="9"/>
  <c r="Q5" i="9"/>
  <c r="L5" i="9"/>
  <c r="F5" i="9"/>
  <c r="E5" i="9"/>
  <c r="U4" i="9"/>
  <c r="S4" i="9"/>
  <c r="Q4" i="9"/>
  <c r="K5" i="9" s="1"/>
  <c r="L4" i="9"/>
  <c r="F4" i="9"/>
  <c r="E4" i="9"/>
  <c r="U3" i="9"/>
  <c r="S3" i="9"/>
  <c r="Q3" i="9"/>
  <c r="G13" i="22" s="1"/>
  <c r="D3" i="9"/>
  <c r="D1" i="9"/>
  <c r="R2" i="14"/>
  <c r="D10" i="12"/>
  <c r="C15" i="15"/>
  <c r="C8" i="15" s="1"/>
  <c r="C9" i="15" s="1"/>
  <c r="D16" i="15"/>
  <c r="P38" i="11" l="1"/>
  <c r="E5" i="25"/>
  <c r="D92" i="23" s="1"/>
  <c r="Q44" i="11"/>
  <c r="Q38" i="11"/>
  <c r="F5" i="25"/>
  <c r="G32" i="22"/>
  <c r="G33" i="22"/>
  <c r="G34" i="22"/>
  <c r="G28" i="22"/>
  <c r="G7" i="22"/>
  <c r="G6" i="22"/>
  <c r="G14" i="22"/>
  <c r="K8" i="9"/>
  <c r="E21" i="22"/>
  <c r="E3" i="9"/>
  <c r="E16" i="9" s="1"/>
  <c r="F3" i="9"/>
  <c r="F15" i="9" s="1"/>
  <c r="G26" i="22"/>
  <c r="G10" i="22"/>
  <c r="K7" i="9"/>
  <c r="K11" i="9"/>
  <c r="G16" i="22"/>
  <c r="G5" i="22"/>
  <c r="G8" i="22"/>
  <c r="G11" i="22"/>
  <c r="G12" i="22"/>
  <c r="K4" i="9"/>
  <c r="G29" i="22" s="1"/>
  <c r="G15" i="22"/>
  <c r="G18" i="22"/>
  <c r="D32" i="22"/>
  <c r="D21" i="22"/>
  <c r="D15" i="9"/>
  <c r="D16" i="9"/>
  <c r="G45" i="22"/>
  <c r="G50" i="22"/>
  <c r="G23" i="22"/>
  <c r="G40" i="22"/>
  <c r="G47" i="22"/>
  <c r="G54" i="22"/>
  <c r="G61" i="22"/>
  <c r="G65" i="22"/>
  <c r="K9" i="9"/>
  <c r="G20" i="22"/>
  <c r="G43" i="22"/>
  <c r="G57" i="22"/>
  <c r="G68" i="22"/>
  <c r="G37" i="22"/>
  <c r="G59" i="22"/>
  <c r="K14" i="9"/>
  <c r="K13" i="9" s="1"/>
  <c r="G38" i="22"/>
  <c r="G46" i="22"/>
  <c r="G51" i="22"/>
  <c r="G52" i="22"/>
  <c r="G70" i="22"/>
  <c r="G35" i="22"/>
  <c r="G36" i="22"/>
  <c r="G44" i="22"/>
  <c r="G49" i="22"/>
  <c r="G58" i="22"/>
  <c r="G60" i="22"/>
  <c r="G62" i="22"/>
  <c r="G69" i="22"/>
  <c r="G55" i="22"/>
  <c r="K6" i="9"/>
  <c r="G22" i="22"/>
  <c r="G39" i="22"/>
  <c r="G53" i="22"/>
  <c r="G64" i="22"/>
  <c r="G24" i="22"/>
  <c r="G41" i="22"/>
  <c r="G66" i="22"/>
  <c r="G42" i="22"/>
  <c r="G48" i="22"/>
  <c r="G56" i="22"/>
  <c r="G67" i="22"/>
  <c r="G9" i="22"/>
  <c r="G17" i="22"/>
  <c r="D36" i="22"/>
  <c r="D4" i="22"/>
  <c r="E4" i="22"/>
  <c r="E32" i="22"/>
  <c r="E36" i="22"/>
  <c r="E29" i="22"/>
  <c r="D25" i="22"/>
  <c r="K13" i="11"/>
  <c r="D12" i="15"/>
  <c r="D11" i="15"/>
  <c r="D13" i="15"/>
  <c r="D14" i="15"/>
  <c r="D8" i="15"/>
  <c r="D9" i="15" s="1"/>
  <c r="J13" i="11"/>
  <c r="G25" i="22" l="1"/>
  <c r="F16" i="9"/>
  <c r="E15" i="9"/>
  <c r="G4" i="22"/>
  <c r="G30" i="22"/>
  <c r="G31" i="22"/>
  <c r="G21" i="22"/>
  <c r="F13" i="22" l="1"/>
  <c r="H13" i="22" s="1"/>
  <c r="I13" i="22" l="1"/>
  <c r="T6" i="2" l="1"/>
  <c r="T6" i="12" s="1"/>
  <c r="S6" i="2" l="1"/>
  <c r="S6" i="12" s="1"/>
  <c r="P6" i="2" l="1"/>
  <c r="P6" i="12" s="1"/>
  <c r="Q6" i="2" l="1"/>
  <c r="Q6" i="12" s="1"/>
  <c r="B17" i="22" l="1"/>
  <c r="F17" i="22" s="1"/>
  <c r="H17" i="22" s="1"/>
  <c r="F16" i="6" l="1"/>
  <c r="D16" i="6" l="1"/>
  <c r="E16" i="6" l="1"/>
  <c r="D64" i="23" l="1"/>
  <c r="B61" i="22" l="1"/>
  <c r="F61" i="22" s="1"/>
  <c r="H61" i="22" s="1"/>
  <c r="B55" i="22"/>
  <c r="F55" i="22" s="1"/>
  <c r="H55" i="22" s="1"/>
  <c r="B47" i="22" l="1"/>
  <c r="F47" i="22" s="1"/>
  <c r="H47" i="22" s="1"/>
  <c r="F14" i="6" l="1"/>
  <c r="D14" i="6" l="1"/>
  <c r="D63" i="23" l="1"/>
  <c r="K17" i="10"/>
  <c r="E14" i="6"/>
  <c r="B10" i="22"/>
  <c r="F10" i="22" s="1"/>
  <c r="H10" i="22" s="1"/>
  <c r="E91" i="23" l="1"/>
  <c r="B15" i="22"/>
  <c r="F15" i="22" s="1"/>
  <c r="H15" i="22" s="1"/>
  <c r="F57" i="23" l="1"/>
  <c r="F67" i="23"/>
  <c r="F64" i="23"/>
  <c r="F28" i="23"/>
  <c r="F17" i="23"/>
  <c r="F36" i="23"/>
  <c r="F31" i="23"/>
  <c r="F55" i="23"/>
  <c r="F21" i="23"/>
  <c r="F29" i="23"/>
  <c r="F42" i="23"/>
  <c r="F54" i="23"/>
  <c r="F30" i="23"/>
  <c r="F50" i="23"/>
  <c r="F39" i="23"/>
  <c r="F52" i="23"/>
  <c r="F49" i="23"/>
  <c r="F13" i="23"/>
  <c r="F65" i="23"/>
  <c r="F41" i="23"/>
  <c r="F47" i="23"/>
  <c r="F23" i="23"/>
  <c r="F62" i="23"/>
  <c r="F20" i="23"/>
  <c r="F48" i="23"/>
  <c r="F61" i="23"/>
  <c r="F46" i="23"/>
  <c r="F11" i="23"/>
  <c r="F60" i="23"/>
  <c r="F10" i="23"/>
  <c r="F5" i="23"/>
  <c r="F12" i="23"/>
  <c r="F43" i="23"/>
  <c r="F63" i="23"/>
  <c r="F22" i="23"/>
  <c r="F56" i="23"/>
  <c r="F4" i="23"/>
  <c r="F7" i="23"/>
  <c r="F72" i="23"/>
  <c r="F79" i="23"/>
  <c r="F74" i="23"/>
  <c r="F59" i="23"/>
  <c r="F88" i="23"/>
  <c r="F75" i="23"/>
  <c r="F81" i="23"/>
  <c r="F76" i="23"/>
  <c r="F80" i="23"/>
  <c r="F86" i="23"/>
  <c r="F70" i="23"/>
  <c r="F85" i="23"/>
  <c r="F87" i="23"/>
  <c r="F58" i="23"/>
  <c r="F73" i="23"/>
  <c r="F84" i="23"/>
  <c r="F69" i="23"/>
  <c r="F24" i="23"/>
  <c r="F89" i="23"/>
  <c r="F71" i="23"/>
  <c r="F77" i="23"/>
  <c r="F82" i="23"/>
  <c r="F90" i="23"/>
  <c r="F68" i="23"/>
  <c r="F83" i="23"/>
  <c r="F78" i="23"/>
  <c r="F53" i="23"/>
  <c r="F66" i="23"/>
  <c r="B44" i="22" l="1"/>
  <c r="F44" i="22" s="1"/>
  <c r="H44" i="22" s="1"/>
  <c r="F37" i="23" l="1"/>
  <c r="F5" i="6"/>
  <c r="F16" i="23" l="1"/>
  <c r="F8" i="23"/>
  <c r="F35" i="23"/>
  <c r="F25" i="23"/>
  <c r="F40" i="23"/>
  <c r="F26" i="23"/>
  <c r="F51" i="23"/>
  <c r="F45" i="23"/>
  <c r="F18" i="23"/>
  <c r="F32" i="23"/>
  <c r="F34" i="23"/>
  <c r="F6" i="23"/>
  <c r="F9" i="23"/>
  <c r="F44" i="23"/>
  <c r="F15" i="23"/>
  <c r="F27" i="23"/>
  <c r="F14" i="23"/>
  <c r="F33" i="23"/>
  <c r="F38" i="23" l="1"/>
  <c r="F19" i="23"/>
  <c r="F91" i="23" l="1"/>
  <c r="B62" i="22"/>
  <c r="F62" i="22" s="1"/>
  <c r="H62" i="22" s="1"/>
  <c r="B56" i="22" l="1"/>
  <c r="F56" i="22" s="1"/>
  <c r="H56" i="22" s="1"/>
  <c r="B57" i="22" l="1"/>
  <c r="F57" i="22" s="1"/>
  <c r="H57" i="22" s="1"/>
  <c r="N1" i="2" l="1"/>
  <c r="L1" i="2" s="1"/>
  <c r="B69" i="22" l="1"/>
  <c r="F69" i="22" s="1"/>
  <c r="H69" i="22" s="1"/>
  <c r="F3" i="5" l="1"/>
  <c r="G16" i="10"/>
  <c r="D15" i="12" l="1"/>
  <c r="B7" i="22" l="1"/>
  <c r="F7" i="22" s="1"/>
  <c r="H7" i="22" s="1"/>
  <c r="B6" i="22"/>
  <c r="F6" i="22" s="1"/>
  <c r="H6" i="22" s="1"/>
  <c r="G17" i="14" l="1"/>
  <c r="B24" i="22"/>
  <c r="F24" i="22" s="1"/>
  <c r="H24" i="22" s="1"/>
  <c r="H17" i="14"/>
  <c r="B21" i="22" s="1"/>
  <c r="F21" i="22" s="1"/>
  <c r="H21" i="22" s="1"/>
  <c r="G27" i="14" l="1"/>
  <c r="H27" i="14" l="1"/>
  <c r="D9" i="12" l="1"/>
  <c r="D8" i="12"/>
  <c r="D7" i="12"/>
  <c r="D13" i="12"/>
  <c r="D12" i="12"/>
  <c r="D11" i="12"/>
  <c r="E7" i="6" l="1"/>
  <c r="E15" i="10" l="1"/>
  <c r="B34" i="22"/>
  <c r="F34" i="22" s="1"/>
  <c r="B30" i="22" l="1"/>
  <c r="F30" i="22" s="1"/>
  <c r="H30" i="22" s="1"/>
  <c r="H65" i="14"/>
  <c r="B29" i="22" s="1"/>
  <c r="F29" i="22" s="1"/>
  <c r="H29" i="22" s="1"/>
  <c r="B9" i="22" l="1"/>
  <c r="F9" i="22" s="1"/>
  <c r="H9" i="22" s="1"/>
  <c r="B37" i="22" l="1"/>
  <c r="F37" i="22" s="1"/>
  <c r="H37" i="22" s="1"/>
  <c r="H29" i="14"/>
  <c r="B36" i="22" s="1"/>
  <c r="B43" i="22"/>
  <c r="I44" i="22" l="1"/>
  <c r="I56" i="22"/>
  <c r="I62" i="22"/>
  <c r="I40" i="22"/>
  <c r="I15" i="22"/>
  <c r="B59" i="22" l="1"/>
  <c r="F59" i="22" s="1"/>
  <c r="H59" i="22" s="1"/>
  <c r="B60" i="22" l="1"/>
  <c r="F60" i="22" s="1"/>
  <c r="H60" i="22" s="1"/>
  <c r="B14" i="22" l="1"/>
  <c r="F14" i="22" s="1"/>
  <c r="H14" i="22" s="1"/>
  <c r="E3" i="5" l="1"/>
  <c r="B48" i="22" l="1"/>
  <c r="F48" i="22" s="1"/>
  <c r="H48" i="22" s="1"/>
  <c r="B12" i="22" l="1"/>
  <c r="F12" i="22" s="1"/>
  <c r="H12" i="22" s="1"/>
  <c r="B8" i="22" l="1"/>
  <c r="F8" i="22" s="1"/>
  <c r="H8" i="22" s="1"/>
  <c r="G3" i="5"/>
  <c r="B49" i="22" l="1"/>
  <c r="F49" i="22" s="1"/>
  <c r="H49" i="22" s="1"/>
  <c r="B65" i="22" l="1"/>
  <c r="B58" i="22" l="1"/>
  <c r="F58" i="22" s="1"/>
  <c r="H58" i="22" s="1"/>
  <c r="B45" i="22"/>
  <c r="F45" i="22" s="1"/>
  <c r="H45" i="22" s="1"/>
  <c r="B46" i="22" l="1"/>
  <c r="F46" i="22" s="1"/>
  <c r="H46" i="22" s="1"/>
  <c r="B70" i="22" l="1"/>
  <c r="F70" i="22" s="1"/>
  <c r="H70" i="22" s="1"/>
  <c r="B68" i="22"/>
  <c r="B67" i="22" l="1"/>
  <c r="B64" i="22" l="1"/>
  <c r="F64" i="22" s="1"/>
  <c r="H64" i="22" s="1"/>
  <c r="B50" i="22"/>
  <c r="F50" i="22" s="1"/>
  <c r="H50" i="22" s="1"/>
  <c r="B53" i="22"/>
  <c r="F53" i="22" s="1"/>
  <c r="H53" i="22" s="1"/>
  <c r="B66" i="22"/>
  <c r="B41" i="22"/>
  <c r="F41" i="22" s="1"/>
  <c r="H41" i="22" s="1"/>
  <c r="G8" i="5" l="1"/>
  <c r="E8" i="5" l="1"/>
  <c r="F7" i="6" l="1"/>
  <c r="F18" i="6" s="1"/>
  <c r="G10" i="5"/>
  <c r="G12" i="5" s="1"/>
  <c r="J16" i="2"/>
  <c r="E14" i="12"/>
  <c r="E12" i="12"/>
  <c r="J11" i="12"/>
  <c r="J13" i="12"/>
  <c r="L14" i="12"/>
  <c r="L12" i="12"/>
  <c r="J22" i="2"/>
  <c r="J20" i="2"/>
  <c r="J14" i="12"/>
  <c r="J12" i="12"/>
  <c r="J8" i="12"/>
  <c r="G71" i="14"/>
  <c r="H71" i="14" l="1"/>
  <c r="F12" i="12"/>
  <c r="F14" i="12"/>
  <c r="G34" i="8"/>
  <c r="C25" i="8"/>
  <c r="K6" i="8"/>
  <c r="K25" i="8"/>
  <c r="K19" i="8"/>
  <c r="K34" i="8"/>
  <c r="M31" i="8"/>
  <c r="M34" i="8"/>
  <c r="M25" i="8"/>
  <c r="M19" i="8"/>
  <c r="E34" i="8"/>
  <c r="E6" i="8"/>
  <c r="E25" i="8"/>
  <c r="I25" i="8"/>
  <c r="D7" i="6"/>
  <c r="G6" i="9"/>
  <c r="G3" i="9" s="1"/>
  <c r="G16" i="9" s="1"/>
  <c r="J15" i="12"/>
  <c r="F15" i="12"/>
  <c r="L8" i="12"/>
  <c r="J10" i="12"/>
  <c r="J7" i="12" l="1"/>
  <c r="J4" i="2"/>
  <c r="E10" i="5"/>
  <c r="E12" i="5" s="1"/>
  <c r="E3" i="4"/>
  <c r="E13" i="4" s="1"/>
  <c r="J9" i="12"/>
  <c r="G14" i="9"/>
  <c r="F8" i="12"/>
  <c r="B52" i="22"/>
  <c r="B35" i="22"/>
  <c r="H6" i="9"/>
  <c r="M6" i="8"/>
  <c r="M40" i="8" s="1"/>
  <c r="O6" i="8"/>
  <c r="B22" i="22"/>
  <c r="F22" i="22" s="1"/>
  <c r="H22" i="22" s="1"/>
  <c r="N14" i="12"/>
  <c r="H12" i="9"/>
  <c r="H9" i="9"/>
  <c r="N12" i="12"/>
  <c r="B23" i="22"/>
  <c r="F23" i="22" s="1"/>
  <c r="H23" i="22" s="1"/>
  <c r="E11" i="12"/>
  <c r="E8" i="12"/>
  <c r="L11" i="12"/>
  <c r="E13" i="12"/>
  <c r="L13" i="12"/>
  <c r="L22" i="2"/>
  <c r="N38" i="8" l="1"/>
  <c r="N28" i="8"/>
  <c r="N33" i="8"/>
  <c r="N21" i="8"/>
  <c r="N15" i="8"/>
  <c r="N32" i="8"/>
  <c r="N31" i="8" s="1"/>
  <c r="N27" i="8"/>
  <c r="N13" i="8"/>
  <c r="N8" i="8"/>
  <c r="N14" i="8"/>
  <c r="N30" i="8"/>
  <c r="N16" i="8"/>
  <c r="N9" i="8"/>
  <c r="N35" i="8"/>
  <c r="N36" i="8"/>
  <c r="N29" i="8"/>
  <c r="N17" i="8"/>
  <c r="N11" i="8"/>
  <c r="N12" i="8"/>
  <c r="N26" i="8"/>
  <c r="N37" i="8"/>
  <c r="N10" i="8"/>
  <c r="N20" i="8"/>
  <c r="N19" i="8" s="1"/>
  <c r="N7" i="8"/>
  <c r="J4" i="12"/>
  <c r="J16" i="12" s="1"/>
  <c r="G13" i="9"/>
  <c r="G15" i="9" s="1"/>
  <c r="F36" i="22"/>
  <c r="H36" i="22" s="1"/>
  <c r="I23" i="22"/>
  <c r="I31" i="8"/>
  <c r="E7" i="12"/>
  <c r="E4" i="2"/>
  <c r="E5" i="2" s="1"/>
  <c r="L7" i="12"/>
  <c r="L4" i="2"/>
  <c r="E19" i="8"/>
  <c r="B51" i="22"/>
  <c r="G65" i="14"/>
  <c r="G21" i="14"/>
  <c r="G20" i="31"/>
  <c r="G68" i="14"/>
  <c r="J9" i="9"/>
  <c r="I9" i="9"/>
  <c r="O25" i="8"/>
  <c r="Q34" i="8"/>
  <c r="Q6" i="8"/>
  <c r="J6" i="9"/>
  <c r="F35" i="22" s="1"/>
  <c r="H35" i="22" s="1"/>
  <c r="I6" i="9"/>
  <c r="B16" i="22"/>
  <c r="F16" i="22" s="1"/>
  <c r="H16" i="22" s="1"/>
  <c r="B39" i="22"/>
  <c r="F39" i="22" s="1"/>
  <c r="H39" i="22" s="1"/>
  <c r="B54" i="22"/>
  <c r="F54" i="22" s="1"/>
  <c r="H54" i="22" s="1"/>
  <c r="B38" i="22"/>
  <c r="F38" i="22" s="1"/>
  <c r="H38" i="22" s="1"/>
  <c r="H5" i="9"/>
  <c r="N8" i="12"/>
  <c r="H68" i="14"/>
  <c r="B32" i="22" s="1"/>
  <c r="F32" i="22" s="1"/>
  <c r="H32" i="22" s="1"/>
  <c r="B33" i="22"/>
  <c r="F33" i="22" s="1"/>
  <c r="H33" i="22" s="1"/>
  <c r="J5" i="12"/>
  <c r="J28" i="2"/>
  <c r="E20" i="2"/>
  <c r="L20" i="2"/>
  <c r="N6" i="8" l="1"/>
  <c r="N34" i="8"/>
  <c r="N25" i="8"/>
  <c r="F7" i="12"/>
  <c r="F4" i="2"/>
  <c r="H7" i="2"/>
  <c r="F22" i="2"/>
  <c r="H24" i="2" s="1"/>
  <c r="G6" i="8"/>
  <c r="F11" i="12"/>
  <c r="I34" i="8"/>
  <c r="C31" i="8"/>
  <c r="I6" i="8"/>
  <c r="F13" i="12"/>
  <c r="H13" i="2"/>
  <c r="C34" i="8"/>
  <c r="H25" i="2"/>
  <c r="G31" i="8"/>
  <c r="I19" i="8"/>
  <c r="G19" i="8"/>
  <c r="C6" i="8"/>
  <c r="Q25" i="8"/>
  <c r="J5" i="9"/>
  <c r="I5" i="9"/>
  <c r="B63" i="22"/>
  <c r="F63" i="22" s="1"/>
  <c r="H63" i="22" s="1"/>
  <c r="L6" i="2"/>
  <c r="F3" i="4"/>
  <c r="E6" i="2"/>
  <c r="E5" i="12"/>
  <c r="P13" i="12"/>
  <c r="P8" i="12"/>
  <c r="P11" i="12"/>
  <c r="P7" i="12"/>
  <c r="H14" i="2" l="1"/>
  <c r="H15" i="2"/>
  <c r="H12" i="2"/>
  <c r="H8" i="2"/>
  <c r="I40" i="8"/>
  <c r="H23" i="2"/>
  <c r="H11" i="2"/>
  <c r="N40" i="8"/>
  <c r="E31" i="8"/>
  <c r="E40" i="8" s="1"/>
  <c r="F32" i="8" s="1"/>
  <c r="F20" i="2"/>
  <c r="H21" i="2" s="1"/>
  <c r="K31" i="8"/>
  <c r="K40" i="8" s="1"/>
  <c r="L32" i="8" s="1"/>
  <c r="L31" i="8" s="1"/>
  <c r="F13" i="4"/>
  <c r="H11" i="4" s="1"/>
  <c r="I16" i="10"/>
  <c r="Q19" i="8"/>
  <c r="B28" i="22"/>
  <c r="F28" i="22" s="1"/>
  <c r="H28" i="22" s="1"/>
  <c r="H47" i="32"/>
  <c r="I3" i="32" s="1"/>
  <c r="B11" i="22"/>
  <c r="F11" i="22" s="1"/>
  <c r="H11" i="22" s="1"/>
  <c r="E17" i="10"/>
  <c r="N13" i="12"/>
  <c r="H10" i="9"/>
  <c r="B27" i="22"/>
  <c r="F27" i="22" s="1"/>
  <c r="H27" i="22" s="1"/>
  <c r="B40" i="22"/>
  <c r="B31" i="22"/>
  <c r="F31" i="22" s="1"/>
  <c r="H31" i="22" s="1"/>
  <c r="O31" i="8"/>
  <c r="E16" i="10"/>
  <c r="B26" i="22"/>
  <c r="H21" i="14"/>
  <c r="N11" i="12"/>
  <c r="H26" i="2"/>
  <c r="H10" i="2"/>
  <c r="F5" i="2"/>
  <c r="H4" i="9"/>
  <c r="N7" i="12"/>
  <c r="J11" i="8"/>
  <c r="C16" i="10" l="1"/>
  <c r="H22" i="2"/>
  <c r="J38" i="8"/>
  <c r="J28" i="8"/>
  <c r="J21" i="8"/>
  <c r="J33" i="8"/>
  <c r="J14" i="8"/>
  <c r="J13" i="8"/>
  <c r="J27" i="8"/>
  <c r="J36" i="8"/>
  <c r="J16" i="8"/>
  <c r="J30" i="8"/>
  <c r="J15" i="8"/>
  <c r="J26" i="8"/>
  <c r="J8" i="8"/>
  <c r="J32" i="8"/>
  <c r="J31" i="8" s="1"/>
  <c r="J9" i="8"/>
  <c r="J7" i="8"/>
  <c r="J12" i="8"/>
  <c r="J35" i="8"/>
  <c r="J29" i="8"/>
  <c r="J37" i="8"/>
  <c r="J10" i="8"/>
  <c r="J17" i="8"/>
  <c r="J20" i="8"/>
  <c r="F33" i="8"/>
  <c r="F21" i="8"/>
  <c r="F17" i="8"/>
  <c r="F35" i="8"/>
  <c r="F15" i="8"/>
  <c r="F7" i="8"/>
  <c r="F9" i="8"/>
  <c r="F11" i="8"/>
  <c r="F12" i="8"/>
  <c r="F16" i="8"/>
  <c r="F37" i="8"/>
  <c r="F8" i="8"/>
  <c r="F27" i="8"/>
  <c r="F26" i="8"/>
  <c r="F10" i="8"/>
  <c r="F14" i="8"/>
  <c r="F30" i="8"/>
  <c r="F13" i="8"/>
  <c r="F36" i="8"/>
  <c r="F28" i="8"/>
  <c r="F38" i="8"/>
  <c r="F20" i="8"/>
  <c r="F19" i="8" s="1"/>
  <c r="F29" i="8"/>
  <c r="H12" i="4"/>
  <c r="H6" i="4"/>
  <c r="H5" i="4"/>
  <c r="H10" i="4"/>
  <c r="H8" i="4"/>
  <c r="H7" i="4"/>
  <c r="H4" i="4"/>
  <c r="H9" i="4"/>
  <c r="I31" i="32"/>
  <c r="I32" i="32"/>
  <c r="I22" i="32"/>
  <c r="I23" i="32"/>
  <c r="I41" i="32"/>
  <c r="I19" i="32"/>
  <c r="I30" i="32"/>
  <c r="I20" i="32"/>
  <c r="I44" i="32"/>
  <c r="I38" i="32"/>
  <c r="I43" i="32"/>
  <c r="I16" i="32"/>
  <c r="I42" i="32"/>
  <c r="I25" i="32"/>
  <c r="I24" i="32"/>
  <c r="I36" i="32"/>
  <c r="I8" i="32"/>
  <c r="I12" i="32"/>
  <c r="I14" i="32"/>
  <c r="I26" i="32"/>
  <c r="I15" i="32"/>
  <c r="I35" i="32"/>
  <c r="I46" i="32"/>
  <c r="I39" i="32"/>
  <c r="L38" i="8"/>
  <c r="L33" i="8"/>
  <c r="L28" i="8"/>
  <c r="L21" i="8"/>
  <c r="L29" i="8"/>
  <c r="L13" i="8"/>
  <c r="L9" i="8"/>
  <c r="L10" i="8"/>
  <c r="L7" i="8"/>
  <c r="L36" i="8"/>
  <c r="L11" i="8"/>
  <c r="L12" i="8"/>
  <c r="L37" i="8"/>
  <c r="L8" i="8"/>
  <c r="L27" i="8"/>
  <c r="L26" i="8"/>
  <c r="L15" i="8"/>
  <c r="L14" i="8"/>
  <c r="L30" i="8"/>
  <c r="L20" i="8"/>
  <c r="L19" i="8" s="1"/>
  <c r="L16" i="8"/>
  <c r="L35" i="8"/>
  <c r="L17" i="8"/>
  <c r="I27" i="32"/>
  <c r="I33" i="32"/>
  <c r="I21" i="32"/>
  <c r="I6" i="32"/>
  <c r="I9" i="32"/>
  <c r="I18" i="32"/>
  <c r="I34" i="32"/>
  <c r="I28" i="32"/>
  <c r="I29" i="32"/>
  <c r="I37" i="32"/>
  <c r="I4" i="32"/>
  <c r="I7" i="32"/>
  <c r="I45" i="32"/>
  <c r="I5" i="32"/>
  <c r="I40" i="32"/>
  <c r="I13" i="32"/>
  <c r="I17" i="32"/>
  <c r="I10" i="32"/>
  <c r="J4" i="9"/>
  <c r="I4" i="9"/>
  <c r="H5" i="2"/>
  <c r="F5" i="12"/>
  <c r="F6" i="2"/>
  <c r="F26" i="22"/>
  <c r="H26" i="22" s="1"/>
  <c r="B25" i="22"/>
  <c r="B20" i="22"/>
  <c r="I10" i="9"/>
  <c r="J10" i="9"/>
  <c r="O34" i="8"/>
  <c r="I18" i="10"/>
  <c r="J16" i="10"/>
  <c r="H20" i="31"/>
  <c r="I14" i="31" s="1"/>
  <c r="F31" i="8"/>
  <c r="J34" i="8" l="1"/>
  <c r="F25" i="8"/>
  <c r="F6" i="8"/>
  <c r="J19" i="8"/>
  <c r="L34" i="8"/>
  <c r="F34" i="8"/>
  <c r="F40" i="8" s="1"/>
  <c r="J25" i="8"/>
  <c r="J40" i="8" s="1"/>
  <c r="I7" i="31"/>
  <c r="I9" i="31"/>
  <c r="I8" i="31"/>
  <c r="I5" i="31"/>
  <c r="I17" i="31"/>
  <c r="I3" i="31"/>
  <c r="I13" i="31"/>
  <c r="I11" i="31"/>
  <c r="I10" i="31"/>
  <c r="I12" i="31"/>
  <c r="L6" i="8"/>
  <c r="L25" i="8"/>
  <c r="H3" i="4"/>
  <c r="H13" i="4" s="1"/>
  <c r="J6" i="8"/>
  <c r="I4" i="31"/>
  <c r="I6" i="31"/>
  <c r="I15" i="31"/>
  <c r="I18" i="31"/>
  <c r="I19" i="31"/>
  <c r="I16" i="31"/>
  <c r="Q31" i="8"/>
  <c r="Q40" i="8" s="1"/>
  <c r="R11" i="8" s="1"/>
  <c r="J17" i="10"/>
  <c r="J14" i="10"/>
  <c r="J15" i="10"/>
  <c r="F20" i="22"/>
  <c r="H20" i="22" s="1"/>
  <c r="B19" i="22"/>
  <c r="F19" i="22" s="1"/>
  <c r="H19" i="22" s="1"/>
  <c r="H8" i="9"/>
  <c r="I8" i="9" s="1"/>
  <c r="F25" i="22"/>
  <c r="H6" i="2"/>
  <c r="B18" i="22"/>
  <c r="F18" i="22" s="1"/>
  <c r="H18" i="22" s="1"/>
  <c r="R32" i="8" l="1"/>
  <c r="R31" i="8" s="1"/>
  <c r="R33" i="8"/>
  <c r="R28" i="8"/>
  <c r="R17" i="8"/>
  <c r="R15" i="8"/>
  <c r="R30" i="8"/>
  <c r="R36" i="8"/>
  <c r="R27" i="8"/>
  <c r="R12" i="8"/>
  <c r="R26" i="8"/>
  <c r="R35" i="8"/>
  <c r="R7" i="8"/>
  <c r="R29" i="8"/>
  <c r="R20" i="8"/>
  <c r="R19" i="8" s="1"/>
  <c r="R10" i="8"/>
  <c r="R37" i="8"/>
  <c r="R38" i="8"/>
  <c r="R21" i="8"/>
  <c r="I20" i="31"/>
  <c r="R9" i="8"/>
  <c r="J18" i="10"/>
  <c r="R14" i="8"/>
  <c r="R16" i="8"/>
  <c r="L40" i="8"/>
  <c r="R13" i="8"/>
  <c r="R8" i="8"/>
  <c r="H25" i="22"/>
  <c r="J8" i="9"/>
  <c r="R6" i="8" l="1"/>
  <c r="R34" i="8"/>
  <c r="R25" i="8"/>
  <c r="R40" i="8" l="1"/>
  <c r="N23" i="8" l="1"/>
  <c r="L23" i="8"/>
  <c r="F23" i="8"/>
  <c r="R23" i="8" s="1"/>
  <c r="J23" i="8"/>
  <c r="N22" i="2"/>
  <c r="F16" i="2" l="1"/>
  <c r="H17" i="2"/>
  <c r="I65" i="22"/>
  <c r="T8" i="12"/>
  <c r="I32" i="22"/>
  <c r="S8" i="12"/>
  <c r="Q8" i="12"/>
  <c r="Q11" i="12"/>
  <c r="S5" i="12" l="1"/>
  <c r="H18" i="2"/>
  <c r="H19" i="2"/>
  <c r="F28" i="2"/>
  <c r="F8" i="5"/>
  <c r="G14" i="10"/>
  <c r="G24" i="2" l="1"/>
  <c r="G14" i="2"/>
  <c r="G15" i="2"/>
  <c r="G12" i="2"/>
  <c r="G8" i="2"/>
  <c r="G19" i="2"/>
  <c r="G11" i="2"/>
  <c r="G25" i="2"/>
  <c r="G23" i="2"/>
  <c r="G7" i="2"/>
  <c r="G13" i="2"/>
  <c r="G21" i="2"/>
  <c r="G20" i="2" s="1"/>
  <c r="G5" i="2"/>
  <c r="H1" i="2" s="1"/>
  <c r="G6" i="2"/>
  <c r="G17" i="2"/>
  <c r="I11" i="22"/>
  <c r="P5" i="12"/>
  <c r="G18" i="2"/>
  <c r="N20" i="2"/>
  <c r="G16" i="2" l="1"/>
  <c r="I11" i="32"/>
  <c r="I47" i="32" s="1"/>
  <c r="G6" i="10"/>
  <c r="G17" i="10" l="1"/>
  <c r="F10" i="5"/>
  <c r="F12" i="5" s="1"/>
  <c r="I9" i="5" s="1"/>
  <c r="I8" i="5" s="1"/>
  <c r="I11" i="5" l="1"/>
  <c r="I10" i="5" s="1"/>
  <c r="C17" i="10"/>
  <c r="G18" i="10"/>
  <c r="H17" i="10"/>
  <c r="I5" i="5"/>
  <c r="I6" i="5"/>
  <c r="I7" i="5"/>
  <c r="I4" i="5"/>
  <c r="I3" i="5" l="1"/>
  <c r="I12" i="5" s="1"/>
  <c r="H16" i="10"/>
  <c r="H14" i="10"/>
  <c r="H15" i="10"/>
  <c r="H18" i="10" l="1"/>
  <c r="Q13" i="12" l="1"/>
  <c r="Q7" i="12" l="1"/>
  <c r="I67" i="22" l="1"/>
  <c r="G25" i="8" l="1"/>
  <c r="G40" i="8" s="1"/>
  <c r="H26" i="8" s="1"/>
  <c r="F7" i="10"/>
  <c r="G4" i="10"/>
  <c r="H33" i="8" l="1"/>
  <c r="H28" i="8"/>
  <c r="H21" i="8"/>
  <c r="H14" i="8"/>
  <c r="H12" i="8"/>
  <c r="H8" i="8"/>
  <c r="H36" i="8"/>
  <c r="H35" i="8"/>
  <c r="H13" i="8"/>
  <c r="H37" i="8"/>
  <c r="H16" i="8"/>
  <c r="H15" i="8"/>
  <c r="H38" i="8"/>
  <c r="H9" i="8"/>
  <c r="H20" i="8"/>
  <c r="H19" i="8" s="1"/>
  <c r="H10" i="8"/>
  <c r="H11" i="8"/>
  <c r="H29" i="8"/>
  <c r="H17" i="8"/>
  <c r="H32" i="8"/>
  <c r="H31" i="8" s="1"/>
  <c r="H7" i="8"/>
  <c r="H23" i="8"/>
  <c r="H27" i="8"/>
  <c r="H30" i="8"/>
  <c r="H6" i="8" l="1"/>
  <c r="H25" i="8"/>
  <c r="H34" i="8"/>
  <c r="H40" i="8" s="1"/>
  <c r="G16" i="29" l="1"/>
  <c r="P12" i="12" l="1"/>
  <c r="I66" i="22" l="1"/>
  <c r="L16" i="2" l="1"/>
  <c r="L28" i="2" s="1"/>
  <c r="E16" i="2" l="1"/>
  <c r="N16" i="2" l="1"/>
  <c r="D91" i="23" l="1"/>
  <c r="H4" i="23" s="1"/>
  <c r="G26" i="2"/>
  <c r="G22" i="2" s="1"/>
  <c r="E22" i="2"/>
  <c r="E28" i="2" s="1"/>
  <c r="G11" i="30" l="1"/>
  <c r="H11" i="30"/>
  <c r="I4" i="30"/>
  <c r="G5" i="10"/>
  <c r="I9" i="30" l="1"/>
  <c r="I8" i="30"/>
  <c r="I6" i="30"/>
  <c r="I5" i="30"/>
  <c r="I3" i="30"/>
  <c r="I7" i="30"/>
  <c r="I10" i="30"/>
  <c r="D5" i="6"/>
  <c r="D18" i="6" s="1"/>
  <c r="E6" i="6"/>
  <c r="I11" i="30" l="1"/>
  <c r="K15" i="10"/>
  <c r="E5" i="6"/>
  <c r="E18" i="6" s="1"/>
  <c r="H6" i="6" s="1"/>
  <c r="H5" i="6" s="1"/>
  <c r="H17" i="6" l="1"/>
  <c r="H16" i="6" s="1"/>
  <c r="H12" i="6"/>
  <c r="H11" i="6"/>
  <c r="H15" i="6"/>
  <c r="H14" i="6" s="1"/>
  <c r="H9" i="6"/>
  <c r="H8" i="6"/>
  <c r="K18" i="10"/>
  <c r="L17" i="10" s="1"/>
  <c r="C15" i="10"/>
  <c r="H10" i="6"/>
  <c r="H4" i="6"/>
  <c r="H3" i="6" s="1"/>
  <c r="H13" i="6"/>
  <c r="L14" i="10" l="1"/>
  <c r="H7" i="6"/>
  <c r="H18" i="6" s="1"/>
  <c r="L16" i="10"/>
  <c r="L15" i="10"/>
  <c r="L18" i="10" l="1"/>
  <c r="E10" i="12" l="1"/>
  <c r="G47" i="32" l="1"/>
  <c r="G3" i="14"/>
  <c r="L9" i="12" l="1"/>
  <c r="Q12" i="12" l="1"/>
  <c r="F9" i="12" l="1"/>
  <c r="F6" i="12" s="1"/>
  <c r="H9" i="2"/>
  <c r="H4" i="2" s="1"/>
  <c r="G9" i="2"/>
  <c r="C19" i="8"/>
  <c r="C40" i="8" s="1"/>
  <c r="D20" i="8" s="1"/>
  <c r="D30" i="8" l="1"/>
  <c r="D13" i="8"/>
  <c r="D8" i="8"/>
  <c r="D27" i="8"/>
  <c r="D33" i="8"/>
  <c r="D16" i="8"/>
  <c r="D15" i="8"/>
  <c r="D28" i="8"/>
  <c r="D26" i="8"/>
  <c r="D17" i="8"/>
  <c r="D37" i="8"/>
  <c r="D21" i="8"/>
  <c r="D32" i="8"/>
  <c r="D31" i="8" s="1"/>
  <c r="D9" i="8"/>
  <c r="D36" i="8"/>
  <c r="D35" i="8"/>
  <c r="D12" i="8"/>
  <c r="D10" i="8"/>
  <c r="D7" i="8"/>
  <c r="D29" i="8"/>
  <c r="C43" i="8"/>
  <c r="D23" i="8"/>
  <c r="D14" i="8"/>
  <c r="D38" i="8"/>
  <c r="B42" i="22"/>
  <c r="F42" i="22" s="1"/>
  <c r="H42" i="22" s="1"/>
  <c r="D19" i="8"/>
  <c r="H14" i="9"/>
  <c r="D34" i="8" l="1"/>
  <c r="D25" i="8"/>
  <c r="I42" i="22"/>
  <c r="H13" i="9"/>
  <c r="J14" i="9"/>
  <c r="I14" i="9"/>
  <c r="I13" i="9" s="1"/>
  <c r="O19" i="8"/>
  <c r="O40" i="8" s="1"/>
  <c r="P28" i="8" s="1"/>
  <c r="P7" i="8" l="1"/>
  <c r="P26" i="8"/>
  <c r="P35" i="8"/>
  <c r="P32" i="8"/>
  <c r="P31" i="8" s="1"/>
  <c r="P10" i="8"/>
  <c r="P38" i="8"/>
  <c r="P37" i="8"/>
  <c r="C44" i="8"/>
  <c r="C41" i="8"/>
  <c r="P8" i="8"/>
  <c r="P36" i="8"/>
  <c r="P33" i="8"/>
  <c r="P16" i="8"/>
  <c r="P13" i="8"/>
  <c r="P17" i="8"/>
  <c r="J13" i="9"/>
  <c r="P14" i="8"/>
  <c r="P21" i="8"/>
  <c r="P15" i="8"/>
  <c r="P30" i="8"/>
  <c r="P27" i="8"/>
  <c r="P9" i="8"/>
  <c r="P20" i="8"/>
  <c r="P19" i="8" s="1"/>
  <c r="P12" i="8"/>
  <c r="P29" i="8"/>
  <c r="P23" i="8"/>
  <c r="P34" i="8" l="1"/>
  <c r="P25" i="8"/>
  <c r="L10" i="12"/>
  <c r="D11" i="8" l="1"/>
  <c r="P11" i="8" l="1"/>
  <c r="P6" i="8" s="1"/>
  <c r="P40" i="8" s="1"/>
  <c r="D6" i="8"/>
  <c r="D40" i="8" s="1"/>
  <c r="H16" i="29"/>
  <c r="F10" i="12"/>
  <c r="G10" i="2"/>
  <c r="G4" i="2" s="1"/>
  <c r="P10" i="12"/>
  <c r="G29" i="2" l="1"/>
  <c r="G28" i="2"/>
  <c r="I7" i="29"/>
  <c r="I5" i="29"/>
  <c r="I6" i="29"/>
  <c r="I12" i="29"/>
  <c r="I9" i="29"/>
  <c r="I14" i="29"/>
  <c r="I8" i="29"/>
  <c r="I15" i="29"/>
  <c r="I10" i="29"/>
  <c r="I4" i="29"/>
  <c r="I13" i="29"/>
  <c r="F4" i="12"/>
  <c r="H7" i="9"/>
  <c r="N10" i="12"/>
  <c r="I3" i="29"/>
  <c r="I11" i="29"/>
  <c r="B5" i="22"/>
  <c r="E14" i="10"/>
  <c r="H3" i="14"/>
  <c r="H73" i="14" s="1"/>
  <c r="K3" i="9" l="1"/>
  <c r="H3" i="9"/>
  <c r="I52" i="14"/>
  <c r="I53" i="14"/>
  <c r="I12" i="14"/>
  <c r="I26" i="14"/>
  <c r="I41" i="14"/>
  <c r="I6" i="14"/>
  <c r="I7" i="14"/>
  <c r="I42" i="14"/>
  <c r="I58" i="14"/>
  <c r="I51" i="14"/>
  <c r="I38" i="14"/>
  <c r="I39" i="14"/>
  <c r="I63" i="14"/>
  <c r="I61" i="14"/>
  <c r="I60" i="14"/>
  <c r="I57" i="14"/>
  <c r="I34" i="14"/>
  <c r="I43" i="14"/>
  <c r="I46" i="14"/>
  <c r="I59" i="14"/>
  <c r="I72" i="14"/>
  <c r="I71" i="14" s="1"/>
  <c r="I64" i="14"/>
  <c r="I45" i="14"/>
  <c r="I19" i="14"/>
  <c r="I20" i="14"/>
  <c r="I14" i="14"/>
  <c r="I32" i="14"/>
  <c r="I47" i="14"/>
  <c r="I69" i="14"/>
  <c r="I44" i="14"/>
  <c r="I31" i="14"/>
  <c r="I56" i="14"/>
  <c r="I24" i="14"/>
  <c r="I67" i="14"/>
  <c r="I8" i="14"/>
  <c r="I23" i="14"/>
  <c r="I33" i="14"/>
  <c r="I22" i="14"/>
  <c r="I13" i="14"/>
  <c r="I35" i="14"/>
  <c r="I16" i="29"/>
  <c r="I25" i="14"/>
  <c r="I54" i="14"/>
  <c r="I48" i="14"/>
  <c r="I40" i="14"/>
  <c r="I11" i="14"/>
  <c r="I15" i="14"/>
  <c r="I37" i="14"/>
  <c r="I55" i="14"/>
  <c r="I49" i="14"/>
  <c r="I50" i="14"/>
  <c r="I62" i="14"/>
  <c r="I9" i="14"/>
  <c r="I5" i="14"/>
  <c r="I18" i="14"/>
  <c r="I28" i="14"/>
  <c r="I27" i="14" s="1"/>
  <c r="I70" i="14"/>
  <c r="I66" i="14"/>
  <c r="I65" i="14" s="1"/>
  <c r="I10" i="14"/>
  <c r="I30" i="14"/>
  <c r="I36" i="14"/>
  <c r="G3" i="10"/>
  <c r="G7" i="10" s="1"/>
  <c r="C7" i="10"/>
  <c r="I4" i="14"/>
  <c r="I16" i="14"/>
  <c r="C14" i="10"/>
  <c r="E18" i="10"/>
  <c r="F17" i="10" s="1"/>
  <c r="F5" i="22"/>
  <c r="H5" i="22" s="1"/>
  <c r="B4" i="22"/>
  <c r="F4" i="22" s="1"/>
  <c r="H4" i="22" s="1"/>
  <c r="J7" i="9"/>
  <c r="I7" i="9"/>
  <c r="F1" i="12"/>
  <c r="F16" i="12"/>
  <c r="H74" i="14" s="1"/>
  <c r="H7" i="10"/>
  <c r="D7" i="10"/>
  <c r="E7" i="10"/>
  <c r="F14" i="10" l="1"/>
  <c r="I68" i="14"/>
  <c r="I21" i="14"/>
  <c r="I29" i="14"/>
  <c r="G4" i="12"/>
  <c r="G16" i="12" s="1"/>
  <c r="G14" i="12"/>
  <c r="G15" i="12"/>
  <c r="H15" i="12" s="1"/>
  <c r="G12" i="12"/>
  <c r="G8" i="12"/>
  <c r="G11" i="12"/>
  <c r="G7" i="12"/>
  <c r="G13" i="12"/>
  <c r="G9" i="12"/>
  <c r="H9" i="12" s="1"/>
  <c r="G10" i="12"/>
  <c r="I3" i="14"/>
  <c r="J3" i="9"/>
  <c r="H16" i="9"/>
  <c r="I3" i="9"/>
  <c r="H15" i="9"/>
  <c r="K15" i="9" s="1"/>
  <c r="I17" i="14"/>
  <c r="K16" i="9"/>
  <c r="F16" i="10"/>
  <c r="F15" i="10"/>
  <c r="C18" i="10"/>
  <c r="D14" i="10" s="1"/>
  <c r="I7" i="10"/>
  <c r="H13" i="12" l="1"/>
  <c r="H7" i="12"/>
  <c r="I73" i="14"/>
  <c r="H10" i="12"/>
  <c r="H14" i="12"/>
  <c r="I15" i="9"/>
  <c r="J15" i="9"/>
  <c r="H11" i="12"/>
  <c r="D16" i="10"/>
  <c r="D17" i="10"/>
  <c r="D15" i="10"/>
  <c r="J16" i="9"/>
  <c r="I16" i="9"/>
  <c r="H8" i="12"/>
  <c r="H4" i="12" s="1"/>
  <c r="H12" i="12"/>
  <c r="F18" i="10"/>
  <c r="D18" i="10" l="1"/>
  <c r="Q10" i="12" l="1"/>
  <c r="I17" i="22" l="1"/>
  <c r="T10" i="12" l="1"/>
  <c r="G29" i="14" l="1"/>
  <c r="E9" i="12"/>
  <c r="P9" i="12"/>
  <c r="E6" i="12" l="1"/>
  <c r="N9" i="12"/>
  <c r="T9" i="12"/>
  <c r="Q9" i="12" l="1"/>
  <c r="I68" i="22" l="1"/>
  <c r="I57" i="22" l="1"/>
  <c r="I55" i="22" l="1"/>
  <c r="I37" i="22" l="1"/>
  <c r="I30" i="22" l="1"/>
  <c r="I9" i="22" l="1"/>
  <c r="I6" i="22" l="1"/>
  <c r="I10" i="22" l="1"/>
  <c r="I46" i="22" l="1"/>
  <c r="I45" i="22" l="1"/>
  <c r="I7" i="22" l="1"/>
  <c r="I16" i="22" l="1"/>
  <c r="I20" i="22" l="1"/>
  <c r="I22" i="22" l="1"/>
  <c r="L15" i="12"/>
  <c r="L4" i="12" s="1"/>
  <c r="L5" i="12" l="1"/>
  <c r="L6" i="12" s="1"/>
  <c r="L16" i="12"/>
  <c r="I38" i="22" l="1"/>
  <c r="I43" i="22" l="1"/>
  <c r="I54" i="22" l="1"/>
  <c r="I49" i="22" l="1"/>
  <c r="I41" i="22" l="1"/>
  <c r="I14" i="22" l="1"/>
  <c r="I24" i="22" l="1"/>
  <c r="I39" i="22" l="1"/>
  <c r="I18" i="22" l="1"/>
  <c r="I47" i="22" l="1"/>
  <c r="I8" i="22" l="1"/>
  <c r="I69" i="22" l="1"/>
  <c r="I53" i="22" l="1"/>
  <c r="I70" i="22" l="1"/>
  <c r="I51" i="22"/>
  <c r="I31" i="22" l="1"/>
  <c r="I33" i="22" l="1"/>
  <c r="I5" i="22" l="1"/>
  <c r="I48" i="22" l="1"/>
  <c r="I12" i="22" l="1"/>
  <c r="I21" i="22"/>
  <c r="S12" i="12"/>
  <c r="I64" i="22" l="1"/>
  <c r="S10" i="12"/>
  <c r="I4" i="22"/>
  <c r="I63" i="22" l="1"/>
  <c r="K7" i="6" l="1"/>
  <c r="S16" i="12" l="1"/>
  <c r="M73" i="14"/>
  <c r="S4" i="12"/>
  <c r="S11" i="12" l="1"/>
  <c r="S9" i="12" l="1"/>
  <c r="I25" i="22"/>
  <c r="S15" i="12" l="1"/>
  <c r="I36" i="22"/>
  <c r="I50" i="22" l="1"/>
  <c r="I19" i="22" l="1"/>
  <c r="S13" i="12"/>
  <c r="I29" i="22" l="1"/>
  <c r="S7" i="12"/>
  <c r="E15" i="12" l="1"/>
  <c r="N15" i="12" l="1"/>
  <c r="N4" i="12" s="1"/>
  <c r="E4" i="12"/>
  <c r="E16" i="12" s="1"/>
  <c r="G73" i="14"/>
  <c r="N4" i="2"/>
  <c r="P15" i="12"/>
  <c r="N5" i="12" l="1"/>
  <c r="N6" i="12" s="1"/>
  <c r="N16" i="12"/>
  <c r="N6" i="2"/>
  <c r="N28" i="2"/>
  <c r="K73" i="14"/>
  <c r="P4" i="12"/>
  <c r="P16" i="12"/>
  <c r="T15" i="12"/>
  <c r="T12" i="12"/>
  <c r="T11" i="12"/>
  <c r="L7" i="6"/>
  <c r="T13" i="12"/>
  <c r="T7" i="12"/>
  <c r="N73" i="14" l="1"/>
  <c r="T16" i="12"/>
  <c r="T4" i="12"/>
  <c r="L73" i="14"/>
  <c r="Q4" i="12"/>
  <c r="Q16" i="12"/>
  <c r="Q15" i="12"/>
  <c r="I35" i="22" l="1"/>
  <c r="T5" i="12" l="1"/>
  <c r="Q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79" authorId="0" shapeId="0" xr:uid="{FF3EB3E7-01F7-4506-82A3-91F87DAB72F4}">
      <text>
        <r>
          <rPr>
            <b/>
            <sz val="9"/>
            <color indexed="81"/>
            <rFont val="Tahoma"/>
            <family val="2"/>
          </rPr>
          <t xml:space="preserve">Copy paste formula corresponding to "Closing" to get the closing units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I81" authorId="0" shapeId="0" xr:uid="{DABB642B-13C7-40CD-9618-150FC9F357A8}">
      <text>
        <r>
          <rPr>
            <b/>
            <sz val="9"/>
            <color indexed="81"/>
            <rFont val="Tahoma"/>
            <family val="2"/>
          </rPr>
          <t xml:space="preserve">Copy paste formula corresponding to "Closing" to get the closing units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F112" authorId="0" shapeId="0" xr:uid="{0138A4D3-49EA-468F-A4EC-9CC7E8467CE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IDCW plan, units manual
</t>
        </r>
      </text>
    </comment>
    <comment ref="I114" authorId="0" shapeId="0" xr:uid="{130E89CF-C60E-4B42-9CC1-6C7F11C75A1A}">
      <text>
        <r>
          <rPr>
            <b/>
            <sz val="9"/>
            <color indexed="81"/>
            <rFont val="Tahoma"/>
            <family val="2"/>
          </rPr>
          <t xml:space="preserve">IDCW plan, units manual from SOA
</t>
        </r>
      </text>
    </comment>
    <comment ref="J114" authorId="0" shapeId="0" xr:uid="{31342BF1-8AE8-426D-BC9A-5244100E49CF}">
      <text>
        <r>
          <rPr>
            <b/>
            <sz val="9"/>
            <color indexed="81"/>
            <rFont val="Tahoma"/>
            <family val="2"/>
          </rPr>
          <t xml:space="preserve">If Equity or Mutual Fund, copy paste this formula in "Rate" column corresponding to "Closing" to get the latest NAV / Scrip Rate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I119" authorId="0" shapeId="0" xr:uid="{E5426F30-F82B-41E5-B5EB-B04DE2B3BD6E}">
      <text>
        <r>
          <rPr>
            <b/>
            <sz val="9"/>
            <color indexed="81"/>
            <rFont val="Tahoma"/>
            <family val="2"/>
          </rPr>
          <t xml:space="preserve">Copy paste formula corresponding to "Closing" to get the closing units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J119" authorId="0" shapeId="0" xr:uid="{E82BD079-6159-4CB4-B873-4F11BB02D43D}">
      <text>
        <r>
          <rPr>
            <b/>
            <sz val="9"/>
            <color indexed="81"/>
            <rFont val="Tahoma"/>
            <family val="2"/>
          </rPr>
          <t xml:space="preserve">If Equity or Mutual Fund, copy paste this formula in "Rate" column corresponding to "Closing" to get the latest NAV / Scrip Rate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F125" authorId="0" shapeId="0" xr:uid="{3E2B8F04-7ABF-4816-936B-27B5D605E2F9}">
      <text>
        <r>
          <rPr>
            <b/>
            <sz val="9"/>
            <color indexed="81"/>
            <rFont val="Tahoma"/>
            <family val="2"/>
          </rPr>
          <t>Former L&amp;T AMC</t>
        </r>
      </text>
    </comment>
    <comment ref="I128" authorId="0" shapeId="0" xr:uid="{6D5A960C-E666-4C49-A4D2-9CC9DC713F97}">
      <text>
        <r>
          <rPr>
            <b/>
            <sz val="9"/>
            <color indexed="81"/>
            <rFont val="Tahoma"/>
            <family val="2"/>
          </rPr>
          <t xml:space="preserve">Copy paste formula corresponding to "Closing" to get the closing units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J128" authorId="0" shapeId="0" xr:uid="{CAC888FE-A151-419D-A2C3-ED9F8E1A6462}">
      <text>
        <r>
          <rPr>
            <b/>
            <sz val="9"/>
            <color indexed="81"/>
            <rFont val="Tahoma"/>
            <family val="2"/>
          </rPr>
          <t xml:space="preserve">If Equity or Mutual Fund, copy paste this formula in "Rate" column corresponding to "Closing" to get the latest NAV / Scrip Rate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I134" authorId="0" shapeId="0" xr:uid="{86081AF2-37F8-45E6-8EDD-BF54D3BA4746}">
      <text>
        <r>
          <rPr>
            <b/>
            <sz val="9"/>
            <color indexed="81"/>
            <rFont val="Tahoma"/>
            <family val="2"/>
          </rPr>
          <t xml:space="preserve">Copy paste formula corresponding to "Closing" to get the closing units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J134" authorId="0" shapeId="0" xr:uid="{4E1A8B06-859B-41F3-8C0B-AB2422F6C2AF}">
      <text>
        <r>
          <rPr>
            <b/>
            <sz val="9"/>
            <color indexed="81"/>
            <rFont val="Tahoma"/>
            <family val="2"/>
          </rPr>
          <t xml:space="preserve">If Equity or Mutual Fund, copy paste this formula in "Rate" column corresponding to "Closing" to get the latest NAV / Scrip Rate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I139" authorId="0" shapeId="0" xr:uid="{7E9A5E3B-8D45-4BD1-9899-42CDF1F4233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IDCW Plan, units entered manually
</t>
        </r>
      </text>
    </comment>
    <comment ref="I143" authorId="0" shapeId="0" xr:uid="{CF09366B-CD38-4009-BD96-4C7E26638286}">
      <text>
        <r>
          <rPr>
            <b/>
            <sz val="9"/>
            <color indexed="81"/>
            <rFont val="Tahoma"/>
            <family val="2"/>
          </rPr>
          <t xml:space="preserve">Copy paste formula corresponding to "Closing" to get the closing units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J143" authorId="0" shapeId="0" xr:uid="{C14F2AC8-CC81-40FC-A7C1-457606AF3C5A}">
      <text>
        <r>
          <rPr>
            <b/>
            <sz val="9"/>
            <color indexed="81"/>
            <rFont val="Tahoma"/>
            <family val="2"/>
          </rPr>
          <t xml:space="preserve">If Equity or Mutual Fund, copy paste this formula in "Rate" column corresponding to "Closing" to get the latest NAV / Scrip Rate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I145" authorId="0" shapeId="0" xr:uid="{685B8490-E476-45B4-82FA-CEC0AD15EFDD}">
      <text>
        <r>
          <rPr>
            <b/>
            <sz val="9"/>
            <color indexed="81"/>
            <rFont val="Tahoma"/>
            <family val="2"/>
          </rPr>
          <t xml:space="preserve">Copy paste formula corresponding to "Closing" to get the closing units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J145" authorId="0" shapeId="0" xr:uid="{5E8E8E4C-5B6D-462D-A24D-B6DF2BB45EE2}">
      <text>
        <r>
          <rPr>
            <b/>
            <sz val="9"/>
            <color indexed="81"/>
            <rFont val="Tahoma"/>
            <family val="2"/>
          </rPr>
          <t xml:space="preserve">If Equity or Mutual Fund, copy paste this formula in "Rate" column corresponding to "Closing" to get the latest NAV / Scrip Rate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I153" authorId="0" shapeId="0" xr:uid="{267EAE57-83D2-4E3A-8229-44E551C7F1A8}">
      <text>
        <r>
          <rPr>
            <b/>
            <sz val="9"/>
            <color indexed="81"/>
            <rFont val="Tahoma"/>
            <family val="2"/>
          </rPr>
          <t xml:space="preserve">Copy paste formula corresponding to "Closing" to get the closing units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J153" authorId="0" shapeId="0" xr:uid="{5284FEE9-493B-4DEB-85FB-1774EC3601E9}">
      <text>
        <r>
          <rPr>
            <b/>
            <sz val="9"/>
            <color indexed="81"/>
            <rFont val="Tahoma"/>
            <family val="2"/>
          </rPr>
          <t xml:space="preserve">If Equity or Mutual Fund, copy paste this formula in "Rate" column corresponding to "Closing" to get the latest NAV / Scrip Rate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I263" authorId="0" shapeId="0" xr:uid="{948E8169-CCF3-4139-B997-70BCEE5F2ECE}">
      <text>
        <r>
          <rPr>
            <b/>
            <sz val="9"/>
            <color indexed="81"/>
            <rFont val="Tahoma"/>
            <family val="2"/>
          </rPr>
          <t xml:space="preserve">Copy paste formula corresponding to "Closing" to get the closing units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J263" authorId="0" shapeId="0" xr:uid="{A1DC8740-2D3A-4DD9-A83E-CEEE60E8287B}">
      <text>
        <r>
          <rPr>
            <b/>
            <sz val="9"/>
            <color indexed="81"/>
            <rFont val="Tahoma"/>
            <family val="2"/>
          </rPr>
          <t xml:space="preserve">If Equity or Mutual Fund, copy paste this formula in "Rate" column corresponding to "Closing" to get the latest NAV / Scrip Rate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I265" authorId="0" shapeId="0" xr:uid="{BDDF7A78-FB78-4DA7-9FA8-CD3994F608FB}">
      <text>
        <r>
          <rPr>
            <b/>
            <sz val="9"/>
            <color indexed="81"/>
            <rFont val="Tahoma"/>
            <family val="2"/>
          </rPr>
          <t xml:space="preserve">Copy paste formula corresponding to "Closing" to get the closing units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J265" authorId="0" shapeId="0" xr:uid="{25374BE4-9A3D-477D-A659-8644457ACC5B}">
      <text>
        <r>
          <rPr>
            <b/>
            <sz val="9"/>
            <color indexed="81"/>
            <rFont val="Tahoma"/>
            <family val="2"/>
          </rPr>
          <t xml:space="preserve">If Equity or Mutual Fund, copy paste this formula in "Rate" column corresponding to "Closing" to get the latest NAV / Scrip Rate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J298" authorId="0" shapeId="0" xr:uid="{4E251E84-98E7-4A74-87B1-3CA3DD30E58E}">
      <text>
        <r>
          <rPr>
            <b/>
            <sz val="9"/>
            <color indexed="81"/>
            <rFont val="Tahoma"/>
            <family val="2"/>
          </rPr>
          <t xml:space="preserve">If Equity or Mutual Fund, copy paste this formula in "Rate" column corresponding to "Closing" to get the latest NAV / Scrip Rate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I326" authorId="0" shapeId="0" xr:uid="{BA9B3688-C37D-4753-AAD0-FAF55E326BF7}">
      <text>
        <r>
          <rPr>
            <b/>
            <sz val="9"/>
            <color indexed="81"/>
            <rFont val="Tahoma"/>
            <family val="2"/>
          </rPr>
          <t xml:space="preserve">Copy paste formula corresponding to "Closing" to get the closing units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J326" authorId="0" shapeId="0" xr:uid="{504BCCCD-DC02-4C06-A70C-F1833B62C408}">
      <text>
        <r>
          <rPr>
            <b/>
            <sz val="9"/>
            <color indexed="81"/>
            <rFont val="Tahoma"/>
            <family val="2"/>
          </rPr>
          <t xml:space="preserve">If Equity or Mutual Fund, copy paste this formula in "Rate" column corresponding to "Closing" to get the latest NAV / Scrip Rate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I329" authorId="0" shapeId="0" xr:uid="{C1606F9B-5403-4761-AE90-0EA16B7E249F}">
      <text>
        <r>
          <rPr>
            <b/>
            <sz val="9"/>
            <color indexed="81"/>
            <rFont val="Tahoma"/>
            <family val="2"/>
          </rPr>
          <t xml:space="preserve">Copy paste formula corresponding to "Closing" to get the closing units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I357" authorId="0" shapeId="0" xr:uid="{4AEC8722-EC2D-4D51-95C3-2E4049EE7E93}">
      <text>
        <r>
          <rPr>
            <b/>
            <sz val="9"/>
            <color indexed="81"/>
            <rFont val="Tahoma"/>
            <family val="2"/>
          </rPr>
          <t xml:space="preserve">Copy paste formula corresponding to "Closing" to get the closing units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J357" authorId="0" shapeId="0" xr:uid="{6683635C-F30E-41A2-AC90-3769D02258FD}">
      <text>
        <r>
          <rPr>
            <b/>
            <sz val="9"/>
            <color indexed="81"/>
            <rFont val="Tahoma"/>
            <family val="2"/>
          </rPr>
          <t xml:space="preserve">If Equity or Mutual Fund, copy paste this formula in "Rate" column corresponding to "Closing" to get the latest NAV / Scrip Rate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I367" authorId="0" shapeId="0" xr:uid="{54A787E1-4A0D-4BCD-ACDE-D9EF98190A2C}">
      <text>
        <r>
          <rPr>
            <b/>
            <sz val="9"/>
            <color indexed="81"/>
            <rFont val="Tahoma"/>
            <family val="2"/>
          </rPr>
          <t xml:space="preserve">Copy paste formula corresponding to "Closing" to get the closing units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J367" authorId="0" shapeId="0" xr:uid="{5F6515DD-9B9D-4929-9933-4AF90CB9DB95}">
      <text>
        <r>
          <rPr>
            <b/>
            <sz val="9"/>
            <color indexed="81"/>
            <rFont val="Tahoma"/>
            <family val="2"/>
          </rPr>
          <t xml:space="preserve">If Equity or Mutual Fund, copy paste this formula in "Rate" column corresponding to "Closing" to get the latest NAV / Scrip Rate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I378" authorId="0" shapeId="0" xr:uid="{81E6C484-2E65-4945-B5DD-1616760D85E0}">
      <text>
        <r>
          <rPr>
            <b/>
            <sz val="9"/>
            <color indexed="81"/>
            <rFont val="Tahoma"/>
            <family val="2"/>
          </rPr>
          <t xml:space="preserve">Copy paste formula corresponding to "Closing" to get the closing units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J419" authorId="0" shapeId="0" xr:uid="{320E4110-FDDF-48D4-99D3-84C49681A4DF}">
      <text>
        <r>
          <rPr>
            <b/>
            <sz val="9"/>
            <color indexed="81"/>
            <rFont val="Tahoma"/>
            <family val="2"/>
          </rPr>
          <t xml:space="preserve">If Equity or Mutual Fund, copy paste this formula in "Rate" column corresponding to "Closing" to get the latest NAV / Scrip Rate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J421" authorId="0" shapeId="0" xr:uid="{B57D90CC-0B91-471E-AEC6-41C04C84E013}">
      <text>
        <r>
          <rPr>
            <b/>
            <sz val="9"/>
            <color indexed="81"/>
            <rFont val="Tahoma"/>
            <family val="2"/>
          </rPr>
          <t xml:space="preserve">If Equity or Mutual Fund, copy paste this formula in "Rate" column corresponding to "Closing" to get the latest NAV / Scrip Rate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J423" authorId="0" shapeId="0" xr:uid="{A4065CA9-FBCF-4B08-BA58-333EF2D19B39}">
      <text>
        <r>
          <rPr>
            <b/>
            <sz val="9"/>
            <color indexed="81"/>
            <rFont val="Tahoma"/>
            <family val="2"/>
          </rPr>
          <t xml:space="preserve">If Equity or Mutual Fund, copy paste this formula in "Rate" column corresponding to "Closing" to get the latest NAV / Scrip Rate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J425" authorId="0" shapeId="0" xr:uid="{11C48C32-C353-4538-A98A-D02C33E41574}">
      <text>
        <r>
          <rPr>
            <b/>
            <sz val="9"/>
            <color indexed="81"/>
            <rFont val="Tahoma"/>
            <family val="2"/>
          </rPr>
          <t xml:space="preserve">If Equity or Mutual Fund, copy paste this formula in "Rate" column corresponding to "Closing" to get the latest NAV / Scrip Rate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J427" authorId="0" shapeId="0" xr:uid="{011BC2F1-340F-47A6-8F11-C82916AC18B2}">
      <text>
        <r>
          <rPr>
            <b/>
            <sz val="9"/>
            <color indexed="81"/>
            <rFont val="Tahoma"/>
            <family val="2"/>
          </rPr>
          <t xml:space="preserve">If Equity or Mutual Fund, copy paste this formula in "Rate" column corresponding to "Closing" to get the latest NAV / Scrip Rate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J429" authorId="0" shapeId="0" xr:uid="{4885A0D9-A6F0-4E1A-BF76-641A7DA9CAF5}">
      <text>
        <r>
          <rPr>
            <b/>
            <sz val="9"/>
            <color indexed="81"/>
            <rFont val="Tahoma"/>
            <family val="2"/>
          </rPr>
          <t xml:space="preserve">If Equity or Mutual Fund, copy paste this formula in "Rate" column corresponding to "Closing" to get the latest NAV / Scrip Rate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J431" authorId="0" shapeId="0" xr:uid="{43E0F1F7-A47E-4A9A-A7D9-08D05919F05A}">
      <text>
        <r>
          <rPr>
            <b/>
            <sz val="9"/>
            <color indexed="81"/>
            <rFont val="Tahoma"/>
            <family val="2"/>
          </rPr>
          <t xml:space="preserve">If Equity or Mutual Fund, copy paste this formula in "Rate" column corresponding to "Closing" to get the latest NAV / Scrip Rate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J433" authorId="0" shapeId="0" xr:uid="{4749FDCF-AE35-44D4-B540-33DEB980B2FF}">
      <text>
        <r>
          <rPr>
            <b/>
            <sz val="9"/>
            <color indexed="81"/>
            <rFont val="Tahoma"/>
            <family val="2"/>
          </rPr>
          <t xml:space="preserve">If Equity or Mutual Fund, copy paste this formula in "Rate" column corresponding to "Closing" to get the latest NAV / Scrip Rate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F455" authorId="0" shapeId="0" xr:uid="{ED8FAD56-C26D-41FC-8441-A91B323CDE6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Direct</t>
        </r>
      </text>
    </comment>
    <comment ref="F456" authorId="0" shapeId="0" xr:uid="{A9EF30CD-FC77-4F29-B394-48E4CCEAC68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Direct</t>
        </r>
      </text>
    </comment>
    <comment ref="F457" authorId="0" shapeId="0" xr:uid="{8AD0C857-E86D-4977-9DB5-AA1564E6ED8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Reg Growth
</t>
        </r>
      </text>
    </comment>
    <comment ref="F458" authorId="0" shapeId="0" xr:uid="{23361930-F18D-4152-B0AB-37CD347FF65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Reg Growth
</t>
        </r>
      </text>
    </comment>
    <comment ref="F459" authorId="0" shapeId="0" xr:uid="{53EC9BC0-C443-4B3A-8FA5-94BCB4CD260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Reg Growth
</t>
        </r>
      </text>
    </comment>
    <comment ref="F460" authorId="0" shapeId="0" xr:uid="{ED82B6EB-B902-4C36-92F3-F50BDBCEDF4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Reg Growth
</t>
        </r>
      </text>
    </comment>
    <comment ref="F461" authorId="0" shapeId="0" xr:uid="{2F1FF717-A186-4DC1-A39F-95A239D54E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Reg Growth
</t>
        </r>
      </text>
    </comment>
    <comment ref="F462" authorId="0" shapeId="0" xr:uid="{2F272247-4744-452A-B967-CFE4C6EA6B9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Reg Growth
</t>
        </r>
      </text>
    </comment>
    <comment ref="F463" authorId="0" shapeId="0" xr:uid="{2F98B2C9-A2D0-4A68-ABA9-D10B2815B96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Reg Growth
</t>
        </r>
      </text>
    </comment>
    <comment ref="F464" authorId="0" shapeId="0" xr:uid="{CC7E97F6-9671-4378-B05D-7046237319F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Reg Growth
</t>
        </r>
      </text>
    </comment>
    <comment ref="F465" authorId="0" shapeId="0" xr:uid="{6D6E100B-8AC1-45B4-8241-D1BC22A321F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Reg Growth
</t>
        </r>
      </text>
    </comment>
    <comment ref="F468" authorId="0" shapeId="0" xr:uid="{BC07A154-D37B-42D7-A7A0-0BD630FE5C8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Direct</t>
        </r>
      </text>
    </comment>
    <comment ref="F469" authorId="0" shapeId="0" xr:uid="{F60A4EB3-6654-486C-95A2-C08E14ED86A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Direct</t>
        </r>
      </text>
    </comment>
    <comment ref="F470" authorId="0" shapeId="0" xr:uid="{0E283C45-02DE-4EDA-8B29-9CB925F3F46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Direct</t>
        </r>
      </text>
    </comment>
    <comment ref="F471" authorId="0" shapeId="0" xr:uid="{A3C4169F-8B24-4199-9C4A-50323688778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Regular</t>
        </r>
      </text>
    </comment>
    <comment ref="F472" authorId="0" shapeId="0" xr:uid="{AB8C79B0-35AE-483B-81D8-40EF6E4A13C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Regular</t>
        </r>
      </text>
    </comment>
    <comment ref="I511" authorId="0" shapeId="0" xr:uid="{10EB66B5-BA7C-4206-9921-61D435E06100}">
      <text>
        <r>
          <rPr>
            <b/>
            <sz val="9"/>
            <color indexed="81"/>
            <rFont val="Tahoma"/>
            <family val="2"/>
          </rPr>
          <t xml:space="preserve">Copy paste formula corresponding to "Closing" to get the closing units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I515" authorId="0" shapeId="0" xr:uid="{613EDCC5-26B3-4DDF-BC2F-F43BAB0207A6}">
      <text>
        <r>
          <rPr>
            <b/>
            <sz val="9"/>
            <color indexed="81"/>
            <rFont val="Tahoma"/>
            <family val="2"/>
          </rPr>
          <t xml:space="preserve">Copy paste formula corresponding to "Closing" to get the closing units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I520" authorId="0" shapeId="0" xr:uid="{FEEBEA7E-6F6E-4D75-96FD-5AACE2E6F23E}">
      <text>
        <r>
          <rPr>
            <b/>
            <sz val="9"/>
            <color indexed="81"/>
            <rFont val="Tahoma"/>
            <family val="2"/>
          </rPr>
          <t xml:space="preserve">Copy paste formula corresponding to "Closing" to get the closing units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J599" authorId="0" shapeId="0" xr:uid="{A9024D7C-9275-4D0C-81F8-1B5D6DADA2F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post-tax NAV</t>
        </r>
      </text>
    </comment>
    <comment ref="I604" authorId="0" shapeId="0" xr:uid="{94FF4C16-9224-4506-ABED-4CA2F666313B}">
      <text>
        <r>
          <rPr>
            <b/>
            <sz val="9"/>
            <color indexed="81"/>
            <rFont val="Tahoma"/>
            <family val="2"/>
          </rPr>
          <t xml:space="preserve">Copy paste formula corresponding to "Closing" to get the closing units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I610" authorId="0" shapeId="0" xr:uid="{7E6A5907-CEAB-4429-B459-9E120173AD33}">
      <text>
        <r>
          <rPr>
            <b/>
            <sz val="9"/>
            <color indexed="81"/>
            <rFont val="Tahoma"/>
            <family val="2"/>
          </rPr>
          <t xml:space="preserve">Copy paste formula corresponding to "Closing" to get the closing units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J610" authorId="0" shapeId="0" xr:uid="{8185875F-7A7D-4378-9D4F-787DB6D8A372}">
      <text>
        <r>
          <rPr>
            <b/>
            <sz val="9"/>
            <color indexed="81"/>
            <rFont val="Tahoma"/>
            <family val="2"/>
          </rPr>
          <t xml:space="preserve">If Equity or Mutual Fund, copy paste this formula in "Rate" column corresponding to "Closing" to get the latest NAV / Scrip Rate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I623" authorId="0" shapeId="0" xr:uid="{A68D1C37-0A21-46C6-A138-3E7DBA2A0A66}">
      <text>
        <r>
          <rPr>
            <b/>
            <sz val="9"/>
            <color indexed="81"/>
            <rFont val="Tahoma"/>
            <family val="2"/>
          </rPr>
          <t xml:space="preserve">Copy paste formula corresponding to "Closing" to get the closing units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J623" authorId="0" shapeId="0" xr:uid="{02398B75-091D-46F1-9B0F-CFC27BFC8260}">
      <text>
        <r>
          <rPr>
            <b/>
            <sz val="9"/>
            <color indexed="81"/>
            <rFont val="Tahoma"/>
            <family val="2"/>
          </rPr>
          <t xml:space="preserve">If Equity or Mutual Fund, copy paste this formula in "Rate" column corresponding to "Closing" to get the latest NAV / Scrip Rate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I625" authorId="0" shapeId="0" xr:uid="{9396C183-5B8C-42C3-9A2E-A95BC5533BA2}">
      <text>
        <r>
          <rPr>
            <b/>
            <sz val="9"/>
            <color indexed="81"/>
            <rFont val="Tahoma"/>
            <family val="2"/>
          </rPr>
          <t xml:space="preserve">Copy paste formula corresponding to "Closing" to get the closing units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J625" authorId="0" shapeId="0" xr:uid="{8413AB5C-F7C8-4ED6-846D-47809CDCC665}">
      <text>
        <r>
          <rPr>
            <b/>
            <sz val="9"/>
            <color indexed="81"/>
            <rFont val="Tahoma"/>
            <family val="2"/>
          </rPr>
          <t xml:space="preserve">If Equity or Mutual Fund, copy paste this formula in "Rate" column corresponding to "Closing" to get the latest NAV / Scrip Rate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F673" authorId="0" shapeId="0" xr:uid="{2E0E9B0D-715A-41E1-9EC8-F484441F5CB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direct</t>
        </r>
      </text>
    </comment>
    <comment ref="F674" authorId="0" shapeId="0" xr:uid="{18432AF1-4F78-4278-AB8D-7A134C26598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direct</t>
        </r>
      </text>
    </comment>
    <comment ref="F678" authorId="0" shapeId="0" xr:uid="{37B3CB95-8F91-4497-A31A-A374343076D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direct</t>
        </r>
      </text>
    </comment>
    <comment ref="F679" authorId="0" shapeId="0" xr:uid="{50D78E00-408D-44A8-86C1-0ED3ADFAA26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Direct
</t>
        </r>
      </text>
    </comment>
    <comment ref="F680" authorId="0" shapeId="0" xr:uid="{F3EEEF50-1692-49FA-9E95-761BC0C074F3}">
      <text>
        <r>
          <rPr>
            <b/>
            <sz val="9"/>
            <color indexed="81"/>
            <rFont val="Tahoma"/>
            <family val="2"/>
          </rPr>
          <t xml:space="preserve">Author:
Direct
</t>
        </r>
      </text>
    </comment>
    <comment ref="F681" authorId="0" shapeId="0" xr:uid="{E75AD6BC-3A7F-436F-AFE7-68E015C7C4C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Direct
</t>
        </r>
      </text>
    </comment>
    <comment ref="F682" authorId="0" shapeId="0" xr:uid="{930AE297-F020-4065-82C6-B5036CCC14A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Direct
</t>
        </r>
      </text>
    </comment>
    <comment ref="I684" authorId="0" shapeId="0" xr:uid="{2C96D84C-E8F4-44FD-9779-D0DA87B15246}">
      <text>
        <r>
          <rPr>
            <b/>
            <sz val="9"/>
            <color indexed="81"/>
            <rFont val="Tahoma"/>
            <family val="2"/>
          </rPr>
          <t xml:space="preserve">Copy paste formula corresponding to "Closing" to get the closing units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J684" authorId="0" shapeId="0" xr:uid="{13A61A0C-4586-4EAD-82BD-217B1511EF13}">
      <text>
        <r>
          <rPr>
            <b/>
            <sz val="9"/>
            <color indexed="81"/>
            <rFont val="Tahoma"/>
            <family val="2"/>
          </rPr>
          <t xml:space="preserve">If Equity or Mutual Fund, copy paste this formula in "Rate" column corresponding to "Closing" to get the latest NAV / Scrip Rate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I706" authorId="0" shapeId="0" xr:uid="{4DD35410-8960-4EE1-901B-00A0FCB4422F}">
      <text>
        <r>
          <rPr>
            <b/>
            <sz val="9"/>
            <color indexed="81"/>
            <rFont val="Tahoma"/>
            <family val="2"/>
          </rPr>
          <t xml:space="preserve">Copy paste formula corresponding to "Closing" to get the closing units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J706" authorId="0" shapeId="0" xr:uid="{A1560865-A10C-49F4-974E-494026AAEA6F}">
      <text>
        <r>
          <rPr>
            <b/>
            <sz val="9"/>
            <color indexed="81"/>
            <rFont val="Tahoma"/>
            <family val="2"/>
          </rPr>
          <t xml:space="preserve">If Equity or Mutual Fund, copy paste this formula in "Rate" column corresponding to "Closing" to get the latest NAV / Scrip Rate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I714" authorId="0" shapeId="0" xr:uid="{FB3F7CBA-C083-484A-AF65-A5BA2F1D4426}">
      <text>
        <r>
          <rPr>
            <b/>
            <sz val="9"/>
            <color indexed="81"/>
            <rFont val="Tahoma"/>
            <family val="2"/>
          </rPr>
          <t xml:space="preserve">Copy paste formula corresponding to "Closing" to get the closing units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J714" authorId="0" shapeId="0" xr:uid="{633AC0EF-8849-4674-93DF-E16F94B13801}">
      <text>
        <r>
          <rPr>
            <b/>
            <sz val="9"/>
            <color indexed="81"/>
            <rFont val="Tahoma"/>
            <family val="2"/>
          </rPr>
          <t xml:space="preserve">If Equity or Mutual Fund, copy paste this formula in "Rate" column corresponding to "Closing" to get the latest NAV / Scrip Rate
</t>
        </r>
        <r>
          <rPr>
            <b/>
            <sz val="9"/>
            <color indexed="10"/>
            <rFont val="Tahoma"/>
            <family val="2"/>
          </rPr>
          <t>Paste special as formula only</t>
        </r>
      </text>
    </comment>
    <comment ref="J717" authorId="0" shapeId="0" xr:uid="{80147DC6-AF26-4736-82F6-8146B8A61CB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post tax NAV</t>
        </r>
      </text>
    </comment>
    <comment ref="J721" authorId="0" shapeId="0" xr:uid="{0D9FADBF-4518-47F8-A308-45DD7C54909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post tax NAV</t>
        </r>
      </text>
    </comment>
  </commentList>
</comments>
</file>

<file path=xl/sharedStrings.xml><?xml version="1.0" encoding="utf-8"?>
<sst xmlns="http://schemas.openxmlformats.org/spreadsheetml/2006/main" count="6533" uniqueCount="675">
  <si>
    <t>Category</t>
  </si>
  <si>
    <t>Investment Date Range</t>
  </si>
  <si>
    <t>Investment at Cost</t>
  </si>
  <si>
    <t>Market Value</t>
  </si>
  <si>
    <t>Allocation (%)</t>
  </si>
  <si>
    <t>Allocation (% of Asset Class)</t>
  </si>
  <si>
    <t>Dividend / Interest</t>
  </si>
  <si>
    <t>Absolute Gain / (Loss) Including Redeemed Funds</t>
  </si>
  <si>
    <t>Absolute Gain / (Loss) Active Funds</t>
  </si>
  <si>
    <t>Absolute Returns (%)</t>
  </si>
  <si>
    <t>Annualized Returns (%)</t>
  </si>
  <si>
    <t>Portfolio</t>
  </si>
  <si>
    <t>Blended Index</t>
  </si>
  <si>
    <t>Equity - Managed Strategies</t>
  </si>
  <si>
    <t>Direct Equity - MO</t>
  </si>
  <si>
    <t>Direct Equity - Unlisted</t>
  </si>
  <si>
    <t>Large Cap</t>
  </si>
  <si>
    <t>Mid Cap</t>
  </si>
  <si>
    <t>Multi Cap</t>
  </si>
  <si>
    <t>Equity Hybrid</t>
  </si>
  <si>
    <t>Mid &amp; Small Cap</t>
  </si>
  <si>
    <t>SLBM</t>
  </si>
  <si>
    <t>Small Cap</t>
  </si>
  <si>
    <t>Debt</t>
  </si>
  <si>
    <t>Debt AIF</t>
  </si>
  <si>
    <t>PP Structures</t>
  </si>
  <si>
    <t>Arbitrage</t>
  </si>
  <si>
    <t>Cash</t>
  </si>
  <si>
    <t>Liquid</t>
  </si>
  <si>
    <t>Alternate</t>
  </si>
  <si>
    <t>Gold</t>
  </si>
  <si>
    <t>PE Funds</t>
  </si>
  <si>
    <t>Private Equity</t>
  </si>
  <si>
    <t>Equity</t>
  </si>
  <si>
    <t>Product</t>
  </si>
  <si>
    <t xml:space="preserve">Quantity </t>
  </si>
  <si>
    <t xml:space="preserve">Dividend / Interest </t>
  </si>
  <si>
    <t xml:space="preserve"> Scheme Absolute (%)</t>
  </si>
  <si>
    <t>Index Absolute (%)</t>
  </si>
  <si>
    <t>Scheme XIRR (%)</t>
  </si>
  <si>
    <t>Index XIRR (%)</t>
  </si>
  <si>
    <t>Abakkus Personalised Opportunity Specific Strategy</t>
  </si>
  <si>
    <t>Kaynes Technology India ltd</t>
  </si>
  <si>
    <t>National Stock Exchange</t>
  </si>
  <si>
    <t>Kotak Emerging Equity Scheme-Direct (G)</t>
  </si>
  <si>
    <t>Total</t>
  </si>
  <si>
    <t>Nippon India ETF Nifty 1D Rate Liquid Bees-IDCW</t>
  </si>
  <si>
    <t>Aditya Birla SL Liquid Fund-Direct (G)</t>
  </si>
  <si>
    <t>HDFC Overnight Fund - Direct - G</t>
  </si>
  <si>
    <t>Kotak Equity Arbitrage Scheme(G)</t>
  </si>
  <si>
    <t>15% K M Global - Credit Private Limited</t>
  </si>
  <si>
    <t>Kotak Gold Fund Growth</t>
  </si>
  <si>
    <t>Date Investment Range</t>
  </si>
  <si>
    <t>Transigo Fleet LLP</t>
  </si>
  <si>
    <t>Jul 20 - Oct 20</t>
  </si>
  <si>
    <t>Crypto</t>
  </si>
  <si>
    <t>Nov 12 - Sep 18</t>
  </si>
  <si>
    <t>Dec 20 - Dec 21</t>
  </si>
  <si>
    <t>FH Edutech LLP</t>
  </si>
  <si>
    <t>Bitcipher LLP</t>
  </si>
  <si>
    <t>Rurash Financials Private Ltd - Reliance Retail</t>
  </si>
  <si>
    <t>Reflexical</t>
  </si>
  <si>
    <t>Credit Fair-K M Global Credit Private Limited</t>
  </si>
  <si>
    <t>Crypto Matic</t>
  </si>
  <si>
    <t>Neblio Technologies Pvt Ltd</t>
  </si>
  <si>
    <t>DCX Deposits</t>
  </si>
  <si>
    <t>Mar 21 - May 21</t>
  </si>
  <si>
    <t>Dec 20 - Jun 21</t>
  </si>
  <si>
    <t>Wazir</t>
  </si>
  <si>
    <t>Home Pecked E-Marketplace Services Ltd</t>
  </si>
  <si>
    <t>Faraway Foods Private Limited</t>
  </si>
  <si>
    <t>Sep 19 - Aug 20</t>
  </si>
  <si>
    <t>Written Off</t>
  </si>
  <si>
    <t>Rang Technovations LLP</t>
  </si>
  <si>
    <t>Kylo Edutech Private Ltd</t>
  </si>
  <si>
    <t>Transigo OPC Pvt Ltd</t>
  </si>
  <si>
    <t>Ajay Jaisinghani</t>
  </si>
  <si>
    <t>Aarti Ajay Jaisinghani</t>
  </si>
  <si>
    <t>Bharat Jaisinghani</t>
  </si>
  <si>
    <t>Ankita Jaisinghani</t>
  </si>
  <si>
    <t>Hope India Trust</t>
  </si>
  <si>
    <t>Bharat Jaisinghani Family Trust</t>
  </si>
  <si>
    <t>% Change</t>
  </si>
  <si>
    <t>Nifty 50</t>
  </si>
  <si>
    <t>Nifty 500</t>
  </si>
  <si>
    <t>Asset Class</t>
  </si>
  <si>
    <t>Top 20 Stocks</t>
  </si>
  <si>
    <t>Allocation in %</t>
  </si>
  <si>
    <t>No of Schemes in</t>
  </si>
  <si>
    <t xml:space="preserve">Nifty 50  Allocation </t>
  </si>
  <si>
    <t>Nifty 500 Allocation</t>
  </si>
  <si>
    <t>Top 10 Sectors</t>
  </si>
  <si>
    <t>Allocation in Portfolio</t>
  </si>
  <si>
    <t>Allocation in Nifty 50</t>
  </si>
  <si>
    <t>Allocation in Nifty 500</t>
  </si>
  <si>
    <t>IT</t>
  </si>
  <si>
    <t>Capital Goods</t>
  </si>
  <si>
    <t>Pharma / Healthcare</t>
  </si>
  <si>
    <t>Auto / Ancillaries</t>
  </si>
  <si>
    <t>3P India Equity Fund 1 - B1</t>
  </si>
  <si>
    <t>PE</t>
  </si>
  <si>
    <t>PB</t>
  </si>
  <si>
    <t>ROE</t>
  </si>
  <si>
    <t>Jan 22 - May 23</t>
  </si>
  <si>
    <t>Jun 22 - Feb 23</t>
  </si>
  <si>
    <t>Dec 21 - Aug 22</t>
  </si>
  <si>
    <t>Sep 21 - Mar 23</t>
  </si>
  <si>
    <t>Nov 20 - Nov 22</t>
  </si>
  <si>
    <t>Feb 21 - Jun 22</t>
  </si>
  <si>
    <t>Sep 20 - Jun 21</t>
  </si>
  <si>
    <t>Mar 20 - Jun 20</t>
  </si>
  <si>
    <t>Aditya Birla SL Balanced Advantage Fund(G)</t>
  </si>
  <si>
    <t>BSE Ltd.</t>
  </si>
  <si>
    <t>Tech Mahindra Ltd.</t>
  </si>
  <si>
    <t>360 One Special Opportunities Fund - Series 8 - Class A3 (AIF Category II)</t>
  </si>
  <si>
    <t>Market Value in Lakhs</t>
  </si>
  <si>
    <t>Birla Cable Ltd.</t>
  </si>
  <si>
    <t>Manorama Industries Ltd.</t>
  </si>
  <si>
    <t>x</t>
  </si>
  <si>
    <t>A K Enterprises - Polycab</t>
  </si>
  <si>
    <t>Ajay Jain - Drink Prime</t>
  </si>
  <si>
    <t>Aksum Trademart Pvt Ltd - ANKIT JAIN</t>
  </si>
  <si>
    <t>AL Trust - Collabmates Pvt Ltd - (ANGELLIST - LIKEMINDS)</t>
  </si>
  <si>
    <t>BETR Tech Privated Limited - Venture Catalyst</t>
  </si>
  <si>
    <t>Cheelizza - ANIMESH LODHA</t>
  </si>
  <si>
    <t>Feb 21 - Nov 22</t>
  </si>
  <si>
    <t>Everest Fleet Private Ltd - SIDDHARTH LADSARIYA</t>
  </si>
  <si>
    <t>Falconbrick Technologies Private Limited - Shashi Kiran</t>
  </si>
  <si>
    <t>FH Enable LLP - Aakash Sachdev</t>
  </si>
  <si>
    <t>Hanok Reuben Medhari - Drink Prime</t>
  </si>
  <si>
    <t>HYPRKYTCHEN Foodtech Private Limited - Mr. Bansi</t>
  </si>
  <si>
    <t>Inflexor Technologies - (RAJESHWARI - AVENDUS)</t>
  </si>
  <si>
    <t>Innoviti Payment Solutions Private Ltd - PRANAV KORANNE</t>
  </si>
  <si>
    <t>LV Angel Fund - Lets Venture (HOOPR) - VAIBHAV KARNAVAT</t>
  </si>
  <si>
    <t>Moneyclub Technologies Private Limited - Venture Catalyst</t>
  </si>
  <si>
    <t>Dec 21 -  Jan 22</t>
  </si>
  <si>
    <t>One Eight Technologies Private Limited - Ram</t>
  </si>
  <si>
    <t>Pivot Ventures - ISHA KEDIA</t>
  </si>
  <si>
    <t>PROCYON ENTERPRISE LLP - ABHISHEK MURARKA</t>
  </si>
  <si>
    <t>May 23 - Aug 23</t>
  </si>
  <si>
    <t>Since 99 Apparel Pvt Limited - PUNIT SEHGAL / DEXTER CAPITAL</t>
  </si>
  <si>
    <t>Stay Vista Private Limited - Anandkumar Radhakrishna Ladsariya</t>
  </si>
  <si>
    <t xml:space="preserve">Stay Vista Private Limited - ARTHA ENERGY PROJECTS PVT LTD </t>
  </si>
  <si>
    <t>SWAPECO SOLUTIONS PRIVATE LIMITED - (SCRAP UNCLE - MUKUL CHABRA)</t>
  </si>
  <si>
    <t>Tamasha - Angel List</t>
  </si>
  <si>
    <t>The OAKS Consumer Fund I - SANTOSH PARAB</t>
  </si>
  <si>
    <t>Third Eye Distillery Holdings Pvt Ltd (SKYVENTURES - LV ANGEL FUND  - AAKASH SACHDEV)</t>
  </si>
  <si>
    <t>May 21 - Jan 23</t>
  </si>
  <si>
    <t>UE Lifesciences - SHIKHA JAISINGHANI</t>
  </si>
  <si>
    <t>URB Ventures Pvt Ltd - ANUJ MUNOT</t>
  </si>
  <si>
    <t>Variance PT Ventures LLP - Romil Kapadia</t>
  </si>
  <si>
    <t>Vecino Fitness Pvt Ltd - DOPAMINE</t>
  </si>
  <si>
    <t>Vineet Sethia - Drink Prime</t>
  </si>
  <si>
    <t>Waterwala Labs Private Limited - Drink Prime</t>
  </si>
  <si>
    <t>Feb 20 - Jul 23</t>
  </si>
  <si>
    <t>Zaamo E Commerce Pvt Ltd - PRADEEP KUMAR</t>
  </si>
  <si>
    <t>Zippmat Private Ltd - ABHIJEET KUDVA</t>
  </si>
  <si>
    <t>AL Trust - Forbidden Foods - BRB</t>
  </si>
  <si>
    <t>Synergistic Financial Networks Pvt Ltd (Equity Shares) - MOSAMBEE</t>
  </si>
  <si>
    <t>Zaggle Prepaid Ocean Services Ltd.</t>
  </si>
  <si>
    <t>Polycab India Ltd.</t>
  </si>
  <si>
    <t>Quantity</t>
  </si>
  <si>
    <t>Autocracy Machinery Pvt Ltd.</t>
  </si>
  <si>
    <t>Incred Holdings Ltd.</t>
  </si>
  <si>
    <t>High Yield Fund</t>
  </si>
  <si>
    <t>Neuland Labs.</t>
  </si>
  <si>
    <t>Neo Infra Income Opportunities Fund Share Class A5</t>
  </si>
  <si>
    <t>AL Trust - Karban Envirotech (RUV) - Nilesh Angelist</t>
  </si>
  <si>
    <t>Nopo Nanotechnologies India Pvt Ltd - Gadhadar Reddy</t>
  </si>
  <si>
    <t>Head Infotech</t>
  </si>
  <si>
    <t>Remarks</t>
  </si>
  <si>
    <t>Feb 24 - Mar 24</t>
  </si>
  <si>
    <t>Oct 23 - Mar 24</t>
  </si>
  <si>
    <t>Matrix Gas And Renewables Limited</t>
  </si>
  <si>
    <t>M/S Grand Continent Hotels</t>
  </si>
  <si>
    <t>Sky Enable Tech Llp</t>
  </si>
  <si>
    <t>Private Equity ( at Cost )</t>
  </si>
  <si>
    <t>Nuvama Wealth Management Ltd</t>
  </si>
  <si>
    <t>Buoyant Opportunities Portfolio AIF A1</t>
  </si>
  <si>
    <t>Kingfa Science &amp; Technology Ltd.</t>
  </si>
  <si>
    <t>WhiteOak Capital Multi Asset Allocation Fund-Direct(G)</t>
  </si>
  <si>
    <t>from Live consol</t>
  </si>
  <si>
    <t>From Equity Live file</t>
  </si>
  <si>
    <t>Liquidity to be assigned</t>
  </si>
  <si>
    <t>Adjusted Value</t>
  </si>
  <si>
    <t>Helios Flexi Cap Fund Direct (G)</t>
  </si>
  <si>
    <t>360 One Flexicap Direct (G)</t>
  </si>
  <si>
    <t>Metals / Mining</t>
  </si>
  <si>
    <t>Market Cap Orientation</t>
  </si>
  <si>
    <t>The Summary,below, takes Private investments at Cost</t>
  </si>
  <si>
    <t>Direct Equity - Personal</t>
  </si>
  <si>
    <t>Direct Equity - HDFC</t>
  </si>
  <si>
    <t>Linked</t>
  </si>
  <si>
    <t>Balanced Index</t>
  </si>
  <si>
    <t>Jaro Education</t>
  </si>
  <si>
    <t>Spray Engineering Devices Ltd.</t>
  </si>
  <si>
    <t>ESDS</t>
  </si>
  <si>
    <t>BIG BANG BOOM</t>
  </si>
  <si>
    <t>RAY's</t>
  </si>
  <si>
    <t>India SME</t>
  </si>
  <si>
    <t>SOTEFIN</t>
  </si>
  <si>
    <t>WE VOISE</t>
  </si>
  <si>
    <t>Zenith</t>
  </si>
  <si>
    <t>Yash High Voltage Ltd.</t>
  </si>
  <si>
    <t>Radiant</t>
  </si>
  <si>
    <t>EMA Preferred Shares</t>
  </si>
  <si>
    <t>*</t>
  </si>
  <si>
    <t>Deepak Fert</t>
  </si>
  <si>
    <t>Sterlite Power Transmission</t>
  </si>
  <si>
    <t>Sterlite Tech</t>
  </si>
  <si>
    <t>Vedanta</t>
  </si>
  <si>
    <t>Refer Note</t>
  </si>
  <si>
    <t>Data Check</t>
  </si>
  <si>
    <t>Nifty Smallcap 250 TR</t>
  </si>
  <si>
    <t>Nifty Midcap 150 TR</t>
  </si>
  <si>
    <t>Benchmark Performance</t>
  </si>
  <si>
    <t>Index Benchmarked</t>
  </si>
  <si>
    <t>Managed - Excl Unlisted</t>
  </si>
  <si>
    <t>Managed Equity</t>
  </si>
  <si>
    <t>Equity (Excl NSE)</t>
  </si>
  <si>
    <t>% Change (M-o-M)</t>
  </si>
  <si>
    <t>Managed Strategies</t>
  </si>
  <si>
    <t>Portfolio (Incl Direct Equity)</t>
  </si>
  <si>
    <t>Alternate*</t>
  </si>
  <si>
    <t>Purchase</t>
  </si>
  <si>
    <t>Sale</t>
  </si>
  <si>
    <t>M-o-M</t>
  </si>
  <si>
    <t>Advisor</t>
  </si>
  <si>
    <t>Note: Pvt investments for Asset allocation are taken at cost. This reflects the actual allocation closer to current realized value.</t>
  </si>
  <si>
    <t>Bharat Parenterals Ltd</t>
  </si>
  <si>
    <t>Infinium Pharmachem Ltd.</t>
  </si>
  <si>
    <t>Insolation Energy Ltd</t>
  </si>
  <si>
    <t>Zepto</t>
  </si>
  <si>
    <t>Onesource Specialty Pharma</t>
  </si>
  <si>
    <t>Highlighted Dates represent investments &lt; 1 year</t>
  </si>
  <si>
    <t>Fund Name</t>
  </si>
  <si>
    <t>Date</t>
  </si>
  <si>
    <t>Investor</t>
  </si>
  <si>
    <t>Equity Funds / Strategies</t>
  </si>
  <si>
    <t>S</t>
  </si>
  <si>
    <t>Molecule Growth Strategy</t>
  </si>
  <si>
    <t>Svan Investment</t>
  </si>
  <si>
    <t>Sterlite Grid 5</t>
  </si>
  <si>
    <t>Previous month</t>
  </si>
  <si>
    <t>Nifty Bank TR</t>
  </si>
  <si>
    <t>Long-Short Fund</t>
  </si>
  <si>
    <t>Green Lantern Growth Strategy</t>
  </si>
  <si>
    <t>Baring PE India Fund 6</t>
  </si>
  <si>
    <t>Carnelian Bespoke Portfolio</t>
  </si>
  <si>
    <t>Man Industries</t>
  </si>
  <si>
    <t>WhiteSpace Alpha Equity Plus (Fund 1)</t>
  </si>
  <si>
    <t>Note: Direct Equity - Unlisted includes NSE and Zepto</t>
  </si>
  <si>
    <t>Benchmark</t>
  </si>
  <si>
    <t>Basis Last traded price</t>
  </si>
  <si>
    <t>Nifty Mid &amp; Smallcap 400 TR</t>
  </si>
  <si>
    <t>Direct Equity - Non MO</t>
  </si>
  <si>
    <t>MOTHER INDIA FORMING PRIVATE LIMITED</t>
  </si>
  <si>
    <t>Equity (Excl NSE / External Direct Equity)</t>
  </si>
  <si>
    <t>Total Excl. External Direct Equity / NSE</t>
  </si>
  <si>
    <t>Aarti &amp; Ajay Jaisinghani</t>
  </si>
  <si>
    <t>Bharat, Ankita, Hope, BJT</t>
  </si>
  <si>
    <t>Motilal Oswal Founders Fund  II</t>
  </si>
  <si>
    <t>Fund of Funds (VEC+ Carnelian+Girik Cap+Insightful)</t>
  </si>
  <si>
    <t>Thematic/Sectoral</t>
  </si>
  <si>
    <t>HDFC Capital Builder Value Fund</t>
  </si>
  <si>
    <t>Check</t>
  </si>
  <si>
    <t>Invesco India Contra Fund</t>
  </si>
  <si>
    <t>Kotak Equity Opportunities Fund</t>
  </si>
  <si>
    <t>ICICI Pru India Opportunities Fund</t>
  </si>
  <si>
    <t>Invesco India Arbitrage Fund-Direct(G)</t>
  </si>
  <si>
    <t>Alpha
 M-o-M</t>
  </si>
  <si>
    <t>Alpha Since inception</t>
  </si>
  <si>
    <t>Bahart JS</t>
  </si>
  <si>
    <t>Source: Investor release (March 25)</t>
  </si>
  <si>
    <t>Aarti Ajay JS</t>
  </si>
  <si>
    <t>Ajay JS: Individual</t>
  </si>
  <si>
    <t>Category : Others</t>
  </si>
  <si>
    <t>Demat</t>
  </si>
  <si>
    <t>HDFC Balanced Advantage Fund</t>
  </si>
  <si>
    <t>ICICI Pru Balanced Advantage Fund</t>
  </si>
  <si>
    <t>Motilal Oswal Arbitrage Fund Direct (G)</t>
  </si>
  <si>
    <t>Sanshi Fund 1</t>
  </si>
  <si>
    <t>Integris</t>
  </si>
  <si>
    <t>Oil Max</t>
  </si>
  <si>
    <t>Borosil Renewables</t>
  </si>
  <si>
    <t>Added from Pvt</t>
  </si>
  <si>
    <t>Nifty Next 50</t>
  </si>
  <si>
    <t>* Direct Equity advised by MOSL adds Onesource from unlisted to listed and annualized returns reflect performance of the same; swiggy has been redeemed in May -June 2025.</t>
  </si>
  <si>
    <t>Effective Allocation (%)</t>
  </si>
  <si>
    <t>VEC Small and Mid cap fund</t>
  </si>
  <si>
    <t>Smart Works</t>
  </si>
  <si>
    <t>ICICI Pru Liquid Fund-Direct(G)</t>
  </si>
  <si>
    <t>Parth Electrical &amp; Engineering</t>
  </si>
  <si>
    <t>Telawne Power</t>
  </si>
  <si>
    <t>SKS Fastener</t>
  </si>
  <si>
    <t>Financials</t>
  </si>
  <si>
    <t>Consumer Goods</t>
  </si>
  <si>
    <t>Nifty 50 TRI</t>
  </si>
  <si>
    <t>Nifty 500 TRI</t>
  </si>
  <si>
    <t xml:space="preserve">Carnelian Bharat Amritkaal Fund </t>
  </si>
  <si>
    <t>IFB Inds.</t>
  </si>
  <si>
    <t>Tatva Chintan Pharma Chem Limi</t>
  </si>
  <si>
    <t>PG Electro.</t>
  </si>
  <si>
    <t xml:space="preserve">Sky Capital Titan Rising Funds 1 </t>
  </si>
  <si>
    <t xml:space="preserve">Blue Ashva India Pool Account </t>
  </si>
  <si>
    <t xml:space="preserve">Electromech Infraprojects Pvt Ltd </t>
  </si>
  <si>
    <t>Swapeco Solutions Private Limited</t>
  </si>
  <si>
    <t>Blue Ashva Varenya Account</t>
  </si>
  <si>
    <t xml:space="preserve">Fractual Analytics </t>
  </si>
  <si>
    <t>Bharat Jaisinghani Family Trust II</t>
  </si>
  <si>
    <t>Bharat Jaisinghani Family Trust III</t>
  </si>
  <si>
    <t>PERPLEXITY INVESTMENT</t>
  </si>
  <si>
    <t>RUNABLE INVESTMENT</t>
  </si>
  <si>
    <t>Source: ICICI Demat as on 29th August 2025</t>
  </si>
  <si>
    <t>-</t>
  </si>
  <si>
    <t>No of Stocks</t>
  </si>
  <si>
    <t>Total Stocks</t>
  </si>
  <si>
    <t>Unique Stocks</t>
  </si>
  <si>
    <t>Direct Equity</t>
  </si>
  <si>
    <t>Balance Adv / Index funds</t>
  </si>
  <si>
    <t>Unique Strategies</t>
  </si>
  <si>
    <t>Managed</t>
  </si>
  <si>
    <t>Money Market</t>
  </si>
  <si>
    <t>Invesco India Arbitrage Fund(G)</t>
  </si>
  <si>
    <t xml:space="preserve">Silver </t>
  </si>
  <si>
    <t>DSP Silver ETF</t>
  </si>
  <si>
    <t>Sept 20 - March 24</t>
  </si>
  <si>
    <t xml:space="preserve">Exit </t>
  </si>
  <si>
    <t xml:space="preserve">Add 8 Cr </t>
  </si>
  <si>
    <t xml:space="preserve">Add 10 Cr </t>
  </si>
  <si>
    <t xml:space="preserve">Debt Investment Plan </t>
  </si>
  <si>
    <t xml:space="preserve">Neo Special Credit Opportunities Fund </t>
  </si>
  <si>
    <t xml:space="preserve">Add 20 Cr </t>
  </si>
  <si>
    <t xml:space="preserve">Recommendation </t>
  </si>
  <si>
    <t xml:space="preserve">Venture Soul Capital Fund </t>
  </si>
  <si>
    <t>Commitment Amount</t>
  </si>
  <si>
    <t>Listed in Aug'25</t>
  </si>
  <si>
    <t xml:space="preserve">   </t>
  </si>
  <si>
    <t xml:space="preserve">Add 16 Cr </t>
  </si>
  <si>
    <t xml:space="preserve">Add 7  Cr </t>
  </si>
  <si>
    <t xml:space="preserve">Scheme Name </t>
  </si>
  <si>
    <t>STLNETWORK</t>
  </si>
  <si>
    <t xml:space="preserve">Pre IPO </t>
  </si>
  <si>
    <t xml:space="preserve">Filed for IPO </t>
  </si>
  <si>
    <t xml:space="preserve">Pre Ipo </t>
  </si>
  <si>
    <t xml:space="preserve">Private Equity </t>
  </si>
  <si>
    <t>25CR</t>
  </si>
  <si>
    <t>6X</t>
  </si>
  <si>
    <t>12CR</t>
  </si>
  <si>
    <t xml:space="preserve">20% irr </t>
  </si>
  <si>
    <t>5CR</t>
  </si>
  <si>
    <t>20%IRR</t>
  </si>
  <si>
    <t>Insolation Energy PP</t>
  </si>
  <si>
    <t>2X</t>
  </si>
  <si>
    <t>2CR</t>
  </si>
  <si>
    <t>1X</t>
  </si>
  <si>
    <t>0.60CR</t>
  </si>
  <si>
    <t>LANDCRAFT RETAIL PVT LTD. - FOOD SQUARE</t>
  </si>
  <si>
    <t>Investments done in USD</t>
  </si>
  <si>
    <t xml:space="preserve">Preferance shares locked in for 6 months </t>
  </si>
  <si>
    <t>Transition Venture Capital fund I</t>
  </si>
  <si>
    <t xml:space="preserve">New Investment </t>
  </si>
  <si>
    <t>Hybrid</t>
  </si>
  <si>
    <t xml:space="preserve">Sky Vision Cure LLP </t>
  </si>
  <si>
    <t xml:space="preserve">Assetgro Fintech Private Limited </t>
  </si>
  <si>
    <t>1.4CR</t>
  </si>
  <si>
    <t xml:space="preserve">Copy pasted (not linked) </t>
  </si>
  <si>
    <t xml:space="preserve">3P India Equity Fund 1 </t>
  </si>
  <si>
    <t>ICICI Prudential Equity Savings Fund - Direct Plan</t>
  </si>
  <si>
    <t>March 20 - Aug 25</t>
  </si>
  <si>
    <t>Nifty Small Cap</t>
  </si>
  <si>
    <t xml:space="preserve">Aristos Equity Potrfolio - SB </t>
  </si>
  <si>
    <t xml:space="preserve">Onix Renewable </t>
  </si>
  <si>
    <t xml:space="preserve">Investor </t>
  </si>
  <si>
    <t xml:space="preserve">Debt </t>
  </si>
  <si>
    <t>DSP Gold ETF</t>
  </si>
  <si>
    <t xml:space="preserve">Alternate </t>
  </si>
  <si>
    <t xml:space="preserve">Clean Max Solar </t>
  </si>
  <si>
    <t>Market Value in lacs</t>
  </si>
  <si>
    <t>Fractal Analytics Limited</t>
  </si>
  <si>
    <t>Source: ICIC Demat</t>
  </si>
  <si>
    <t>Engineering / Construction</t>
  </si>
  <si>
    <t>30th March 26</t>
  </si>
  <si>
    <t xml:space="preserve">Small Cap </t>
  </si>
  <si>
    <t xml:space="preserve">30th March'26 </t>
  </si>
  <si>
    <t>*Smallcap stocks includes microcap stocks</t>
  </si>
  <si>
    <t>EDUGORILLA COMMUNITY PRIVATE LIMITED</t>
  </si>
  <si>
    <t>CRISIL Liquid Fund Index</t>
  </si>
  <si>
    <t>Fund Manager</t>
  </si>
  <si>
    <t>AUM (in Crs)</t>
  </si>
  <si>
    <t>Regular expense ratio</t>
  </si>
  <si>
    <t>Direct Expense Ratio</t>
  </si>
  <si>
    <t>Management fee</t>
  </si>
  <si>
    <t>Vaibhav Agarwal</t>
  </si>
  <si>
    <t>--</t>
  </si>
  <si>
    <t>Manoj Bahety</t>
  </si>
  <si>
    <t>NA</t>
  </si>
  <si>
    <t>Jigar Mistry</t>
  </si>
  <si>
    <t>Prashant Jain</t>
  </si>
  <si>
    <t>Abhishek Bharadwaj</t>
  </si>
  <si>
    <t>Alok Bahl,Pratik Singh</t>
  </si>
  <si>
    <t>Harsha Upadhyaya</t>
  </si>
  <si>
    <t>Nitin Shanbag</t>
  </si>
  <si>
    <t>Anand Laddha</t>
  </si>
  <si>
    <t>Sachin Kasera</t>
  </si>
  <si>
    <t>Saranya Agarwal</t>
  </si>
  <si>
    <t>Arun Mehra</t>
  </si>
  <si>
    <t>Mohit Sharma</t>
  </si>
  <si>
    <t>Gopal Agrawal</t>
  </si>
  <si>
    <t>Rajat Chandak</t>
  </si>
  <si>
    <t xml:space="preserve">Nirav Parikh </t>
  </si>
  <si>
    <t>Sept'25-Jan'26</t>
  </si>
  <si>
    <t xml:space="preserve">Note: For investments less than one year, absolute returns have been shown. Private equity is shown at cost. </t>
  </si>
  <si>
    <t>Oct 24- Sep 25</t>
  </si>
  <si>
    <t>Transition Venture Capital fund I valuation as on 28th Feb'26</t>
  </si>
  <si>
    <t>Assetgro Fintech Private ltd shown at cost, hence performance not shown</t>
  </si>
  <si>
    <t>Investment at Cost (in crores)</t>
  </si>
  <si>
    <t>Market Value (in crores)</t>
  </si>
  <si>
    <t>Kotak Large &amp; Midcap Fund - Direct- Growth</t>
  </si>
  <si>
    <t>Bandhan Large &amp; Mid Cap Fund - Direct Plan - Growth</t>
  </si>
  <si>
    <t>Kotak Multicap Fund-Direct Plan-Growth</t>
  </si>
  <si>
    <t>Motilal Oswal Nifty 200 Momentum 30 ETF</t>
  </si>
  <si>
    <t>*Note: Neo Infra Income Opportunities fund , valuation as on 31st March'26 return are Net of Expense and tax</t>
  </si>
  <si>
    <t>Investment Style</t>
  </si>
  <si>
    <t>Exit Load</t>
  </si>
  <si>
    <t>Lock in / No Lock in</t>
  </si>
  <si>
    <t>Growth</t>
  </si>
  <si>
    <t>3%- 36 to 48 months, 2%- 48 to 60 months, nil thereafter</t>
  </si>
  <si>
    <t>Locked in</t>
  </si>
  <si>
    <t>GARP</t>
  </si>
  <si>
    <t>1st Year-3,% 2nd Year-2%, 3rd Year-1%</t>
  </si>
  <si>
    <t>No lock in</t>
  </si>
  <si>
    <t>No exit load</t>
  </si>
  <si>
    <t>Nil upto 10% of units and 1% for remaining units on or before 3M, Nil after 3M</t>
  </si>
  <si>
    <t>Sankaran Naren</t>
  </si>
  <si>
    <t>Blended</t>
  </si>
  <si>
    <t>1% on or before 12M, Nil after 12M</t>
  </si>
  <si>
    <t>Nil upto 10% of investment and 1% for remaining investment on or before 1Y, Nil after 1Y</t>
  </si>
  <si>
    <t xml:space="preserve"> Vikas Khemani, Manoj Bahety
</t>
  </si>
  <si>
    <t>12months-2%, nil thereafter</t>
  </si>
  <si>
    <t>Value</t>
  </si>
  <si>
    <t>1% on or before 1Y, Nil after 1Y</t>
  </si>
  <si>
    <t>0.25% on or before 7D, Nil after 7D</t>
  </si>
  <si>
    <t>Nil upto 15% of Units, For excess Units 1% on or before 1Y and Nil after 1Y</t>
  </si>
  <si>
    <t>Nil upto 30% of units and 1% for remaining units on or before 1Y, Nil after 1Y</t>
  </si>
  <si>
    <t>Swapnil P Mayekar</t>
  </si>
  <si>
    <t>Kotak Large &amp; Midcap Fund</t>
  </si>
  <si>
    <t>Bandhan Large &amp; Midcap Fund</t>
  </si>
  <si>
    <t>Manish Gunwani</t>
  </si>
  <si>
    <t>Nil upto 10% of investment and 1% for remaining investment on or before 365D, Nil after 365D</t>
  </si>
  <si>
    <t>0.7% - wef 01/04/2026</t>
  </si>
  <si>
    <t>Mgmt Fee-0.5%,Operatimg Fee-0.5%,Performance Fee-20%,set up fee -2%</t>
  </si>
  <si>
    <t>Performance fee-14% Plus GST Profit</t>
  </si>
  <si>
    <t>Mgmt Fee-1.5%, Performance fee-10%,set up fee-0.15%</t>
  </si>
  <si>
    <t>Performance fee-15% of profit with 8% catch up</t>
  </si>
  <si>
    <t>Telecom</t>
  </si>
  <si>
    <t>30th April'26</t>
  </si>
  <si>
    <t>30th April 2026</t>
  </si>
  <si>
    <t>Investments (in Cr)</t>
  </si>
  <si>
    <t>Aboslute Gain (loss)  M-o-M (in Cr)</t>
  </si>
  <si>
    <t>Note: Direct Equity MO includes Onesource and Kaynes Technology</t>
  </si>
  <si>
    <t>Particulars</t>
  </si>
  <si>
    <t xml:space="preserve">Post adjusted value of liquidity in Debt / cash to be allocated from </t>
  </si>
  <si>
    <t>Kotak Multi Cap fund</t>
  </si>
  <si>
    <t>Devender Singhal</t>
  </si>
  <si>
    <t>Nil upto 10% of investment and 1% for remaining investments on or before 1Y, Nil after 1Y</t>
  </si>
  <si>
    <t>Aditya Birla SL Liquid Fund-(DD)-Direct</t>
  </si>
  <si>
    <t>HSBC Liquid Fund-Direct(DD)</t>
  </si>
  <si>
    <t>Kotak Liquid-Direct (DD)</t>
  </si>
  <si>
    <t>Mirae Asset Cash Management Fund-Direct(G)</t>
  </si>
  <si>
    <t>Jul-19 - Jul-19</t>
  </si>
  <si>
    <t>Vedanta Oil &amp; Gas Ltd</t>
  </si>
  <si>
    <t>Vedanta Power Ltd</t>
  </si>
  <si>
    <t>Vedanta Aluminium Metal Ltd</t>
  </si>
  <si>
    <t>Vedanta Iron &amp; Steel Ltd</t>
  </si>
  <si>
    <t>Clean Max Enviro Energy Solutions Ltd</t>
  </si>
  <si>
    <t>Jul-19 - Sep-25</t>
  </si>
  <si>
    <t>Mar-20 - Mar-20</t>
  </si>
  <si>
    <r>
      <rPr>
        <b/>
        <i/>
        <sz val="9"/>
        <color theme="1"/>
        <rFont val="Calibri"/>
        <family val="2"/>
        <scheme val="minor"/>
      </rPr>
      <t xml:space="preserve">Note: </t>
    </r>
    <r>
      <rPr>
        <i/>
        <sz val="9"/>
        <color theme="1"/>
        <rFont val="Calibri"/>
        <family val="2"/>
        <scheme val="minor"/>
      </rPr>
      <t>1.The AIF return are post tax (adjusted for realized gain / losses on portfolio churn)</t>
    </r>
  </si>
  <si>
    <t>India SME valuation at 1.18x MOIC as on 31st March'26</t>
  </si>
  <si>
    <t>*Note: Baring PE fund valuation as on 31st March'26</t>
  </si>
  <si>
    <t>360 One Special Opportunities Fund - Series 8 - Class A3 (AIF Category II) - valuation as on 31st May'26</t>
  </si>
  <si>
    <t>Sky Capital Titan Rising Funds 1 - Valuation as on 31st Dec (Nav basis)&amp; 31st March 2026 for new investments added in Feb'26 - (shown at face value)</t>
  </si>
  <si>
    <t>Note: Any incremental sale/ purchase after 30th April has been shown in the analysis , transactions upto 30th April have been captured under previous month market value</t>
  </si>
  <si>
    <t>Redemptions    (in Cr)</t>
  </si>
  <si>
    <t>Pricol Ltd</t>
  </si>
  <si>
    <t xml:space="preserve">LKP Sec Portfolio </t>
  </si>
  <si>
    <t>*Equity Savings &amp; Multi Asset excluded.</t>
  </si>
  <si>
    <t>*Equity Savings &amp; Multi Asset excluded from equity hybrid</t>
  </si>
  <si>
    <t>Aditya Birla Capital Ltd</t>
  </si>
  <si>
    <t>ICICI Bank Ltd.</t>
  </si>
  <si>
    <t>HDFC Bank Ltd.</t>
  </si>
  <si>
    <t>31st May'26</t>
  </si>
  <si>
    <t xml:space="preserve">% Change from 31st May '26 to 30th April'26 </t>
  </si>
  <si>
    <t>% Chg from 30th April'26 to 30th March'26</t>
  </si>
  <si>
    <t>31st May 2026</t>
  </si>
  <si>
    <t>Allocation</t>
  </si>
  <si>
    <t>SG</t>
  </si>
  <si>
    <t>TT</t>
  </si>
  <si>
    <t>EG</t>
  </si>
  <si>
    <t>Total Portfolio AUM</t>
  </si>
  <si>
    <t>Total Portfolio Allocation</t>
  </si>
  <si>
    <t>Equity Aum in Cr (Sheet)</t>
  </si>
  <si>
    <t>Allocation of Equity Portfolio</t>
  </si>
  <si>
    <t>Debt AUM in Cr (Sheet)</t>
  </si>
  <si>
    <t>Allocation of Debt Portfolio</t>
  </si>
  <si>
    <t>Cash AUM in Cr (sheet)</t>
  </si>
  <si>
    <t>Allocation of Cash portfolio</t>
  </si>
  <si>
    <t>Alternate AUM in Cr (Sheet)</t>
  </si>
  <si>
    <t>Allocation of Alternate Portfolio</t>
  </si>
  <si>
    <t>Stable</t>
  </si>
  <si>
    <t>Entrepreneur</t>
  </si>
  <si>
    <t>Thematic/Tactical</t>
  </si>
  <si>
    <t>LKP</t>
  </si>
  <si>
    <t>Transaction</t>
  </si>
  <si>
    <t>Rate</t>
  </si>
  <si>
    <t>MOPWM</t>
  </si>
  <si>
    <t>Closing</t>
  </si>
  <si>
    <t>L&amp;T Financial</t>
  </si>
  <si>
    <t>Div / Int</t>
  </si>
  <si>
    <t xml:space="preserve">ICICI Bank </t>
  </si>
  <si>
    <t>Private Investments</t>
  </si>
  <si>
    <t>Sky Capital</t>
  </si>
  <si>
    <t>MOPWM Reg</t>
  </si>
  <si>
    <t>Bank Balance</t>
  </si>
  <si>
    <t>HOPE INDIA TRUST</t>
  </si>
  <si>
    <t>Ledger Balance</t>
  </si>
  <si>
    <t>LKP SEC</t>
  </si>
  <si>
    <t>Bonus / Split</t>
  </si>
  <si>
    <t>HDFC Bank</t>
  </si>
  <si>
    <t>MOPWM Dir</t>
  </si>
  <si>
    <t xml:space="preserve">Belrise Industries </t>
  </si>
  <si>
    <t xml:space="preserve">Capri Global Capital Pvt Ltd </t>
  </si>
  <si>
    <t>Crompton Gr. Con</t>
  </si>
  <si>
    <t>Electronics Mart India Ltd</t>
  </si>
  <si>
    <t>Jyothy Lab.</t>
  </si>
  <si>
    <t>Mrs. Bectors F</t>
  </si>
  <si>
    <t xml:space="preserve">Transrail Lighting - LKP </t>
  </si>
  <si>
    <t>Mukul Agarwal</t>
  </si>
  <si>
    <t>Svan</t>
  </si>
  <si>
    <t>Sanjay Bhattacharya</t>
  </si>
  <si>
    <t>Carnelian</t>
  </si>
  <si>
    <t>Green Lantern</t>
  </si>
  <si>
    <t>Molecule Venture</t>
  </si>
  <si>
    <t>*Purchase has been shown as a Negative number</t>
  </si>
  <si>
    <t>MPS</t>
  </si>
  <si>
    <t>NLC INDIA</t>
  </si>
  <si>
    <t>HDFC Liquid Fund -Direct(G)</t>
  </si>
  <si>
    <t>Buoyant Opportunities Portfolio AIF</t>
  </si>
  <si>
    <t>2.For hybrid category, direct and indirect plans have been consolidated</t>
  </si>
  <si>
    <t>3.Highlighted stocks represent new stocks added</t>
  </si>
  <si>
    <t>4.Zepto at 7BN valuation , returns as on July 2025</t>
  </si>
  <si>
    <t>5. Highlighted represents investments added this month</t>
  </si>
  <si>
    <t>Market Value as on 31st May 2026          (in Cr)</t>
  </si>
  <si>
    <t>Market Value as on 30th June 2026       (in Crs)</t>
  </si>
  <si>
    <t>Valuations as on 30th June 2026</t>
  </si>
  <si>
    <t>*Sanshi Fund valuation in previous month is as on 30th June'26</t>
  </si>
  <si>
    <t>Current Value as on 30th June 2026</t>
  </si>
  <si>
    <t>Market Value as on 31st May 2026</t>
  </si>
  <si>
    <t>Redemptions from 31st May 2026 to 30th June'2026</t>
  </si>
  <si>
    <t>Purchases from 31st May 2026 to 30th June'2026</t>
  </si>
  <si>
    <t>Purchases from 31st May 2026 to 30th June 2026</t>
  </si>
  <si>
    <t>Nov-22 - Dec-25</t>
  </si>
  <si>
    <t>Dec-22 - Feb-25</t>
  </si>
  <si>
    <t>Jul-23 - Jun-26</t>
  </si>
  <si>
    <t>May-22 - Jan-26</t>
  </si>
  <si>
    <t>Sep-24 - Dec-25</t>
  </si>
  <si>
    <t>Oct-24 - Oct-24</t>
  </si>
  <si>
    <t>Mar-25 - May-26</t>
  </si>
  <si>
    <t>Oct-23 - Feb-26</t>
  </si>
  <si>
    <t>Sep-20 - Mar-24</t>
  </si>
  <si>
    <t>May-25 - May-26</t>
  </si>
  <si>
    <t>Jul-19 - Jun-26</t>
  </si>
  <si>
    <t>Jan-26 - Jan-26</t>
  </si>
  <si>
    <t>Apr-21 - Mar-26</t>
  </si>
  <si>
    <t>Nov 12 - Sept 24</t>
  </si>
  <si>
    <t>Jul-25 - Apr-26</t>
  </si>
  <si>
    <t>Apr-26 - Apr-26</t>
  </si>
  <si>
    <t>Aug-24 - Oct-24</t>
  </si>
  <si>
    <t>Ajay Jaisinghani / Ankita Jaisinghani</t>
  </si>
  <si>
    <t>S&amp;P BSE 500 TR</t>
  </si>
  <si>
    <t>Jan-25 - Dec-25</t>
  </si>
  <si>
    <t>May-24 - Jun-26</t>
  </si>
  <si>
    <t>Apr-23 - Nov-25</t>
  </si>
  <si>
    <t>Aug-24 - Nov-25</t>
  </si>
  <si>
    <t>Ajay Jaisinghani / Ankita Jaisinghani / Bharat Jaisinghani / Bharat Jaisinghani Family Trust II / Bharat Jaisinghani Family Trust III</t>
  </si>
  <si>
    <t>Mar-25 - Mar-26</t>
  </si>
  <si>
    <t>Ajay Jaisinghani / Ankita Jaisinghani / Bharat Jaisinghani</t>
  </si>
  <si>
    <t>Mar-20</t>
  </si>
  <si>
    <t>Apr-26</t>
  </si>
  <si>
    <t>Aarti Ajay Jaisinghani / Ajay Jaisinghani / Ankita Jaisinghani</t>
  </si>
  <si>
    <t>Aarti Ajay Jaisinghani / Ajay Jaisinghani</t>
  </si>
  <si>
    <t>Mar-25</t>
  </si>
  <si>
    <t>Aarti Ajay Jaisinghani / Ajay Jaisinghani / Ankita Jaisinghani / Bharat Jaisinghani</t>
  </si>
  <si>
    <t>Oct-24</t>
  </si>
  <si>
    <t>Dec-22 - Aug-23</t>
  </si>
  <si>
    <t>ICICI Bank  / MOPWM</t>
  </si>
  <si>
    <t>Feb-25</t>
  </si>
  <si>
    <t>Dec-25 - Dec-25</t>
  </si>
  <si>
    <t>Jan-25</t>
  </si>
  <si>
    <t>Nov-24 - Nov-24</t>
  </si>
  <si>
    <t>Aug-25</t>
  </si>
  <si>
    <t>Sep-24 - Oct-25</t>
  </si>
  <si>
    <t>Ajay Jaisinghani / Bharat Jaisinghani</t>
  </si>
  <si>
    <t>Jul-25</t>
  </si>
  <si>
    <t>Nov-24</t>
  </si>
  <si>
    <t>Aug-23 - Jan-24</t>
  </si>
  <si>
    <t>Jul-23 - Oct-24</t>
  </si>
  <si>
    <t>Jul-24 - Aug-24</t>
  </si>
  <si>
    <t>HDFC Bank / MOPWM</t>
  </si>
  <si>
    <t>Jul-25 - Jul-25</t>
  </si>
  <si>
    <t>Sep-25 - Sep-25</t>
  </si>
  <si>
    <t>Dec-24</t>
  </si>
  <si>
    <t>May-24</t>
  </si>
  <si>
    <t>Jul-24 - Jun-25</t>
  </si>
  <si>
    <t>May-24 - Jul-25</t>
  </si>
  <si>
    <t>Aug-23 - Jan-26</t>
  </si>
  <si>
    <t>Jan-24 - May-25</t>
  </si>
  <si>
    <t>Jun-24 - Jun-24</t>
  </si>
  <si>
    <t>Apr-25 - Apr-25</t>
  </si>
  <si>
    <t>Mar-26</t>
  </si>
  <si>
    <t>Sep-24</t>
  </si>
  <si>
    <t>Jul-23 - Oct-23</t>
  </si>
  <si>
    <t>Jul-24</t>
  </si>
  <si>
    <t>Apr-24 - Apr-24</t>
  </si>
  <si>
    <t>Sep-23 - Nov-24</t>
  </si>
  <si>
    <t>Jan-26</t>
  </si>
  <si>
    <t>Feb-24</t>
  </si>
  <si>
    <t>Aug-25 - May-26</t>
  </si>
  <si>
    <t>Nov-22</t>
  </si>
  <si>
    <t>Jun-23 - Nov-25</t>
  </si>
  <si>
    <t>MOPWM / MOPWM Dir</t>
  </si>
  <si>
    <t>Aarti Ajay Jaisinghani / Ankita Jaisinghani / Bharat Jaisinghani / Ajay Jaisinghani</t>
  </si>
  <si>
    <t>May-22 - Jul-24</t>
  </si>
  <si>
    <t>MOPWM Dir / MOPWM Reg</t>
  </si>
  <si>
    <t>Bharat Jaisinghani / Ajay Jaisinghani / Ankita Jaisinghani</t>
  </si>
  <si>
    <t>Sep-22</t>
  </si>
  <si>
    <t>Ajay Jaisinghani / Bharat Jaisinghani / Ankita Jaisinghani</t>
  </si>
  <si>
    <t>Nov-25</t>
  </si>
  <si>
    <t>Equity Savings Index</t>
  </si>
  <si>
    <t>Jun-26 - Jun-26</t>
  </si>
  <si>
    <t>CRISIL Short Term</t>
  </si>
  <si>
    <t>Nifty 50 Arbitrage</t>
  </si>
  <si>
    <t>May-25 - May-25</t>
  </si>
  <si>
    <t>Nov-25 - Nov-25</t>
  </si>
  <si>
    <t>Sep-24 - Mar-26</t>
  </si>
  <si>
    <t>Oct-24 - Sep-25</t>
  </si>
  <si>
    <t>Apr-21 - Apr-21</t>
  </si>
  <si>
    <t>May-25 - Feb-26</t>
  </si>
  <si>
    <t>Alternate Index</t>
  </si>
  <si>
    <t>Aug-25 - Oct-25</t>
  </si>
  <si>
    <t>MCX Silver</t>
  </si>
  <si>
    <t>MCX GOLD SPOT</t>
  </si>
  <si>
    <t>Motilal Oswal Arbitrage Direct-G</t>
  </si>
  <si>
    <t>Redemptions from 31st May 2026 to 13th July'2026</t>
  </si>
  <si>
    <t>Purchases from 31st May 2026 to 13th July'2026</t>
  </si>
  <si>
    <t>HDFC Liquid Direct-G</t>
  </si>
  <si>
    <t>Bandhan Arbitrage Direct-G</t>
  </si>
  <si>
    <t>Bandhan Overnight Direct-G</t>
  </si>
  <si>
    <t>Kotak Arbitrage Direct-G</t>
  </si>
  <si>
    <t>Aditya Birla SL Liquid Direct-G</t>
  </si>
  <si>
    <t>Aarti Jaisinghani</t>
  </si>
  <si>
    <t>Nippon India ETF Nifty 1D Rate Liquid BeES-IDCWD Reinvestment</t>
  </si>
  <si>
    <t>BANDHAN Overnight Fund - Direct Plan - Growth</t>
  </si>
  <si>
    <t>Varun Beverages</t>
  </si>
  <si>
    <t>Live File transactions since Inception upto 30th June'26</t>
  </si>
  <si>
    <t>Services</t>
  </si>
  <si>
    <t>State Bank Of India</t>
  </si>
  <si>
    <t>Axis Bank Ltd.</t>
  </si>
  <si>
    <t>Larsen &amp; Toubro Ltd.</t>
  </si>
  <si>
    <t>As on 30th June 2026</t>
  </si>
  <si>
    <t>30th June 2026</t>
  </si>
  <si>
    <t>30th June'26</t>
  </si>
  <si>
    <t xml:space="preserve">% Change from 30th June '26 to 31st May'26 </t>
  </si>
  <si>
    <t>*HDFC value fund complete exit in June'26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</si>
</sst>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#,##0.0"/>
    <numFmt numFmtId="165" formatCode="0.0%"/>
    <numFmt numFmtId="166" formatCode="#,##0.0_);[Red]\(#,##0.0\)"/>
    <numFmt numFmtId="167" formatCode="[$-409]mmm/yy;@"/>
    <numFmt numFmtId="168" formatCode="0.0"/>
    <numFmt numFmtId="169" formatCode="d\-mmm\-yy"/>
    <numFmt numFmtId="170" formatCode="_ * #,##0_ ;_ * \-#,##0_ ;_ * &quot;-&quot;??_ ;_ @_ "/>
    <numFmt numFmtId="171" formatCode="0.0_);[Red]\(0.0\)"/>
    <numFmt numFmtId="172" formatCode="#,##0.0_ ;\-#,##0.0\ "/>
    <numFmt numFmtId="173" formatCode="#,##0.0;[Red]\-#,##0.0"/>
    <numFmt numFmtId="174" formatCode="0.000"/>
    <numFmt numFmtId="175" formatCode="_ * #,##0.0_ ;_ * \-#,##0.0_ ;_ * &quot;-&quot;??_ ;_ @_ "/>
    <numFmt numFmtId="176" formatCode="#,##0.00_ ;\-#,##0.00\ "/>
    <numFmt numFmtId="177" formatCode="[$-F800]dddd\,\ mmmm\ dd\,\ yyyy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b/>
      <sz val="9"/>
      <color rgb="FFFFFFFF"/>
      <name val="Calibri"/>
      <family val="2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6" tint="0.39997558519241921"/>
      <name val="Calibri"/>
      <family val="2"/>
      <scheme val="minor"/>
    </font>
    <font>
      <b/>
      <sz val="9"/>
      <color rgb="FF00206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u/>
      <sz val="10"/>
      <color theme="1"/>
      <name val="Calibri"/>
      <family val="2"/>
      <scheme val="minor"/>
    </font>
    <font>
      <i/>
      <u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9"/>
      <color theme="1" tint="0.14999847407452621"/>
      <name val="Calibri"/>
      <family val="2"/>
      <scheme val="minor"/>
    </font>
    <font>
      <sz val="11"/>
      <color rgb="FF000000"/>
      <name val="Calibri"/>
      <family val="2"/>
    </font>
    <font>
      <b/>
      <i/>
      <sz val="10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000000"/>
      <name val="Aptos Narrow"/>
    </font>
    <font>
      <u/>
      <sz val="9"/>
      <color theme="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10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68">
    <border>
      <left/>
      <right/>
      <top/>
      <bottom/>
      <diagonal/>
    </border>
    <border>
      <left style="thin">
        <color auto="1"/>
      </left>
      <right style="dashed">
        <color auto="1"/>
      </right>
      <top style="thin">
        <color auto="1"/>
      </top>
      <bottom/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hair">
        <color theme="0" tint="-0.499984740745262"/>
      </right>
      <top style="thin">
        <color auto="1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auto="1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indexed="64"/>
      </right>
      <top style="thin">
        <color auto="1"/>
      </top>
      <bottom style="hair">
        <color theme="0" tint="-0.499984740745262"/>
      </bottom>
      <diagonal/>
    </border>
    <border>
      <left style="thin">
        <color auto="1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auto="1"/>
      </left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 style="hair">
        <color theme="0" tint="-0.499984740745262"/>
      </left>
      <right style="thin">
        <color indexed="64"/>
      </right>
      <top style="hair">
        <color theme="0" tint="-0.499984740745262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 style="dashed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thin">
        <color auto="1"/>
      </right>
      <top/>
      <bottom/>
      <diagonal/>
    </border>
    <border>
      <left style="thin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ashed">
        <color auto="1"/>
      </right>
      <top/>
      <bottom style="thin">
        <color theme="4" tint="0.39997558519241921"/>
      </bottom>
      <diagonal/>
    </border>
    <border>
      <left style="dashed">
        <color auto="1"/>
      </left>
      <right style="dashed">
        <color auto="1"/>
      </right>
      <top/>
      <bottom style="thin">
        <color theme="4" tint="0.39997558519241921"/>
      </bottom>
      <diagonal/>
    </border>
    <border>
      <left style="dashed">
        <color auto="1"/>
      </left>
      <right style="thin">
        <color auto="1"/>
      </right>
      <top/>
      <bottom style="thin">
        <color theme="4" tint="0.39997558519241921"/>
      </bottom>
      <diagonal/>
    </border>
    <border>
      <left style="thin">
        <color auto="1"/>
      </left>
      <right style="dashed">
        <color auto="1"/>
      </right>
      <top style="thin">
        <color theme="4" tint="0.3999755851924192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dashed">
        <color auto="1"/>
      </right>
      <top/>
      <bottom style="thin">
        <color theme="4" tint="0.39997558519241921"/>
      </bottom>
      <diagonal/>
    </border>
    <border>
      <left/>
      <right style="dashed">
        <color indexed="64"/>
      </right>
      <top/>
      <bottom/>
      <diagonal/>
    </border>
    <border>
      <left style="hair">
        <color theme="0" tint="-0.499984740745262"/>
      </left>
      <right/>
      <top style="thin">
        <color auto="1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thin">
        <color indexed="64"/>
      </bottom>
      <diagonal/>
    </border>
    <border>
      <left/>
      <right style="hair">
        <color theme="0" tint="-0.499984740745262"/>
      </right>
      <top style="thin">
        <color auto="1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hair">
        <color theme="0" tint="-0.49998474074526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theme="0" tint="-0.499984740745262"/>
      </top>
      <bottom style="medium">
        <color indexed="64"/>
      </bottom>
      <diagonal/>
    </border>
    <border>
      <left style="hair">
        <color theme="0" tint="-0.499984740745262"/>
      </left>
      <right style="thin">
        <color indexed="64"/>
      </right>
      <top style="hair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auto="1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  <diagonal/>
    </border>
    <border>
      <left style="thin">
        <color auto="1"/>
      </left>
      <right style="dashed">
        <color auto="1"/>
      </right>
      <top style="thin">
        <color theme="4" tint="0.39997558519241921"/>
      </top>
      <bottom/>
      <diagonal/>
    </border>
    <border>
      <left/>
      <right style="dashed">
        <color auto="1"/>
      </right>
      <top style="thin">
        <color theme="4" tint="0.39997558519241921"/>
      </top>
      <bottom/>
      <diagonal/>
    </border>
    <border>
      <left style="dashed">
        <color auto="1"/>
      </left>
      <right style="dashed">
        <color auto="1"/>
      </right>
      <top style="thin">
        <color theme="4" tint="0.39997558519241921"/>
      </top>
      <bottom/>
      <diagonal/>
    </border>
  </borders>
  <cellStyleXfs count="31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0" fillId="0" borderId="0" applyBorder="0"/>
    <xf numFmtId="0" fontId="22" fillId="0" borderId="0">
      <alignment vertical="top"/>
    </xf>
  </cellStyleXfs>
  <cellXfs count="601">
    <xf numFmtId="0" fontId="0" fillId="0" borderId="0" xfId="0"/>
    <xf numFmtId="0" fontId="5" fillId="0" borderId="0" xfId="0" applyFont="1"/>
    <xf numFmtId="0" fontId="4" fillId="5" borderId="3" xfId="0" applyFont="1" applyFill="1" applyBorder="1" applyAlignment="1">
      <alignment horizontal="center" vertical="center" wrapText="1"/>
    </xf>
    <xf numFmtId="168" fontId="6" fillId="7" borderId="3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5" fontId="5" fillId="0" borderId="0" xfId="0" applyNumberFormat="1" applyFont="1" applyAlignment="1">
      <alignment horizontal="center" vertical="center"/>
    </xf>
    <xf numFmtId="10" fontId="5" fillId="0" borderId="0" xfId="1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 applyProtection="1">
      <alignment vertical="center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164" fontId="5" fillId="0" borderId="0" xfId="0" applyNumberFormat="1" applyFont="1" applyAlignment="1" applyProtection="1">
      <alignment vertical="center"/>
      <protection hidden="1"/>
    </xf>
    <xf numFmtId="15" fontId="5" fillId="0" borderId="0" xfId="0" applyNumberFormat="1" applyFont="1" applyAlignment="1" applyProtection="1">
      <alignment horizontal="center" vertical="center"/>
      <protection hidden="1"/>
    </xf>
    <xf numFmtId="164" fontId="5" fillId="0" borderId="0" xfId="0" applyNumberFormat="1" applyFont="1" applyAlignment="1" applyProtection="1">
      <alignment horizontal="center" vertical="center"/>
      <protection hidden="1"/>
    </xf>
    <xf numFmtId="165" fontId="5" fillId="0" borderId="0" xfId="1" applyNumberFormat="1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166" fontId="5" fillId="0" borderId="0" xfId="0" applyNumberFormat="1" applyFont="1" applyAlignment="1" applyProtection="1">
      <alignment horizontal="center" vertical="center"/>
      <protection hidden="1"/>
    </xf>
    <xf numFmtId="43" fontId="5" fillId="0" borderId="0" xfId="19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8" fontId="5" fillId="0" borderId="0" xfId="1" applyNumberFormat="1" applyFont="1" applyFill="1" applyBorder="1" applyAlignment="1">
      <alignment horizontal="center" vertical="center"/>
    </xf>
    <xf numFmtId="168" fontId="6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5" borderId="11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 wrapText="1"/>
      <protection hidden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 applyProtection="1">
      <alignment horizontal="center" vertical="center"/>
      <protection hidden="1"/>
    </xf>
    <xf numFmtId="164" fontId="8" fillId="4" borderId="9" xfId="0" applyNumberFormat="1" applyFont="1" applyFill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164" fontId="5" fillId="0" borderId="9" xfId="0" applyNumberFormat="1" applyFont="1" applyBorder="1" applyAlignment="1" applyProtection="1">
      <alignment horizontal="center" vertical="center"/>
      <protection hidden="1"/>
    </xf>
    <xf numFmtId="168" fontId="5" fillId="0" borderId="9" xfId="0" applyNumberFormat="1" applyFont="1" applyBorder="1" applyAlignment="1">
      <alignment horizontal="center" vertical="center"/>
    </xf>
    <xf numFmtId="168" fontId="12" fillId="0" borderId="9" xfId="0" applyNumberFormat="1" applyFont="1" applyBorder="1" applyAlignment="1">
      <alignment horizontal="center" vertical="center"/>
    </xf>
    <xf numFmtId="2" fontId="12" fillId="0" borderId="9" xfId="0" applyNumberFormat="1" applyFont="1" applyBorder="1" applyAlignment="1">
      <alignment horizontal="center" vertical="center"/>
    </xf>
    <xf numFmtId="164" fontId="7" fillId="5" borderId="12" xfId="0" applyNumberFormat="1" applyFont="1" applyFill="1" applyBorder="1" applyAlignment="1">
      <alignment horizontal="center" vertical="center"/>
    </xf>
    <xf numFmtId="0" fontId="5" fillId="0" borderId="14" xfId="0" applyFont="1" applyBorder="1" applyAlignment="1" applyProtection="1">
      <alignment vertical="center"/>
      <protection hidden="1"/>
    </xf>
    <xf numFmtId="165" fontId="5" fillId="0" borderId="14" xfId="1" applyNumberFormat="1" applyFont="1" applyFill="1" applyBorder="1" applyAlignment="1" applyProtection="1">
      <alignment vertical="center"/>
      <protection hidden="1"/>
    </xf>
    <xf numFmtId="0" fontId="7" fillId="0" borderId="16" xfId="0" applyFont="1" applyBorder="1" applyAlignment="1" applyProtection="1">
      <alignment horizontal="center" vertical="center" wrapText="1"/>
      <protection hidden="1"/>
    </xf>
    <xf numFmtId="165" fontId="7" fillId="0" borderId="16" xfId="1" applyNumberFormat="1" applyFont="1" applyFill="1" applyBorder="1" applyAlignment="1" applyProtection="1">
      <alignment horizontal="center" vertical="center" wrapText="1"/>
      <protection hidden="1"/>
    </xf>
    <xf numFmtId="165" fontId="7" fillId="2" borderId="17" xfId="1" applyNumberFormat="1" applyFont="1" applyFill="1" applyBorder="1" applyAlignment="1" applyProtection="1">
      <alignment horizontal="center" vertical="center" wrapText="1"/>
      <protection hidden="1"/>
    </xf>
    <xf numFmtId="164" fontId="5" fillId="0" borderId="16" xfId="0" applyNumberFormat="1" applyFont="1" applyBorder="1" applyAlignment="1" applyProtection="1">
      <alignment horizontal="center" vertical="center"/>
      <protection hidden="1"/>
    </xf>
    <xf numFmtId="165" fontId="5" fillId="0" borderId="16" xfId="1" applyNumberFormat="1" applyFont="1" applyBorder="1" applyAlignment="1" applyProtection="1">
      <alignment horizontal="center" vertical="center"/>
      <protection hidden="1"/>
    </xf>
    <xf numFmtId="166" fontId="5" fillId="0" borderId="16" xfId="0" applyNumberFormat="1" applyFont="1" applyBorder="1" applyAlignment="1" applyProtection="1">
      <alignment horizontal="center" vertical="center"/>
      <protection hidden="1"/>
    </xf>
    <xf numFmtId="165" fontId="5" fillId="0" borderId="17" xfId="1" applyNumberFormat="1" applyFont="1" applyBorder="1" applyAlignment="1" applyProtection="1">
      <alignment horizontal="center" vertical="center"/>
      <protection hidden="1"/>
    </xf>
    <xf numFmtId="0" fontId="8" fillId="0" borderId="16" xfId="0" applyFont="1" applyBorder="1" applyAlignment="1" applyProtection="1">
      <alignment horizontal="left" vertical="center"/>
      <protection hidden="1"/>
    </xf>
    <xf numFmtId="15" fontId="8" fillId="4" borderId="16" xfId="0" applyNumberFormat="1" applyFont="1" applyFill="1" applyBorder="1" applyAlignment="1" applyProtection="1">
      <alignment horizontal="center" vertical="center"/>
      <protection hidden="1"/>
    </xf>
    <xf numFmtId="164" fontId="8" fillId="4" borderId="16" xfId="0" applyNumberFormat="1" applyFont="1" applyFill="1" applyBorder="1" applyAlignment="1" applyProtection="1">
      <alignment horizontal="center" vertical="center"/>
      <protection hidden="1"/>
    </xf>
    <xf numFmtId="165" fontId="8" fillId="0" borderId="16" xfId="1" applyNumberFormat="1" applyFont="1" applyFill="1" applyBorder="1" applyAlignment="1" applyProtection="1">
      <alignment horizontal="left" vertical="center"/>
      <protection hidden="1"/>
    </xf>
    <xf numFmtId="0" fontId="5" fillId="0" borderId="16" xfId="0" applyFont="1" applyBorder="1" applyAlignment="1" applyProtection="1">
      <alignment horizontal="left" vertical="center"/>
      <protection hidden="1"/>
    </xf>
    <xf numFmtId="15" fontId="5" fillId="0" borderId="16" xfId="0" applyNumberFormat="1" applyFont="1" applyBorder="1" applyAlignment="1" applyProtection="1">
      <alignment horizontal="center" vertical="center"/>
      <protection hidden="1"/>
    </xf>
    <xf numFmtId="165" fontId="5" fillId="0" borderId="16" xfId="1" applyNumberFormat="1" applyFont="1" applyFill="1" applyBorder="1" applyAlignment="1" applyProtection="1">
      <alignment horizontal="left" vertical="center"/>
      <protection hidden="1"/>
    </xf>
    <xf numFmtId="0" fontId="7" fillId="2" borderId="18" xfId="0" applyFont="1" applyFill="1" applyBorder="1" applyAlignment="1" applyProtection="1">
      <alignment horizontal="center" vertical="center"/>
      <protection hidden="1"/>
    </xf>
    <xf numFmtId="0" fontId="7" fillId="0" borderId="19" xfId="0" applyFont="1" applyBorder="1" applyAlignment="1" applyProtection="1">
      <alignment horizontal="center" vertical="center"/>
      <protection hidden="1"/>
    </xf>
    <xf numFmtId="15" fontId="7" fillId="2" borderId="19" xfId="0" applyNumberFormat="1" applyFont="1" applyFill="1" applyBorder="1" applyAlignment="1" applyProtection="1">
      <alignment horizontal="center" vertical="center"/>
      <protection hidden="1"/>
    </xf>
    <xf numFmtId="164" fontId="7" fillId="2" borderId="19" xfId="0" applyNumberFormat="1" applyFont="1" applyFill="1" applyBorder="1" applyAlignment="1" applyProtection="1">
      <alignment horizontal="center" vertical="center"/>
      <protection hidden="1"/>
    </xf>
    <xf numFmtId="165" fontId="7" fillId="0" borderId="19" xfId="1" applyNumberFormat="1" applyFont="1" applyFill="1" applyBorder="1" applyAlignment="1" applyProtection="1">
      <alignment horizontal="center" vertical="center"/>
      <protection hidden="1"/>
    </xf>
    <xf numFmtId="0" fontId="7" fillId="5" borderId="0" xfId="0" applyFont="1" applyFill="1" applyAlignment="1">
      <alignment horizontal="center" vertical="center" wrapText="1"/>
    </xf>
    <xf numFmtId="15" fontId="7" fillId="5" borderId="0" xfId="0" applyNumberFormat="1" applyFont="1" applyFill="1" applyAlignment="1">
      <alignment horizontal="center" vertical="center" wrapText="1"/>
    </xf>
    <xf numFmtId="165" fontId="7" fillId="5" borderId="0" xfId="0" applyNumberFormat="1" applyFont="1" applyFill="1" applyAlignment="1">
      <alignment horizontal="center" vertical="center" wrapText="1"/>
    </xf>
    <xf numFmtId="15" fontId="9" fillId="4" borderId="22" xfId="0" applyNumberFormat="1" applyFont="1" applyFill="1" applyBorder="1" applyAlignment="1">
      <alignment horizontal="center" vertical="center" wrapText="1"/>
    </xf>
    <xf numFmtId="3" fontId="8" fillId="4" borderId="22" xfId="0" applyNumberFormat="1" applyFont="1" applyFill="1" applyBorder="1" applyAlignment="1">
      <alignment horizontal="center" vertical="center" wrapText="1"/>
    </xf>
    <xf numFmtId="4" fontId="8" fillId="4" borderId="22" xfId="0" applyNumberFormat="1" applyFont="1" applyFill="1" applyBorder="1" applyAlignment="1">
      <alignment horizontal="center" vertical="center" wrapText="1"/>
    </xf>
    <xf numFmtId="10" fontId="8" fillId="4" borderId="22" xfId="0" applyNumberFormat="1" applyFont="1" applyFill="1" applyBorder="1" applyAlignment="1">
      <alignment horizontal="center" vertical="center" wrapText="1"/>
    </xf>
    <xf numFmtId="165" fontId="2" fillId="4" borderId="22" xfId="1" applyNumberFormat="1" applyFont="1" applyFill="1" applyBorder="1" applyAlignment="1">
      <alignment horizontal="center" vertical="center" wrapText="1"/>
    </xf>
    <xf numFmtId="165" fontId="2" fillId="4" borderId="23" xfId="1" applyNumberFormat="1" applyFont="1" applyFill="1" applyBorder="1" applyAlignment="1">
      <alignment horizontal="center" vertical="center" wrapText="1"/>
    </xf>
    <xf numFmtId="169" fontId="5" fillId="0" borderId="16" xfId="0" applyNumberFormat="1" applyFont="1" applyBorder="1" applyAlignment="1">
      <alignment horizontal="center" vertical="center" wrapText="1"/>
    </xf>
    <xf numFmtId="3" fontId="5" fillId="0" borderId="16" xfId="0" applyNumberFormat="1" applyFont="1" applyBorder="1" applyAlignment="1">
      <alignment horizontal="center" vertical="center" wrapText="1"/>
    </xf>
    <xf numFmtId="4" fontId="5" fillId="0" borderId="16" xfId="0" applyNumberFormat="1" applyFont="1" applyBorder="1" applyAlignment="1">
      <alignment horizontal="center" vertical="center" wrapText="1"/>
    </xf>
    <xf numFmtId="10" fontId="5" fillId="0" borderId="16" xfId="0" applyNumberFormat="1" applyFont="1" applyBorder="1" applyAlignment="1">
      <alignment horizontal="center" vertical="center" wrapText="1"/>
    </xf>
    <xf numFmtId="165" fontId="5" fillId="0" borderId="16" xfId="0" applyNumberFormat="1" applyFont="1" applyBorder="1" applyAlignment="1">
      <alignment horizontal="center" vertical="center" wrapText="1"/>
    </xf>
    <xf numFmtId="165" fontId="5" fillId="0" borderId="17" xfId="0" applyNumberFormat="1" applyFont="1" applyBorder="1" applyAlignment="1">
      <alignment horizontal="center" vertical="center" wrapText="1"/>
    </xf>
    <xf numFmtId="0" fontId="7" fillId="5" borderId="24" xfId="0" applyFont="1" applyFill="1" applyBorder="1" applyAlignment="1">
      <alignment horizontal="center" vertical="center"/>
    </xf>
    <xf numFmtId="169" fontId="10" fillId="5" borderId="25" xfId="0" applyNumberFormat="1" applyFont="1" applyFill="1" applyBorder="1" applyAlignment="1">
      <alignment horizontal="center" vertical="center" wrapText="1"/>
    </xf>
    <xf numFmtId="3" fontId="7" fillId="5" borderId="25" xfId="0" applyNumberFormat="1" applyFont="1" applyFill="1" applyBorder="1" applyAlignment="1">
      <alignment horizontal="center" vertical="center" wrapText="1"/>
    </xf>
    <xf numFmtId="4" fontId="7" fillId="5" borderId="25" xfId="0" applyNumberFormat="1" applyFont="1" applyFill="1" applyBorder="1" applyAlignment="1">
      <alignment horizontal="center" vertical="center" wrapText="1"/>
    </xf>
    <xf numFmtId="10" fontId="7" fillId="5" borderId="25" xfId="1" applyNumberFormat="1" applyFont="1" applyFill="1" applyBorder="1" applyAlignment="1">
      <alignment horizontal="center" vertical="center" wrapText="1"/>
    </xf>
    <xf numFmtId="165" fontId="7" fillId="5" borderId="25" xfId="1" applyNumberFormat="1" applyFont="1" applyFill="1" applyBorder="1" applyAlignment="1">
      <alignment horizontal="center" vertical="center" wrapText="1"/>
    </xf>
    <xf numFmtId="10" fontId="8" fillId="4" borderId="10" xfId="1" applyNumberFormat="1" applyFont="1" applyFill="1" applyBorder="1" applyAlignment="1">
      <alignment horizontal="center" vertical="center"/>
    </xf>
    <xf numFmtId="10" fontId="5" fillId="0" borderId="10" xfId="1" applyNumberFormat="1" applyFont="1" applyBorder="1" applyAlignment="1">
      <alignment horizontal="center" vertical="center"/>
    </xf>
    <xf numFmtId="10" fontId="7" fillId="5" borderId="13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2" xfId="0" applyFont="1" applyBorder="1" applyAlignment="1" applyProtection="1">
      <alignment horizontal="center" vertical="center" wrapText="1"/>
      <protection hidden="1"/>
    </xf>
    <xf numFmtId="165" fontId="5" fillId="0" borderId="0" xfId="1" applyNumberFormat="1" applyFont="1" applyAlignment="1">
      <alignment horizontal="center"/>
    </xf>
    <xf numFmtId="0" fontId="7" fillId="5" borderId="18" xfId="0" applyFont="1" applyFill="1" applyBorder="1" applyAlignment="1" applyProtection="1">
      <alignment horizontal="center" vertical="center"/>
      <protection hidden="1"/>
    </xf>
    <xf numFmtId="0" fontId="11" fillId="5" borderId="3" xfId="0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center" vertical="center" wrapText="1"/>
    </xf>
    <xf numFmtId="15" fontId="7" fillId="5" borderId="27" xfId="0" applyNumberFormat="1" applyFont="1" applyFill="1" applyBorder="1" applyAlignment="1">
      <alignment horizontal="center" vertical="center" wrapText="1"/>
    </xf>
    <xf numFmtId="0" fontId="7" fillId="5" borderId="27" xfId="0" applyFont="1" applyFill="1" applyBorder="1" applyAlignment="1">
      <alignment horizontal="center" vertical="center" wrapText="1"/>
    </xf>
    <xf numFmtId="15" fontId="9" fillId="4" borderId="29" xfId="0" applyNumberFormat="1" applyFont="1" applyFill="1" applyBorder="1" applyAlignment="1">
      <alignment horizontal="center" vertical="center" wrapText="1"/>
    </xf>
    <xf numFmtId="4" fontId="8" fillId="4" borderId="29" xfId="0" applyNumberFormat="1" applyFont="1" applyFill="1" applyBorder="1" applyAlignment="1">
      <alignment horizontal="center" vertical="center" wrapText="1"/>
    </xf>
    <xf numFmtId="169" fontId="5" fillId="0" borderId="29" xfId="0" applyNumberFormat="1" applyFont="1" applyBorder="1" applyAlignment="1">
      <alignment horizontal="center" vertical="center" wrapText="1"/>
    </xf>
    <xf numFmtId="4" fontId="5" fillId="0" borderId="29" xfId="0" applyNumberFormat="1" applyFont="1" applyBorder="1" applyAlignment="1">
      <alignment horizontal="center" vertical="center" wrapText="1"/>
    </xf>
    <xf numFmtId="167" fontId="5" fillId="0" borderId="29" xfId="0" applyNumberFormat="1" applyFont="1" applyBorder="1" applyAlignment="1">
      <alignment horizontal="center" vertical="center" wrapText="1"/>
    </xf>
    <xf numFmtId="4" fontId="5" fillId="6" borderId="29" xfId="0" applyNumberFormat="1" applyFont="1" applyFill="1" applyBorder="1" applyAlignment="1">
      <alignment horizontal="center" vertical="center" wrapText="1"/>
    </xf>
    <xf numFmtId="169" fontId="5" fillId="6" borderId="29" xfId="0" applyNumberFormat="1" applyFont="1" applyFill="1" applyBorder="1" applyAlignment="1">
      <alignment horizontal="center" vertical="center" wrapText="1"/>
    </xf>
    <xf numFmtId="0" fontId="7" fillId="5" borderId="30" xfId="0" applyFont="1" applyFill="1" applyBorder="1" applyAlignment="1">
      <alignment horizontal="center" vertical="center"/>
    </xf>
    <xf numFmtId="169" fontId="10" fillId="5" borderId="31" xfId="0" applyNumberFormat="1" applyFont="1" applyFill="1" applyBorder="1" applyAlignment="1">
      <alignment horizontal="center" vertical="center" wrapText="1"/>
    </xf>
    <xf numFmtId="4" fontId="7" fillId="5" borderId="31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168" fontId="5" fillId="0" borderId="3" xfId="0" applyNumberFormat="1" applyFont="1" applyBorder="1" applyAlignment="1">
      <alignment horizontal="center" vertical="center"/>
    </xf>
    <xf numFmtId="165" fontId="5" fillId="0" borderId="3" xfId="1" applyNumberFormat="1" applyFont="1" applyBorder="1" applyAlignment="1">
      <alignment horizontal="center" vertical="center"/>
    </xf>
    <xf numFmtId="165" fontId="8" fillId="4" borderId="16" xfId="1" applyNumberFormat="1" applyFont="1" applyFill="1" applyBorder="1" applyAlignment="1" applyProtection="1">
      <alignment horizontal="center" vertical="center"/>
      <protection hidden="1"/>
    </xf>
    <xf numFmtId="166" fontId="8" fillId="4" borderId="16" xfId="0" applyNumberFormat="1" applyFont="1" applyFill="1" applyBorder="1" applyAlignment="1" applyProtection="1">
      <alignment horizontal="center" vertical="center"/>
      <protection hidden="1"/>
    </xf>
    <xf numFmtId="171" fontId="5" fillId="0" borderId="16" xfId="0" applyNumberFormat="1" applyFont="1" applyBorder="1" applyAlignment="1" applyProtection="1">
      <alignment horizontal="center" vertical="center"/>
      <protection hidden="1"/>
    </xf>
    <xf numFmtId="4" fontId="5" fillId="0" borderId="16" xfId="0" applyNumberFormat="1" applyFont="1" applyBorder="1" applyAlignment="1" applyProtection="1">
      <alignment horizontal="center" vertical="center"/>
      <protection hidden="1"/>
    </xf>
    <xf numFmtId="9" fontId="7" fillId="2" borderId="19" xfId="1" applyFont="1" applyFill="1" applyBorder="1" applyAlignment="1" applyProtection="1">
      <alignment horizontal="center" vertical="center"/>
      <protection hidden="1"/>
    </xf>
    <xf numFmtId="165" fontId="7" fillId="2" borderId="19" xfId="1" applyNumberFormat="1" applyFont="1" applyFill="1" applyBorder="1" applyAlignment="1" applyProtection="1">
      <alignment horizontal="center" vertical="center"/>
      <protection hidden="1"/>
    </xf>
    <xf numFmtId="165" fontId="7" fillId="2" borderId="16" xfId="1" applyNumberFormat="1" applyFont="1" applyFill="1" applyBorder="1" applyAlignment="1" applyProtection="1">
      <alignment horizontal="center" vertical="center" wrapText="1"/>
      <protection hidden="1"/>
    </xf>
    <xf numFmtId="165" fontId="12" fillId="0" borderId="16" xfId="1" applyNumberFormat="1" applyFont="1" applyBorder="1" applyAlignment="1" applyProtection="1">
      <alignment horizontal="center" vertical="center"/>
      <protection hidden="1"/>
    </xf>
    <xf numFmtId="0" fontId="13" fillId="0" borderId="0" xfId="0" applyFont="1"/>
    <xf numFmtId="0" fontId="14" fillId="0" borderId="0" xfId="0" applyFont="1"/>
    <xf numFmtId="172" fontId="8" fillId="4" borderId="22" xfId="0" applyNumberFormat="1" applyFont="1" applyFill="1" applyBorder="1" applyAlignment="1">
      <alignment horizontal="center" vertical="center" wrapText="1"/>
    </xf>
    <xf numFmtId="172" fontId="5" fillId="0" borderId="16" xfId="0" applyNumberFormat="1" applyFont="1" applyBorder="1" applyAlignment="1">
      <alignment horizontal="center" vertical="center" wrapText="1"/>
    </xf>
    <xf numFmtId="172" fontId="7" fillId="5" borderId="25" xfId="0" applyNumberFormat="1" applyFont="1" applyFill="1" applyBorder="1" applyAlignment="1">
      <alignment horizontal="center" vertical="center" wrapText="1"/>
    </xf>
    <xf numFmtId="168" fontId="8" fillId="4" borderId="0" xfId="0" applyNumberFormat="1" applyFont="1" applyFill="1" applyAlignment="1">
      <alignment horizontal="center" vertical="center"/>
    </xf>
    <xf numFmtId="165" fontId="8" fillId="4" borderId="0" xfId="1" applyNumberFormat="1" applyFont="1" applyFill="1" applyBorder="1" applyAlignment="1">
      <alignment horizontal="center" vertical="center"/>
    </xf>
    <xf numFmtId="165" fontId="8" fillId="4" borderId="34" xfId="1" applyNumberFormat="1" applyFont="1" applyFill="1" applyBorder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165" fontId="5" fillId="0" borderId="0" xfId="1" applyNumberFormat="1" applyFont="1" applyBorder="1" applyAlignment="1">
      <alignment horizontal="center" vertical="center"/>
    </xf>
    <xf numFmtId="165" fontId="5" fillId="0" borderId="34" xfId="1" applyNumberFormat="1" applyFont="1" applyBorder="1" applyAlignment="1">
      <alignment horizontal="center" vertical="center"/>
    </xf>
    <xf numFmtId="168" fontId="5" fillId="8" borderId="0" xfId="0" applyNumberFormat="1" applyFont="1" applyFill="1" applyAlignment="1">
      <alignment horizontal="center" vertical="center"/>
    </xf>
    <xf numFmtId="165" fontId="5" fillId="8" borderId="0" xfId="1" applyNumberFormat="1" applyFont="1" applyFill="1" applyBorder="1" applyAlignment="1">
      <alignment horizontal="center" vertical="center"/>
    </xf>
    <xf numFmtId="165" fontId="5" fillId="8" borderId="34" xfId="1" applyNumberFormat="1" applyFont="1" applyFill="1" applyBorder="1" applyAlignment="1">
      <alignment horizontal="center" vertical="center"/>
    </xf>
    <xf numFmtId="168" fontId="7" fillId="5" borderId="4" xfId="0" applyNumberFormat="1" applyFont="1" applyFill="1" applyBorder="1" applyAlignment="1">
      <alignment horizontal="center" vertical="center"/>
    </xf>
    <xf numFmtId="165" fontId="7" fillId="5" borderId="4" xfId="1" applyNumberFormat="1" applyFont="1" applyFill="1" applyBorder="1" applyAlignment="1">
      <alignment horizontal="center" vertical="center"/>
    </xf>
    <xf numFmtId="165" fontId="7" fillId="5" borderId="35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2" fontId="17" fillId="0" borderId="0" xfId="0" applyNumberFormat="1" applyFont="1" applyAlignment="1" applyProtection="1">
      <alignment horizontal="center" vertical="center"/>
      <protection hidden="1"/>
    </xf>
    <xf numFmtId="164" fontId="17" fillId="0" borderId="0" xfId="0" applyNumberFormat="1" applyFont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16" fillId="0" borderId="14" xfId="0" applyFont="1" applyBorder="1" applyAlignment="1" applyProtection="1">
      <alignment vertical="center"/>
      <protection hidden="1"/>
    </xf>
    <xf numFmtId="165" fontId="16" fillId="0" borderId="14" xfId="1" applyNumberFormat="1" applyFont="1" applyFill="1" applyBorder="1" applyAlignment="1" applyProtection="1">
      <alignment vertical="center"/>
      <protection hidden="1"/>
    </xf>
    <xf numFmtId="0" fontId="17" fillId="0" borderId="0" xfId="0" applyFont="1" applyAlignment="1" applyProtection="1">
      <alignment horizontal="center" vertical="center" wrapText="1"/>
      <protection hidden="1"/>
    </xf>
    <xf numFmtId="0" fontId="18" fillId="0" borderId="16" xfId="0" applyFont="1" applyBorder="1" applyAlignment="1" applyProtection="1">
      <alignment horizontal="center" vertical="center" wrapText="1"/>
      <protection hidden="1"/>
    </xf>
    <xf numFmtId="165" fontId="18" fillId="0" borderId="16" xfId="1" applyNumberFormat="1" applyFont="1" applyFill="1" applyBorder="1" applyAlignment="1" applyProtection="1">
      <alignment horizontal="center" vertical="center" wrapText="1"/>
      <protection hidden="1"/>
    </xf>
    <xf numFmtId="165" fontId="18" fillId="2" borderId="16" xfId="1" applyNumberFormat="1" applyFont="1" applyFill="1" applyBorder="1" applyAlignment="1" applyProtection="1">
      <alignment horizontal="center" vertical="center" wrapText="1"/>
      <protection hidden="1"/>
    </xf>
    <xf numFmtId="165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165" fontId="16" fillId="0" borderId="16" xfId="1" applyNumberFormat="1" applyFont="1" applyBorder="1" applyAlignment="1" applyProtection="1">
      <alignment horizontal="center" vertical="center"/>
      <protection hidden="1"/>
    </xf>
    <xf numFmtId="165" fontId="16" fillId="0" borderId="17" xfId="1" applyNumberFormat="1" applyFont="1" applyBorder="1" applyAlignment="1" applyProtection="1">
      <alignment horizontal="center" vertical="center"/>
      <protection hidden="1"/>
    </xf>
    <xf numFmtId="164" fontId="16" fillId="0" borderId="0" xfId="0" applyNumberFormat="1" applyFont="1" applyAlignment="1" applyProtection="1">
      <alignment vertical="center"/>
      <protection hidden="1"/>
    </xf>
    <xf numFmtId="0" fontId="19" fillId="0" borderId="16" xfId="0" applyFont="1" applyBorder="1" applyAlignment="1" applyProtection="1">
      <alignment horizontal="left" vertical="center"/>
      <protection hidden="1"/>
    </xf>
    <xf numFmtId="15" fontId="19" fillId="4" borderId="16" xfId="0" applyNumberFormat="1" applyFont="1" applyFill="1" applyBorder="1" applyAlignment="1" applyProtection="1">
      <alignment horizontal="center" vertical="center"/>
      <protection hidden="1"/>
    </xf>
    <xf numFmtId="172" fontId="19" fillId="4" borderId="16" xfId="0" applyNumberFormat="1" applyFont="1" applyFill="1" applyBorder="1" applyAlignment="1" applyProtection="1">
      <alignment horizontal="center" vertical="center"/>
      <protection hidden="1"/>
    </xf>
    <xf numFmtId="165" fontId="19" fillId="4" borderId="16" xfId="1" applyNumberFormat="1" applyFont="1" applyFill="1" applyBorder="1" applyAlignment="1" applyProtection="1">
      <alignment horizontal="center" vertical="center"/>
      <protection hidden="1"/>
    </xf>
    <xf numFmtId="172" fontId="19" fillId="0" borderId="16" xfId="0" applyNumberFormat="1" applyFont="1" applyBorder="1" applyAlignment="1" applyProtection="1">
      <alignment horizontal="left" vertical="center"/>
      <protection hidden="1"/>
    </xf>
    <xf numFmtId="165" fontId="19" fillId="0" borderId="16" xfId="1" applyNumberFormat="1" applyFont="1" applyFill="1" applyBorder="1" applyAlignment="1" applyProtection="1">
      <alignment horizontal="left" vertical="center"/>
      <protection hidden="1"/>
    </xf>
    <xf numFmtId="165" fontId="19" fillId="4" borderId="17" xfId="1" applyNumberFormat="1" applyFont="1" applyFill="1" applyBorder="1" applyAlignment="1" applyProtection="1">
      <alignment horizontal="center" vertical="center"/>
      <protection hidden="1"/>
    </xf>
    <xf numFmtId="0" fontId="16" fillId="0" borderId="2" xfId="0" applyFont="1" applyBorder="1" applyAlignment="1" applyProtection="1">
      <alignment horizontal="left" vertical="center"/>
      <protection hidden="1"/>
    </xf>
    <xf numFmtId="0" fontId="16" fillId="0" borderId="16" xfId="0" applyFont="1" applyBorder="1" applyAlignment="1" applyProtection="1">
      <alignment horizontal="left" vertical="center"/>
      <protection hidden="1"/>
    </xf>
    <xf numFmtId="15" fontId="16" fillId="0" borderId="16" xfId="0" applyNumberFormat="1" applyFont="1" applyBorder="1" applyAlignment="1" applyProtection="1">
      <alignment horizontal="center" vertical="center"/>
      <protection hidden="1"/>
    </xf>
    <xf numFmtId="172" fontId="16" fillId="0" borderId="16" xfId="0" applyNumberFormat="1" applyFont="1" applyBorder="1" applyAlignment="1" applyProtection="1">
      <alignment horizontal="center" vertical="center"/>
      <protection hidden="1"/>
    </xf>
    <xf numFmtId="172" fontId="16" fillId="0" borderId="16" xfId="0" applyNumberFormat="1" applyFont="1" applyBorder="1" applyAlignment="1" applyProtection="1">
      <alignment horizontal="left" vertical="center"/>
      <protection hidden="1"/>
    </xf>
    <xf numFmtId="165" fontId="16" fillId="0" borderId="16" xfId="1" applyNumberFormat="1" applyFont="1" applyFill="1" applyBorder="1" applyAlignment="1" applyProtection="1">
      <alignment horizontal="left" vertical="center"/>
      <protection hidden="1"/>
    </xf>
    <xf numFmtId="0" fontId="18" fillId="2" borderId="18" xfId="0" applyFont="1" applyFill="1" applyBorder="1" applyAlignment="1" applyProtection="1">
      <alignment horizontal="center" vertical="center"/>
      <protection hidden="1"/>
    </xf>
    <xf numFmtId="0" fontId="18" fillId="0" borderId="19" xfId="0" applyFont="1" applyBorder="1" applyAlignment="1" applyProtection="1">
      <alignment horizontal="center" vertical="center"/>
      <protection hidden="1"/>
    </xf>
    <xf numFmtId="15" fontId="18" fillId="2" borderId="19" xfId="0" applyNumberFormat="1" applyFont="1" applyFill="1" applyBorder="1" applyAlignment="1" applyProtection="1">
      <alignment horizontal="center" vertical="center"/>
      <protection hidden="1"/>
    </xf>
    <xf numFmtId="172" fontId="18" fillId="2" borderId="19" xfId="0" applyNumberFormat="1" applyFont="1" applyFill="1" applyBorder="1" applyAlignment="1" applyProtection="1">
      <alignment horizontal="center" vertical="center"/>
      <protection hidden="1"/>
    </xf>
    <xf numFmtId="9" fontId="18" fillId="2" borderId="19" xfId="1" applyFont="1" applyFill="1" applyBorder="1" applyAlignment="1" applyProtection="1">
      <alignment horizontal="center" vertical="center"/>
      <protection hidden="1"/>
    </xf>
    <xf numFmtId="165" fontId="18" fillId="2" borderId="19" xfId="1" applyNumberFormat="1" applyFont="1" applyFill="1" applyBorder="1" applyAlignment="1" applyProtection="1">
      <alignment horizontal="center" vertical="center"/>
      <protection hidden="1"/>
    </xf>
    <xf numFmtId="172" fontId="18" fillId="0" borderId="19" xfId="0" applyNumberFormat="1" applyFont="1" applyBorder="1" applyAlignment="1" applyProtection="1">
      <alignment horizontal="center" vertical="center"/>
      <protection hidden="1"/>
    </xf>
    <xf numFmtId="165" fontId="18" fillId="0" borderId="19" xfId="1" applyNumberFormat="1" applyFont="1" applyFill="1" applyBorder="1" applyAlignment="1" applyProtection="1">
      <alignment horizontal="center" vertical="center"/>
      <protection hidden="1"/>
    </xf>
    <xf numFmtId="15" fontId="16" fillId="0" borderId="0" xfId="0" applyNumberFormat="1" applyFont="1" applyAlignment="1" applyProtection="1">
      <alignment horizontal="center" vertical="center"/>
      <protection hidden="1"/>
    </xf>
    <xf numFmtId="164" fontId="16" fillId="0" borderId="0" xfId="0" applyNumberFormat="1" applyFont="1" applyAlignment="1" applyProtection="1">
      <alignment horizontal="center" vertical="center"/>
      <protection hidden="1"/>
    </xf>
    <xf numFmtId="165" fontId="16" fillId="0" borderId="0" xfId="1" applyNumberFormat="1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166" fontId="16" fillId="0" borderId="0" xfId="0" applyNumberFormat="1" applyFont="1" applyAlignment="1" applyProtection="1">
      <alignment horizontal="center" vertical="center"/>
      <protection hidden="1"/>
    </xf>
    <xf numFmtId="0" fontId="13" fillId="0" borderId="0" xfId="0" applyFont="1" applyAlignment="1">
      <alignment horizontal="left" vertical="center"/>
    </xf>
    <xf numFmtId="10" fontId="8" fillId="4" borderId="37" xfId="0" applyNumberFormat="1" applyFont="1" applyFill="1" applyBorder="1" applyAlignment="1">
      <alignment horizontal="center" vertical="center" wrapText="1"/>
    </xf>
    <xf numFmtId="10" fontId="8" fillId="4" borderId="38" xfId="0" applyNumberFormat="1" applyFont="1" applyFill="1" applyBorder="1" applyAlignment="1">
      <alignment horizontal="center" vertical="center" wrapText="1"/>
    </xf>
    <xf numFmtId="169" fontId="5" fillId="9" borderId="29" xfId="0" applyNumberFormat="1" applyFont="1" applyFill="1" applyBorder="1" applyAlignment="1">
      <alignment horizontal="center" vertical="center" wrapText="1"/>
    </xf>
    <xf numFmtId="10" fontId="7" fillId="5" borderId="39" xfId="1" applyNumberFormat="1" applyFont="1" applyFill="1" applyBorder="1" applyAlignment="1">
      <alignment horizontal="center" vertical="center" wrapText="1"/>
    </xf>
    <xf numFmtId="17" fontId="5" fillId="0" borderId="16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18" fillId="5" borderId="5" xfId="0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 wrapText="1"/>
    </xf>
    <xf numFmtId="170" fontId="18" fillId="5" borderId="12" xfId="19" applyNumberFormat="1" applyFont="1" applyFill="1" applyBorder="1" applyAlignment="1">
      <alignment horizontal="center" vertical="center" wrapText="1"/>
    </xf>
    <xf numFmtId="170" fontId="18" fillId="5" borderId="13" xfId="19" applyNumberFormat="1" applyFont="1" applyFill="1" applyBorder="1" applyAlignment="1">
      <alignment horizontal="center" vertical="center" wrapText="1"/>
    </xf>
    <xf numFmtId="0" fontId="16" fillId="10" borderId="0" xfId="0" applyFont="1" applyFill="1"/>
    <xf numFmtId="0" fontId="16" fillId="10" borderId="0" xfId="0" applyFont="1" applyFill="1" applyAlignment="1">
      <alignment horizontal="center"/>
    </xf>
    <xf numFmtId="0" fontId="17" fillId="10" borderId="0" xfId="0" applyFont="1" applyFill="1"/>
    <xf numFmtId="0" fontId="16" fillId="10" borderId="8" xfId="0" applyFont="1" applyFill="1" applyBorder="1"/>
    <xf numFmtId="170" fontId="16" fillId="10" borderId="9" xfId="19" applyNumberFormat="1" applyFont="1" applyFill="1" applyBorder="1"/>
    <xf numFmtId="170" fontId="16" fillId="10" borderId="10" xfId="19" applyNumberFormat="1" applyFont="1" applyFill="1" applyBorder="1"/>
    <xf numFmtId="4" fontId="16" fillId="10" borderId="0" xfId="0" applyNumberFormat="1" applyFont="1" applyFill="1" applyAlignment="1">
      <alignment horizontal="center"/>
    </xf>
    <xf numFmtId="43" fontId="16" fillId="10" borderId="0" xfId="0" applyNumberFormat="1" applyFont="1" applyFill="1"/>
    <xf numFmtId="0" fontId="11" fillId="5" borderId="42" xfId="0" applyFont="1" applyFill="1" applyBorder="1" applyAlignment="1">
      <alignment horizontal="center" vertical="center" wrapText="1"/>
    </xf>
    <xf numFmtId="164" fontId="8" fillId="4" borderId="43" xfId="0" applyNumberFormat="1" applyFont="1" applyFill="1" applyBorder="1" applyAlignment="1">
      <alignment horizontal="center" vertical="center"/>
    </xf>
    <xf numFmtId="164" fontId="5" fillId="0" borderId="43" xfId="0" applyNumberFormat="1" applyFont="1" applyBorder="1" applyAlignment="1">
      <alignment horizontal="center" vertical="center"/>
    </xf>
    <xf numFmtId="168" fontId="7" fillId="5" borderId="44" xfId="0" applyNumberFormat="1" applyFont="1" applyFill="1" applyBorder="1" applyAlignment="1">
      <alignment horizontal="center" vertical="center"/>
    </xf>
    <xf numFmtId="0" fontId="11" fillId="5" borderId="45" xfId="0" applyFont="1" applyFill="1" applyBorder="1" applyAlignment="1">
      <alignment horizontal="center" vertical="center" wrapText="1"/>
    </xf>
    <xf numFmtId="0" fontId="11" fillId="11" borderId="48" xfId="0" applyFont="1" applyFill="1" applyBorder="1" applyAlignment="1">
      <alignment horizontal="center" vertical="center" wrapText="1"/>
    </xf>
    <xf numFmtId="10" fontId="8" fillId="4" borderId="49" xfId="1" applyNumberFormat="1" applyFont="1" applyFill="1" applyBorder="1" applyAlignment="1">
      <alignment horizontal="center" vertical="center"/>
    </xf>
    <xf numFmtId="172" fontId="16" fillId="0" borderId="0" xfId="0" applyNumberFormat="1" applyFont="1" applyAlignment="1" applyProtection="1">
      <alignment vertical="center"/>
      <protection hidden="1"/>
    </xf>
    <xf numFmtId="0" fontId="20" fillId="0" borderId="0" xfId="0" applyFont="1" applyAlignment="1" applyProtection="1">
      <alignment vertical="center"/>
      <protection hidden="1"/>
    </xf>
    <xf numFmtId="0" fontId="21" fillId="0" borderId="0" xfId="0" applyFont="1" applyAlignment="1" applyProtection="1">
      <alignment vertical="center"/>
      <protection hidden="1"/>
    </xf>
    <xf numFmtId="15" fontId="21" fillId="0" borderId="0" xfId="0" applyNumberFormat="1" applyFont="1" applyAlignment="1" applyProtection="1">
      <alignment horizontal="center" vertical="center"/>
      <protection hidden="1"/>
    </xf>
    <xf numFmtId="164" fontId="21" fillId="0" borderId="0" xfId="0" applyNumberFormat="1" applyFont="1" applyAlignment="1" applyProtection="1">
      <alignment horizontal="center" vertical="center"/>
      <protection hidden="1"/>
    </xf>
    <xf numFmtId="165" fontId="21" fillId="0" borderId="0" xfId="1" applyNumberFormat="1" applyFont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center" vertical="center"/>
      <protection hidden="1"/>
    </xf>
    <xf numFmtId="166" fontId="21" fillId="0" borderId="0" xfId="0" applyNumberFormat="1" applyFont="1" applyAlignment="1" applyProtection="1">
      <alignment horizontal="center" vertical="center"/>
      <protection hidden="1"/>
    </xf>
    <xf numFmtId="10" fontId="5" fillId="0" borderId="0" xfId="0" applyNumberFormat="1" applyFont="1" applyAlignment="1" applyProtection="1">
      <alignment vertical="center"/>
      <protection hidden="1"/>
    </xf>
    <xf numFmtId="0" fontId="16" fillId="0" borderId="0" xfId="0" applyFont="1"/>
    <xf numFmtId="0" fontId="5" fillId="0" borderId="41" xfId="0" applyFont="1" applyBorder="1" applyAlignment="1">
      <alignment horizontal="center" vertical="center" wrapText="1"/>
    </xf>
    <xf numFmtId="0" fontId="12" fillId="0" borderId="0" xfId="0" applyFont="1" applyAlignment="1" applyProtection="1">
      <alignment vertical="center"/>
      <protection hidden="1"/>
    </xf>
    <xf numFmtId="0" fontId="12" fillId="0" borderId="0" xfId="0" applyFont="1" applyProtection="1">
      <protection hidden="1"/>
    </xf>
    <xf numFmtId="38" fontId="5" fillId="0" borderId="0" xfId="0" applyNumberFormat="1" applyFont="1" applyAlignment="1" applyProtection="1">
      <alignment vertical="center"/>
      <protection hidden="1"/>
    </xf>
    <xf numFmtId="15" fontId="5" fillId="0" borderId="0" xfId="0" applyNumberFormat="1" applyFont="1" applyProtection="1">
      <protection hidden="1"/>
    </xf>
    <xf numFmtId="38" fontId="12" fillId="0" borderId="0" xfId="0" applyNumberFormat="1" applyFont="1" applyAlignment="1" applyProtection="1">
      <alignment vertical="center"/>
      <protection hidden="1"/>
    </xf>
    <xf numFmtId="38" fontId="12" fillId="0" borderId="0" xfId="0" applyNumberFormat="1" applyFont="1" applyProtection="1">
      <protection hidden="1"/>
    </xf>
    <xf numFmtId="0" fontId="16" fillId="0" borderId="0" xfId="0" applyFont="1" applyAlignment="1">
      <alignment horizontal="center"/>
    </xf>
    <xf numFmtId="0" fontId="23" fillId="8" borderId="0" xfId="0" applyFont="1" applyFill="1"/>
    <xf numFmtId="164" fontId="8" fillId="4" borderId="22" xfId="0" applyNumberFormat="1" applyFont="1" applyFill="1" applyBorder="1" applyAlignment="1">
      <alignment horizontal="center" vertical="center" wrapText="1"/>
    </xf>
    <xf numFmtId="164" fontId="5" fillId="0" borderId="16" xfId="0" applyNumberFormat="1" applyFont="1" applyBorder="1" applyAlignment="1">
      <alignment horizontal="center" vertical="center" wrapText="1"/>
    </xf>
    <xf numFmtId="165" fontId="8" fillId="4" borderId="22" xfId="0" applyNumberFormat="1" applyFont="1" applyFill="1" applyBorder="1" applyAlignment="1">
      <alignment horizontal="center" vertical="center" wrapText="1"/>
    </xf>
    <xf numFmtId="173" fontId="12" fillId="0" borderId="0" xfId="0" applyNumberFormat="1" applyFont="1" applyAlignment="1" applyProtection="1">
      <alignment horizontal="center"/>
      <protection hidden="1"/>
    </xf>
    <xf numFmtId="0" fontId="12" fillId="0" borderId="0" xfId="0" applyFont="1" applyAlignment="1" applyProtection="1">
      <alignment horizontal="center"/>
      <protection hidden="1"/>
    </xf>
    <xf numFmtId="165" fontId="18" fillId="0" borderId="19" xfId="0" applyNumberFormat="1" applyFont="1" applyBorder="1" applyAlignment="1" applyProtection="1">
      <alignment horizontal="center" vertical="center"/>
      <protection hidden="1"/>
    </xf>
    <xf numFmtId="40" fontId="16" fillId="0" borderId="0" xfId="0" applyNumberFormat="1" applyFont="1" applyAlignment="1" applyProtection="1">
      <alignment vertical="center"/>
      <protection hidden="1"/>
    </xf>
    <xf numFmtId="165" fontId="19" fillId="0" borderId="16" xfId="0" applyNumberFormat="1" applyFont="1" applyBorder="1" applyAlignment="1" applyProtection="1">
      <alignment horizontal="left" vertical="center"/>
      <protection hidden="1"/>
    </xf>
    <xf numFmtId="165" fontId="18" fillId="2" borderId="20" xfId="1" applyNumberFormat="1" applyFont="1" applyFill="1" applyBorder="1" applyAlignment="1" applyProtection="1">
      <alignment horizontal="center" vertical="center"/>
      <protection hidden="1"/>
    </xf>
    <xf numFmtId="165" fontId="8" fillId="0" borderId="16" xfId="0" applyNumberFormat="1" applyFont="1" applyBorder="1" applyAlignment="1" applyProtection="1">
      <alignment horizontal="left" vertical="center"/>
      <protection hidden="1"/>
    </xf>
    <xf numFmtId="165" fontId="8" fillId="4" borderId="17" xfId="1" applyNumberFormat="1" applyFont="1" applyFill="1" applyBorder="1" applyAlignment="1" applyProtection="1">
      <alignment horizontal="center" vertical="center"/>
      <protection hidden="1"/>
    </xf>
    <xf numFmtId="165" fontId="7" fillId="0" borderId="19" xfId="0" applyNumberFormat="1" applyFont="1" applyBorder="1" applyAlignment="1" applyProtection="1">
      <alignment horizontal="center" vertical="center"/>
      <protection hidden="1"/>
    </xf>
    <xf numFmtId="165" fontId="7" fillId="2" borderId="20" xfId="1" applyNumberFormat="1" applyFont="1" applyFill="1" applyBorder="1" applyAlignment="1" applyProtection="1">
      <alignment horizontal="center" vertical="center"/>
      <protection hidden="1"/>
    </xf>
    <xf numFmtId="0" fontId="5" fillId="0" borderId="52" xfId="0" applyFont="1" applyBorder="1" applyAlignment="1">
      <alignment horizontal="center" vertical="center"/>
    </xf>
    <xf numFmtId="0" fontId="16" fillId="10" borderId="5" xfId="0" applyFont="1" applyFill="1" applyBorder="1"/>
    <xf numFmtId="170" fontId="16" fillId="10" borderId="6" xfId="19" applyNumberFormat="1" applyFont="1" applyFill="1" applyBorder="1"/>
    <xf numFmtId="170" fontId="16" fillId="10" borderId="7" xfId="19" applyNumberFormat="1" applyFont="1" applyFill="1" applyBorder="1"/>
    <xf numFmtId="0" fontId="16" fillId="10" borderId="11" xfId="0" applyFont="1" applyFill="1" applyBorder="1"/>
    <xf numFmtId="170" fontId="16" fillId="10" borderId="12" xfId="19" applyNumberFormat="1" applyFont="1" applyFill="1" applyBorder="1"/>
    <xf numFmtId="170" fontId="16" fillId="10" borderId="13" xfId="19" applyNumberFormat="1" applyFont="1" applyFill="1" applyBorder="1"/>
    <xf numFmtId="0" fontId="16" fillId="10" borderId="8" xfId="0" applyFont="1" applyFill="1" applyBorder="1" applyAlignment="1">
      <alignment horizontal="left" indent="1"/>
    </xf>
    <xf numFmtId="0" fontId="12" fillId="0" borderId="0" xfId="0" applyFont="1" applyAlignment="1" applyProtection="1">
      <alignment horizontal="center" vertical="center" wrapText="1"/>
      <protection hidden="1"/>
    </xf>
    <xf numFmtId="172" fontId="16" fillId="0" borderId="0" xfId="0" applyNumberFormat="1" applyFont="1"/>
    <xf numFmtId="0" fontId="16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165" fontId="7" fillId="5" borderId="36" xfId="0" applyNumberFormat="1" applyFont="1" applyFill="1" applyBorder="1" applyAlignment="1">
      <alignment horizontal="center" vertical="center" wrapText="1"/>
    </xf>
    <xf numFmtId="0" fontId="16" fillId="16" borderId="0" xfId="0" applyFont="1" applyFill="1"/>
    <xf numFmtId="0" fontId="5" fillId="0" borderId="38" xfId="0" applyFont="1" applyBorder="1" applyAlignment="1">
      <alignment horizontal="center"/>
    </xf>
    <xf numFmtId="10" fontId="12" fillId="0" borderId="38" xfId="1" applyNumberFormat="1" applyFont="1" applyFill="1" applyBorder="1" applyAlignment="1">
      <alignment horizontal="center"/>
    </xf>
    <xf numFmtId="0" fontId="5" fillId="6" borderId="38" xfId="0" applyFont="1" applyFill="1" applyBorder="1" applyAlignment="1">
      <alignment horizontal="center"/>
    </xf>
    <xf numFmtId="10" fontId="5" fillId="0" borderId="37" xfId="0" applyNumberFormat="1" applyFont="1" applyBorder="1" applyAlignment="1">
      <alignment horizontal="center" vertical="center" wrapText="1"/>
    </xf>
    <xf numFmtId="10" fontId="5" fillId="6" borderId="37" xfId="0" applyNumberFormat="1" applyFont="1" applyFill="1" applyBorder="1" applyAlignment="1">
      <alignment horizontal="center" vertical="center" wrapText="1"/>
    </xf>
    <xf numFmtId="10" fontId="5" fillId="6" borderId="37" xfId="0" applyNumberFormat="1" applyFont="1" applyFill="1" applyBorder="1" applyAlignment="1">
      <alignment horizontal="center"/>
    </xf>
    <xf numFmtId="165" fontId="7" fillId="5" borderId="53" xfId="0" applyNumberFormat="1" applyFont="1" applyFill="1" applyBorder="1" applyAlignment="1">
      <alignment horizontal="center" vertical="center" wrapText="1"/>
    </xf>
    <xf numFmtId="10" fontId="7" fillId="5" borderId="54" xfId="1" applyNumberFormat="1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169" fontId="10" fillId="5" borderId="0" xfId="0" applyNumberFormat="1" applyFont="1" applyFill="1" applyAlignment="1">
      <alignment horizontal="center" vertical="center" wrapText="1"/>
    </xf>
    <xf numFmtId="164" fontId="7" fillId="5" borderId="0" xfId="0" applyNumberFormat="1" applyFont="1" applyFill="1" applyAlignment="1">
      <alignment horizontal="center" vertical="center" wrapText="1"/>
    </xf>
    <xf numFmtId="165" fontId="7" fillId="5" borderId="0" xfId="1" applyNumberFormat="1" applyFont="1" applyFill="1" applyBorder="1" applyAlignment="1">
      <alignment horizontal="center" vertical="center" wrapText="1"/>
    </xf>
    <xf numFmtId="17" fontId="27" fillId="0" borderId="0" xfId="0" applyNumberFormat="1" applyFont="1"/>
    <xf numFmtId="165" fontId="5" fillId="0" borderId="0" xfId="1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2" fontId="16" fillId="0" borderId="0" xfId="0" applyNumberFormat="1" applyFont="1" applyAlignment="1" applyProtection="1">
      <alignment vertical="center"/>
      <protection hidden="1"/>
    </xf>
    <xf numFmtId="10" fontId="5" fillId="0" borderId="16" xfId="1" applyNumberFormat="1" applyFont="1" applyBorder="1" applyAlignment="1" applyProtection="1">
      <alignment horizontal="center" vertical="center"/>
      <protection hidden="1"/>
    </xf>
    <xf numFmtId="10" fontId="12" fillId="0" borderId="16" xfId="1" applyNumberFormat="1" applyFont="1" applyBorder="1" applyAlignment="1" applyProtection="1">
      <alignment horizontal="center" vertical="center"/>
      <protection hidden="1"/>
    </xf>
    <xf numFmtId="15" fontId="5" fillId="0" borderId="0" xfId="0" applyNumberFormat="1" applyFont="1" applyAlignment="1" applyProtection="1">
      <alignment vertical="center"/>
      <protection hidden="1"/>
    </xf>
    <xf numFmtId="0" fontId="5" fillId="0" borderId="3" xfId="0" applyFont="1" applyBorder="1"/>
    <xf numFmtId="0" fontId="5" fillId="0" borderId="3" xfId="0" applyFont="1" applyBorder="1" applyAlignment="1">
      <alignment horizontal="center"/>
    </xf>
    <xf numFmtId="0" fontId="5" fillId="17" borderId="3" xfId="0" applyFont="1" applyFill="1" applyBorder="1"/>
    <xf numFmtId="0" fontId="5" fillId="0" borderId="3" xfId="0" applyFont="1" applyBorder="1" applyAlignment="1">
      <alignment horizontal="left" indent="1"/>
    </xf>
    <xf numFmtId="9" fontId="7" fillId="2" borderId="3" xfId="1" applyFont="1" applyFill="1" applyBorder="1" applyAlignment="1">
      <alignment horizontal="center" vertical="center" wrapText="1"/>
    </xf>
    <xf numFmtId="17" fontId="7" fillId="2" borderId="3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65" fontId="8" fillId="4" borderId="22" xfId="1" applyNumberFormat="1" applyFont="1" applyFill="1" applyBorder="1" applyAlignment="1">
      <alignment horizontal="center" vertical="center" wrapText="1"/>
    </xf>
    <xf numFmtId="165" fontId="5" fillId="0" borderId="0" xfId="1" applyNumberFormat="1" applyFont="1"/>
    <xf numFmtId="164" fontId="5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hidden="1"/>
    </xf>
    <xf numFmtId="0" fontId="19" fillId="0" borderId="0" xfId="0" applyFont="1" applyAlignment="1">
      <alignment horizontal="center" vertical="center"/>
    </xf>
    <xf numFmtId="173" fontId="12" fillId="0" borderId="0" xfId="0" applyNumberFormat="1" applyFont="1" applyAlignment="1" applyProtection="1">
      <alignment horizontal="center" vertical="center"/>
      <protection hidden="1"/>
    </xf>
    <xf numFmtId="14" fontId="12" fillId="0" borderId="0" xfId="0" applyNumberFormat="1" applyFont="1" applyAlignment="1" applyProtection="1">
      <alignment horizontal="center"/>
      <protection hidden="1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16" fillId="0" borderId="0" xfId="0" applyNumberFormat="1" applyFont="1" applyAlignment="1">
      <alignment horizontal="center"/>
    </xf>
    <xf numFmtId="165" fontId="16" fillId="0" borderId="0" xfId="1" applyNumberFormat="1" applyFont="1" applyFill="1" applyAlignment="1" applyProtection="1">
      <alignment horizontal="center" vertical="center"/>
      <protection hidden="1"/>
    </xf>
    <xf numFmtId="0" fontId="27" fillId="0" borderId="0" xfId="0" applyFont="1"/>
    <xf numFmtId="2" fontId="5" fillId="0" borderId="16" xfId="0" applyNumberFormat="1" applyFont="1" applyBorder="1" applyAlignment="1">
      <alignment horizontal="center" vertical="center" wrapText="1"/>
    </xf>
    <xf numFmtId="169" fontId="5" fillId="8" borderId="29" xfId="0" applyNumberFormat="1" applyFont="1" applyFill="1" applyBorder="1" applyAlignment="1">
      <alignment horizontal="center" vertical="center" wrapText="1"/>
    </xf>
    <xf numFmtId="4" fontId="5" fillId="8" borderId="29" xfId="0" applyNumberFormat="1" applyFont="1" applyFill="1" applyBorder="1" applyAlignment="1">
      <alignment horizontal="center" vertical="center" wrapText="1"/>
    </xf>
    <xf numFmtId="10" fontId="5" fillId="8" borderId="37" xfId="0" applyNumberFormat="1" applyFont="1" applyFill="1" applyBorder="1" applyAlignment="1">
      <alignment horizontal="center" vertical="center" wrapText="1"/>
    </xf>
    <xf numFmtId="17" fontId="5" fillId="8" borderId="29" xfId="0" applyNumberFormat="1" applyFont="1" applyFill="1" applyBorder="1" applyAlignment="1">
      <alignment horizontal="center" vertical="center" wrapText="1"/>
    </xf>
    <xf numFmtId="0" fontId="5" fillId="0" borderId="38" xfId="0" applyFont="1" applyBorder="1" applyAlignment="1">
      <alignment horizontal="center" wrapText="1"/>
    </xf>
    <xf numFmtId="0" fontId="19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4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165" fontId="7" fillId="5" borderId="27" xfId="0" applyNumberFormat="1" applyFont="1" applyFill="1" applyBorder="1" applyAlignment="1">
      <alignment horizontal="center" vertical="center" wrapText="1"/>
    </xf>
    <xf numFmtId="165" fontId="7" fillId="5" borderId="57" xfId="0" applyNumberFormat="1" applyFont="1" applyFill="1" applyBorder="1" applyAlignment="1">
      <alignment horizontal="center" vertical="center" wrapText="1"/>
    </xf>
    <xf numFmtId="9" fontId="8" fillId="4" borderId="29" xfId="1" applyFont="1" applyFill="1" applyBorder="1" applyAlignment="1">
      <alignment horizontal="center" vertical="center" wrapText="1"/>
    </xf>
    <xf numFmtId="10" fontId="8" fillId="4" borderId="58" xfId="0" applyNumberFormat="1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15" fontId="7" fillId="5" borderId="3" xfId="0" applyNumberFormat="1" applyFont="1" applyFill="1" applyBorder="1" applyAlignment="1">
      <alignment horizontal="center" vertical="center" wrapText="1"/>
    </xf>
    <xf numFmtId="165" fontId="7" fillId="5" borderId="3" xfId="0" applyNumberFormat="1" applyFont="1" applyFill="1" applyBorder="1" applyAlignment="1">
      <alignment horizontal="center" vertical="center" wrapText="1"/>
    </xf>
    <xf numFmtId="15" fontId="9" fillId="4" borderId="3" xfId="0" applyNumberFormat="1" applyFont="1" applyFill="1" applyBorder="1" applyAlignment="1">
      <alignment horizontal="center" vertical="center" wrapText="1"/>
    </xf>
    <xf numFmtId="9" fontId="8" fillId="4" borderId="3" xfId="1" applyFont="1" applyFill="1" applyBorder="1" applyAlignment="1">
      <alignment horizontal="center" vertical="center" wrapText="1"/>
    </xf>
    <xf numFmtId="10" fontId="8" fillId="4" borderId="3" xfId="0" applyNumberFormat="1" applyFont="1" applyFill="1" applyBorder="1" applyAlignment="1">
      <alignment horizontal="center" vertical="center" wrapText="1"/>
    </xf>
    <xf numFmtId="10" fontId="5" fillId="6" borderId="29" xfId="0" applyNumberFormat="1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/>
    </xf>
    <xf numFmtId="10" fontId="5" fillId="0" borderId="29" xfId="0" applyNumberFormat="1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/>
    </xf>
    <xf numFmtId="17" fontId="5" fillId="0" borderId="29" xfId="0" applyNumberFormat="1" applyFont="1" applyBorder="1" applyAlignment="1">
      <alignment horizontal="center" vertical="center" wrapText="1"/>
    </xf>
    <xf numFmtId="10" fontId="12" fillId="0" borderId="28" xfId="1" applyNumberFormat="1" applyFont="1" applyFill="1" applyBorder="1" applyAlignment="1">
      <alignment horizontal="center"/>
    </xf>
    <xf numFmtId="0" fontId="5" fillId="0" borderId="28" xfId="0" applyFont="1" applyBorder="1" applyAlignment="1">
      <alignment horizontal="center" wrapText="1"/>
    </xf>
    <xf numFmtId="10" fontId="5" fillId="6" borderId="29" xfId="0" applyNumberFormat="1" applyFont="1" applyFill="1" applyBorder="1" applyAlignment="1">
      <alignment horizontal="center"/>
    </xf>
    <xf numFmtId="10" fontId="7" fillId="5" borderId="31" xfId="1" applyNumberFormat="1" applyFont="1" applyFill="1" applyBorder="1" applyAlignment="1">
      <alignment horizontal="center" vertical="center" wrapText="1"/>
    </xf>
    <xf numFmtId="2" fontId="16" fillId="0" borderId="0" xfId="1" applyNumberFormat="1" applyFont="1" applyAlignment="1" applyProtection="1">
      <alignment horizontal="center" vertical="center"/>
      <protection hidden="1"/>
    </xf>
    <xf numFmtId="9" fontId="7" fillId="5" borderId="25" xfId="1" applyFont="1" applyFill="1" applyBorder="1" applyAlignment="1">
      <alignment horizontal="center" vertical="center" wrapText="1"/>
    </xf>
    <xf numFmtId="0" fontId="5" fillId="0" borderId="0" xfId="0" applyFont="1" applyProtection="1">
      <protection hidden="1"/>
    </xf>
    <xf numFmtId="2" fontId="5" fillId="0" borderId="0" xfId="0" applyNumberFormat="1" applyFont="1" applyAlignment="1" applyProtection="1">
      <alignment vertical="center"/>
      <protection hidden="1"/>
    </xf>
    <xf numFmtId="173" fontId="12" fillId="0" borderId="0" xfId="0" applyNumberFormat="1" applyFont="1" applyProtection="1">
      <protection hidden="1"/>
    </xf>
    <xf numFmtId="0" fontId="5" fillId="1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4" fontId="0" fillId="0" borderId="0" xfId="0" applyNumberFormat="1"/>
    <xf numFmtId="4" fontId="12" fillId="0" borderId="0" xfId="0" applyNumberFormat="1" applyFont="1" applyAlignment="1" applyProtection="1">
      <alignment horizontal="center"/>
      <protection hidden="1"/>
    </xf>
    <xf numFmtId="4" fontId="12" fillId="0" borderId="0" xfId="0" applyNumberFormat="1" applyFont="1" applyAlignment="1" applyProtection="1">
      <alignment horizontal="center" vertical="center"/>
      <protection hidden="1"/>
    </xf>
    <xf numFmtId="165" fontId="12" fillId="0" borderId="23" xfId="1" applyNumberFormat="1" applyFont="1" applyFill="1" applyBorder="1" applyAlignment="1">
      <alignment horizontal="center" vertical="center" wrapText="1"/>
    </xf>
    <xf numFmtId="165" fontId="5" fillId="0" borderId="41" xfId="1" applyNumberFormat="1" applyFont="1" applyBorder="1" applyAlignment="1">
      <alignment horizontal="center" vertical="center" wrapText="1"/>
    </xf>
    <xf numFmtId="165" fontId="26" fillId="0" borderId="41" xfId="1" applyNumberFormat="1" applyFont="1" applyBorder="1" applyAlignment="1">
      <alignment horizontal="center" vertical="center" wrapText="1"/>
    </xf>
    <xf numFmtId="165" fontId="26" fillId="0" borderId="23" xfId="1" applyNumberFormat="1" applyFont="1" applyFill="1" applyBorder="1" applyAlignment="1">
      <alignment horizontal="center" vertical="center" wrapText="1"/>
    </xf>
    <xf numFmtId="38" fontId="12" fillId="0" borderId="0" xfId="0" applyNumberFormat="1" applyFont="1" applyAlignment="1" applyProtection="1">
      <alignment horizontal="center" vertical="center"/>
      <protection hidden="1"/>
    </xf>
    <xf numFmtId="38" fontId="5" fillId="0" borderId="0" xfId="0" applyNumberFormat="1" applyFont="1" applyAlignment="1" applyProtection="1">
      <alignment horizontal="center" vertical="center"/>
      <protection hidden="1"/>
    </xf>
    <xf numFmtId="2" fontId="5" fillId="0" borderId="0" xfId="0" applyNumberFormat="1" applyFont="1" applyProtection="1">
      <protection hidden="1"/>
    </xf>
    <xf numFmtId="0" fontId="27" fillId="0" borderId="0" xfId="0" applyFont="1" applyAlignment="1">
      <alignment horizontal="center"/>
    </xf>
    <xf numFmtId="165" fontId="5" fillId="0" borderId="3" xfId="1" applyNumberFormat="1" applyFont="1" applyBorder="1" applyAlignment="1">
      <alignment horizontal="center"/>
    </xf>
    <xf numFmtId="2" fontId="2" fillId="4" borderId="22" xfId="0" applyNumberFormat="1" applyFont="1" applyFill="1" applyBorder="1" applyAlignment="1">
      <alignment horizontal="center" vertical="center" wrapText="1"/>
    </xf>
    <xf numFmtId="10" fontId="2" fillId="4" borderId="22" xfId="1" applyNumberFormat="1" applyFont="1" applyFill="1" applyBorder="1" applyAlignment="1">
      <alignment horizontal="center" vertical="center" wrapText="1"/>
    </xf>
    <xf numFmtId="168" fontId="5" fillId="0" borderId="3" xfId="1" applyNumberFormat="1" applyFont="1" applyBorder="1" applyAlignment="1">
      <alignment horizontal="center" vertical="center"/>
    </xf>
    <xf numFmtId="165" fontId="5" fillId="0" borderId="0" xfId="0" applyNumberFormat="1" applyFont="1"/>
    <xf numFmtId="165" fontId="5" fillId="17" borderId="3" xfId="1" applyNumberFormat="1" applyFont="1" applyFill="1" applyBorder="1" applyAlignment="1">
      <alignment horizontal="center" vertical="center"/>
    </xf>
    <xf numFmtId="1" fontId="5" fillId="17" borderId="3" xfId="0" applyNumberFormat="1" applyFont="1" applyFill="1" applyBorder="1" applyAlignment="1">
      <alignment horizontal="center"/>
    </xf>
    <xf numFmtId="15" fontId="5" fillId="0" borderId="0" xfId="0" applyNumberFormat="1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/>
      <protection hidden="1"/>
    </xf>
    <xf numFmtId="10" fontId="5" fillId="0" borderId="41" xfId="0" applyNumberFormat="1" applyFont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/>
    </xf>
    <xf numFmtId="0" fontId="8" fillId="4" borderId="4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1" fontId="5" fillId="0" borderId="3" xfId="0" applyNumberFormat="1" applyFont="1" applyBorder="1" applyAlignment="1">
      <alignment horizontal="center" vertical="center"/>
    </xf>
    <xf numFmtId="165" fontId="8" fillId="4" borderId="3" xfId="1" applyNumberFormat="1" applyFont="1" applyFill="1" applyBorder="1" applyAlignment="1">
      <alignment horizontal="center" vertical="center"/>
    </xf>
    <xf numFmtId="165" fontId="5" fillId="0" borderId="41" xfId="1" quotePrefix="1" applyNumberFormat="1" applyFont="1" applyBorder="1" applyAlignment="1">
      <alignment horizontal="center" vertical="center" wrapText="1"/>
    </xf>
    <xf numFmtId="0" fontId="19" fillId="12" borderId="21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72" fontId="16" fillId="0" borderId="0" xfId="0" applyNumberFormat="1" applyFont="1" applyAlignment="1">
      <alignment horizontal="center" vertical="center"/>
    </xf>
    <xf numFmtId="172" fontId="16" fillId="0" borderId="0" xfId="19" applyNumberFormat="1" applyFont="1" applyFill="1" applyBorder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/>
    </xf>
    <xf numFmtId="172" fontId="16" fillId="0" borderId="4" xfId="19" applyNumberFormat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164" fontId="8" fillId="4" borderId="3" xfId="0" applyNumberFormat="1" applyFont="1" applyFill="1" applyBorder="1" applyAlignment="1">
      <alignment horizontal="center" vertical="center" wrapText="1"/>
    </xf>
    <xf numFmtId="0" fontId="19" fillId="4" borderId="2" xfId="0" applyFont="1" applyFill="1" applyBorder="1" applyAlignment="1" applyProtection="1">
      <alignment horizontal="center" vertical="center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8" fillId="4" borderId="2" xfId="0" applyFont="1" applyFill="1" applyBorder="1" applyAlignment="1" applyProtection="1">
      <alignment horizontal="center" vertical="center"/>
      <protection hidden="1"/>
    </xf>
    <xf numFmtId="0" fontId="11" fillId="5" borderId="3" xfId="0" applyFont="1" applyFill="1" applyBorder="1" applyAlignment="1">
      <alignment horizontal="center" vertical="center"/>
    </xf>
    <xf numFmtId="0" fontId="5" fillId="0" borderId="56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165" fontId="5" fillId="0" borderId="0" xfId="1" applyNumberFormat="1" applyFont="1" applyBorder="1" applyAlignment="1">
      <alignment horizontal="center"/>
    </xf>
    <xf numFmtId="165" fontId="5" fillId="0" borderId="34" xfId="1" applyNumberFormat="1" applyFont="1" applyBorder="1" applyAlignment="1">
      <alignment horizontal="center"/>
    </xf>
    <xf numFmtId="0" fontId="8" fillId="4" borderId="60" xfId="0" applyFont="1" applyFill="1" applyBorder="1" applyAlignment="1">
      <alignment horizontal="center"/>
    </xf>
    <xf numFmtId="3" fontId="8" fillId="4" borderId="4" xfId="0" applyNumberFormat="1" applyFont="1" applyFill="1" applyBorder="1" applyAlignment="1">
      <alignment horizontal="center"/>
    </xf>
    <xf numFmtId="165" fontId="8" fillId="4" borderId="4" xfId="1" applyNumberFormat="1" applyFont="1" applyFill="1" applyBorder="1" applyAlignment="1">
      <alignment horizontal="center"/>
    </xf>
    <xf numFmtId="165" fontId="8" fillId="4" borderId="35" xfId="1" applyNumberFormat="1" applyFont="1" applyFill="1" applyBorder="1" applyAlignment="1">
      <alignment horizontal="center"/>
    </xf>
    <xf numFmtId="0" fontId="7" fillId="5" borderId="61" xfId="0" applyFont="1" applyFill="1" applyBorder="1" applyAlignment="1">
      <alignment horizontal="center" vertical="center" wrapText="1"/>
    </xf>
    <xf numFmtId="0" fontId="7" fillId="5" borderId="56" xfId="0" applyFont="1" applyFill="1" applyBorder="1" applyAlignment="1">
      <alignment horizontal="center" vertical="center" wrapText="1"/>
    </xf>
    <xf numFmtId="15" fontId="7" fillId="5" borderId="56" xfId="0" applyNumberFormat="1" applyFont="1" applyFill="1" applyBorder="1" applyAlignment="1">
      <alignment horizontal="center" vertical="center" wrapText="1"/>
    </xf>
    <xf numFmtId="165" fontId="7" fillId="5" borderId="56" xfId="0" applyNumberFormat="1" applyFont="1" applyFill="1" applyBorder="1" applyAlignment="1">
      <alignment horizontal="center" vertical="center" wrapText="1"/>
    </xf>
    <xf numFmtId="0" fontId="7" fillId="5" borderId="55" xfId="0" applyFont="1" applyFill="1" applyBorder="1" applyAlignment="1">
      <alignment horizontal="center" vertical="center" wrapText="1"/>
    </xf>
    <xf numFmtId="165" fontId="8" fillId="4" borderId="23" xfId="0" applyNumberFormat="1" applyFont="1" applyFill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/>
    </xf>
    <xf numFmtId="0" fontId="12" fillId="0" borderId="59" xfId="0" applyFont="1" applyBorder="1" applyAlignment="1" applyProtection="1">
      <alignment horizontal="center" vertical="center"/>
      <protection hidden="1"/>
    </xf>
    <xf numFmtId="165" fontId="5" fillId="0" borderId="34" xfId="1" quotePrefix="1" applyNumberFormat="1" applyFont="1" applyBorder="1" applyAlignment="1">
      <alignment horizontal="center" vertical="center" wrapText="1"/>
    </xf>
    <xf numFmtId="4" fontId="5" fillId="0" borderId="0" xfId="0" applyNumberFormat="1" applyFont="1"/>
    <xf numFmtId="0" fontId="18" fillId="14" borderId="61" xfId="0" applyFont="1" applyFill="1" applyBorder="1" applyAlignment="1">
      <alignment horizontal="center" vertical="center"/>
    </xf>
    <xf numFmtId="0" fontId="18" fillId="14" borderId="56" xfId="0" applyFont="1" applyFill="1" applyBorder="1" applyAlignment="1">
      <alignment horizontal="center" vertical="center" wrapText="1"/>
    </xf>
    <xf numFmtId="0" fontId="18" fillId="14" borderId="56" xfId="0" applyFont="1" applyFill="1" applyBorder="1" applyAlignment="1">
      <alignment horizontal="center" vertical="center"/>
    </xf>
    <xf numFmtId="0" fontId="18" fillId="14" borderId="55" xfId="0" applyFont="1" applyFill="1" applyBorder="1" applyAlignment="1">
      <alignment horizontal="center" vertical="center" wrapText="1"/>
    </xf>
    <xf numFmtId="172" fontId="16" fillId="12" borderId="0" xfId="19" applyNumberFormat="1" applyFont="1" applyFill="1" applyBorder="1" applyAlignment="1">
      <alignment horizontal="center" vertical="center"/>
    </xf>
    <xf numFmtId="172" fontId="16" fillId="12" borderId="0" xfId="0" applyNumberFormat="1" applyFont="1" applyFill="1" applyAlignment="1">
      <alignment horizontal="center" vertical="center"/>
    </xf>
    <xf numFmtId="165" fontId="16" fillId="12" borderId="0" xfId="1" applyNumberFormat="1" applyFont="1" applyFill="1" applyBorder="1" applyAlignment="1">
      <alignment horizontal="center" vertical="center"/>
    </xf>
    <xf numFmtId="165" fontId="16" fillId="0" borderId="0" xfId="1" applyNumberFormat="1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5" fillId="0" borderId="56" xfId="0" applyFont="1" applyBorder="1" applyAlignment="1" applyProtection="1">
      <alignment horizontal="center" vertical="center"/>
      <protection hidden="1"/>
    </xf>
    <xf numFmtId="0" fontId="5" fillId="0" borderId="5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5" fillId="8" borderId="28" xfId="0" applyFont="1" applyFill="1" applyBorder="1" applyAlignment="1">
      <alignment horizontal="center" vertical="center"/>
    </xf>
    <xf numFmtId="0" fontId="5" fillId="8" borderId="28" xfId="0" applyFont="1" applyFill="1" applyBorder="1" applyAlignment="1">
      <alignment horizontal="center"/>
    </xf>
    <xf numFmtId="0" fontId="5" fillId="6" borderId="28" xfId="0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/>
    </xf>
    <xf numFmtId="0" fontId="5" fillId="0" borderId="34" xfId="0" applyFont="1" applyBorder="1" applyAlignment="1">
      <alignment horizontal="center" vertical="center"/>
    </xf>
    <xf numFmtId="0" fontId="5" fillId="8" borderId="2" xfId="0" applyFont="1" applyFill="1" applyBorder="1" applyAlignment="1" applyProtection="1">
      <alignment horizontal="center" vertical="center"/>
      <protection hidden="1"/>
    </xf>
    <xf numFmtId="168" fontId="13" fillId="0" borderId="0" xfId="0" applyNumberFormat="1" applyFont="1" applyAlignment="1">
      <alignment horizontal="center"/>
    </xf>
    <xf numFmtId="170" fontId="5" fillId="0" borderId="0" xfId="19" applyNumberFormat="1" applyFont="1" applyBorder="1" applyAlignment="1">
      <alignment horizontal="center"/>
    </xf>
    <xf numFmtId="170" fontId="5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0" fontId="0" fillId="0" borderId="56" xfId="0" applyBorder="1" applyAlignment="1">
      <alignment horizontal="center"/>
    </xf>
    <xf numFmtId="0" fontId="0" fillId="0" borderId="0" xfId="0" applyAlignment="1">
      <alignment horizontal="center"/>
    </xf>
    <xf numFmtId="174" fontId="0" fillId="0" borderId="0" xfId="0" applyNumberFormat="1" applyAlignment="1">
      <alignment horizontal="center"/>
    </xf>
    <xf numFmtId="0" fontId="5" fillId="0" borderId="28" xfId="0" applyFont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wrapText="1"/>
    </xf>
    <xf numFmtId="0" fontId="5" fillId="0" borderId="62" xfId="0" applyFont="1" applyBorder="1" applyAlignment="1">
      <alignment horizontal="center"/>
    </xf>
    <xf numFmtId="10" fontId="7" fillId="5" borderId="63" xfId="1" applyNumberFormat="1" applyFont="1" applyFill="1" applyBorder="1" applyAlignment="1">
      <alignment horizontal="center" vertical="center" wrapText="1"/>
    </xf>
    <xf numFmtId="0" fontId="5" fillId="6" borderId="53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left" vertical="center"/>
    </xf>
    <xf numFmtId="0" fontId="32" fillId="0" borderId="3" xfId="30" applyFont="1" applyBorder="1" applyAlignment="1">
      <alignment horizontal="center" vertical="center"/>
    </xf>
    <xf numFmtId="165" fontId="5" fillId="0" borderId="3" xfId="1" applyNumberFormat="1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8" fillId="0" borderId="0" xfId="0" applyFont="1"/>
    <xf numFmtId="0" fontId="5" fillId="0" borderId="3" xfId="0" quotePrefix="1" applyFont="1" applyBorder="1" applyAlignment="1">
      <alignment horizontal="center" vertical="center"/>
    </xf>
    <xf numFmtId="0" fontId="33" fillId="0" borderId="64" xfId="0" applyFont="1" applyBorder="1" applyAlignment="1">
      <alignment horizontal="center" vertical="center"/>
    </xf>
    <xf numFmtId="165" fontId="5" fillId="0" borderId="3" xfId="1" quotePrefix="1" applyNumberFormat="1" applyFont="1" applyBorder="1" applyAlignment="1">
      <alignment horizontal="center" vertical="center"/>
    </xf>
    <xf numFmtId="0" fontId="34" fillId="0" borderId="0" xfId="0" applyFont="1"/>
    <xf numFmtId="10" fontId="34" fillId="0" borderId="0" xfId="0" applyNumberFormat="1" applyFont="1"/>
    <xf numFmtId="0" fontId="33" fillId="0" borderId="64" xfId="0" applyFont="1" applyBorder="1" applyAlignment="1">
      <alignment horizontal="center" vertical="center" wrapText="1"/>
    </xf>
    <xf numFmtId="164" fontId="12" fillId="0" borderId="0" xfId="0" applyNumberFormat="1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16" fillId="0" borderId="0" xfId="0" applyFont="1" applyAlignment="1">
      <alignment wrapText="1"/>
    </xf>
    <xf numFmtId="165" fontId="5" fillId="0" borderId="49" xfId="1" applyNumberFormat="1" applyFont="1" applyBorder="1" applyAlignment="1">
      <alignment horizontal="center" vertical="center"/>
    </xf>
    <xf numFmtId="165" fontId="8" fillId="4" borderId="49" xfId="1" applyNumberFormat="1" applyFont="1" applyFill="1" applyBorder="1" applyAlignment="1">
      <alignment horizontal="center" vertical="center"/>
    </xf>
    <xf numFmtId="165" fontId="7" fillId="11" borderId="50" xfId="1" applyNumberFormat="1" applyFont="1" applyFill="1" applyBorder="1" applyAlignment="1">
      <alignment horizontal="center" vertical="center"/>
    </xf>
    <xf numFmtId="165" fontId="7" fillId="11" borderId="51" xfId="1" applyNumberFormat="1" applyFont="1" applyFill="1" applyBorder="1" applyAlignment="1">
      <alignment horizontal="center" vertical="center"/>
    </xf>
    <xf numFmtId="165" fontId="8" fillId="4" borderId="46" xfId="1" applyNumberFormat="1" applyFont="1" applyFill="1" applyBorder="1" applyAlignment="1">
      <alignment horizontal="center" vertical="center"/>
    </xf>
    <xf numFmtId="165" fontId="5" fillId="0" borderId="46" xfId="1" applyNumberFormat="1" applyFont="1" applyBorder="1" applyAlignment="1">
      <alignment horizontal="center" vertical="center"/>
    </xf>
    <xf numFmtId="165" fontId="7" fillId="5" borderId="47" xfId="1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165" fontId="16" fillId="12" borderId="0" xfId="0" applyNumberFormat="1" applyFont="1" applyFill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5" fontId="16" fillId="0" borderId="4" xfId="1" applyNumberFormat="1" applyFont="1" applyFill="1" applyBorder="1" applyAlignment="1">
      <alignment horizontal="center" vertical="center"/>
    </xf>
    <xf numFmtId="165" fontId="16" fillId="0" borderId="4" xfId="0" applyNumberFormat="1" applyFont="1" applyBorder="1" applyAlignment="1">
      <alignment horizontal="center" vertical="center"/>
    </xf>
    <xf numFmtId="165" fontId="16" fillId="12" borderId="34" xfId="1" applyNumberFormat="1" applyFont="1" applyFill="1" applyBorder="1" applyAlignment="1">
      <alignment horizontal="center" vertical="center"/>
    </xf>
    <xf numFmtId="165" fontId="16" fillId="0" borderId="34" xfId="1" applyNumberFormat="1" applyFont="1" applyFill="1" applyBorder="1" applyAlignment="1">
      <alignment horizontal="center" vertical="center"/>
    </xf>
    <xf numFmtId="165" fontId="16" fillId="0" borderId="34" xfId="1" applyNumberFormat="1" applyFont="1" applyFill="1" applyBorder="1" applyAlignment="1">
      <alignment horizontal="center" vertical="center" wrapText="1"/>
    </xf>
    <xf numFmtId="165" fontId="16" fillId="13" borderId="34" xfId="1" applyNumberFormat="1" applyFont="1" applyFill="1" applyBorder="1" applyAlignment="1">
      <alignment horizontal="center" vertical="center"/>
    </xf>
    <xf numFmtId="165" fontId="16" fillId="0" borderId="35" xfId="1" applyNumberFormat="1" applyFont="1" applyFill="1" applyBorder="1" applyAlignment="1">
      <alignment horizontal="center" vertical="center"/>
    </xf>
    <xf numFmtId="0" fontId="17" fillId="0" borderId="0" xfId="0" applyFont="1"/>
    <xf numFmtId="165" fontId="16" fillId="13" borderId="34" xfId="1" applyNumberFormat="1" applyFont="1" applyFill="1" applyBorder="1" applyAlignment="1">
      <alignment vertical="center" wrapText="1"/>
    </xf>
    <xf numFmtId="165" fontId="16" fillId="0" borderId="0" xfId="1" applyNumberFormat="1" applyFont="1" applyFill="1" applyBorder="1" applyAlignment="1">
      <alignment vertical="center" wrapText="1"/>
    </xf>
    <xf numFmtId="164" fontId="7" fillId="5" borderId="25" xfId="0" applyNumberFormat="1" applyFont="1" applyFill="1" applyBorder="1" applyAlignment="1">
      <alignment horizontal="center" vertical="center" wrapText="1"/>
    </xf>
    <xf numFmtId="4" fontId="0" fillId="0" borderId="56" xfId="0" applyNumberFormat="1" applyBorder="1" applyAlignment="1">
      <alignment horizontal="center"/>
    </xf>
    <xf numFmtId="164" fontId="8" fillId="4" borderId="29" xfId="0" applyNumberFormat="1" applyFont="1" applyFill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 wrapText="1"/>
    </xf>
    <xf numFmtId="164" fontId="5" fillId="6" borderId="29" xfId="0" applyNumberFormat="1" applyFont="1" applyFill="1" applyBorder="1" applyAlignment="1">
      <alignment horizontal="center" vertical="center" wrapText="1"/>
    </xf>
    <xf numFmtId="164" fontId="7" fillId="5" borderId="3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36" fillId="0" borderId="0" xfId="0" applyFont="1"/>
    <xf numFmtId="0" fontId="7" fillId="5" borderId="3" xfId="0" applyFont="1" applyFill="1" applyBorder="1" applyAlignment="1">
      <alignment horizontal="center" vertical="center"/>
    </xf>
    <xf numFmtId="169" fontId="5" fillId="19" borderId="16" xfId="0" applyNumberFormat="1" applyFont="1" applyFill="1" applyBorder="1" applyAlignment="1">
      <alignment horizontal="center" vertical="center" wrapText="1"/>
    </xf>
    <xf numFmtId="0" fontId="33" fillId="0" borderId="64" xfId="0" applyFont="1" applyBorder="1" applyAlignment="1">
      <alignment horizontal="left" vertical="center" wrapText="1"/>
    </xf>
    <xf numFmtId="0" fontId="7" fillId="5" borderId="65" xfId="0" applyFont="1" applyFill="1" applyBorder="1" applyAlignment="1">
      <alignment horizontal="center" vertical="center"/>
    </xf>
    <xf numFmtId="0" fontId="7" fillId="5" borderId="66" xfId="0" applyFont="1" applyFill="1" applyBorder="1" applyAlignment="1">
      <alignment horizontal="center" vertical="center"/>
    </xf>
    <xf numFmtId="169" fontId="10" fillId="5" borderId="67" xfId="0" applyNumberFormat="1" applyFont="1" applyFill="1" applyBorder="1" applyAlignment="1">
      <alignment horizontal="center" vertical="center" wrapText="1"/>
    </xf>
    <xf numFmtId="3" fontId="7" fillId="5" borderId="67" xfId="0" applyNumberFormat="1" applyFont="1" applyFill="1" applyBorder="1" applyAlignment="1">
      <alignment horizontal="center" vertical="center" wrapText="1"/>
    </xf>
    <xf numFmtId="4" fontId="7" fillId="5" borderId="67" xfId="0" applyNumberFormat="1" applyFont="1" applyFill="1" applyBorder="1" applyAlignment="1">
      <alignment horizontal="center" vertical="center" wrapText="1"/>
    </xf>
    <xf numFmtId="9" fontId="7" fillId="5" borderId="67" xfId="1" applyFont="1" applyFill="1" applyBorder="1" applyAlignment="1">
      <alignment horizontal="center" vertical="center" wrapText="1"/>
    </xf>
    <xf numFmtId="165" fontId="7" fillId="5" borderId="67" xfId="1" applyNumberFormat="1" applyFont="1" applyFill="1" applyBorder="1" applyAlignment="1">
      <alignment horizontal="center" vertical="center" wrapText="1"/>
    </xf>
    <xf numFmtId="0" fontId="5" fillId="18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26" fillId="0" borderId="0" xfId="0" applyFont="1" applyAlignment="1">
      <alignment horizontal="center" vertical="center"/>
    </xf>
    <xf numFmtId="17" fontId="26" fillId="0" borderId="0" xfId="0" applyNumberFormat="1" applyFont="1" applyAlignment="1">
      <alignment horizontal="center" vertical="center"/>
    </xf>
    <xf numFmtId="43" fontId="26" fillId="0" borderId="0" xfId="19" applyFont="1" applyBorder="1" applyAlignment="1">
      <alignment horizontal="center" vertical="center"/>
    </xf>
    <xf numFmtId="14" fontId="26" fillId="0" borderId="0" xfId="0" applyNumberFormat="1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 applyProtection="1">
      <alignment horizontal="center"/>
      <protection hidden="1"/>
    </xf>
    <xf numFmtId="0" fontId="15" fillId="0" borderId="0" xfId="0" applyFont="1"/>
    <xf numFmtId="168" fontId="5" fillId="0" borderId="3" xfId="0" quotePrefix="1" applyNumberFormat="1" applyFont="1" applyBorder="1" applyAlignment="1">
      <alignment horizontal="center" vertical="center"/>
    </xf>
    <xf numFmtId="0" fontId="25" fillId="0" borderId="59" xfId="0" applyFont="1" applyBorder="1" applyAlignment="1">
      <alignment horizontal="center" vertical="center"/>
    </xf>
    <xf numFmtId="168" fontId="5" fillId="0" borderId="0" xfId="0" applyNumberFormat="1" applyFont="1" applyAlignment="1">
      <alignment vertical="center"/>
    </xf>
    <xf numFmtId="0" fontId="5" fillId="0" borderId="34" xfId="0" applyFont="1" applyBorder="1" applyAlignment="1">
      <alignment vertical="center"/>
    </xf>
    <xf numFmtId="0" fontId="5" fillId="0" borderId="59" xfId="0" quotePrefix="1" applyFont="1" applyBorder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165" fontId="5" fillId="0" borderId="0" xfId="1" applyNumberFormat="1" applyFont="1" applyBorder="1" applyAlignment="1">
      <alignment vertical="center"/>
    </xf>
    <xf numFmtId="165" fontId="5" fillId="0" borderId="34" xfId="1" applyNumberFormat="1" applyFont="1" applyBorder="1" applyAlignment="1">
      <alignment vertical="center"/>
    </xf>
    <xf numFmtId="9" fontId="5" fillId="0" borderId="0" xfId="1" applyFont="1" applyBorder="1" applyAlignment="1">
      <alignment vertical="center"/>
    </xf>
    <xf numFmtId="9" fontId="8" fillId="4" borderId="4" xfId="1" applyFont="1" applyFill="1" applyBorder="1" applyAlignment="1">
      <alignment horizontal="center"/>
    </xf>
    <xf numFmtId="9" fontId="8" fillId="4" borderId="35" xfId="1" applyFont="1" applyFill="1" applyBorder="1" applyAlignment="1">
      <alignment horizontal="center"/>
    </xf>
    <xf numFmtId="170" fontId="8" fillId="4" borderId="4" xfId="19" applyNumberFormat="1" applyFont="1" applyFill="1" applyBorder="1" applyAlignment="1">
      <alignment horizontal="center"/>
    </xf>
    <xf numFmtId="1" fontId="5" fillId="0" borderId="0" xfId="0" applyNumberFormat="1" applyFont="1" applyAlignment="1">
      <alignment vertical="center"/>
    </xf>
    <xf numFmtId="1" fontId="8" fillId="4" borderId="4" xfId="0" applyNumberFormat="1" applyFont="1" applyFill="1" applyBorder="1" applyAlignment="1">
      <alignment horizontal="center"/>
    </xf>
    <xf numFmtId="168" fontId="5" fillId="0" borderId="2" xfId="0" applyNumberFormat="1" applyFont="1" applyBorder="1" applyAlignment="1">
      <alignment horizontal="center" vertical="center"/>
    </xf>
    <xf numFmtId="165" fontId="5" fillId="0" borderId="2" xfId="1" applyNumberFormat="1" applyFont="1" applyFill="1" applyBorder="1" applyAlignment="1">
      <alignment horizontal="center" vertical="center"/>
    </xf>
    <xf numFmtId="168" fontId="7" fillId="5" borderId="24" xfId="0" applyNumberFormat="1" applyFont="1" applyFill="1" applyBorder="1" applyAlignment="1">
      <alignment horizontal="center" vertical="center"/>
    </xf>
    <xf numFmtId="165" fontId="7" fillId="5" borderId="24" xfId="1" applyNumberFormat="1" applyFont="1" applyFill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5" fontId="12" fillId="0" borderId="0" xfId="19" applyNumberFormat="1" applyFont="1" applyAlignment="1" applyProtection="1">
      <alignment horizontal="center" vertical="center"/>
      <protection hidden="1"/>
    </xf>
    <xf numFmtId="15" fontId="12" fillId="0" borderId="0" xfId="19" applyNumberFormat="1" applyFont="1" applyAlignment="1" applyProtection="1">
      <alignment horizontal="center" vertical="center"/>
      <protection hidden="1"/>
    </xf>
    <xf numFmtId="175" fontId="12" fillId="0" borderId="0" xfId="19" applyNumberFormat="1" applyFont="1" applyAlignment="1" applyProtection="1">
      <alignment horizontal="center" vertical="center" wrapText="1"/>
      <protection hidden="1"/>
    </xf>
    <xf numFmtId="0" fontId="8" fillId="20" borderId="3" xfId="0" applyFont="1" applyFill="1" applyBorder="1" applyAlignment="1" applyProtection="1">
      <alignment horizontal="center" vertical="center" wrapText="1"/>
      <protection hidden="1"/>
    </xf>
    <xf numFmtId="15" fontId="8" fillId="20" borderId="3" xfId="0" applyNumberFormat="1" applyFont="1" applyFill="1" applyBorder="1" applyAlignment="1" applyProtection="1">
      <alignment horizontal="center" vertical="center" wrapText="1"/>
      <protection hidden="1"/>
    </xf>
    <xf numFmtId="3" fontId="8" fillId="20" borderId="3" xfId="0" applyNumberFormat="1" applyFont="1" applyFill="1" applyBorder="1" applyAlignment="1" applyProtection="1">
      <alignment horizontal="center" vertical="center" wrapText="1"/>
      <protection hidden="1"/>
    </xf>
    <xf numFmtId="4" fontId="8" fillId="20" borderId="3" xfId="0" applyNumberFormat="1" applyFont="1" applyFill="1" applyBorder="1" applyAlignment="1" applyProtection="1">
      <alignment horizontal="center" vertical="center" wrapText="1"/>
      <protection hidden="1"/>
    </xf>
    <xf numFmtId="38" fontId="8" fillId="20" borderId="3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3" xfId="0" applyFont="1" applyBorder="1" applyAlignment="1" applyProtection="1">
      <alignment horizontal="center" vertical="center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15" fontId="5" fillId="0" borderId="3" xfId="0" applyNumberFormat="1" applyFont="1" applyBorder="1" applyAlignment="1" applyProtection="1">
      <alignment horizontal="center" vertical="center"/>
      <protection hidden="1"/>
    </xf>
    <xf numFmtId="3" fontId="26" fillId="0" borderId="3" xfId="0" applyNumberFormat="1" applyFont="1" applyBorder="1" applyAlignment="1" applyProtection="1">
      <alignment horizontal="center" vertical="center"/>
      <protection hidden="1"/>
    </xf>
    <xf numFmtId="3" fontId="12" fillId="0" borderId="3" xfId="0" applyNumberFormat="1" applyFont="1" applyBorder="1" applyAlignment="1" applyProtection="1">
      <alignment horizontal="center" vertical="center"/>
      <protection hidden="1"/>
    </xf>
    <xf numFmtId="3" fontId="12" fillId="0" borderId="3" xfId="0" applyNumberFormat="1" applyFont="1" applyBorder="1" applyAlignment="1" applyProtection="1">
      <alignment horizontal="center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3" fontId="26" fillId="0" borderId="3" xfId="0" applyNumberFormat="1" applyFont="1" applyBorder="1" applyAlignment="1" applyProtection="1">
      <alignment horizontal="center"/>
      <protection hidden="1"/>
    </xf>
    <xf numFmtId="4" fontId="12" fillId="0" borderId="3" xfId="0" applyNumberFormat="1" applyFont="1" applyBorder="1" applyAlignment="1" applyProtection="1">
      <alignment horizontal="center"/>
      <protection hidden="1"/>
    </xf>
    <xf numFmtId="0" fontId="37" fillId="0" borderId="0" xfId="0" applyFont="1"/>
    <xf numFmtId="0" fontId="38" fillId="0" borderId="0" xfId="0" applyFont="1"/>
    <xf numFmtId="165" fontId="26" fillId="0" borderId="16" xfId="0" applyNumberFormat="1" applyFont="1" applyBorder="1" applyAlignment="1">
      <alignment horizontal="center" vertical="center" wrapText="1"/>
    </xf>
    <xf numFmtId="165" fontId="26" fillId="0" borderId="17" xfId="0" applyNumberFormat="1" applyFont="1" applyBorder="1" applyAlignment="1">
      <alignment horizontal="center" vertical="center" wrapText="1"/>
    </xf>
    <xf numFmtId="4" fontId="7" fillId="2" borderId="19" xfId="0" applyNumberFormat="1" applyFont="1" applyFill="1" applyBorder="1" applyAlignment="1" applyProtection="1">
      <alignment horizontal="center" vertical="center"/>
      <protection hidden="1"/>
    </xf>
    <xf numFmtId="15" fontId="5" fillId="0" borderId="0" xfId="0" applyNumberFormat="1" applyFont="1" applyAlignment="1" applyProtection="1">
      <alignment horizontal="right"/>
      <protection hidden="1"/>
    </xf>
    <xf numFmtId="173" fontId="12" fillId="0" borderId="0" xfId="0" applyNumberFormat="1" applyFont="1" applyAlignment="1" applyProtection="1">
      <alignment horizontal="center" vertical="center" wrapText="1"/>
      <protection hidden="1"/>
    </xf>
    <xf numFmtId="38" fontId="12" fillId="0" borderId="0" xfId="0" applyNumberFormat="1" applyFont="1" applyAlignment="1" applyProtection="1">
      <alignment horizontal="center"/>
      <protection hidden="1"/>
    </xf>
    <xf numFmtId="166" fontId="7" fillId="2" borderId="19" xfId="0" applyNumberFormat="1" applyFont="1" applyFill="1" applyBorder="1" applyAlignment="1" applyProtection="1">
      <alignment horizontal="center" vertical="center"/>
      <protection hidden="1"/>
    </xf>
    <xf numFmtId="166" fontId="7" fillId="0" borderId="19" xfId="0" applyNumberFormat="1" applyFont="1" applyBorder="1" applyAlignment="1" applyProtection="1">
      <alignment horizontal="center" vertical="center"/>
      <protection hidden="1"/>
    </xf>
    <xf numFmtId="2" fontId="5" fillId="0" borderId="0" xfId="0" applyNumberFormat="1" applyFont="1" applyAlignment="1">
      <alignment horizontal="center"/>
    </xf>
    <xf numFmtId="0" fontId="12" fillId="0" borderId="3" xfId="0" applyFont="1" applyBorder="1" applyProtection="1">
      <protection hidden="1"/>
    </xf>
    <xf numFmtId="0" fontId="5" fillId="0" borderId="3" xfId="0" applyFont="1" applyBorder="1" applyAlignment="1" applyProtection="1">
      <alignment vertical="center"/>
      <protection hidden="1"/>
    </xf>
    <xf numFmtId="0" fontId="12" fillId="0" borderId="3" xfId="0" applyFont="1" applyBorder="1" applyAlignment="1" applyProtection="1">
      <alignment horizontal="left" vertical="center"/>
      <protection hidden="1"/>
    </xf>
    <xf numFmtId="15" fontId="5" fillId="0" borderId="3" xfId="0" applyNumberFormat="1" applyFont="1" applyBorder="1" applyAlignment="1" applyProtection="1">
      <alignment vertical="center"/>
      <protection hidden="1"/>
    </xf>
    <xf numFmtId="38" fontId="12" fillId="0" borderId="3" xfId="0" applyNumberFormat="1" applyFont="1" applyBorder="1" applyAlignment="1" applyProtection="1">
      <alignment vertical="center"/>
      <protection hidden="1"/>
    </xf>
    <xf numFmtId="0" fontId="12" fillId="0" borderId="3" xfId="0" applyFont="1" applyBorder="1" applyAlignment="1" applyProtection="1">
      <alignment vertical="center" wrapText="1"/>
      <protection hidden="1"/>
    </xf>
    <xf numFmtId="0" fontId="12" fillId="0" borderId="3" xfId="0" applyFont="1" applyBorder="1" applyAlignment="1" applyProtection="1">
      <alignment horizontal="left" vertical="center" wrapText="1"/>
      <protection hidden="1"/>
    </xf>
    <xf numFmtId="38" fontId="5" fillId="0" borderId="3" xfId="0" applyNumberFormat="1" applyFont="1" applyBorder="1" applyAlignment="1" applyProtection="1">
      <alignment vertical="center"/>
      <protection hidden="1"/>
    </xf>
    <xf numFmtId="0" fontId="12" fillId="0" borderId="3" xfId="0" applyFont="1" applyBorder="1" applyAlignment="1" applyProtection="1">
      <alignment horizontal="left"/>
      <protection hidden="1"/>
    </xf>
    <xf numFmtId="38" fontId="12" fillId="0" borderId="3" xfId="0" applyNumberFormat="1" applyFont="1" applyBorder="1" applyProtection="1">
      <protection hidden="1"/>
    </xf>
    <xf numFmtId="3" fontId="5" fillId="0" borderId="3" xfId="0" applyNumberFormat="1" applyFont="1" applyBorder="1"/>
    <xf numFmtId="38" fontId="5" fillId="0" borderId="3" xfId="0" applyNumberFormat="1" applyFont="1" applyBorder="1" applyAlignment="1" applyProtection="1">
      <alignment vertical="center" wrapText="1"/>
      <protection hidden="1"/>
    </xf>
    <xf numFmtId="0" fontId="12" fillId="21" borderId="3" xfId="0" applyFont="1" applyFill="1" applyBorder="1" applyAlignment="1" applyProtection="1">
      <alignment horizontal="left" vertical="center" wrapText="1"/>
      <protection hidden="1"/>
    </xf>
    <xf numFmtId="4" fontId="5" fillId="0" borderId="3" xfId="0" applyNumberFormat="1" applyFont="1" applyBorder="1" applyAlignment="1" applyProtection="1">
      <alignment vertical="center"/>
      <protection hidden="1"/>
    </xf>
    <xf numFmtId="38" fontId="12" fillId="4" borderId="3" xfId="0" applyNumberFormat="1" applyFont="1" applyFill="1" applyBorder="1" applyAlignment="1" applyProtection="1">
      <alignment vertical="center" wrapText="1"/>
      <protection hidden="1"/>
    </xf>
    <xf numFmtId="3" fontId="26" fillId="0" borderId="3" xfId="0" applyNumberFormat="1" applyFont="1" applyBorder="1" applyAlignment="1" applyProtection="1">
      <alignment vertical="center" wrapText="1"/>
      <protection hidden="1"/>
    </xf>
    <xf numFmtId="0" fontId="5" fillId="0" borderId="3" xfId="0" applyFont="1" applyBorder="1" applyAlignment="1" applyProtection="1">
      <alignment vertical="center" wrapText="1"/>
      <protection hidden="1"/>
    </xf>
    <xf numFmtId="38" fontId="12" fillId="0" borderId="3" xfId="0" applyNumberFormat="1" applyFont="1" applyBorder="1" applyAlignment="1" applyProtection="1">
      <alignment vertical="center" wrapText="1"/>
      <protection hidden="1"/>
    </xf>
    <xf numFmtId="0" fontId="12" fillId="22" borderId="3" xfId="0" applyFont="1" applyFill="1" applyBorder="1" applyAlignment="1" applyProtection="1">
      <alignment horizontal="left"/>
      <protection hidden="1"/>
    </xf>
    <xf numFmtId="38" fontId="12" fillId="8" borderId="3" xfId="0" applyNumberFormat="1" applyFont="1" applyFill="1" applyBorder="1" applyAlignment="1" applyProtection="1">
      <alignment vertical="center"/>
      <protection hidden="1"/>
    </xf>
    <xf numFmtId="0" fontId="5" fillId="0" borderId="3" xfId="0" applyFont="1" applyBorder="1" applyProtection="1">
      <protection hidden="1"/>
    </xf>
    <xf numFmtId="38" fontId="12" fillId="8" borderId="3" xfId="0" applyNumberFormat="1" applyFont="1" applyFill="1" applyBorder="1" applyProtection="1">
      <protection hidden="1"/>
    </xf>
    <xf numFmtId="38" fontId="5" fillId="0" borderId="3" xfId="0" applyNumberFormat="1" applyFont="1" applyBorder="1" applyProtection="1">
      <protection hidden="1"/>
    </xf>
    <xf numFmtId="0" fontId="12" fillId="0" borderId="3" xfId="0" applyFont="1" applyBorder="1" applyAlignment="1">
      <alignment vertical="center"/>
    </xf>
    <xf numFmtId="0" fontId="12" fillId="11" borderId="3" xfId="0" applyFont="1" applyFill="1" applyBorder="1" applyAlignment="1" applyProtection="1">
      <alignment horizontal="left" vertical="center"/>
      <protection hidden="1"/>
    </xf>
    <xf numFmtId="38" fontId="12" fillId="8" borderId="3" xfId="0" applyNumberFormat="1" applyFont="1" applyFill="1" applyBorder="1" applyAlignment="1" applyProtection="1">
      <alignment vertical="center" wrapText="1"/>
      <protection hidden="1"/>
    </xf>
    <xf numFmtId="0" fontId="12" fillId="0" borderId="3" xfId="0" applyFont="1" applyBorder="1" applyAlignment="1" applyProtection="1">
      <alignment vertical="center"/>
      <protection hidden="1"/>
    </xf>
    <xf numFmtId="0" fontId="12" fillId="23" borderId="3" xfId="0" applyFont="1" applyFill="1" applyBorder="1" applyAlignment="1" applyProtection="1">
      <alignment horizontal="left"/>
      <protection hidden="1"/>
    </xf>
    <xf numFmtId="0" fontId="12" fillId="24" borderId="3" xfId="0" applyFont="1" applyFill="1" applyBorder="1" applyAlignment="1" applyProtection="1">
      <alignment horizontal="left"/>
      <protection hidden="1"/>
    </xf>
    <xf numFmtId="0" fontId="28" fillId="18" borderId="0" xfId="0" applyFont="1" applyFill="1" applyAlignment="1">
      <alignment horizontal="center"/>
    </xf>
    <xf numFmtId="43" fontId="16" fillId="0" borderId="0" xfId="19" applyFont="1" applyFill="1" applyAlignment="1" applyProtection="1">
      <alignment horizontal="center" vertical="center"/>
      <protection hidden="1"/>
    </xf>
    <xf numFmtId="172" fontId="16" fillId="8" borderId="0" xfId="0" applyNumberFormat="1" applyFont="1" applyFill="1" applyAlignment="1">
      <alignment horizontal="center" vertical="center"/>
    </xf>
    <xf numFmtId="0" fontId="31" fillId="0" borderId="0" xfId="0" applyFont="1" applyAlignment="1">
      <alignment horizontal="left" wrapText="1"/>
    </xf>
    <xf numFmtId="165" fontId="18" fillId="2" borderId="14" xfId="1" applyNumberFormat="1" applyFont="1" applyFill="1" applyBorder="1" applyAlignment="1" applyProtection="1">
      <alignment horizontal="center" vertical="center" wrapText="1"/>
      <protection hidden="1"/>
    </xf>
    <xf numFmtId="165" fontId="18" fillId="2" borderId="16" xfId="1" applyNumberFormat="1" applyFont="1" applyFill="1" applyBorder="1" applyAlignment="1" applyProtection="1">
      <alignment horizontal="center" vertical="center" wrapText="1"/>
      <protection hidden="1"/>
    </xf>
    <xf numFmtId="0" fontId="18" fillId="2" borderId="1" xfId="0" applyFont="1" applyFill="1" applyBorder="1" applyAlignment="1" applyProtection="1">
      <alignment horizontal="center" vertical="center" wrapText="1"/>
      <protection hidden="1"/>
    </xf>
    <xf numFmtId="0" fontId="18" fillId="2" borderId="2" xfId="0" applyFont="1" applyFill="1" applyBorder="1" applyAlignment="1" applyProtection="1">
      <alignment horizontal="center" vertical="center" wrapText="1"/>
      <protection hidden="1"/>
    </xf>
    <xf numFmtId="15" fontId="18" fillId="2" borderId="14" xfId="0" applyNumberFormat="1" applyFont="1" applyFill="1" applyBorder="1" applyAlignment="1" applyProtection="1">
      <alignment horizontal="center" vertical="center" wrapText="1"/>
      <protection hidden="1"/>
    </xf>
    <xf numFmtId="15" fontId="18" fillId="2" borderId="16" xfId="0" applyNumberFormat="1" applyFont="1" applyFill="1" applyBorder="1" applyAlignment="1" applyProtection="1">
      <alignment horizontal="center" vertical="center" wrapText="1"/>
      <protection hidden="1"/>
    </xf>
    <xf numFmtId="164" fontId="18" fillId="2" borderId="14" xfId="0" applyNumberFormat="1" applyFont="1" applyFill="1" applyBorder="1" applyAlignment="1" applyProtection="1">
      <alignment horizontal="center" vertical="center" wrapText="1"/>
      <protection hidden="1"/>
    </xf>
    <xf numFmtId="164" fontId="18" fillId="2" borderId="16" xfId="0" applyNumberFormat="1" applyFont="1" applyFill="1" applyBorder="1" applyAlignment="1" applyProtection="1">
      <alignment horizontal="center" vertical="center" wrapText="1"/>
      <protection hidden="1"/>
    </xf>
    <xf numFmtId="166" fontId="18" fillId="2" borderId="14" xfId="0" applyNumberFormat="1" applyFont="1" applyFill="1" applyBorder="1" applyAlignment="1" applyProtection="1">
      <alignment horizontal="center" vertical="center" wrapText="1"/>
      <protection hidden="1"/>
    </xf>
    <xf numFmtId="166" fontId="18" fillId="2" borderId="16" xfId="0" applyNumberFormat="1" applyFont="1" applyFill="1" applyBorder="1" applyAlignment="1" applyProtection="1">
      <alignment horizontal="center" vertical="center" wrapText="1"/>
      <protection hidden="1"/>
    </xf>
    <xf numFmtId="165" fontId="19" fillId="3" borderId="14" xfId="1" applyNumberFormat="1" applyFont="1" applyFill="1" applyBorder="1" applyAlignment="1" applyProtection="1">
      <alignment horizontal="center" vertical="center"/>
      <protection hidden="1"/>
    </xf>
    <xf numFmtId="165" fontId="19" fillId="3" borderId="15" xfId="1" applyNumberFormat="1" applyFont="1" applyFill="1" applyBorder="1" applyAlignment="1" applyProtection="1">
      <alignment horizontal="center" vertical="center"/>
      <protection hidden="1"/>
    </xf>
    <xf numFmtId="165" fontId="7" fillId="2" borderId="14" xfId="1" applyNumberFormat="1" applyFont="1" applyFill="1" applyBorder="1" applyAlignment="1" applyProtection="1">
      <alignment horizontal="center" vertical="center" wrapText="1"/>
      <protection hidden="1"/>
    </xf>
    <xf numFmtId="165" fontId="7" fillId="2" borderId="16" xfId="1" applyNumberFormat="1" applyFont="1" applyFill="1" applyBorder="1" applyAlignment="1" applyProtection="1">
      <alignment horizontal="center" vertical="center" wrapText="1"/>
      <protection hidden="1"/>
    </xf>
    <xf numFmtId="0" fontId="7" fillId="2" borderId="1" xfId="0" applyFont="1" applyFill="1" applyBorder="1" applyAlignment="1" applyProtection="1">
      <alignment horizontal="center" vertical="center" wrapText="1"/>
      <protection hidden="1"/>
    </xf>
    <xf numFmtId="0" fontId="7" fillId="2" borderId="2" xfId="0" applyFont="1" applyFill="1" applyBorder="1" applyAlignment="1" applyProtection="1">
      <alignment horizontal="center" vertical="center" wrapText="1"/>
      <protection hidden="1"/>
    </xf>
    <xf numFmtId="15" fontId="7" fillId="2" borderId="14" xfId="0" applyNumberFormat="1" applyFont="1" applyFill="1" applyBorder="1" applyAlignment="1" applyProtection="1">
      <alignment horizontal="center" vertical="center" wrapText="1"/>
      <protection hidden="1"/>
    </xf>
    <xf numFmtId="15" fontId="7" fillId="2" borderId="16" xfId="0" applyNumberFormat="1" applyFont="1" applyFill="1" applyBorder="1" applyAlignment="1" applyProtection="1">
      <alignment horizontal="center" vertical="center" wrapText="1"/>
      <protection hidden="1"/>
    </xf>
    <xf numFmtId="164" fontId="7" fillId="2" borderId="14" xfId="0" applyNumberFormat="1" applyFont="1" applyFill="1" applyBorder="1" applyAlignment="1" applyProtection="1">
      <alignment horizontal="center" vertical="center" wrapText="1"/>
      <protection hidden="1"/>
    </xf>
    <xf numFmtId="164" fontId="7" fillId="2" borderId="16" xfId="0" applyNumberFormat="1" applyFont="1" applyFill="1" applyBorder="1" applyAlignment="1" applyProtection="1">
      <alignment horizontal="center" vertical="center" wrapText="1"/>
      <protection hidden="1"/>
    </xf>
    <xf numFmtId="166" fontId="7" fillId="2" borderId="14" xfId="0" applyNumberFormat="1" applyFont="1" applyFill="1" applyBorder="1" applyAlignment="1" applyProtection="1">
      <alignment horizontal="center" vertical="center" wrapText="1"/>
      <protection hidden="1"/>
    </xf>
    <xf numFmtId="166" fontId="7" fillId="2" borderId="16" xfId="0" applyNumberFormat="1" applyFont="1" applyFill="1" applyBorder="1" applyAlignment="1" applyProtection="1">
      <alignment horizontal="center" vertical="center" wrapText="1"/>
      <protection hidden="1"/>
    </xf>
    <xf numFmtId="165" fontId="8" fillId="3" borderId="14" xfId="1" applyNumberFormat="1" applyFont="1" applyFill="1" applyBorder="1" applyAlignment="1" applyProtection="1">
      <alignment horizontal="center" vertical="center"/>
      <protection hidden="1"/>
    </xf>
    <xf numFmtId="165" fontId="8" fillId="3" borderId="15" xfId="1" applyNumberFormat="1" applyFont="1" applyFill="1" applyBorder="1" applyAlignment="1" applyProtection="1">
      <alignment horizontal="center" vertical="center"/>
      <protection hidden="1"/>
    </xf>
    <xf numFmtId="0" fontId="13" fillId="15" borderId="0" xfId="0" applyFont="1" applyFill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56" xfId="0" applyFont="1" applyBorder="1" applyAlignment="1">
      <alignment horizontal="center" vertical="center" wrapText="1"/>
    </xf>
    <xf numFmtId="0" fontId="7" fillId="5" borderId="1" xfId="0" applyFont="1" applyFill="1" applyBorder="1" applyAlignment="1" applyProtection="1">
      <alignment horizontal="center" vertical="center" wrapText="1"/>
      <protection hidden="1"/>
    </xf>
    <xf numFmtId="0" fontId="7" fillId="5" borderId="2" xfId="0" applyFont="1" applyFill="1" applyBorder="1" applyAlignment="1" applyProtection="1">
      <alignment horizontal="center" vertical="center" wrapText="1"/>
      <protection hidden="1"/>
    </xf>
    <xf numFmtId="0" fontId="7" fillId="5" borderId="32" xfId="0" applyFont="1" applyFill="1" applyBorder="1" applyAlignment="1" applyProtection="1">
      <alignment horizontal="center" vertical="center" wrapText="1"/>
      <protection hidden="1"/>
    </xf>
    <xf numFmtId="0" fontId="7" fillId="5" borderId="33" xfId="0" applyFont="1" applyFill="1" applyBorder="1" applyAlignment="1" applyProtection="1">
      <alignment horizontal="center" vertical="center" wrapText="1"/>
      <protection hidden="1"/>
    </xf>
    <xf numFmtId="0" fontId="28" fillId="18" borderId="0" xfId="0" applyFont="1" applyFill="1" applyAlignment="1">
      <alignment horizontal="center"/>
    </xf>
    <xf numFmtId="0" fontId="7" fillId="5" borderId="60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</cellXfs>
  <cellStyles count="31">
    <cellStyle name="Comma" xfId="19" builtinId="3"/>
    <cellStyle name="Comma 144" xfId="21" xr:uid="{00000000-0005-0000-0000-000001000000}"/>
    <cellStyle name="Comma 144 2" xfId="25" xr:uid="{00000000-0005-0000-0000-000002000000}"/>
    <cellStyle name="Comma 2" xfId="2" xr:uid="{00000000-0005-0000-0000-000003000000}"/>
    <cellStyle name="Comma 2 2" xfId="22" xr:uid="{00000000-0005-0000-0000-000004000000}"/>
    <cellStyle name="Comma 2 2 2" xfId="27" xr:uid="{F687C69D-1651-4E3D-9227-508686D336CF}"/>
    <cellStyle name="Comma 3" xfId="20" xr:uid="{00000000-0005-0000-0000-000005000000}"/>
    <cellStyle name="Comma 3 2" xfId="24" xr:uid="{00000000-0005-0000-0000-000006000000}"/>
    <cellStyle name="Comma 3 3" xfId="28" xr:uid="{565F6DF0-E62A-4C44-94F8-9F1E49314AEB}"/>
    <cellStyle name="Comma 4" xfId="23" xr:uid="{00000000-0005-0000-0000-000007000000}"/>
    <cellStyle name="Comma 5" xfId="26" xr:uid="{7AD8EE80-E359-427B-8941-BD220CF7F69E}"/>
    <cellStyle name="Excel Built-in Normal" xfId="3" xr:uid="{00000000-0005-0000-0000-000008000000}"/>
    <cellStyle name="Normal" xfId="0" builtinId="0"/>
    <cellStyle name="Normal 11" xfId="4" xr:uid="{00000000-0005-0000-0000-00000A000000}"/>
    <cellStyle name="Normal 11 2" xfId="30" xr:uid="{0BB316F2-45E0-4ECA-BF75-5BF48B1E9797}"/>
    <cellStyle name="Normal 13" xfId="5" xr:uid="{00000000-0005-0000-0000-00000B000000}"/>
    <cellStyle name="Normal 15" xfId="6" xr:uid="{00000000-0005-0000-0000-00000C000000}"/>
    <cellStyle name="Normal 17" xfId="7" xr:uid="{00000000-0005-0000-0000-00000D000000}"/>
    <cellStyle name="Normal 18" xfId="8" xr:uid="{00000000-0005-0000-0000-00000E000000}"/>
    <cellStyle name="Normal 19" xfId="9" xr:uid="{00000000-0005-0000-0000-00000F000000}"/>
    <cellStyle name="Normal 2" xfId="10" xr:uid="{00000000-0005-0000-0000-000010000000}"/>
    <cellStyle name="Normal 20" xfId="11" xr:uid="{00000000-0005-0000-0000-000011000000}"/>
    <cellStyle name="Normal 3" xfId="12" xr:uid="{00000000-0005-0000-0000-000012000000}"/>
    <cellStyle name="Normal 4" xfId="13" xr:uid="{00000000-0005-0000-0000-000013000000}"/>
    <cellStyle name="Normal 5" xfId="14" xr:uid="{00000000-0005-0000-0000-000014000000}"/>
    <cellStyle name="Normal 6" xfId="29" xr:uid="{239DD8D2-92FE-4D5A-981A-FAFD5DCD8437}"/>
    <cellStyle name="Normal 7" xfId="15" xr:uid="{00000000-0005-0000-0000-000015000000}"/>
    <cellStyle name="Normal 9" xfId="16" xr:uid="{00000000-0005-0000-0000-000016000000}"/>
    <cellStyle name="Percent" xfId="1" builtinId="5"/>
    <cellStyle name="Percent 2" xfId="17" xr:uid="{00000000-0005-0000-0000-000018000000}"/>
    <cellStyle name="Percent 3" xfId="18" xr:uid="{00000000-0005-0000-0000-000019000000}"/>
  </cellStyles>
  <dxfs count="364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Medium9"/>
  <colors>
    <mruColors>
      <color rgb="FFBFBFBF"/>
      <color rgb="FFCCFFCC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1"/>
          <c:order val="0"/>
          <c:dPt>
            <c:idx val="1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B-7B73-43A4-9719-99E0BA759CA1}"/>
              </c:ext>
            </c:extLst>
          </c:dPt>
          <c:dPt>
            <c:idx val="2"/>
            <c:bubble3D val="0"/>
            <c:spPr>
              <a:solidFill>
                <a:srgbClr val="BFBFBF"/>
              </a:solidFill>
            </c:spPr>
            <c:extLst>
              <c:ext xmlns:c16="http://schemas.microsoft.com/office/drawing/2014/chart" uri="{C3380CC4-5D6E-409C-BE32-E72D297353CC}">
                <c16:uniqueId val="{0000000C-7B73-43A4-9719-99E0BA759CA1}"/>
              </c:ext>
            </c:extLst>
          </c:dPt>
          <c:dLbls>
            <c:dLbl>
              <c:idx val="0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B73-43A4-9719-99E0BA759CA1}"/>
                </c:ext>
              </c:extLst>
            </c:dLbl>
            <c:dLbl>
              <c:idx val="1"/>
              <c:layout>
                <c:manualLayout>
                  <c:x val="-0.11666666666666667"/>
                  <c:y val="-0.1878991688538932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700" b="1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486111111111112"/>
                      <c:h val="0.1342592592592592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7B73-43A4-9719-99E0BA759CA1}"/>
                </c:ext>
              </c:extLst>
            </c:dLbl>
            <c:dLbl>
              <c:idx val="2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B73-43A4-9719-99E0BA759C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'Equity Quants'!$U$16:$U$18</c:f>
              <c:strCache>
                <c:ptCount val="3"/>
                <c:pt idx="0">
                  <c:v>Large Cap</c:v>
                </c:pt>
                <c:pt idx="1">
                  <c:v>Mid Cap</c:v>
                </c:pt>
                <c:pt idx="2">
                  <c:v>Small Cap </c:v>
                </c:pt>
              </c:strCache>
            </c:strRef>
          </c:cat>
          <c:val>
            <c:numRef>
              <c:f>'Equity Quants'!$V$16:$V$18</c:f>
              <c:numCache>
                <c:formatCode>0.0%</c:formatCode>
                <c:ptCount val="3"/>
                <c:pt idx="0">
                  <c:v>0.26400000000000001</c:v>
                </c:pt>
                <c:pt idx="1">
                  <c:v>0.22</c:v>
                </c:pt>
                <c:pt idx="2">
                  <c:v>0.51600000000000001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B73-43A4-9719-99E0BA759CA1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B73-43A4-9719-99E0BA759C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B73-43A4-9719-99E0BA759C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B73-43A4-9719-99E0BA759CA1}"/>
              </c:ext>
            </c:extLst>
          </c:dPt>
          <c:cat>
            <c:strRef>
              <c:f>'Equity Quants'!$U$16:$U$18</c:f>
              <c:strCache>
                <c:ptCount val="3"/>
                <c:pt idx="0">
                  <c:v>Large Cap</c:v>
                </c:pt>
                <c:pt idx="1">
                  <c:v>Mid Cap</c:v>
                </c:pt>
                <c:pt idx="2">
                  <c:v>Small Cap </c:v>
                </c:pt>
              </c:strCache>
            </c:strRef>
          </c:cat>
          <c:val>
            <c:numRef>
              <c:f>'Equity Quants'!$V$16:$V$18</c:f>
              <c:numCache>
                <c:formatCode>0.0%</c:formatCode>
                <c:ptCount val="3"/>
                <c:pt idx="0">
                  <c:v>0.26400000000000001</c:v>
                </c:pt>
                <c:pt idx="1">
                  <c:v>0.22</c:v>
                </c:pt>
                <c:pt idx="2">
                  <c:v>0.51600000000000001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B73-43A4-9719-99E0BA759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3E-493D-A9B9-E6717C8D88E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3E-493D-A9B9-E6717C8D88E9}"/>
              </c:ext>
            </c:extLst>
          </c:dPt>
          <c:dPt>
            <c:idx val="2"/>
            <c:bubble3D val="0"/>
            <c:spPr>
              <a:solidFill>
                <a:sysClr val="window" lastClr="FFFFFF">
                  <a:lumMod val="75000"/>
                </a:sys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B3E-493D-A9B9-E6717C8D88E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1871E03-C4BA-4FC9-990F-CD51319BD22E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, 39.4%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B3E-493D-A9B9-E6717C8D88E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8337FFB-6687-4FAA-ABC1-E69D65D08CFB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, 16.5%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B3E-493D-A9B9-E6717C8D88E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E688362-6488-4E8D-BD54-338E722C32F1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, 44%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B3E-493D-A9B9-E6717C8D88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Large Cap</c:v>
              </c:pt>
              <c:pt idx="1">
                <c:v>Mid Cap</c:v>
              </c:pt>
              <c:pt idx="2">
                <c:v>Small Cap</c:v>
              </c:pt>
            </c:strLit>
          </c:cat>
          <c:val>
            <c:numLit>
              <c:formatCode>General</c:formatCode>
              <c:ptCount val="3"/>
              <c:pt idx="0">
                <c:v>39.44128962083952</c:v>
              </c:pt>
              <c:pt idx="1">
                <c:v>16.524688307021659</c:v>
              </c:pt>
              <c:pt idx="2">
                <c:v>44.034022072138789</c:v>
              </c:pt>
            </c:numLit>
          </c:val>
          <c:extLst>
            <c:ext xmlns:c16="http://schemas.microsoft.com/office/drawing/2014/chart" uri="{C3380CC4-5D6E-409C-BE32-E72D297353CC}">
              <c16:uniqueId val="{00000006-3B3E-493D-A9B9-E6717C8D8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83-4239-9811-9A60FD08D05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83-4239-9811-9A60FD08D055}"/>
              </c:ext>
            </c:extLst>
          </c:dPt>
          <c:dPt>
            <c:idx val="2"/>
            <c:bubble3D val="0"/>
            <c:spPr>
              <a:solidFill>
                <a:sysClr val="window" lastClr="FFFFFF">
                  <a:lumMod val="75000"/>
                </a:sys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83-4239-9811-9A60FD08D055}"/>
              </c:ext>
            </c:extLst>
          </c:dPt>
          <c:dLbls>
            <c:dLbl>
              <c:idx val="0"/>
              <c:layout>
                <c:manualLayout>
                  <c:x val="-0.22044728434504798"/>
                  <c:y val="0.1045278619018776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5B4F0E7-E25C-4925-A0C1-070000308FF1}" type="CATEGORYNAME">
                      <a:rPr lang="en-US" sz="800"/>
                      <a:pPr>
                        <a:defRPr sz="800" b="1">
                          <a:solidFill>
                            <a:schemeClr val="tx1"/>
                          </a:solidFill>
                        </a:defRPr>
                      </a:pPr>
                      <a:t>[CATEGORY NAME]</a:t>
                    </a:fld>
                    <a:r>
                      <a:rPr lang="en-US" sz="800" baseline="0"/>
                      <a:t>, 38.2%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469648562300317"/>
                      <c:h val="0.3096153846153846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183-4239-9811-9A60FD08D05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BCC9F34-7BF7-4859-9DB9-52CDED7B21E8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, 16.4%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718849840255592"/>
                      <c:h val="0.2711538461538461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183-4239-9811-9A60FD08D055}"/>
                </c:ext>
              </c:extLst>
            </c:dLbl>
            <c:dLbl>
              <c:idx val="2"/>
              <c:layout>
                <c:manualLayout>
                  <c:x val="0.15335463258785942"/>
                  <c:y val="3.364869775893394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0C52792-17D9-43F9-BE60-608080850CC6}" type="CATEGORYNAME">
                      <a:rPr lang="en-US" sz="800"/>
                      <a:pPr>
                        <a:defRPr sz="800" b="1">
                          <a:solidFill>
                            <a:schemeClr val="tx1"/>
                          </a:solidFill>
                        </a:defRPr>
                      </a:pPr>
                      <a:t>[CATEGORY NAME]</a:t>
                    </a:fld>
                    <a:r>
                      <a:rPr lang="en-US" sz="800" baseline="0"/>
                      <a:t>, 45.4%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581469648562298"/>
                      <c:h val="0.3153846153846153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A183-4239-9811-9A60FD08D0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Large Cap</c:v>
              </c:pt>
              <c:pt idx="1">
                <c:v>Mid Cap</c:v>
              </c:pt>
              <c:pt idx="2">
                <c:v>Small Cap</c:v>
              </c:pt>
            </c:strLit>
          </c:cat>
          <c:val>
            <c:numLit>
              <c:formatCode>General</c:formatCode>
              <c:ptCount val="3"/>
              <c:pt idx="0">
                <c:v>38.161201346881441</c:v>
              </c:pt>
              <c:pt idx="1">
                <c:v>16.382550474437636</c:v>
              </c:pt>
              <c:pt idx="2">
                <c:v>45.456248178680852</c:v>
              </c:pt>
            </c:numLit>
          </c:val>
          <c:extLst>
            <c:ext xmlns:c16="http://schemas.microsoft.com/office/drawing/2014/chart" uri="{C3380CC4-5D6E-409C-BE32-E72D297353CC}">
              <c16:uniqueId val="{00000006-A183-4239-9811-9A60FD08D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73-4261-BED5-8E8E6BB4E3A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73-4261-BED5-8E8E6BB4E3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73-4261-BED5-8E8E6BB4E3AC}"/>
              </c:ext>
            </c:extLst>
          </c:dPt>
          <c:dLbls>
            <c:dLbl>
              <c:idx val="0"/>
              <c:layout>
                <c:manualLayout>
                  <c:x val="-0.16077170418006431"/>
                  <c:y val="0.1100779024962305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1490B90-579D-4862-9CBA-D61E59F71C02}" type="CATEGORYNAME">
                      <a:rPr lang="en-US" sz="800">
                        <a:solidFill>
                          <a:sysClr val="windowText" lastClr="000000"/>
                        </a:solidFill>
                      </a:rPr>
                      <a:pPr>
                        <a:defRPr sz="800" b="1">
                          <a:solidFill>
                            <a:sysClr val="windowText" lastClr="000000"/>
                          </a:solidFill>
                        </a:defRPr>
                      </a:pPr>
                      <a:t>[CATEGORY NAME]</a:t>
                    </a:fld>
                    <a:r>
                      <a:rPr lang="en-US" sz="800" baseline="0">
                        <a:solidFill>
                          <a:sysClr val="windowText" lastClr="000000"/>
                        </a:solidFill>
                      </a:rPr>
                      <a:t>, </a:t>
                    </a:r>
                    <a:fld id="{A5617379-1C98-4A96-AFB5-DBCC34ADA382}" type="VALUE">
                      <a:rPr lang="en-US" sz="800" baseline="0">
                        <a:solidFill>
                          <a:sysClr val="windowText" lastClr="000000"/>
                        </a:solidFill>
                      </a:rPr>
                      <a:pPr>
                        <a:defRPr sz="800" b="1">
                          <a:solidFill>
                            <a:sysClr val="windowText" lastClr="000000"/>
                          </a:solidFill>
                        </a:defRPr>
                      </a:pPr>
                      <a:t>[VALUE]</a:t>
                    </a:fld>
                    <a:r>
                      <a:rPr lang="en-US" sz="800" baseline="0">
                        <a:solidFill>
                          <a:sysClr val="windowText" lastClr="000000"/>
                        </a:solidFill>
                      </a:rPr>
                      <a:t>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028938906752412"/>
                      <c:h val="0.2553191489361701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273-4261-BED5-8E8E6BB4E3A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AA5004E-2502-4B4B-936A-C132A08A46AF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, </a:t>
                    </a:r>
                    <a:fld id="{C5F8056C-4F17-4419-BB4A-B35B4CFB601E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762057877813506"/>
                      <c:h val="0.2553191489361701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273-4261-BED5-8E8E6BB4E3AC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DD2037B-1E56-4467-874B-32092C0F54F4}" type="CATEGORYNAME">
                      <a:rPr lang="en-US" sz="800">
                        <a:solidFill>
                          <a:sysClr val="windowText" lastClr="000000"/>
                        </a:solidFill>
                      </a:rPr>
                      <a:pPr>
                        <a:defRPr sz="800" b="1">
                          <a:solidFill>
                            <a:sysClr val="windowText" lastClr="000000"/>
                          </a:solidFill>
                        </a:defRPr>
                      </a:pPr>
                      <a:t>[CATEGORY NAME]</a:t>
                    </a:fld>
                    <a:r>
                      <a:rPr lang="en-US" sz="800" baseline="0">
                        <a:solidFill>
                          <a:sysClr val="windowText" lastClr="000000"/>
                        </a:solidFill>
                      </a:rPr>
                      <a:t>, </a:t>
                    </a:r>
                    <a:fld id="{6C6C4B57-2CF9-40DE-AB8C-5E2D05AABCE2}" type="VALUE">
                      <a:rPr lang="en-US" sz="800" baseline="0">
                        <a:solidFill>
                          <a:sysClr val="windowText" lastClr="000000"/>
                        </a:solidFill>
                      </a:rPr>
                      <a:pPr>
                        <a:defRPr sz="800" b="1">
                          <a:solidFill>
                            <a:sysClr val="windowText" lastClr="000000"/>
                          </a:solidFill>
                        </a:defRPr>
                      </a:pPr>
                      <a:t>[VALUE]</a:t>
                    </a:fld>
                    <a:r>
                      <a:rPr lang="en-US" sz="800" baseline="0">
                        <a:solidFill>
                          <a:sysClr val="windowText" lastClr="000000"/>
                        </a:solidFill>
                      </a:rPr>
                      <a:t>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456591639871381"/>
                      <c:h val="0.2553191489361701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9273-4261-BED5-8E8E6BB4E3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'[5]Equity - Pareto'!$L$5:$L$7</c:f>
              <c:strCache>
                <c:ptCount val="3"/>
                <c:pt idx="0">
                  <c:v>Large Cap</c:v>
                </c:pt>
                <c:pt idx="1">
                  <c:v>Mid Cap</c:v>
                </c:pt>
                <c:pt idx="2">
                  <c:v>Small Cap</c:v>
                </c:pt>
              </c:strCache>
            </c:strRef>
          </c:cat>
          <c:val>
            <c:numRef>
              <c:f>'[5]Equity - Pareto'!$M$5:$M$7</c:f>
              <c:numCache>
                <c:formatCode>General</c:formatCode>
                <c:ptCount val="3"/>
                <c:pt idx="0">
                  <c:v>28.914147507287147</c:v>
                </c:pt>
                <c:pt idx="1">
                  <c:v>12.473678286669223</c:v>
                </c:pt>
                <c:pt idx="2">
                  <c:v>37.775766802479147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73-4261-BED5-8E8E6BB4E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187325</xdr:colOff>
      <xdr:row>19</xdr:row>
      <xdr:rowOff>127000</xdr:rowOff>
    </xdr:from>
    <xdr:to>
      <xdr:col>25</xdr:col>
      <xdr:colOff>492125</xdr:colOff>
      <xdr:row>34</xdr:row>
      <xdr:rowOff>127000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1329A74-6DC8-4B2F-A6C3-7D90B6A10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755650</xdr:colOff>
      <xdr:row>15</xdr:row>
      <xdr:rowOff>19050</xdr:rowOff>
    </xdr:from>
    <xdr:to>
      <xdr:col>12</xdr:col>
      <xdr:colOff>1263650</xdr:colOff>
      <xdr:row>26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94150F1-246D-4889-A198-C629223FE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311150</xdr:colOff>
      <xdr:row>15</xdr:row>
      <xdr:rowOff>25400</xdr:rowOff>
    </xdr:from>
    <xdr:to>
      <xdr:col>10</xdr:col>
      <xdr:colOff>6350</xdr:colOff>
      <xdr:row>26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F5EE518-C1B3-42D2-A324-679D7644CD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209550</xdr:colOff>
      <xdr:row>15</xdr:row>
      <xdr:rowOff>69850</xdr:rowOff>
    </xdr:from>
    <xdr:to>
      <xdr:col>16</xdr:col>
      <xdr:colOff>150002</xdr:colOff>
      <xdr:row>26</xdr:row>
      <xdr:rowOff>142166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00F16ED-A38E-425A-AA63-B1F856D38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47750" y="2508250"/>
          <a:ext cx="3528202" cy="1748716"/>
        </a:xfrm>
        <a:prstGeom prst="rect">
          <a:avLst/>
        </a:prstGeom>
      </xdr:spPr>
    </xdr:pic>
    <xdr:clientData/>
  </xdr:twoCellAnchor>
  <xdr:twoCellAnchor>
    <xdr:from>
      <xdr:col>6</xdr:col>
      <xdr:colOff>400050</xdr:colOff>
      <xdr:row>15</xdr:row>
      <xdr:rowOff>76200</xdr:rowOff>
    </xdr:from>
    <xdr:to>
      <xdr:col>8</xdr:col>
      <xdr:colOff>127000</xdr:colOff>
      <xdr:row>27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1487F53-6440-46F7-9FCB-86FDB5F6A4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supriyadeole\AppData\Local\Microsoft\Windows\INetCache\Content.Outlook\LCM0CE1B\PR%20Dump-%201%20-%20Updated%20-%20Conso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supriyadeole\AppData\Local\Microsoft\Windows\INetCache\Content.Outlook\LCM0CE1B\PR%20Dump%20Equity%20Consol%20Liv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rikitashah\Desktop\Portfolio%20Reviews\Bharat%20Jaisinghani\Sep%202020\PR%20Dump-%201%20-%20Updated%20-%20Conso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rviparikh\Desktop\Jaisinghani\June'26\PR%20Dump-%201%20-%20Updated%20-%20Consol%20-%20Liv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rviparikh\Desktop\Jaisinghani\June'26\Pareto%20Jaisinghani%201%20Ma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RTANT"/>
      <sheetName val="Term Dump"/>
      <sheetName val="Data"/>
      <sheetName val="Data Validation"/>
      <sheetName val="Excluding external De 1"/>
      <sheetName val="Transaction Dump"/>
      <sheetName val="Portfolio Allocation"/>
      <sheetName val="Private Equity Investments"/>
      <sheetName val="Private Investments"/>
      <sheetName val="MOPWM"/>
      <sheetName val="Equity"/>
      <sheetName val="Advisorwise Summary"/>
      <sheetName val="Effective Asset Allocation"/>
      <sheetName val="Ideal Asset Allocation"/>
      <sheetName val="Consol Inflows Outflows"/>
      <sheetName val="Asset Allocation"/>
      <sheetName val="Cash"/>
      <sheetName val="Debt"/>
      <sheetName val="Alternate"/>
      <sheetName val="Investorwise Summary"/>
      <sheetName val="Heldaway Debt Accrual"/>
      <sheetName val="Portfolio Transition Plan"/>
    </sheetNames>
    <sheetDataSet>
      <sheetData sheetId="0" refreshError="1"/>
      <sheetData sheetId="1">
        <row r="3">
          <cell r="B3" t="str">
            <v>Value PMS</v>
          </cell>
          <cell r="C3" t="str">
            <v>Opening</v>
          </cell>
        </row>
        <row r="4">
          <cell r="B4" t="str">
            <v>MCX GOLD SPOT</v>
          </cell>
          <cell r="C4" t="str">
            <v>Purchase</v>
          </cell>
        </row>
        <row r="5">
          <cell r="B5" t="str">
            <v>IOP PMS</v>
          </cell>
          <cell r="C5" t="str">
            <v>Bonus / Split</v>
          </cell>
        </row>
        <row r="6">
          <cell r="B6" t="str">
            <v>ASK IEP PMS</v>
          </cell>
          <cell r="C6" t="str">
            <v>Sale</v>
          </cell>
        </row>
        <row r="7">
          <cell r="B7" t="str">
            <v>RISE PMS</v>
          </cell>
          <cell r="C7" t="str">
            <v>Div / Int</v>
          </cell>
        </row>
        <row r="8">
          <cell r="B8" t="str">
            <v>BSE 200</v>
          </cell>
          <cell r="C8" t="str">
            <v>Closing</v>
          </cell>
        </row>
        <row r="9">
          <cell r="B9" t="str">
            <v>Nifty 50</v>
          </cell>
        </row>
        <row r="10">
          <cell r="B10" t="str">
            <v>Nifty FF Midcap 100</v>
          </cell>
        </row>
        <row r="11">
          <cell r="B11" t="str">
            <v>Nifty 500</v>
          </cell>
        </row>
        <row r="12">
          <cell r="B12" t="str">
            <v>Balanced Index</v>
          </cell>
        </row>
        <row r="13">
          <cell r="B13" t="str">
            <v>CRISIL Liquid Fund Index</v>
          </cell>
        </row>
        <row r="14">
          <cell r="B14" t="str">
            <v>CRISIL Short Term</v>
          </cell>
        </row>
        <row r="15">
          <cell r="B15" t="str">
            <v>CRISIL Composite Bond</v>
          </cell>
        </row>
        <row r="16">
          <cell r="B16" t="str">
            <v>CRISIL Gilt Index</v>
          </cell>
        </row>
        <row r="17">
          <cell r="B17" t="str">
            <v>CRISIL Gold Index</v>
          </cell>
        </row>
        <row r="18">
          <cell r="B18" t="str">
            <v>BSE 500</v>
          </cell>
        </row>
        <row r="19">
          <cell r="B19" t="str">
            <v>Conservative</v>
          </cell>
        </row>
        <row r="20">
          <cell r="B20" t="str">
            <v>Moderately Conservative</v>
          </cell>
        </row>
        <row r="21">
          <cell r="B21" t="str">
            <v>Balanced</v>
          </cell>
        </row>
        <row r="22">
          <cell r="B22" t="str">
            <v>Moderately Aggressive</v>
          </cell>
        </row>
        <row r="23">
          <cell r="B23" t="str">
            <v>Aggressive</v>
          </cell>
        </row>
        <row r="24">
          <cell r="B24" t="str">
            <v>Aggressive +</v>
          </cell>
        </row>
        <row r="25">
          <cell r="B25" t="str">
            <v>Alternate Index</v>
          </cell>
        </row>
        <row r="26">
          <cell r="B26" t="str">
            <v>ASK SELECT</v>
          </cell>
        </row>
        <row r="27">
          <cell r="B27" t="str">
            <v>DAWN PMS</v>
          </cell>
        </row>
        <row r="28">
          <cell r="B28" t="str">
            <v>DHFL DV PMS</v>
          </cell>
        </row>
        <row r="29">
          <cell r="B29" t="str">
            <v>Renaissance Midcap</v>
          </cell>
        </row>
        <row r="30">
          <cell r="B30" t="str">
            <v>BSE Midcap</v>
          </cell>
        </row>
        <row r="31">
          <cell r="B31" t="str">
            <v>Equity Savings Index</v>
          </cell>
        </row>
        <row r="32">
          <cell r="B32" t="str">
            <v>BSE Small Cap</v>
          </cell>
        </row>
        <row r="33">
          <cell r="B33" t="str">
            <v>Nifty Smallcap TRI</v>
          </cell>
        </row>
        <row r="34">
          <cell r="B34" t="str">
            <v>Nifty Smallcap</v>
          </cell>
        </row>
        <row r="35">
          <cell r="B35" t="str">
            <v>Nifty 50 TRI</v>
          </cell>
        </row>
        <row r="36">
          <cell r="B36" t="str">
            <v>Nifty 500 TRI</v>
          </cell>
        </row>
        <row r="37">
          <cell r="B37" t="str">
            <v>Nifty Midcap 100 TRI</v>
          </cell>
        </row>
        <row r="38">
          <cell r="B38" t="str">
            <v>Nifty 50 Arbitrage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RTANT"/>
      <sheetName val="Term Dump"/>
      <sheetName val="Data Validation"/>
      <sheetName val="Data"/>
      <sheetName val="Transaction Dump"/>
      <sheetName val="Transaction Dump (2)"/>
      <sheetName val="Excl External DE"/>
      <sheetName val="Heldaway Debt Accrual"/>
      <sheetName val="Portfolio Allocation"/>
      <sheetName val="Private Equity Investments"/>
      <sheetName val="Equity"/>
      <sheetName val="Portfolio Transition Plan"/>
    </sheetNames>
    <sheetDataSet>
      <sheetData sheetId="0" refreshError="1"/>
      <sheetData sheetId="1">
        <row r="3">
          <cell r="B3" t="str">
            <v>Value PMS</v>
          </cell>
          <cell r="C3" t="str">
            <v>Opening</v>
          </cell>
        </row>
        <row r="4">
          <cell r="B4" t="str">
            <v>MCX GOLD SPOT</v>
          </cell>
          <cell r="C4" t="str">
            <v>Purchase</v>
          </cell>
        </row>
        <row r="5">
          <cell r="B5" t="str">
            <v>IOP PMS</v>
          </cell>
          <cell r="C5" t="str">
            <v>Bonus / Split</v>
          </cell>
        </row>
        <row r="6">
          <cell r="B6" t="str">
            <v>ASK IEP PMS</v>
          </cell>
          <cell r="C6" t="str">
            <v>Sale</v>
          </cell>
        </row>
        <row r="7">
          <cell r="B7" t="str">
            <v>RISE PMS</v>
          </cell>
          <cell r="C7" t="str">
            <v>Div / Int</v>
          </cell>
        </row>
        <row r="8">
          <cell r="B8" t="str">
            <v>BSE 200</v>
          </cell>
          <cell r="C8" t="str">
            <v>Closing</v>
          </cell>
        </row>
        <row r="9">
          <cell r="B9" t="str">
            <v>Nifty 50</v>
          </cell>
        </row>
        <row r="10">
          <cell r="B10" t="str">
            <v>Nifty FF Midcap 100</v>
          </cell>
        </row>
        <row r="11">
          <cell r="B11" t="str">
            <v>Nifty 500</v>
          </cell>
        </row>
        <row r="12">
          <cell r="B12" t="str">
            <v>Balanced Index</v>
          </cell>
        </row>
        <row r="13">
          <cell r="B13" t="str">
            <v>CRISIL Liquid Fund Index</v>
          </cell>
        </row>
        <row r="14">
          <cell r="B14" t="str">
            <v>CRISIL Short Term</v>
          </cell>
        </row>
        <row r="15">
          <cell r="B15" t="str">
            <v>CRISIL Composite Bond</v>
          </cell>
        </row>
        <row r="16">
          <cell r="B16" t="str">
            <v>CRISIL Gilt Index</v>
          </cell>
        </row>
        <row r="17">
          <cell r="B17" t="str">
            <v>CRISIL Gold Index</v>
          </cell>
        </row>
        <row r="18">
          <cell r="B18" t="str">
            <v>BSE 500</v>
          </cell>
        </row>
        <row r="19">
          <cell r="B19" t="str">
            <v>Conservative</v>
          </cell>
        </row>
        <row r="20">
          <cell r="B20" t="str">
            <v>Moderately Conservative</v>
          </cell>
        </row>
        <row r="21">
          <cell r="B21" t="str">
            <v>Balanced</v>
          </cell>
        </row>
        <row r="22">
          <cell r="B22" t="str">
            <v>Moderately Aggressive</v>
          </cell>
        </row>
        <row r="23">
          <cell r="B23" t="str">
            <v>Aggressive</v>
          </cell>
        </row>
        <row r="24">
          <cell r="B24" t="str">
            <v>Aggressive +</v>
          </cell>
        </row>
        <row r="25">
          <cell r="B25" t="str">
            <v>Alternate Index</v>
          </cell>
        </row>
        <row r="26">
          <cell r="B26" t="str">
            <v>ASK SELECT</v>
          </cell>
        </row>
        <row r="27">
          <cell r="B27" t="str">
            <v>DAWN PMS</v>
          </cell>
        </row>
        <row r="28">
          <cell r="B28" t="str">
            <v>DHFL DV PMS</v>
          </cell>
        </row>
        <row r="29">
          <cell r="B29" t="str">
            <v>Renaissance Midcap</v>
          </cell>
        </row>
        <row r="30">
          <cell r="B30" t="str">
            <v>BSE Midcap</v>
          </cell>
        </row>
        <row r="31">
          <cell r="B31" t="str">
            <v>Equity Savings Index</v>
          </cell>
        </row>
        <row r="32">
          <cell r="B32" t="str">
            <v>BSE Small Cap</v>
          </cell>
        </row>
        <row r="33">
          <cell r="B33" t="str">
            <v>Nifty Smallcap TRI</v>
          </cell>
        </row>
        <row r="34">
          <cell r="B34" t="str">
            <v>Nifty Smallcap</v>
          </cell>
        </row>
        <row r="35">
          <cell r="B35" t="str">
            <v>Nifty 50 TRI</v>
          </cell>
        </row>
        <row r="36">
          <cell r="B36" t="str">
            <v>Nifty 500 TRI</v>
          </cell>
        </row>
        <row r="37">
          <cell r="B37" t="str">
            <v>Nifty Midcap 100 TRI</v>
          </cell>
        </row>
        <row r="38">
          <cell r="B38" t="str">
            <v>Nifty 50 Arbitrage</v>
          </cell>
        </row>
      </sheetData>
      <sheetData sheetId="2" refreshError="1"/>
      <sheetData sheetId="3" refreshError="1"/>
      <sheetData sheetId="4"/>
      <sheetData sheetId="5"/>
      <sheetData sheetId="6"/>
      <sheetData sheetId="7" refreshError="1"/>
      <sheetData sheetId="8">
        <row r="57">
          <cell r="S57" t="str">
            <v>Portfolio Returns</v>
          </cell>
        </row>
      </sheetData>
      <sheetData sheetId="9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RTANT"/>
      <sheetName val="Term Dump"/>
      <sheetName val="Data Validation"/>
      <sheetName val="Data"/>
      <sheetName val="Transaction Dump"/>
      <sheetName val="Transaction Dump Ex DE"/>
      <sheetName val="Portfolio Allocation"/>
      <sheetName val="Investorwise Summary"/>
      <sheetName val="Advisorwise Summary"/>
      <sheetName val="Portfolio Transition Plan"/>
    </sheetNames>
    <sheetDataSet>
      <sheetData sheetId="0"/>
      <sheetData sheetId="1">
        <row r="3">
          <cell r="B3" t="str">
            <v>Value PMS</v>
          </cell>
          <cell r="C3" t="str">
            <v>Opening</v>
          </cell>
        </row>
        <row r="4">
          <cell r="B4" t="str">
            <v>MCX GOLD SPOT</v>
          </cell>
          <cell r="C4" t="str">
            <v>Purchase</v>
          </cell>
        </row>
        <row r="5">
          <cell r="B5" t="str">
            <v>IOP PMS</v>
          </cell>
          <cell r="C5" t="str">
            <v>Bonus / Split</v>
          </cell>
        </row>
        <row r="6">
          <cell r="B6" t="str">
            <v>ASK IEP PMS</v>
          </cell>
          <cell r="C6" t="str">
            <v>Sale</v>
          </cell>
        </row>
        <row r="7">
          <cell r="B7" t="str">
            <v>RISE PMS</v>
          </cell>
          <cell r="C7" t="str">
            <v>Div / Int</v>
          </cell>
        </row>
        <row r="8">
          <cell r="B8" t="str">
            <v>BSE 200</v>
          </cell>
          <cell r="C8" t="str">
            <v>Closing</v>
          </cell>
        </row>
        <row r="9">
          <cell r="B9" t="str">
            <v>Nifty 50</v>
          </cell>
        </row>
        <row r="10">
          <cell r="B10" t="str">
            <v>Nifty FF Midcap 100</v>
          </cell>
        </row>
        <row r="11">
          <cell r="B11" t="str">
            <v>Nifty 500</v>
          </cell>
        </row>
        <row r="12">
          <cell r="B12" t="str">
            <v>Balanced Index</v>
          </cell>
        </row>
        <row r="13">
          <cell r="B13" t="str">
            <v>CRISIL Liquid Fund Index</v>
          </cell>
        </row>
        <row r="14">
          <cell r="B14" t="str">
            <v>CRISIL Short Term</v>
          </cell>
        </row>
        <row r="15">
          <cell r="B15" t="str">
            <v>CRISIL Composite Bond</v>
          </cell>
        </row>
        <row r="16">
          <cell r="B16" t="str">
            <v>CRISIL Gilt Index</v>
          </cell>
        </row>
        <row r="17">
          <cell r="B17" t="str">
            <v>CRISIL Gold Index</v>
          </cell>
        </row>
        <row r="18">
          <cell r="B18" t="str">
            <v>BSE 500</v>
          </cell>
        </row>
        <row r="19">
          <cell r="B19" t="str">
            <v>Conservative</v>
          </cell>
        </row>
        <row r="20">
          <cell r="B20" t="str">
            <v>Moderately Conservative</v>
          </cell>
        </row>
        <row r="21">
          <cell r="B21" t="str">
            <v>Balanced</v>
          </cell>
        </row>
        <row r="22">
          <cell r="B22" t="str">
            <v>Moderately Aggressive</v>
          </cell>
        </row>
        <row r="23">
          <cell r="B23" t="str">
            <v>Aggressive</v>
          </cell>
        </row>
        <row r="24">
          <cell r="B24" t="str">
            <v>Aggressive +</v>
          </cell>
        </row>
        <row r="25">
          <cell r="B25" t="str">
            <v>Alternate Index</v>
          </cell>
        </row>
        <row r="26">
          <cell r="B26" t="str">
            <v>ASK SELECT</v>
          </cell>
        </row>
        <row r="27">
          <cell r="B27" t="str">
            <v>DAWN PMS</v>
          </cell>
        </row>
        <row r="28">
          <cell r="B28" t="str">
            <v>DHFL DV PMS</v>
          </cell>
        </row>
        <row r="29">
          <cell r="B29" t="str">
            <v>Renaissance Midcap</v>
          </cell>
        </row>
        <row r="30">
          <cell r="B30" t="str">
            <v>Renaissance Opp</v>
          </cell>
        </row>
        <row r="31">
          <cell r="B31" t="str">
            <v>Equity Savings Index</v>
          </cell>
        </row>
        <row r="32">
          <cell r="B32" t="str">
            <v>BSE Small Cap</v>
          </cell>
        </row>
        <row r="33">
          <cell r="B33" t="str">
            <v>Nifty Smallcap TRI</v>
          </cell>
        </row>
        <row r="34">
          <cell r="B34" t="str">
            <v>Nifty Smallcap</v>
          </cell>
        </row>
        <row r="35">
          <cell r="B35" t="str">
            <v>Nifty 50 TRI</v>
          </cell>
        </row>
        <row r="36">
          <cell r="B36" t="str">
            <v>Nifty 500 TRI</v>
          </cell>
        </row>
        <row r="37">
          <cell r="B37" t="str">
            <v>Nifty Midcap 100 TRI</v>
          </cell>
        </row>
        <row r="38">
          <cell r="B38" t="str">
            <v>Nifty 50 Arbitrage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RTANT"/>
      <sheetName val="Term Dump"/>
      <sheetName val="Data Validation"/>
      <sheetName val="Sheet1"/>
      <sheetName val="Sheet1 (2)"/>
      <sheetName val="Data"/>
      <sheetName val="Equity"/>
      <sheetName val="Advisor Investor"/>
      <sheetName val="Transaction Dump"/>
      <sheetName val="Cash"/>
      <sheetName val="Effective Asset Allocation"/>
      <sheetName val="Debt"/>
      <sheetName val="Alternate"/>
      <sheetName val="Portfolio Allocation"/>
      <sheetName val="Date Range"/>
      <sheetName val="Private Investments"/>
      <sheetName val="Private Equity Investments"/>
      <sheetName val="Investorwise Summary"/>
      <sheetName val="Advisorwise Summary"/>
      <sheetName val="Consol Inflows Outflows"/>
      <sheetName val="Asset Allocation"/>
      <sheetName val="Ideal Asset Allocation"/>
      <sheetName val="Heldaway Debt Accrual"/>
      <sheetName val="Pre IPO"/>
      <sheetName val="Private equity ex pre ipo"/>
      <sheetName val="Ex NSE"/>
      <sheetName val="Excl External DE NSE"/>
      <sheetName val="MOPWM"/>
      <sheetName val="Portfolio Transition Plan"/>
    </sheetNames>
    <sheetDataSet>
      <sheetData sheetId="0"/>
      <sheetData sheetId="1">
        <row r="3">
          <cell r="B3" t="str">
            <v>Value PMS</v>
          </cell>
          <cell r="C3" t="str">
            <v>Opening</v>
          </cell>
        </row>
        <row r="4">
          <cell r="B4" t="str">
            <v>MCX GOLD SPOT</v>
          </cell>
          <cell r="C4" t="str">
            <v>Purchase</v>
          </cell>
        </row>
        <row r="5">
          <cell r="B5" t="str">
            <v>IOP PMS</v>
          </cell>
          <cell r="C5" t="str">
            <v>Bonus / Split</v>
          </cell>
        </row>
        <row r="6">
          <cell r="B6" t="str">
            <v>ASK IEP PMS</v>
          </cell>
          <cell r="C6" t="str">
            <v>Sale</v>
          </cell>
        </row>
        <row r="7">
          <cell r="B7" t="str">
            <v>RISE PMS</v>
          </cell>
          <cell r="C7" t="str">
            <v>Div / Int</v>
          </cell>
        </row>
        <row r="8">
          <cell r="B8" t="str">
            <v>BSE 200</v>
          </cell>
          <cell r="C8" t="str">
            <v>Closing</v>
          </cell>
        </row>
        <row r="9">
          <cell r="B9" t="str">
            <v>Nifty 50</v>
          </cell>
        </row>
        <row r="10">
          <cell r="B10" t="str">
            <v>Nifty FF Midcap 100</v>
          </cell>
        </row>
        <row r="11">
          <cell r="B11" t="str">
            <v>Nifty 500</v>
          </cell>
        </row>
        <row r="12">
          <cell r="B12" t="str">
            <v>Balanced Index</v>
          </cell>
        </row>
        <row r="13">
          <cell r="B13" t="str">
            <v>CRISIL Liquid Fund Index</v>
          </cell>
        </row>
        <row r="14">
          <cell r="B14" t="str">
            <v>CRISIL Short Term</v>
          </cell>
        </row>
        <row r="15">
          <cell r="B15" t="str">
            <v>CRISIL Composite Bond</v>
          </cell>
        </row>
        <row r="16">
          <cell r="B16" t="str">
            <v>CRISIL Gilt Index</v>
          </cell>
        </row>
        <row r="17">
          <cell r="B17" t="str">
            <v>CRISIL Gold Index</v>
          </cell>
        </row>
        <row r="18">
          <cell r="B18" t="str">
            <v>BSE 500</v>
          </cell>
        </row>
        <row r="19">
          <cell r="B19" t="str">
            <v>Conservative</v>
          </cell>
        </row>
        <row r="20">
          <cell r="B20" t="str">
            <v>Moderately Conservative</v>
          </cell>
        </row>
        <row r="21">
          <cell r="B21" t="str">
            <v>Balanced</v>
          </cell>
        </row>
        <row r="22">
          <cell r="B22" t="str">
            <v>Moderately Aggressive</v>
          </cell>
        </row>
        <row r="23">
          <cell r="B23" t="str">
            <v>Aggressive</v>
          </cell>
        </row>
        <row r="24">
          <cell r="B24" t="str">
            <v>Aggressive +</v>
          </cell>
        </row>
        <row r="25">
          <cell r="B25" t="str">
            <v>Alternate Index</v>
          </cell>
        </row>
        <row r="26">
          <cell r="B26" t="str">
            <v>ASK SELECT</v>
          </cell>
        </row>
        <row r="27">
          <cell r="B27" t="str">
            <v>DAWN PMS</v>
          </cell>
        </row>
        <row r="28">
          <cell r="B28" t="str">
            <v>DHFL DV PMS</v>
          </cell>
        </row>
        <row r="29">
          <cell r="B29" t="str">
            <v>Renaissance Midcap</v>
          </cell>
        </row>
        <row r="30">
          <cell r="B30" t="str">
            <v>BSE Midcap</v>
          </cell>
        </row>
        <row r="31">
          <cell r="B31" t="str">
            <v>Equity Savings Index</v>
          </cell>
        </row>
        <row r="32">
          <cell r="B32" t="str">
            <v>BSE Small Cap</v>
          </cell>
        </row>
        <row r="33">
          <cell r="B33" t="str">
            <v>Nifty Smallcap TRI</v>
          </cell>
        </row>
        <row r="34">
          <cell r="B34" t="str">
            <v>Nifty Smallcap</v>
          </cell>
        </row>
        <row r="35">
          <cell r="B35" t="str">
            <v>Nifty 50 TRI</v>
          </cell>
        </row>
        <row r="36">
          <cell r="B36" t="str">
            <v>Nifty 500 TRI</v>
          </cell>
        </row>
        <row r="37">
          <cell r="B37" t="str">
            <v>Nifty Midcap 100 TRI</v>
          </cell>
        </row>
        <row r="38">
          <cell r="B38" t="str">
            <v>Nifty 50 Arbitrage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ugh"/>
      <sheetName val="Sheet1"/>
      <sheetName val="Equity - Pareto"/>
      <sheetName val="Sheet2"/>
      <sheetName val="Sheet3"/>
      <sheetName val="Direct Equity"/>
      <sheetName val="Pareto Summary"/>
      <sheetName val="AMC Allocation"/>
      <sheetName val="Top Sectors"/>
      <sheetName val="PE PB Data"/>
      <sheetName val="Index data"/>
      <sheetName val="Top Stocks"/>
      <sheetName val="Stylometer"/>
      <sheetName val="Abakkus"/>
      <sheetName val="3P India Equity Fund 1 - B1"/>
      <sheetName val="Enam PMS"/>
      <sheetName val="QRC Long Term Opportunities"/>
      <sheetName val="SageOne PMS"/>
      <sheetName val="Oaks ABC Equity Portfolio"/>
      <sheetName val="APJ1"/>
      <sheetName val="Scheme Portfolio Company Wi (2"/>
    </sheetNames>
    <sheetDataSet>
      <sheetData sheetId="0"/>
      <sheetData sheetId="1"/>
      <sheetData sheetId="2">
        <row r="5">
          <cell r="L5" t="str">
            <v>Large Cap</v>
          </cell>
          <cell r="M5">
            <v>28.914147507287147</v>
          </cell>
        </row>
        <row r="6">
          <cell r="L6" t="str">
            <v>Mid Cap</v>
          </cell>
          <cell r="M6">
            <v>12.473678286669223</v>
          </cell>
        </row>
        <row r="7">
          <cell r="L7" t="str">
            <v>Small Cap</v>
          </cell>
          <cell r="M7">
            <v>37.775766802479147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O2" t="str">
            <v>Sector</v>
          </cell>
          <cell r="P2" t="str">
            <v>Nifty 50</v>
          </cell>
          <cell r="Q2" t="str">
            <v>Nifty 500</v>
          </cell>
        </row>
        <row r="3">
          <cell r="O3" t="str">
            <v>Financials</v>
          </cell>
          <cell r="P3">
            <v>35.14702940588117</v>
          </cell>
          <cell r="Q3">
            <v>29.857505920071961</v>
          </cell>
        </row>
        <row r="4">
          <cell r="O4" t="str">
            <v>IT</v>
          </cell>
          <cell r="P4">
            <v>8.4816963392678524</v>
          </cell>
          <cell r="Q4">
            <v>7.1389652294603234</v>
          </cell>
        </row>
        <row r="5">
          <cell r="O5" t="str">
            <v>Oil &amp; Gas</v>
          </cell>
          <cell r="P5">
            <v>9.2318463692738533</v>
          </cell>
          <cell r="Q5">
            <v>6.7976172457848811</v>
          </cell>
        </row>
        <row r="6">
          <cell r="O6" t="str">
            <v>Auto / Ancillaries</v>
          </cell>
          <cell r="P6">
            <v>6.8713742748549702</v>
          </cell>
          <cell r="Q6">
            <v>8.2997902965133576</v>
          </cell>
        </row>
        <row r="7">
          <cell r="O7" t="str">
            <v>Consumer Goods</v>
          </cell>
          <cell r="P7">
            <v>6.3912782556511294</v>
          </cell>
          <cell r="Q7">
            <v>6.8445651301433195</v>
          </cell>
        </row>
        <row r="8">
          <cell r="O8" t="str">
            <v>Telecom</v>
          </cell>
          <cell r="P8">
            <v>5.2010402080416078</v>
          </cell>
          <cell r="Q8">
            <v>4.2540048602038345</v>
          </cell>
        </row>
        <row r="9">
          <cell r="O9" t="str">
            <v>Metals / Mining</v>
          </cell>
          <cell r="P9">
            <v>5.9511902380476087</v>
          </cell>
          <cell r="Q9">
            <v>5.7023077887170368</v>
          </cell>
        </row>
        <row r="10">
          <cell r="O10" t="str">
            <v>Pharma / Healthcare</v>
          </cell>
          <cell r="P10">
            <v>4.6909381876375269</v>
          </cell>
          <cell r="Q10">
            <v>6.9219396889777203</v>
          </cell>
        </row>
        <row r="11">
          <cell r="O11" t="str">
            <v>Engineering / Construction</v>
          </cell>
          <cell r="P11">
            <v>4.430886177235446</v>
          </cell>
          <cell r="Q11">
            <v>2.8379582725604569</v>
          </cell>
        </row>
        <row r="12">
          <cell r="O12" t="str">
            <v>Power</v>
          </cell>
          <cell r="P12">
            <v>2.9205841168233642</v>
          </cell>
          <cell r="Q12">
            <v>3.9090449795360294</v>
          </cell>
        </row>
        <row r="13">
          <cell r="O13" t="str">
            <v>Retail</v>
          </cell>
          <cell r="P13">
            <v>2.4304860972194433</v>
          </cell>
          <cell r="Q13">
            <v>2.0246478425844483</v>
          </cell>
        </row>
        <row r="14">
          <cell r="O14" t="str">
            <v>Consumer Services</v>
          </cell>
          <cell r="P14">
            <v>1.6703340668133622</v>
          </cell>
          <cell r="Q14">
            <v>1.5729099864784277</v>
          </cell>
        </row>
        <row r="15">
          <cell r="O15" t="str">
            <v>Cement / Construction</v>
          </cell>
          <cell r="P15">
            <v>1.2602520504100818</v>
          </cell>
          <cell r="Q15">
            <v>1.3564299576428835</v>
          </cell>
        </row>
        <row r="16">
          <cell r="O16" t="str">
            <v>Capital Goods</v>
          </cell>
          <cell r="P16">
            <v>1.3602720544108822</v>
          </cell>
          <cell r="Q16">
            <v>5.1408983736535907</v>
          </cell>
        </row>
        <row r="17">
          <cell r="O17" t="str">
            <v>Diversified</v>
          </cell>
          <cell r="P17">
            <v>1.1002200440088017</v>
          </cell>
          <cell r="Q17">
            <v>0.71284819186776294</v>
          </cell>
        </row>
        <row r="18">
          <cell r="O18" t="str">
            <v>Logistics</v>
          </cell>
          <cell r="P18">
            <v>2.1504300860172032</v>
          </cell>
          <cell r="Q18">
            <v>1.6300667316604827</v>
          </cell>
        </row>
        <row r="19">
          <cell r="O19" t="str">
            <v>FMCG</v>
          </cell>
          <cell r="P19">
            <v>0</v>
          </cell>
          <cell r="Q19">
            <v>0</v>
          </cell>
        </row>
        <row r="20">
          <cell r="O20" t="str">
            <v>Commodities</v>
          </cell>
          <cell r="P20">
            <v>0.71014202840568097</v>
          </cell>
          <cell r="Q20">
            <v>0.50763416443896348</v>
          </cell>
        </row>
        <row r="21">
          <cell r="O21" t="str">
            <v>Chemicals</v>
          </cell>
          <cell r="P21">
            <v>0</v>
          </cell>
          <cell r="Q21">
            <v>1.3534753852438826</v>
          </cell>
        </row>
        <row r="22">
          <cell r="O22" t="str">
            <v>Real Estate</v>
          </cell>
          <cell r="P22">
            <v>0</v>
          </cell>
          <cell r="Q22">
            <v>1.0907183497276527</v>
          </cell>
        </row>
        <row r="23">
          <cell r="O23" t="str">
            <v>Textile</v>
          </cell>
          <cell r="P23">
            <v>0</v>
          </cell>
          <cell r="Q23">
            <v>0.2732742290099231</v>
          </cell>
        </row>
        <row r="24">
          <cell r="O24" t="str">
            <v>Miscellaneous</v>
          </cell>
          <cell r="P24">
            <v>0</v>
          </cell>
          <cell r="Q24">
            <v>0.36438483888279638</v>
          </cell>
        </row>
        <row r="25">
          <cell r="O25" t="str">
            <v>Agriculture</v>
          </cell>
          <cell r="P25">
            <v>0</v>
          </cell>
          <cell r="Q25">
            <v>0.57994325797920132</v>
          </cell>
        </row>
        <row r="26">
          <cell r="O26" t="str">
            <v>Hotels / Amusements</v>
          </cell>
          <cell r="P26">
            <v>0</v>
          </cell>
          <cell r="Q26">
            <v>0.49429792939025963</v>
          </cell>
        </row>
        <row r="27">
          <cell r="O27" t="str">
            <v>Infrastructure</v>
          </cell>
          <cell r="P27">
            <v>0</v>
          </cell>
          <cell r="Q27">
            <v>0.21296300343397845</v>
          </cell>
        </row>
        <row r="28">
          <cell r="O28" t="str">
            <v>Media / Entertainment</v>
          </cell>
          <cell r="P28">
            <v>0</v>
          </cell>
          <cell r="Q28">
            <v>0.12180834603680882</v>
          </cell>
        </row>
        <row r="29">
          <cell r="O29" t="str">
            <v>Total</v>
          </cell>
          <cell r="P29">
            <v>100.00000000000001</v>
          </cell>
          <cell r="Q29">
            <v>99.999999999999972</v>
          </cell>
        </row>
        <row r="30">
          <cell r="O30"/>
          <cell r="P30"/>
          <cell r="Q30"/>
        </row>
        <row r="31">
          <cell r="O31"/>
          <cell r="P31"/>
          <cell r="Q31"/>
        </row>
        <row r="32">
          <cell r="O32"/>
          <cell r="P32"/>
          <cell r="Q32"/>
        </row>
        <row r="33">
          <cell r="O33"/>
          <cell r="P33"/>
          <cell r="Q33"/>
        </row>
        <row r="34">
          <cell r="O34"/>
          <cell r="P34"/>
          <cell r="Q34"/>
        </row>
        <row r="35">
          <cell r="O35"/>
          <cell r="P35"/>
          <cell r="Q35"/>
        </row>
        <row r="36">
          <cell r="O36"/>
          <cell r="P36"/>
          <cell r="Q36"/>
        </row>
        <row r="37">
          <cell r="O37"/>
          <cell r="P37"/>
          <cell r="Q37"/>
        </row>
        <row r="38">
          <cell r="O38"/>
          <cell r="P38"/>
          <cell r="Q38"/>
        </row>
        <row r="39">
          <cell r="O39"/>
          <cell r="P39"/>
          <cell r="Q39"/>
        </row>
        <row r="40">
          <cell r="O40"/>
          <cell r="P40"/>
          <cell r="Q40"/>
        </row>
        <row r="41">
          <cell r="O41"/>
          <cell r="P41"/>
          <cell r="Q41"/>
        </row>
        <row r="42">
          <cell r="O42"/>
          <cell r="P42"/>
          <cell r="Q42"/>
        </row>
        <row r="43">
          <cell r="O43"/>
          <cell r="P43"/>
          <cell r="Q43"/>
        </row>
        <row r="44">
          <cell r="O44"/>
          <cell r="P44"/>
          <cell r="Q44"/>
        </row>
        <row r="45">
          <cell r="O45"/>
          <cell r="P45"/>
          <cell r="Q45"/>
        </row>
        <row r="46">
          <cell r="O46"/>
          <cell r="P46"/>
          <cell r="Q46"/>
        </row>
        <row r="47">
          <cell r="O47"/>
          <cell r="P47"/>
          <cell r="Q47"/>
        </row>
        <row r="48">
          <cell r="O48"/>
          <cell r="P48"/>
          <cell r="Q48"/>
        </row>
        <row r="49">
          <cell r="O49"/>
          <cell r="P49"/>
          <cell r="Q49"/>
        </row>
        <row r="50">
          <cell r="O50"/>
          <cell r="P50"/>
          <cell r="Q50"/>
        </row>
        <row r="51">
          <cell r="O51"/>
          <cell r="P51"/>
          <cell r="Q51"/>
        </row>
        <row r="52">
          <cell r="O52"/>
          <cell r="P52"/>
          <cell r="Q52"/>
        </row>
        <row r="53">
          <cell r="O53"/>
          <cell r="P53"/>
          <cell r="Q53"/>
        </row>
        <row r="54">
          <cell r="O54"/>
          <cell r="P54"/>
          <cell r="Q54"/>
        </row>
        <row r="55">
          <cell r="O55"/>
          <cell r="P55"/>
          <cell r="Q55"/>
        </row>
        <row r="56">
          <cell r="O56"/>
          <cell r="P56"/>
          <cell r="Q56"/>
        </row>
        <row r="57">
          <cell r="O57"/>
          <cell r="P57"/>
          <cell r="Q57"/>
        </row>
        <row r="58">
          <cell r="O58"/>
          <cell r="P58"/>
          <cell r="Q58"/>
        </row>
        <row r="59">
          <cell r="O59"/>
          <cell r="P59"/>
          <cell r="Q59"/>
        </row>
        <row r="60">
          <cell r="O60"/>
          <cell r="P60"/>
          <cell r="Q60"/>
        </row>
        <row r="61">
          <cell r="O61"/>
          <cell r="P61"/>
          <cell r="Q61"/>
        </row>
        <row r="62">
          <cell r="O62"/>
          <cell r="P62"/>
          <cell r="Q62"/>
        </row>
        <row r="63">
          <cell r="O63"/>
          <cell r="P63"/>
          <cell r="Q63"/>
        </row>
        <row r="64">
          <cell r="O64"/>
          <cell r="P64"/>
          <cell r="Q64"/>
        </row>
        <row r="65">
          <cell r="O65"/>
          <cell r="P65"/>
          <cell r="Q65"/>
        </row>
        <row r="66">
          <cell r="O66"/>
          <cell r="P66"/>
          <cell r="Q66"/>
        </row>
        <row r="67">
          <cell r="O67"/>
          <cell r="P67"/>
          <cell r="Q67"/>
        </row>
        <row r="68">
          <cell r="O68"/>
          <cell r="P68"/>
          <cell r="Q68"/>
        </row>
        <row r="69">
          <cell r="O69"/>
          <cell r="P69"/>
          <cell r="Q69"/>
        </row>
        <row r="70">
          <cell r="O70"/>
          <cell r="P70"/>
          <cell r="Q70"/>
        </row>
        <row r="71">
          <cell r="O71"/>
          <cell r="P71"/>
          <cell r="Q71"/>
        </row>
        <row r="72">
          <cell r="O72"/>
          <cell r="P72"/>
          <cell r="Q72"/>
        </row>
        <row r="73">
          <cell r="O73"/>
          <cell r="P73"/>
          <cell r="Q73"/>
        </row>
        <row r="74">
          <cell r="O74"/>
          <cell r="P74"/>
          <cell r="Q74"/>
        </row>
        <row r="75">
          <cell r="O75"/>
          <cell r="P75"/>
          <cell r="Q75"/>
        </row>
        <row r="76">
          <cell r="O76"/>
          <cell r="P76"/>
          <cell r="Q76"/>
        </row>
        <row r="77">
          <cell r="O77"/>
          <cell r="P77"/>
          <cell r="Q77"/>
        </row>
        <row r="78">
          <cell r="O78"/>
          <cell r="P78"/>
          <cell r="Q78"/>
        </row>
        <row r="79">
          <cell r="O79"/>
          <cell r="P79"/>
          <cell r="Q79"/>
        </row>
        <row r="80">
          <cell r="O80"/>
          <cell r="P80"/>
          <cell r="Q80"/>
        </row>
        <row r="81">
          <cell r="O81"/>
          <cell r="P81"/>
          <cell r="Q81"/>
        </row>
        <row r="82">
          <cell r="O82"/>
          <cell r="P82"/>
          <cell r="Q82"/>
        </row>
        <row r="83">
          <cell r="O83"/>
          <cell r="P83"/>
          <cell r="Q83"/>
        </row>
        <row r="84">
          <cell r="O84"/>
          <cell r="P84"/>
          <cell r="Q84"/>
        </row>
        <row r="85">
          <cell r="O85"/>
          <cell r="P85"/>
          <cell r="Q85"/>
        </row>
        <row r="86">
          <cell r="O86"/>
          <cell r="P86"/>
          <cell r="Q86"/>
        </row>
        <row r="87">
          <cell r="O87"/>
          <cell r="P87"/>
          <cell r="Q87"/>
        </row>
        <row r="88">
          <cell r="O88"/>
          <cell r="P88"/>
          <cell r="Q88"/>
        </row>
        <row r="89">
          <cell r="O89"/>
          <cell r="P89"/>
          <cell r="Q89"/>
        </row>
        <row r="90">
          <cell r="O90"/>
          <cell r="P90"/>
          <cell r="Q90"/>
        </row>
        <row r="91">
          <cell r="O91"/>
          <cell r="P91"/>
          <cell r="Q91"/>
        </row>
        <row r="92">
          <cell r="O92"/>
          <cell r="P92"/>
          <cell r="Q92"/>
        </row>
        <row r="93">
          <cell r="O93"/>
          <cell r="P93"/>
          <cell r="Q93"/>
        </row>
        <row r="94">
          <cell r="O94"/>
          <cell r="P94"/>
          <cell r="Q94"/>
        </row>
        <row r="95">
          <cell r="O95"/>
          <cell r="P95"/>
          <cell r="Q95"/>
        </row>
        <row r="96">
          <cell r="O96"/>
          <cell r="P96"/>
          <cell r="Q96"/>
        </row>
        <row r="97">
          <cell r="O97"/>
          <cell r="P97"/>
          <cell r="Q97"/>
        </row>
        <row r="98">
          <cell r="O98"/>
          <cell r="P98"/>
          <cell r="Q98"/>
        </row>
        <row r="99">
          <cell r="O99"/>
          <cell r="P99"/>
          <cell r="Q99"/>
        </row>
        <row r="100">
          <cell r="O100"/>
          <cell r="P100"/>
          <cell r="Q100"/>
        </row>
        <row r="101">
          <cell r="O101"/>
          <cell r="P101"/>
          <cell r="Q101"/>
        </row>
        <row r="102">
          <cell r="O102"/>
          <cell r="P102"/>
          <cell r="Q102"/>
        </row>
        <row r="103">
          <cell r="O103"/>
          <cell r="P103"/>
          <cell r="Q103"/>
        </row>
        <row r="104">
          <cell r="O104"/>
          <cell r="P104"/>
          <cell r="Q104"/>
        </row>
        <row r="105">
          <cell r="O105"/>
          <cell r="P105"/>
          <cell r="Q105"/>
        </row>
        <row r="106">
          <cell r="O106"/>
          <cell r="P106"/>
          <cell r="Q106"/>
        </row>
        <row r="107">
          <cell r="O107"/>
          <cell r="P107"/>
          <cell r="Q107"/>
        </row>
        <row r="108">
          <cell r="O108"/>
          <cell r="P108"/>
          <cell r="Q108"/>
        </row>
        <row r="109">
          <cell r="O109"/>
          <cell r="P109"/>
          <cell r="Q109"/>
        </row>
        <row r="110">
          <cell r="O110"/>
          <cell r="P110"/>
          <cell r="Q110"/>
        </row>
        <row r="111">
          <cell r="O111"/>
          <cell r="P111"/>
          <cell r="Q111"/>
        </row>
        <row r="112">
          <cell r="O112"/>
          <cell r="P112"/>
          <cell r="Q112"/>
        </row>
        <row r="113">
          <cell r="O113"/>
          <cell r="P113"/>
          <cell r="Q113"/>
        </row>
        <row r="114">
          <cell r="O114"/>
          <cell r="P114"/>
          <cell r="Q114"/>
        </row>
        <row r="115">
          <cell r="O115"/>
          <cell r="P115"/>
          <cell r="Q115"/>
        </row>
        <row r="116">
          <cell r="O116"/>
          <cell r="P116"/>
          <cell r="Q116"/>
        </row>
        <row r="117">
          <cell r="O117"/>
          <cell r="P117"/>
          <cell r="Q117"/>
        </row>
        <row r="118">
          <cell r="O118"/>
          <cell r="P118"/>
          <cell r="Q118"/>
        </row>
        <row r="119">
          <cell r="O119"/>
          <cell r="P119"/>
          <cell r="Q119"/>
        </row>
        <row r="120">
          <cell r="O120"/>
          <cell r="P120"/>
          <cell r="Q120"/>
        </row>
        <row r="121">
          <cell r="O121"/>
          <cell r="P121"/>
          <cell r="Q121"/>
        </row>
        <row r="122">
          <cell r="O122"/>
          <cell r="P122"/>
          <cell r="Q122"/>
        </row>
        <row r="123">
          <cell r="O123"/>
          <cell r="P123"/>
          <cell r="Q123"/>
        </row>
        <row r="124">
          <cell r="O124"/>
          <cell r="P124"/>
          <cell r="Q124"/>
        </row>
        <row r="125">
          <cell r="O125"/>
          <cell r="P125"/>
          <cell r="Q125"/>
        </row>
        <row r="126">
          <cell r="O126"/>
          <cell r="P126"/>
          <cell r="Q126"/>
        </row>
        <row r="127">
          <cell r="O127"/>
          <cell r="P127"/>
          <cell r="Q127"/>
        </row>
        <row r="128">
          <cell r="O128"/>
          <cell r="P128"/>
          <cell r="Q128"/>
        </row>
        <row r="129">
          <cell r="O129"/>
          <cell r="P129"/>
          <cell r="Q129"/>
        </row>
        <row r="130">
          <cell r="O130"/>
          <cell r="P130"/>
          <cell r="Q130"/>
        </row>
        <row r="131">
          <cell r="O131"/>
          <cell r="P131"/>
          <cell r="Q131"/>
        </row>
        <row r="132">
          <cell r="O132"/>
          <cell r="P132"/>
          <cell r="Q132"/>
        </row>
        <row r="133">
          <cell r="O133"/>
          <cell r="P133"/>
          <cell r="Q133"/>
        </row>
        <row r="134">
          <cell r="O134"/>
          <cell r="P134"/>
          <cell r="Q134"/>
        </row>
        <row r="135">
          <cell r="O135"/>
          <cell r="P135"/>
          <cell r="Q135"/>
        </row>
        <row r="136">
          <cell r="O136"/>
          <cell r="P136"/>
          <cell r="Q136"/>
        </row>
        <row r="137">
          <cell r="O137"/>
          <cell r="P137"/>
          <cell r="Q137"/>
        </row>
        <row r="138">
          <cell r="O138"/>
          <cell r="P138"/>
          <cell r="Q138"/>
        </row>
        <row r="139">
          <cell r="O139"/>
          <cell r="P139"/>
          <cell r="Q139"/>
        </row>
        <row r="140">
          <cell r="O140"/>
          <cell r="P140"/>
          <cell r="Q140"/>
        </row>
        <row r="141">
          <cell r="O141"/>
          <cell r="P141"/>
          <cell r="Q141"/>
        </row>
        <row r="142">
          <cell r="O142"/>
          <cell r="P142"/>
          <cell r="Q142"/>
        </row>
        <row r="143">
          <cell r="O143"/>
          <cell r="P143"/>
          <cell r="Q143"/>
        </row>
        <row r="144">
          <cell r="O144"/>
          <cell r="P144"/>
          <cell r="Q144"/>
        </row>
        <row r="145">
          <cell r="O145"/>
          <cell r="P145"/>
          <cell r="Q145"/>
        </row>
        <row r="146">
          <cell r="O146"/>
          <cell r="P146"/>
          <cell r="Q146"/>
        </row>
        <row r="147">
          <cell r="O147"/>
          <cell r="P147"/>
          <cell r="Q147"/>
        </row>
        <row r="148">
          <cell r="O148"/>
          <cell r="P148"/>
          <cell r="Q148"/>
        </row>
        <row r="149">
          <cell r="O149"/>
          <cell r="P149"/>
          <cell r="Q149"/>
        </row>
        <row r="150">
          <cell r="O150"/>
          <cell r="P150"/>
          <cell r="Q150"/>
        </row>
        <row r="151">
          <cell r="O151"/>
          <cell r="P151"/>
          <cell r="Q151"/>
        </row>
        <row r="152">
          <cell r="O152"/>
          <cell r="P152"/>
          <cell r="Q152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0.39997558519241921"/>
  </sheetPr>
  <dimension ref="A1:V34"/>
  <sheetViews>
    <sheetView showGridLines="0" zoomScale="80" zoomScaleNormal="80" workbookViewId="0">
      <selection activeCell="E32" sqref="E31:E32"/>
    </sheetView>
  </sheetViews>
  <sheetFormatPr defaultColWidth="9.19921875" defaultRowHeight="13.15" x14ac:dyDescent="0.45"/>
  <cols>
    <col min="1" max="1" width="9.19921875" style="129"/>
    <col min="2" max="2" width="39.46484375" style="129" bestFit="1" customWidth="1"/>
    <col min="3" max="3" width="1.73046875" style="129" customWidth="1"/>
    <col min="4" max="4" width="15.265625" style="164" bestFit="1" customWidth="1"/>
    <col min="5" max="5" width="14.46484375" style="165" customWidth="1"/>
    <col min="6" max="6" width="14.19921875" style="165" customWidth="1"/>
    <col min="7" max="8" width="10.73046875" style="166" customWidth="1"/>
    <col min="9" max="9" width="1.73046875" style="129" customWidth="1"/>
    <col min="10" max="10" width="10.73046875" style="165" customWidth="1"/>
    <col min="11" max="11" width="1.73046875" style="129" customWidth="1"/>
    <col min="12" max="12" width="15.796875" style="167" customWidth="1"/>
    <col min="13" max="13" width="1.73046875" style="129" customWidth="1"/>
    <col min="14" max="14" width="11.53125" style="168" customWidth="1"/>
    <col min="15" max="15" width="1.73046875" style="129" customWidth="1"/>
    <col min="16" max="17" width="10.73046875" style="166" customWidth="1"/>
    <col min="18" max="18" width="1.73046875" style="129" customWidth="1"/>
    <col min="19" max="19" width="11.73046875" style="166" customWidth="1"/>
    <col min="20" max="20" width="10.73046875" style="166" customWidth="1"/>
    <col min="21" max="21" width="16.46484375" style="129" bestFit="1" customWidth="1"/>
    <col min="22" max="16384" width="9.19921875" style="129"/>
  </cols>
  <sheetData>
    <row r="1" spans="1:22" x14ac:dyDescent="0.45">
      <c r="B1" s="129" t="s">
        <v>181</v>
      </c>
      <c r="D1" s="130">
        <v>3</v>
      </c>
      <c r="E1" s="39">
        <v>12.085000000000001</v>
      </c>
      <c r="F1" s="39">
        <v>41.5</v>
      </c>
      <c r="G1" s="107">
        <v>3.2000000000000001E-2</v>
      </c>
      <c r="H1" s="40">
        <f>IFERROR(G1/$G$5,0)</f>
        <v>4.2299592345375107E-2</v>
      </c>
      <c r="I1" s="132"/>
      <c r="J1" s="131">
        <v>9</v>
      </c>
      <c r="K1" s="132"/>
      <c r="L1" s="39">
        <f>N1</f>
        <v>38.414999999999999</v>
      </c>
      <c r="M1" s="165"/>
      <c r="N1" s="41">
        <f>(F1+J1)-E1</f>
        <v>38.414999999999999</v>
      </c>
      <c r="O1" s="132"/>
      <c r="P1" s="131">
        <v>15</v>
      </c>
      <c r="Q1" s="131">
        <v>16</v>
      </c>
      <c r="R1" s="132"/>
      <c r="S1" s="131">
        <v>18</v>
      </c>
      <c r="T1" s="131">
        <v>19</v>
      </c>
    </row>
    <row r="2" spans="1:22" ht="12" customHeight="1" x14ac:dyDescent="0.45">
      <c r="B2" s="569" t="s">
        <v>0</v>
      </c>
      <c r="C2" s="133"/>
      <c r="D2" s="571" t="s">
        <v>1</v>
      </c>
      <c r="E2" s="573" t="s">
        <v>2</v>
      </c>
      <c r="F2" s="573" t="s">
        <v>3</v>
      </c>
      <c r="G2" s="567" t="s">
        <v>4</v>
      </c>
      <c r="H2" s="567" t="s">
        <v>5</v>
      </c>
      <c r="I2" s="133"/>
      <c r="J2" s="573" t="s">
        <v>6</v>
      </c>
      <c r="K2" s="133"/>
      <c r="L2" s="573" t="s">
        <v>7</v>
      </c>
      <c r="M2" s="133"/>
      <c r="N2" s="575" t="s">
        <v>8</v>
      </c>
      <c r="O2" s="134"/>
      <c r="P2" s="577" t="s">
        <v>9</v>
      </c>
      <c r="Q2" s="577"/>
      <c r="R2" s="133"/>
      <c r="S2" s="577" t="s">
        <v>10</v>
      </c>
      <c r="T2" s="578"/>
    </row>
    <row r="3" spans="1:22" s="135" customFormat="1" ht="26.25" x14ac:dyDescent="0.45">
      <c r="B3" s="570"/>
      <c r="C3" s="136" t="s">
        <v>239</v>
      </c>
      <c r="D3" s="572"/>
      <c r="E3" s="574"/>
      <c r="F3" s="574"/>
      <c r="G3" s="568"/>
      <c r="H3" s="568"/>
      <c r="I3" s="136"/>
      <c r="J3" s="574"/>
      <c r="K3" s="136"/>
      <c r="L3" s="574"/>
      <c r="M3" s="136"/>
      <c r="N3" s="576"/>
      <c r="O3" s="137"/>
      <c r="P3" s="138" t="s">
        <v>11</v>
      </c>
      <c r="Q3" s="138" t="s">
        <v>12</v>
      </c>
      <c r="R3" s="136"/>
      <c r="S3" s="138" t="s">
        <v>11</v>
      </c>
      <c r="T3" s="139" t="s">
        <v>12</v>
      </c>
    </row>
    <row r="4" spans="1:22" x14ac:dyDescent="0.45">
      <c r="A4" s="142"/>
      <c r="B4" s="365" t="s">
        <v>33</v>
      </c>
      <c r="C4" s="143"/>
      <c r="D4" s="144"/>
      <c r="E4" s="145">
        <f>SUM(E7:E15)</f>
        <v>810.70046645882144</v>
      </c>
      <c r="F4" s="145">
        <f>SUM(F7:F15)</f>
        <v>1024.9988563391682</v>
      </c>
      <c r="G4" s="146">
        <f>SUM(G7:G15)</f>
        <v>0.78843032130173119</v>
      </c>
      <c r="H4" s="146">
        <f>SUM(H7:H15)</f>
        <v>1</v>
      </c>
      <c r="I4" s="143"/>
      <c r="J4" s="145">
        <f>SUM(J7:J14)</f>
        <v>1.843232435</v>
      </c>
      <c r="K4" s="147"/>
      <c r="L4" s="145">
        <f>SUM(L7:L15)</f>
        <v>20734.547774675448</v>
      </c>
      <c r="M4" s="147"/>
      <c r="N4" s="145">
        <f>SUM(N7:N15)</f>
        <v>216.14357231534692</v>
      </c>
      <c r="O4" s="148"/>
      <c r="P4" s="146">
        <v>0.26003126869671345</v>
      </c>
      <c r="Q4" s="146">
        <v>4.9233915543793749E-2</v>
      </c>
      <c r="R4" s="143"/>
      <c r="S4" s="146">
        <v>0.22988720536231996</v>
      </c>
      <c r="T4" s="149">
        <v>5.1674172282218947E-2</v>
      </c>
      <c r="U4" s="198"/>
    </row>
    <row r="5" spans="1:22" x14ac:dyDescent="0.45">
      <c r="A5" s="142"/>
      <c r="B5" s="365" t="s">
        <v>219</v>
      </c>
      <c r="C5" s="143"/>
      <c r="D5" s="144"/>
      <c r="E5" s="145">
        <f>E4-E1</f>
        <v>798.6154664588214</v>
      </c>
      <c r="F5" s="145">
        <f>F4-F1</f>
        <v>983.49885633916824</v>
      </c>
      <c r="G5" s="146">
        <f>F5/F28</f>
        <v>0.75650847267559473</v>
      </c>
      <c r="H5" s="146">
        <f>F5/F4</f>
        <v>0.95951214994695777</v>
      </c>
      <c r="I5" s="143"/>
      <c r="J5" s="145">
        <v>1.843232435</v>
      </c>
      <c r="K5" s="147"/>
      <c r="L5" s="145">
        <v>20705.132774675447</v>
      </c>
      <c r="M5" s="147"/>
      <c r="N5" s="145">
        <v>186.72857231534692</v>
      </c>
      <c r="O5" s="148"/>
      <c r="P5" s="146">
        <v>0.19247269734463202</v>
      </c>
      <c r="Q5" s="146">
        <v>4.1027378581728335E-2</v>
      </c>
      <c r="R5" s="143"/>
      <c r="S5" s="146">
        <v>0.19345654845237731</v>
      </c>
      <c r="T5" s="149">
        <v>4.8554506897926328E-2</v>
      </c>
    </row>
    <row r="6" spans="1:22" x14ac:dyDescent="0.45">
      <c r="A6" s="142"/>
      <c r="B6" s="365" t="s">
        <v>257</v>
      </c>
      <c r="C6" s="143"/>
      <c r="D6" s="144"/>
      <c r="E6" s="145">
        <f>E5-E9</f>
        <v>648.20141038938652</v>
      </c>
      <c r="F6" s="145">
        <f>F5-F9</f>
        <v>761.14020681916827</v>
      </c>
      <c r="G6" s="146">
        <f>F6/F28</f>
        <v>0.5854699389240392</v>
      </c>
      <c r="H6" s="146">
        <f>F6/F4</f>
        <v>0.74257664007315716</v>
      </c>
      <c r="I6" s="143"/>
      <c r="J6" s="145"/>
      <c r="K6" s="147"/>
      <c r="L6" s="145">
        <f>L5-L9</f>
        <v>13817.752420660137</v>
      </c>
      <c r="M6" s="147"/>
      <c r="N6" s="145">
        <f>N5-N9</f>
        <v>112.95665361478177</v>
      </c>
      <c r="O6" s="148"/>
      <c r="P6" s="146">
        <f>P29</f>
        <v>0.14585220297545565</v>
      </c>
      <c r="Q6" s="146">
        <f>Q29</f>
        <v>3.5615199112808194E-2</v>
      </c>
      <c r="R6" s="224"/>
      <c r="S6" s="146">
        <f>S29</f>
        <v>0.1575427830219269</v>
      </c>
      <c r="T6" s="146">
        <f>T29</f>
        <v>4.2163881659507754E-2</v>
      </c>
      <c r="U6" s="223"/>
      <c r="V6" s="260"/>
    </row>
    <row r="7" spans="1:22" x14ac:dyDescent="0.45">
      <c r="B7" s="366" t="s">
        <v>14</v>
      </c>
      <c r="C7" s="151"/>
      <c r="D7" s="152" t="s">
        <v>562</v>
      </c>
      <c r="E7" s="153">
        <v>17.731315725000002</v>
      </c>
      <c r="F7" s="153">
        <v>21.640257625</v>
      </c>
      <c r="G7" s="140">
        <f t="shared" ref="G7:G15" si="0">F7/$F$28</f>
        <v>1.664571152134563E-2</v>
      </c>
      <c r="H7" s="140">
        <f>F7/$F$4</f>
        <v>2.1112470020004902E-2</v>
      </c>
      <c r="I7" s="151"/>
      <c r="J7" s="153">
        <v>0</v>
      </c>
      <c r="K7" s="154"/>
      <c r="L7" s="153">
        <v>682.89958901722309</v>
      </c>
      <c r="M7" s="154"/>
      <c r="N7" s="153">
        <v>3.9089418999999985</v>
      </c>
      <c r="O7" s="155"/>
      <c r="P7" s="140">
        <v>0.26617786639854768</v>
      </c>
      <c r="Q7" s="140">
        <v>5.5932598445740611E-2</v>
      </c>
      <c r="R7" s="151"/>
      <c r="S7" s="140">
        <v>0.17558800578117373</v>
      </c>
      <c r="T7" s="140">
        <v>3.8443562388420116E-2</v>
      </c>
    </row>
    <row r="8" spans="1:22" x14ac:dyDescent="0.45">
      <c r="B8" s="366" t="s">
        <v>15</v>
      </c>
      <c r="C8" s="151"/>
      <c r="D8" s="152" t="s">
        <v>563</v>
      </c>
      <c r="E8" s="153">
        <v>27.086596</v>
      </c>
      <c r="F8" s="153">
        <v>64.32851565217392</v>
      </c>
      <c r="G8" s="140">
        <f t="shared" si="0"/>
        <v>4.9481569614282912E-2</v>
      </c>
      <c r="H8" s="140">
        <f t="shared" ref="H8:H14" si="1">F8/$F$4</f>
        <v>6.2759597490602323E-2</v>
      </c>
      <c r="I8" s="151"/>
      <c r="J8" s="153">
        <v>0</v>
      </c>
      <c r="K8" s="154"/>
      <c r="L8" s="153">
        <v>3724.191965217391</v>
      </c>
      <c r="M8" s="154"/>
      <c r="N8" s="153">
        <v>37.24191965217392</v>
      </c>
      <c r="O8" s="155"/>
      <c r="P8" s="140">
        <v>1.3749206305647976</v>
      </c>
      <c r="Q8" s="140">
        <v>0.29941829110379725</v>
      </c>
      <c r="R8" s="151"/>
      <c r="S8" s="140">
        <v>0.53955840468406691</v>
      </c>
      <c r="T8" s="141">
        <v>0.1576156795024872</v>
      </c>
    </row>
    <row r="9" spans="1:22" x14ac:dyDescent="0.45">
      <c r="A9" s="142"/>
      <c r="B9" s="366" t="s">
        <v>255</v>
      </c>
      <c r="C9" s="151"/>
      <c r="D9" s="152" t="s">
        <v>564</v>
      </c>
      <c r="E9" s="153">
        <v>150.41405606943488</v>
      </c>
      <c r="F9" s="153">
        <v>222.35864952000003</v>
      </c>
      <c r="G9" s="140">
        <f t="shared" si="0"/>
        <v>0.17103853375155553</v>
      </c>
      <c r="H9" s="140">
        <f t="shared" si="1"/>
        <v>0.21693550987380067</v>
      </c>
      <c r="I9" s="151"/>
      <c r="J9" s="153">
        <v>1.8273252499999999</v>
      </c>
      <c r="K9" s="154"/>
      <c r="L9" s="153">
        <v>6887.3803540153085</v>
      </c>
      <c r="M9" s="154"/>
      <c r="N9" s="153">
        <v>73.771918700565152</v>
      </c>
      <c r="O9" s="155"/>
      <c r="P9" s="140">
        <v>0.43578584718611957</v>
      </c>
      <c r="Q9" s="140">
        <v>6.9273634909743143E-2</v>
      </c>
      <c r="R9" s="151"/>
      <c r="S9" s="140">
        <v>0.32026553750038167</v>
      </c>
      <c r="T9" s="141">
        <v>7.2169986367225658E-2</v>
      </c>
    </row>
    <row r="10" spans="1:22" x14ac:dyDescent="0.45">
      <c r="A10" s="142"/>
      <c r="B10" s="366" t="s">
        <v>18</v>
      </c>
      <c r="C10" s="151"/>
      <c r="D10" s="152" t="s">
        <v>369</v>
      </c>
      <c r="E10" s="153">
        <v>332.69670548151311</v>
      </c>
      <c r="F10" s="153">
        <v>361.70793325919067</v>
      </c>
      <c r="G10" s="140">
        <f t="shared" si="0"/>
        <v>0.27822616608126566</v>
      </c>
      <c r="H10" s="140">
        <f t="shared" si="1"/>
        <v>0.35288618228419066</v>
      </c>
      <c r="I10" s="151"/>
      <c r="J10" s="153">
        <v>0</v>
      </c>
      <c r="K10" s="154"/>
      <c r="L10" s="153">
        <v>2945.7612107237364</v>
      </c>
      <c r="M10" s="154"/>
      <c r="N10" s="153">
        <v>29.011227777677561</v>
      </c>
      <c r="O10" s="155"/>
      <c r="P10" s="140">
        <v>8.7685415200472461E-2</v>
      </c>
      <c r="Q10" s="140">
        <v>2.4078156295746611E-2</v>
      </c>
      <c r="R10" s="151"/>
      <c r="S10" s="140">
        <v>9.3634906411170948E-2</v>
      </c>
      <c r="T10" s="141">
        <v>2.6127818226814273E-2</v>
      </c>
    </row>
    <row r="11" spans="1:22" x14ac:dyDescent="0.45">
      <c r="B11" s="366" t="s">
        <v>19</v>
      </c>
      <c r="C11" s="151"/>
      <c r="D11" s="152" t="s">
        <v>565</v>
      </c>
      <c r="E11" s="153">
        <v>96.675687679502389</v>
      </c>
      <c r="F11" s="153">
        <v>105.9862796978139</v>
      </c>
      <c r="G11" s="140">
        <f t="shared" si="0"/>
        <v>8.1524770529179932E-2</v>
      </c>
      <c r="H11" s="140">
        <f t="shared" si="1"/>
        <v>0.10340136385746702</v>
      </c>
      <c r="I11" s="151"/>
      <c r="J11" s="153">
        <v>0</v>
      </c>
      <c r="K11" s="154"/>
      <c r="L11" s="153">
        <v>188.7482139399103</v>
      </c>
      <c r="M11" s="154"/>
      <c r="N11" s="153">
        <v>9.3105920183115103</v>
      </c>
      <c r="O11" s="155"/>
      <c r="P11" s="140">
        <v>0.10094745417267648</v>
      </c>
      <c r="Q11" s="140">
        <v>3.8213700815263874E-2</v>
      </c>
      <c r="R11" s="151"/>
      <c r="S11" s="140">
        <v>1.6414567828178409E-2</v>
      </c>
      <c r="T11" s="141">
        <v>3.431437313556672E-2</v>
      </c>
    </row>
    <row r="12" spans="1:22" x14ac:dyDescent="0.45">
      <c r="B12" s="366" t="s">
        <v>20</v>
      </c>
      <c r="C12" s="151"/>
      <c r="D12" s="152" t="s">
        <v>566</v>
      </c>
      <c r="E12" s="153">
        <v>183.99972500737104</v>
      </c>
      <c r="F12" s="153">
        <v>246.7578324809898</v>
      </c>
      <c r="G12" s="140">
        <f t="shared" si="0"/>
        <v>0.18980641387401628</v>
      </c>
      <c r="H12" s="140">
        <f t="shared" si="1"/>
        <v>0.24073961737118132</v>
      </c>
      <c r="I12" s="151"/>
      <c r="J12" s="153">
        <v>1.5907184999999997E-2</v>
      </c>
      <c r="K12" s="154"/>
      <c r="L12" s="153">
        <v>6277.4014658618798</v>
      </c>
      <c r="M12" s="154"/>
      <c r="N12" s="153">
        <v>62.774014658618768</v>
      </c>
      <c r="O12" s="155"/>
      <c r="P12" s="140">
        <v>0.34116363302229957</v>
      </c>
      <c r="Q12" s="140">
        <v>4.5401409240004131E-2</v>
      </c>
      <c r="R12" s="151"/>
      <c r="S12" s="140">
        <v>0.43341709971427922</v>
      </c>
      <c r="T12" s="141">
        <v>5.6590232253074649E-2</v>
      </c>
    </row>
    <row r="13" spans="1:22" x14ac:dyDescent="0.45">
      <c r="B13" s="366" t="s">
        <v>22</v>
      </c>
      <c r="C13" s="151"/>
      <c r="D13" s="152" t="s">
        <v>567</v>
      </c>
      <c r="E13" s="153">
        <v>1</v>
      </c>
      <c r="F13" s="153">
        <v>1.1248248999999999</v>
      </c>
      <c r="G13" s="140">
        <f t="shared" si="0"/>
        <v>8.6521663105322869E-4</v>
      </c>
      <c r="H13" s="140">
        <f>F13/$F$4</f>
        <v>1.0973913707741734E-3</v>
      </c>
      <c r="I13" s="151"/>
      <c r="J13" s="153">
        <v>0</v>
      </c>
      <c r="K13" s="154"/>
      <c r="L13" s="153">
        <v>12.48249</v>
      </c>
      <c r="M13" s="154"/>
      <c r="N13" s="153">
        <v>0.12482489999999991</v>
      </c>
      <c r="O13" s="155"/>
      <c r="P13" s="140">
        <v>0.12482489999999991</v>
      </c>
      <c r="Q13" s="141">
        <v>1.8808084897034227E-2</v>
      </c>
      <c r="R13" s="151"/>
      <c r="S13" s="140">
        <v>7.2427824139595046E-2</v>
      </c>
      <c r="T13" s="141">
        <v>1.1138436198234559E-2</v>
      </c>
    </row>
    <row r="14" spans="1:22" x14ac:dyDescent="0.45">
      <c r="B14" s="366" t="s">
        <v>21</v>
      </c>
      <c r="C14" s="151"/>
      <c r="D14" s="152"/>
      <c r="E14" s="153">
        <v>0</v>
      </c>
      <c r="F14" s="153">
        <v>0.24478595399999997</v>
      </c>
      <c r="G14" s="140">
        <f t="shared" si="0"/>
        <v>1.8828964263596103E-4</v>
      </c>
      <c r="H14" s="140">
        <f t="shared" si="1"/>
        <v>2.3881583134079248E-4</v>
      </c>
      <c r="I14" s="151"/>
      <c r="J14" s="153">
        <v>0</v>
      </c>
      <c r="K14" s="154"/>
      <c r="L14" s="153">
        <v>24.4785954</v>
      </c>
      <c r="M14" s="154"/>
      <c r="N14" s="153">
        <v>0.24478595399999997</v>
      </c>
      <c r="O14" s="155"/>
      <c r="P14" s="140"/>
      <c r="Q14" s="140"/>
      <c r="R14" s="151"/>
      <c r="S14" s="140"/>
      <c r="T14" s="141"/>
    </row>
    <row r="15" spans="1:22" x14ac:dyDescent="0.45">
      <c r="B15" s="366" t="s">
        <v>486</v>
      </c>
      <c r="C15" s="151"/>
      <c r="D15" s="152" t="s">
        <v>568</v>
      </c>
      <c r="E15" s="153">
        <v>1.0963804960000001</v>
      </c>
      <c r="F15" s="153">
        <v>0.84977725000000004</v>
      </c>
      <c r="G15" s="140">
        <f t="shared" si="0"/>
        <v>6.5364965639601097E-4</v>
      </c>
      <c r="H15" s="140">
        <f>F15/$F$4</f>
        <v>8.2905190063823058E-4</v>
      </c>
      <c r="I15" s="151"/>
      <c r="J15" s="153">
        <v>1.9499999999999999E-3</v>
      </c>
      <c r="K15" s="154"/>
      <c r="L15" s="153">
        <v>-8.7961095000000018</v>
      </c>
      <c r="M15" s="154"/>
      <c r="N15" s="153">
        <v>-0.24465324600000005</v>
      </c>
      <c r="O15" s="155"/>
      <c r="P15" s="140">
        <v>-7.2034374355866793E-2</v>
      </c>
      <c r="Q15" s="141">
        <v>6.9722836680911282E-2</v>
      </c>
      <c r="R15" s="151"/>
      <c r="S15" s="140">
        <v>-0.10054798951166917</v>
      </c>
      <c r="T15" s="141">
        <v>9.7778040170669572E-2</v>
      </c>
    </row>
    <row r="16" spans="1:22" x14ac:dyDescent="0.45">
      <c r="B16" s="365" t="s">
        <v>23</v>
      </c>
      <c r="C16" s="143"/>
      <c r="D16" s="144"/>
      <c r="E16" s="145">
        <f>SUM(E17:E19)</f>
        <v>43.954001162072814</v>
      </c>
      <c r="F16" s="145">
        <f>SUM(F17:F19)</f>
        <v>45.88916369557257</v>
      </c>
      <c r="G16" s="146">
        <f>SUM(G17:G19)</f>
        <v>3.5297998483615929E-2</v>
      </c>
      <c r="H16" s="146">
        <v>0.99999999999999989</v>
      </c>
      <c r="I16" s="143"/>
      <c r="J16" s="145">
        <f>SUM(J17:J19)</f>
        <v>0.35929379999999994</v>
      </c>
      <c r="K16" s="147"/>
      <c r="L16" s="145">
        <f>SUM(L17:L19)</f>
        <v>455.92879836673188</v>
      </c>
      <c r="M16" s="147"/>
      <c r="N16" s="145">
        <f>SUM(N17:N19)</f>
        <v>2.2944563334997579</v>
      </c>
      <c r="O16" s="148"/>
      <c r="P16" s="146">
        <v>4.4904795208471127E-2</v>
      </c>
      <c r="Q16" s="146">
        <v>4.0250697593698481E-2</v>
      </c>
      <c r="R16" s="143"/>
      <c r="S16" s="146">
        <v>8.1715777516365065E-2</v>
      </c>
      <c r="T16" s="149">
        <v>7.2796812653541584E-2</v>
      </c>
    </row>
    <row r="17" spans="2:20" x14ac:dyDescent="0.45">
      <c r="B17" s="366" t="s">
        <v>164</v>
      </c>
      <c r="C17" s="151"/>
      <c r="D17" s="152" t="s">
        <v>569</v>
      </c>
      <c r="E17" s="153">
        <v>3.5</v>
      </c>
      <c r="F17" s="153">
        <v>3.7684269769999994</v>
      </c>
      <c r="G17" s="140">
        <f>F17/$F$28</f>
        <v>2.8986784462275354E-3</v>
      </c>
      <c r="H17" s="140">
        <f>F17/$F$16</f>
        <v>8.2120192950118659E-2</v>
      </c>
      <c r="I17" s="151"/>
      <c r="J17" s="153">
        <v>0.35929379999999994</v>
      </c>
      <c r="K17" s="154"/>
      <c r="L17" s="153">
        <v>76.934877699999959</v>
      </c>
      <c r="M17" s="154"/>
      <c r="N17" s="153">
        <v>0.62772077699999951</v>
      </c>
      <c r="O17" s="155"/>
      <c r="P17" s="140">
        <v>0.21981393628571411</v>
      </c>
      <c r="Q17" s="140">
        <v>0.10395106813436672</v>
      </c>
      <c r="R17" s="151"/>
      <c r="S17" s="140">
        <v>0.14966582655906677</v>
      </c>
      <c r="T17" s="141">
        <v>6.9996264576911923E-2</v>
      </c>
    </row>
    <row r="18" spans="2:20" x14ac:dyDescent="0.45">
      <c r="B18" s="366" t="s">
        <v>25</v>
      </c>
      <c r="C18" s="151"/>
      <c r="D18" s="152" t="s">
        <v>570</v>
      </c>
      <c r="E18" s="153">
        <v>0.70001497999999995</v>
      </c>
      <c r="F18" s="153">
        <v>1.0434584457808218</v>
      </c>
      <c r="G18" s="140">
        <f>F18/$F$28</f>
        <v>8.0262945912961282E-4</v>
      </c>
      <c r="H18" s="140">
        <f>F18/$F$16</f>
        <v>2.2738667732170845E-2</v>
      </c>
      <c r="I18" s="151"/>
      <c r="J18" s="153">
        <v>0</v>
      </c>
      <c r="K18" s="154"/>
      <c r="L18" s="153">
        <v>34.344346578082188</v>
      </c>
      <c r="M18" s="154"/>
      <c r="N18" s="153">
        <v>0.34344346578082185</v>
      </c>
      <c r="O18" s="155"/>
      <c r="P18" s="140">
        <v>0.49062302321133444</v>
      </c>
      <c r="Q18" s="140">
        <v>0.24620556584858755</v>
      </c>
      <c r="R18" s="151"/>
      <c r="S18" s="140">
        <v>0.12367324233055116</v>
      </c>
      <c r="T18" s="141">
        <v>6.7806676030158997E-2</v>
      </c>
    </row>
    <row r="19" spans="2:20" x14ac:dyDescent="0.45">
      <c r="B19" s="366" t="s">
        <v>26</v>
      </c>
      <c r="C19" s="151"/>
      <c r="D19" s="152" t="s">
        <v>571</v>
      </c>
      <c r="E19" s="153">
        <v>39.753986182072815</v>
      </c>
      <c r="F19" s="153">
        <v>41.077278272791752</v>
      </c>
      <c r="G19" s="140">
        <f>F19/$F$28</f>
        <v>3.1596690578258778E-2</v>
      </c>
      <c r="H19" s="140">
        <f>F19/$F$16</f>
        <v>0.89514113931771055</v>
      </c>
      <c r="I19" s="151"/>
      <c r="J19" s="153">
        <v>0</v>
      </c>
      <c r="K19" s="154"/>
      <c r="L19" s="153">
        <v>344.64957408864973</v>
      </c>
      <c r="M19" s="154"/>
      <c r="N19" s="153">
        <v>1.3232920907189367</v>
      </c>
      <c r="O19" s="155"/>
      <c r="P19" s="140">
        <v>3.540957734382788E-2</v>
      </c>
      <c r="Q19" s="140">
        <v>3.6478848213897352E-2</v>
      </c>
      <c r="R19" s="151"/>
      <c r="S19" s="140">
        <v>7.1258220076561005E-2</v>
      </c>
      <c r="T19" s="141">
        <v>7.3410102725029E-2</v>
      </c>
    </row>
    <row r="20" spans="2:20" x14ac:dyDescent="0.45">
      <c r="B20" s="365" t="s">
        <v>27</v>
      </c>
      <c r="C20" s="143"/>
      <c r="D20" s="144"/>
      <c r="E20" s="145">
        <f>E21</f>
        <v>5.1332383269549116</v>
      </c>
      <c r="F20" s="145">
        <f>F21</f>
        <v>5.4365435599546803</v>
      </c>
      <c r="G20" s="146">
        <f>G21</f>
        <v>4.181795676392046E-3</v>
      </c>
      <c r="H20" s="146">
        <v>1</v>
      </c>
      <c r="I20" s="143"/>
      <c r="J20" s="145">
        <f>J21</f>
        <v>0</v>
      </c>
      <c r="K20" s="147"/>
      <c r="L20" s="145">
        <f>L21</f>
        <v>34.792889785817096</v>
      </c>
      <c r="M20" s="147"/>
      <c r="N20" s="145">
        <f>N21</f>
        <v>0.30330523299976875</v>
      </c>
      <c r="O20" s="148"/>
      <c r="P20" s="146">
        <v>2.1945572203773578E-2</v>
      </c>
      <c r="Q20" s="146">
        <v>2.754865867073919E-2</v>
      </c>
      <c r="R20" s="143"/>
      <c r="S20" s="146">
        <v>4.2472556233406067E-2</v>
      </c>
      <c r="T20" s="149">
        <v>5.3490874171257016E-2</v>
      </c>
    </row>
    <row r="21" spans="2:20" x14ac:dyDescent="0.45">
      <c r="B21" s="366" t="s">
        <v>28</v>
      </c>
      <c r="C21" s="151"/>
      <c r="D21" s="152" t="s">
        <v>572</v>
      </c>
      <c r="E21" s="153">
        <v>5.1332383269549116</v>
      </c>
      <c r="F21" s="153">
        <v>5.4365435599546803</v>
      </c>
      <c r="G21" s="140">
        <f>F21/$F$28</f>
        <v>4.181795676392046E-3</v>
      </c>
      <c r="H21" s="140">
        <f>F21/$F$20</f>
        <v>1</v>
      </c>
      <c r="I21" s="151"/>
      <c r="J21" s="153">
        <v>0</v>
      </c>
      <c r="K21" s="154"/>
      <c r="L21" s="153">
        <v>34.792889785817096</v>
      </c>
      <c r="M21" s="154"/>
      <c r="N21" s="153">
        <v>0.30330523299976875</v>
      </c>
      <c r="O21" s="155"/>
      <c r="P21" s="140">
        <v>2.1945572203773578E-2</v>
      </c>
      <c r="Q21" s="140">
        <v>2.754865867073919E-2</v>
      </c>
      <c r="R21" s="151"/>
      <c r="S21" s="140">
        <v>4.2472556233406067E-2</v>
      </c>
      <c r="T21" s="141">
        <v>5.3490874171257016E-2</v>
      </c>
    </row>
    <row r="22" spans="2:20" x14ac:dyDescent="0.45">
      <c r="B22" s="365" t="s">
        <v>29</v>
      </c>
      <c r="C22" s="143"/>
      <c r="D22" s="144"/>
      <c r="E22" s="145">
        <f>SUM(E23:E26)</f>
        <v>216.22516420715164</v>
      </c>
      <c r="F22" s="145">
        <f t="shared" ref="F22:N22" si="2">SUM(F23:F26)</f>
        <v>223.72545813310003</v>
      </c>
      <c r="G22" s="146">
        <f t="shared" si="2"/>
        <v>0.17208988453826102</v>
      </c>
      <c r="H22" s="146">
        <f t="shared" si="2"/>
        <v>1</v>
      </c>
      <c r="I22" s="143"/>
      <c r="J22" s="145">
        <f t="shared" si="2"/>
        <v>0.43476989999999999</v>
      </c>
      <c r="K22" s="147"/>
      <c r="L22" s="145">
        <f t="shared" si="2"/>
        <v>505.32826818324025</v>
      </c>
      <c r="M22" s="147"/>
      <c r="N22" s="145">
        <f t="shared" si="2"/>
        <v>7.9350638259484043</v>
      </c>
      <c r="O22" s="148"/>
      <c r="P22" s="146">
        <v>5.5646166829749433E-2</v>
      </c>
      <c r="Q22" s="146">
        <v>3.0887959977452306E-2</v>
      </c>
      <c r="R22" s="143"/>
      <c r="S22" s="146">
        <v>9.1461166739463806E-2</v>
      </c>
      <c r="T22" s="149">
        <v>5.0356653332710263E-2</v>
      </c>
    </row>
    <row r="23" spans="2:20" x14ac:dyDescent="0.45">
      <c r="B23" s="366" t="s">
        <v>324</v>
      </c>
      <c r="C23" s="151"/>
      <c r="D23" s="152" t="s">
        <v>411</v>
      </c>
      <c r="E23" s="153">
        <v>4.2561917457059995</v>
      </c>
      <c r="F23" s="153">
        <v>6.5449619200000004</v>
      </c>
      <c r="G23" s="140">
        <f>F23/$F$28</f>
        <v>5.0343923776883601E-3</v>
      </c>
      <c r="H23" s="140">
        <f>F23/$F$22</f>
        <v>2.925443521097288E-2</v>
      </c>
      <c r="I23" s="151"/>
      <c r="J23" s="153">
        <v>0</v>
      </c>
      <c r="K23" s="154"/>
      <c r="L23" s="153">
        <v>616.02738301780016</v>
      </c>
      <c r="M23" s="154"/>
      <c r="N23" s="153">
        <v>2.288770174294001</v>
      </c>
      <c r="O23" s="155"/>
      <c r="P23" s="140">
        <v>0.74830013820863428</v>
      </c>
      <c r="Q23" s="140">
        <v>0.82390612134500274</v>
      </c>
      <c r="R23" s="151"/>
      <c r="S23" s="140"/>
      <c r="T23" s="141"/>
    </row>
    <row r="24" spans="2:20" x14ac:dyDescent="0.45">
      <c r="B24" s="366" t="s">
        <v>30</v>
      </c>
      <c r="C24" s="151"/>
      <c r="D24" s="152" t="s">
        <v>573</v>
      </c>
      <c r="E24" s="153">
        <v>53.585433569445598</v>
      </c>
      <c r="F24" s="153">
        <v>48.307866599999997</v>
      </c>
      <c r="G24" s="140">
        <f>F24/$F$28</f>
        <v>3.7158467591729867E-2</v>
      </c>
      <c r="H24" s="140">
        <f>F24/$F$22</f>
        <v>0.21592476333766364</v>
      </c>
      <c r="I24" s="151"/>
      <c r="J24" s="153">
        <v>0</v>
      </c>
      <c r="K24" s="154"/>
      <c r="L24" s="153">
        <v>-527.75669694455985</v>
      </c>
      <c r="M24" s="154"/>
      <c r="N24" s="153">
        <v>-5.2775669694456013</v>
      </c>
      <c r="O24" s="155"/>
      <c r="P24" s="140">
        <v>-9.8488835825243037E-2</v>
      </c>
      <c r="Q24" s="140">
        <v>-9.1201257275774106E-2</v>
      </c>
      <c r="R24" s="151"/>
      <c r="S24" s="140"/>
      <c r="T24" s="141"/>
    </row>
    <row r="25" spans="2:20" x14ac:dyDescent="0.45">
      <c r="B25" s="366" t="s">
        <v>31</v>
      </c>
      <c r="C25" s="151"/>
      <c r="D25" s="152" t="s">
        <v>574</v>
      </c>
      <c r="E25" s="153">
        <v>22.224236003999998</v>
      </c>
      <c r="F25" s="153">
        <v>32.713326725100004</v>
      </c>
      <c r="G25" s="140">
        <f>F25/$F$28</f>
        <v>2.5163129247614074E-2</v>
      </c>
      <c r="H25" s="140">
        <f>F25/$F$22</f>
        <v>0.14622085031395043</v>
      </c>
      <c r="I25" s="151"/>
      <c r="J25" s="153">
        <v>0.43476989999999999</v>
      </c>
      <c r="K25" s="154"/>
      <c r="L25" s="153">
        <v>417.05758210999994</v>
      </c>
      <c r="M25" s="154"/>
      <c r="N25" s="153">
        <v>10.923860621100005</v>
      </c>
      <c r="O25" s="155"/>
      <c r="P25" s="140">
        <v>0.14384676431009469</v>
      </c>
      <c r="Q25" s="140">
        <v>3.1363764296131524E-2</v>
      </c>
      <c r="R25" s="151"/>
      <c r="S25" s="140">
        <v>0.13349357247352603</v>
      </c>
      <c r="T25" s="140">
        <v>3.0562511086463927E-2</v>
      </c>
    </row>
    <row r="26" spans="2:20" x14ac:dyDescent="0.45">
      <c r="B26" s="366" t="s">
        <v>32</v>
      </c>
      <c r="C26" s="151"/>
      <c r="D26" s="152" t="s">
        <v>575</v>
      </c>
      <c r="E26" s="153">
        <v>136.15930288800004</v>
      </c>
      <c r="F26" s="153">
        <v>136.15930288800004</v>
      </c>
      <c r="G26" s="140">
        <f>F26/$F$28</f>
        <v>0.10473389532122872</v>
      </c>
      <c r="H26" s="140">
        <f>F26/$F$22</f>
        <v>0.60859995113741305</v>
      </c>
      <c r="I26" s="151"/>
      <c r="J26" s="153">
        <v>0</v>
      </c>
      <c r="K26" s="154"/>
      <c r="L26" s="153">
        <v>0</v>
      </c>
      <c r="M26" s="154"/>
      <c r="N26" s="153">
        <v>0</v>
      </c>
      <c r="O26" s="155"/>
      <c r="P26" s="140"/>
      <c r="Q26" s="140"/>
      <c r="R26" s="151"/>
      <c r="S26" s="140"/>
      <c r="T26" s="141"/>
    </row>
    <row r="27" spans="2:20" x14ac:dyDescent="0.45">
      <c r="B27" s="150"/>
      <c r="C27" s="151"/>
      <c r="D27" s="152"/>
      <c r="E27" s="153"/>
      <c r="F27" s="153"/>
      <c r="G27" s="140"/>
      <c r="H27" s="140"/>
      <c r="I27" s="151"/>
      <c r="J27" s="153"/>
      <c r="K27" s="154"/>
      <c r="L27" s="153"/>
      <c r="M27" s="154"/>
      <c r="N27" s="153"/>
      <c r="O27" s="155"/>
      <c r="P27" s="140"/>
      <c r="Q27" s="140"/>
      <c r="R27" s="151"/>
      <c r="S27" s="140"/>
      <c r="T27" s="141"/>
    </row>
    <row r="28" spans="2:20" x14ac:dyDescent="0.45">
      <c r="B28" s="156" t="s">
        <v>45</v>
      </c>
      <c r="C28" s="157"/>
      <c r="D28" s="158"/>
      <c r="E28" s="159">
        <f>E22+E20+E16+E4</f>
        <v>1076.0128701550007</v>
      </c>
      <c r="F28" s="159">
        <f>F22+F20+F16+F4</f>
        <v>1300.0500217277954</v>
      </c>
      <c r="G28" s="160">
        <f>G4+G16+G20+G22</f>
        <v>1.0000000000000002</v>
      </c>
      <c r="H28" s="161"/>
      <c r="I28" s="157"/>
      <c r="J28" s="159">
        <f>J4+J16+J20+J22</f>
        <v>2.6372961350000002</v>
      </c>
      <c r="K28" s="162"/>
      <c r="L28" s="159">
        <f>L4+L16+L20+L22</f>
        <v>21730.597731011236</v>
      </c>
      <c r="M28" s="162"/>
      <c r="N28" s="159">
        <f>N4+N16+N20+N22</f>
        <v>226.67639770779488</v>
      </c>
      <c r="O28" s="163"/>
      <c r="P28" s="161">
        <v>0.21815231649576949</v>
      </c>
      <c r="Q28" s="161">
        <v>4.6464029489742043E-2</v>
      </c>
      <c r="R28" s="222"/>
      <c r="S28" s="161">
        <v>0.21178461909294127</v>
      </c>
      <c r="T28" s="225">
        <v>5.28E-2</v>
      </c>
    </row>
    <row r="29" spans="2:20" x14ac:dyDescent="0.45">
      <c r="B29" s="156" t="s">
        <v>258</v>
      </c>
      <c r="C29" s="157"/>
      <c r="D29" s="158"/>
      <c r="E29" s="159">
        <v>925.598814085566</v>
      </c>
      <c r="F29" s="159">
        <v>1077.6913722077957</v>
      </c>
      <c r="G29" s="160">
        <f>G4+G16+G20+G22-G9</f>
        <v>0.82896146624844469</v>
      </c>
      <c r="H29" s="161"/>
      <c r="I29" s="157"/>
      <c r="J29" s="159">
        <v>0.8</v>
      </c>
      <c r="K29" s="162"/>
      <c r="L29" s="531">
        <v>14843.217376995926</v>
      </c>
      <c r="M29" s="532"/>
      <c r="N29" s="531">
        <v>152.90447900722967</v>
      </c>
      <c r="O29" s="54"/>
      <c r="P29" s="105">
        <v>0.14585220297545565</v>
      </c>
      <c r="Q29" s="105">
        <v>3.5615199112808194E-2</v>
      </c>
      <c r="R29" s="228"/>
      <c r="S29" s="105">
        <v>0.1575427830219269</v>
      </c>
      <c r="T29" s="229">
        <v>4.2163881659507754E-2</v>
      </c>
    </row>
    <row r="30" spans="2:20" x14ac:dyDescent="0.45">
      <c r="B30" s="199" t="s">
        <v>412</v>
      </c>
      <c r="C30" s="200"/>
      <c r="D30" s="201"/>
      <c r="E30" s="202"/>
      <c r="F30" s="202"/>
      <c r="G30" s="203"/>
      <c r="H30" s="203"/>
      <c r="I30" s="200"/>
      <c r="J30" s="202"/>
      <c r="K30" s="200"/>
      <c r="L30" s="204"/>
      <c r="M30" s="200"/>
      <c r="N30" s="205"/>
      <c r="O30" s="200"/>
      <c r="P30" s="203"/>
      <c r="Q30" s="203"/>
      <c r="R30" s="200"/>
      <c r="S30" s="203"/>
      <c r="T30" s="203"/>
    </row>
    <row r="31" spans="2:20" x14ac:dyDescent="0.45">
      <c r="E31" s="564"/>
      <c r="G31" s="313"/>
    </row>
    <row r="32" spans="2:20" x14ac:dyDescent="0.45">
      <c r="E32" s="166"/>
    </row>
    <row r="33" spans="5:5" x14ac:dyDescent="0.45">
      <c r="E33" s="282"/>
    </row>
    <row r="34" spans="5:5" x14ac:dyDescent="0.45">
      <c r="E34" s="282"/>
    </row>
  </sheetData>
  <mergeCells count="11">
    <mergeCell ref="J2:J3"/>
    <mergeCell ref="L2:L3"/>
    <mergeCell ref="N2:N3"/>
    <mergeCell ref="P2:Q2"/>
    <mergeCell ref="S2:T2"/>
    <mergeCell ref="H2:H3"/>
    <mergeCell ref="B2:B3"/>
    <mergeCell ref="D2:D3"/>
    <mergeCell ref="E2:E3"/>
    <mergeCell ref="F2:F3"/>
    <mergeCell ref="G2:G3"/>
  </mergeCells>
  <conditionalFormatting sqref="E1:H1">
    <cfRule type="cellIs" dxfId="363" priority="6" operator="equal">
      <formula>0</formula>
    </cfRule>
  </conditionalFormatting>
  <conditionalFormatting sqref="E7:H15">
    <cfRule type="cellIs" dxfId="362" priority="121" operator="equal">
      <formula>0</formula>
    </cfRule>
  </conditionalFormatting>
  <conditionalFormatting sqref="E17:H19">
    <cfRule type="cellIs" dxfId="361" priority="77" operator="equal">
      <formula>0</formula>
    </cfRule>
  </conditionalFormatting>
  <conditionalFormatting sqref="E21:H21">
    <cfRule type="cellIs" dxfId="360" priority="75" operator="equal">
      <formula>0</formula>
    </cfRule>
  </conditionalFormatting>
  <conditionalFormatting sqref="E23:H27">
    <cfRule type="cellIs" dxfId="359" priority="58" operator="equal">
      <formula>0</formula>
    </cfRule>
  </conditionalFormatting>
  <conditionalFormatting sqref="J7:J15">
    <cfRule type="cellIs" dxfId="358" priority="127" operator="equal">
      <formula>0</formula>
    </cfRule>
  </conditionalFormatting>
  <conditionalFormatting sqref="J17:J19">
    <cfRule type="cellIs" dxfId="357" priority="171" operator="equal">
      <formula>0</formula>
    </cfRule>
  </conditionalFormatting>
  <conditionalFormatting sqref="J21">
    <cfRule type="cellIs" dxfId="356" priority="49" operator="equal">
      <formula>0</formula>
    </cfRule>
  </conditionalFormatting>
  <conditionalFormatting sqref="J23:J27">
    <cfRule type="cellIs" dxfId="355" priority="48" operator="equal">
      <formula>0</formula>
    </cfRule>
  </conditionalFormatting>
  <conditionalFormatting sqref="L1">
    <cfRule type="cellIs" dxfId="354" priority="5" operator="equal">
      <formula>0</formula>
    </cfRule>
  </conditionalFormatting>
  <conditionalFormatting sqref="N1">
    <cfRule type="cellIs" dxfId="353" priority="4" operator="equal">
      <formula>0</formula>
    </cfRule>
  </conditionalFormatting>
  <conditionalFormatting sqref="N7:N15">
    <cfRule type="cellIs" dxfId="352" priority="119" operator="equal">
      <formula>0</formula>
    </cfRule>
  </conditionalFormatting>
  <conditionalFormatting sqref="N17:N19">
    <cfRule type="cellIs" dxfId="351" priority="88" operator="equal">
      <formula>0</formula>
    </cfRule>
  </conditionalFormatting>
  <conditionalFormatting sqref="N21">
    <cfRule type="cellIs" dxfId="350" priority="57" operator="equal">
      <formula>0</formula>
    </cfRule>
  </conditionalFormatting>
  <conditionalFormatting sqref="N23:N27">
    <cfRule type="cellIs" dxfId="349" priority="50" operator="equal">
      <formula>0</formula>
    </cfRule>
  </conditionalFormatting>
  <conditionalFormatting sqref="P7:Q7">
    <cfRule type="top10" dxfId="348" priority="3" rank="1"/>
  </conditionalFormatting>
  <conditionalFormatting sqref="P8:Q8">
    <cfRule type="top10" dxfId="347" priority="233" rank="1"/>
  </conditionalFormatting>
  <conditionalFormatting sqref="P9:Q9">
    <cfRule type="top10" dxfId="346" priority="20" rank="1"/>
  </conditionalFormatting>
  <conditionalFormatting sqref="P10:Q10">
    <cfRule type="top10" dxfId="345" priority="110" rank="1"/>
  </conditionalFormatting>
  <conditionalFormatting sqref="P11:Q11">
    <cfRule type="top10" dxfId="344" priority="108" rank="1"/>
  </conditionalFormatting>
  <conditionalFormatting sqref="P12:Q12">
    <cfRule type="top10" dxfId="343" priority="106" rank="1"/>
  </conditionalFormatting>
  <conditionalFormatting sqref="P13:Q13">
    <cfRule type="top10" dxfId="342" priority="12" rank="1"/>
  </conditionalFormatting>
  <conditionalFormatting sqref="P14:Q14">
    <cfRule type="top10" dxfId="341" priority="104" rank="1"/>
  </conditionalFormatting>
  <conditionalFormatting sqref="P15:Q15">
    <cfRule type="top10" dxfId="340" priority="16" rank="1"/>
  </conditionalFormatting>
  <conditionalFormatting sqref="P17:Q17">
    <cfRule type="top10" dxfId="339" priority="85" rank="1"/>
  </conditionalFormatting>
  <conditionalFormatting sqref="P18:Q18">
    <cfRule type="top10" dxfId="338" priority="83" rank="1"/>
  </conditionalFormatting>
  <conditionalFormatting sqref="P19:Q19">
    <cfRule type="top10" dxfId="337" priority="917" rank="1"/>
  </conditionalFormatting>
  <conditionalFormatting sqref="P21:Q21">
    <cfRule type="top10" dxfId="336" priority="895" rank="1"/>
  </conditionalFormatting>
  <conditionalFormatting sqref="P23:Q23">
    <cfRule type="top10" dxfId="335" priority="72" rank="1"/>
  </conditionalFormatting>
  <conditionalFormatting sqref="P24:Q24">
    <cfRule type="top10" dxfId="334" priority="10" rank="1"/>
  </conditionalFormatting>
  <conditionalFormatting sqref="P25:Q25">
    <cfRule type="top10" dxfId="333" priority="70" rank="1"/>
  </conditionalFormatting>
  <conditionalFormatting sqref="P26:Q27">
    <cfRule type="top10" dxfId="332" priority="219" rank="1"/>
  </conditionalFormatting>
  <conditionalFormatting sqref="S7:T7">
    <cfRule type="top10" dxfId="331" priority="2" rank="1"/>
  </conditionalFormatting>
  <conditionalFormatting sqref="S8:T8">
    <cfRule type="top10" dxfId="330" priority="205" rank="1"/>
  </conditionalFormatting>
  <conditionalFormatting sqref="S9:T9">
    <cfRule type="top10" dxfId="329" priority="19" rank="1"/>
  </conditionalFormatting>
  <conditionalFormatting sqref="S10:T10">
    <cfRule type="top10" dxfId="328" priority="109" rank="1"/>
  </conditionalFormatting>
  <conditionalFormatting sqref="S11:T11">
    <cfRule type="top10" dxfId="327" priority="107" rank="1"/>
  </conditionalFormatting>
  <conditionalFormatting sqref="S12:T12">
    <cfRule type="top10" dxfId="326" priority="18" rank="1"/>
  </conditionalFormatting>
  <conditionalFormatting sqref="S13:T13">
    <cfRule type="top10" dxfId="325" priority="963" rank="1"/>
  </conditionalFormatting>
  <conditionalFormatting sqref="S14:T14">
    <cfRule type="top10" dxfId="324" priority="103" rank="1"/>
  </conditionalFormatting>
  <conditionalFormatting sqref="S15:T15">
    <cfRule type="top10" dxfId="323" priority="17" rank="1"/>
  </conditionalFormatting>
  <conditionalFormatting sqref="S17:T17">
    <cfRule type="top10" dxfId="322" priority="84" rank="1"/>
  </conditionalFormatting>
  <conditionalFormatting sqref="S18:T18">
    <cfRule type="top10" dxfId="321" priority="82" rank="1"/>
  </conditionalFormatting>
  <conditionalFormatting sqref="S19:T19">
    <cfRule type="top10" dxfId="320" priority="918" rank="1"/>
  </conditionalFormatting>
  <conditionalFormatting sqref="S21:T21">
    <cfRule type="top10" dxfId="319" priority="896" rank="1"/>
  </conditionalFormatting>
  <conditionalFormatting sqref="S23:T24">
    <cfRule type="top10" dxfId="318" priority="71" rank="1"/>
  </conditionalFormatting>
  <conditionalFormatting sqref="S25:T25">
    <cfRule type="top10" dxfId="317" priority="15" rank="1"/>
  </conditionalFormatting>
  <conditionalFormatting sqref="S26:T27">
    <cfRule type="top10" dxfId="316" priority="218" rank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3" tint="0.59999389629810485"/>
  </sheetPr>
  <dimension ref="A6:H16"/>
  <sheetViews>
    <sheetView workbookViewId="0">
      <selection activeCell="E6" sqref="E6"/>
    </sheetView>
  </sheetViews>
  <sheetFormatPr defaultColWidth="8.73046875" defaultRowHeight="13.15" x14ac:dyDescent="0.4"/>
  <cols>
    <col min="1" max="1" width="8.73046875" style="183"/>
    <col min="2" max="2" width="29.46484375" style="183" bestFit="1" customWidth="1"/>
    <col min="3" max="3" width="11.53125" style="183" bestFit="1" customWidth="1"/>
    <col min="4" max="4" width="16.265625" style="183" bestFit="1" customWidth="1"/>
    <col min="5" max="5" width="14.19921875" style="183" customWidth="1"/>
    <col min="6" max="6" width="15.46484375" style="183" bestFit="1" customWidth="1"/>
    <col min="7" max="7" width="8.73046875" style="183"/>
    <col min="8" max="8" width="14.19921875" style="183" bestFit="1" customWidth="1"/>
    <col min="9" max="16384" width="8.73046875" style="183"/>
  </cols>
  <sheetData>
    <row r="6" spans="1:8" x14ac:dyDescent="0.4">
      <c r="E6" s="184"/>
    </row>
    <row r="7" spans="1:8" x14ac:dyDescent="0.4">
      <c r="B7" s="177" t="s">
        <v>34</v>
      </c>
      <c r="C7" s="178" t="s">
        <v>161</v>
      </c>
      <c r="D7" s="179" t="s">
        <v>378</v>
      </c>
      <c r="E7" s="184"/>
    </row>
    <row r="8" spans="1:8" x14ac:dyDescent="0.4">
      <c r="A8" s="185">
        <v>542652</v>
      </c>
      <c r="B8" s="186" t="s">
        <v>160</v>
      </c>
      <c r="C8" s="187">
        <f>SUM(C11:C16)</f>
        <v>23729601</v>
      </c>
      <c r="D8" s="188">
        <f>(C8*E8)/10^5</f>
        <v>0</v>
      </c>
      <c r="E8" s="189"/>
      <c r="F8" s="190"/>
      <c r="H8" s="190"/>
    </row>
    <row r="9" spans="1:8" x14ac:dyDescent="0.4">
      <c r="B9" s="180" t="s">
        <v>45</v>
      </c>
      <c r="C9" s="181">
        <f>SUM(C8:C8)</f>
        <v>23729601</v>
      </c>
      <c r="D9" s="182">
        <f>SUM(D8:D8)</f>
        <v>0</v>
      </c>
    </row>
    <row r="11" spans="1:8" x14ac:dyDescent="0.4">
      <c r="B11" s="231" t="s">
        <v>275</v>
      </c>
      <c r="C11" s="232">
        <v>13901229</v>
      </c>
      <c r="D11" s="233">
        <f>(C11*$E$8)/10^5</f>
        <v>0</v>
      </c>
      <c r="E11" s="183" t="s">
        <v>380</v>
      </c>
    </row>
    <row r="12" spans="1:8" x14ac:dyDescent="0.4">
      <c r="B12" s="237" t="s">
        <v>276</v>
      </c>
      <c r="C12" s="187">
        <v>1300100</v>
      </c>
      <c r="D12" s="188">
        <f>(C12*$E$8)/10^5</f>
        <v>0</v>
      </c>
      <c r="E12" s="183" t="s">
        <v>273</v>
      </c>
    </row>
    <row r="13" spans="1:8" x14ac:dyDescent="0.4">
      <c r="B13" s="237" t="s">
        <v>276</v>
      </c>
      <c r="C13" s="187">
        <v>1100100</v>
      </c>
      <c r="D13" s="188">
        <f>(C13*$E$8)/10^5</f>
        <v>0</v>
      </c>
      <c r="E13" s="183" t="s">
        <v>273</v>
      </c>
    </row>
    <row r="14" spans="1:8" x14ac:dyDescent="0.4">
      <c r="B14" s="237" t="s">
        <v>276</v>
      </c>
      <c r="C14" s="187">
        <v>2150100</v>
      </c>
      <c r="D14" s="188">
        <f>(C14*$E$8)/10^5</f>
        <v>0</v>
      </c>
      <c r="E14" s="183" t="s">
        <v>273</v>
      </c>
    </row>
    <row r="15" spans="1:8" x14ac:dyDescent="0.4">
      <c r="B15" s="186" t="s">
        <v>274</v>
      </c>
      <c r="C15" s="187">
        <f>62500-7000</f>
        <v>55500</v>
      </c>
      <c r="D15" s="188"/>
      <c r="E15" s="183" t="s">
        <v>313</v>
      </c>
    </row>
    <row r="16" spans="1:8" x14ac:dyDescent="0.4">
      <c r="B16" s="234" t="s">
        <v>272</v>
      </c>
      <c r="C16" s="235">
        <v>5222572</v>
      </c>
      <c r="D16" s="236">
        <f>(C16*$E$8)/10^5</f>
        <v>0</v>
      </c>
      <c r="E16" s="183" t="s">
        <v>273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3" tint="0.59999389629810485"/>
  </sheetPr>
  <dimension ref="A1:U17"/>
  <sheetViews>
    <sheetView showGridLines="0" topLeftCell="B1" zoomScale="90" zoomScaleNormal="90" workbookViewId="0">
      <selection activeCell="F16" sqref="F16"/>
    </sheetView>
  </sheetViews>
  <sheetFormatPr defaultColWidth="9.19921875" defaultRowHeight="11.65" x14ac:dyDescent="0.45"/>
  <cols>
    <col min="1" max="1" width="9.19921875" style="9"/>
    <col min="2" max="2" width="34.53125" style="9" bestFit="1" customWidth="1"/>
    <col min="3" max="3" width="1.73046875" style="9" customWidth="1"/>
    <col min="4" max="4" width="14.73046875" style="12" bestFit="1" customWidth="1"/>
    <col min="5" max="5" width="11.73046875" style="13" customWidth="1"/>
    <col min="6" max="6" width="10.73046875" style="13" customWidth="1"/>
    <col min="7" max="8" width="10.73046875" style="14" customWidth="1"/>
    <col min="9" max="9" width="1.73046875" style="9" customWidth="1"/>
    <col min="10" max="10" width="10.73046875" style="13" customWidth="1"/>
    <col min="11" max="11" width="1.73046875" style="9" customWidth="1"/>
    <col min="12" max="12" width="15.796875" style="15" customWidth="1"/>
    <col min="13" max="13" width="1.73046875" style="9" customWidth="1"/>
    <col min="14" max="14" width="11.53125" style="16" customWidth="1"/>
    <col min="15" max="15" width="1.73046875" style="9" customWidth="1"/>
    <col min="16" max="17" width="10.73046875" style="14" customWidth="1"/>
    <col min="18" max="18" width="1.73046875" style="9" customWidth="1"/>
    <col min="19" max="19" width="10.796875" style="14" customWidth="1"/>
    <col min="20" max="20" width="10.73046875" style="14" customWidth="1"/>
    <col min="21" max="21" width="16.46484375" style="9" bestFit="1" customWidth="1"/>
    <col min="22" max="16384" width="9.19921875" style="9"/>
  </cols>
  <sheetData>
    <row r="1" spans="1:21" x14ac:dyDescent="0.45">
      <c r="B1" s="9" t="s">
        <v>182</v>
      </c>
      <c r="E1" s="13" t="s">
        <v>265</v>
      </c>
      <c r="F1" s="13">
        <f>F4-'Portfolio Allocation'!F4</f>
        <v>0</v>
      </c>
    </row>
    <row r="2" spans="1:21" ht="12" customHeight="1" x14ac:dyDescent="0.45">
      <c r="B2" s="581" t="s">
        <v>0</v>
      </c>
      <c r="C2" s="34"/>
      <c r="D2" s="583" t="s">
        <v>1</v>
      </c>
      <c r="E2" s="585" t="s">
        <v>2</v>
      </c>
      <c r="F2" s="585" t="s">
        <v>3</v>
      </c>
      <c r="G2" s="579" t="s">
        <v>4</v>
      </c>
      <c r="H2" s="579" t="s">
        <v>5</v>
      </c>
      <c r="I2" s="34"/>
      <c r="J2" s="585" t="s">
        <v>6</v>
      </c>
      <c r="K2" s="34"/>
      <c r="L2" s="587" t="s">
        <v>7</v>
      </c>
      <c r="M2" s="34"/>
      <c r="N2" s="587" t="s">
        <v>8</v>
      </c>
      <c r="O2" s="35"/>
      <c r="P2" s="589" t="s">
        <v>9</v>
      </c>
      <c r="Q2" s="589"/>
      <c r="R2" s="34"/>
      <c r="S2" s="589" t="s">
        <v>10</v>
      </c>
      <c r="T2" s="590"/>
    </row>
    <row r="3" spans="1:21" s="10" customFormat="1" x14ac:dyDescent="0.45">
      <c r="B3" s="582"/>
      <c r="C3" s="36"/>
      <c r="D3" s="584"/>
      <c r="E3" s="586"/>
      <c r="F3" s="586"/>
      <c r="G3" s="580"/>
      <c r="H3" s="580"/>
      <c r="I3" s="36"/>
      <c r="J3" s="586"/>
      <c r="K3" s="36"/>
      <c r="L3" s="588"/>
      <c r="M3" s="36"/>
      <c r="N3" s="588"/>
      <c r="O3" s="37"/>
      <c r="P3" s="106" t="s">
        <v>11</v>
      </c>
      <c r="Q3" s="106" t="s">
        <v>12</v>
      </c>
      <c r="R3" s="36"/>
      <c r="S3" s="106" t="s">
        <v>11</v>
      </c>
      <c r="T3" s="38" t="s">
        <v>12</v>
      </c>
    </row>
    <row r="4" spans="1:21" x14ac:dyDescent="0.45">
      <c r="A4" s="11"/>
      <c r="B4" s="368" t="s">
        <v>33</v>
      </c>
      <c r="C4" s="43"/>
      <c r="D4" s="44"/>
      <c r="E4" s="45">
        <f>SUM(E7:E15)</f>
        <v>810.70046645882144</v>
      </c>
      <c r="F4" s="45">
        <f>SUM(F7:F15)</f>
        <v>1024.9988563391682</v>
      </c>
      <c r="G4" s="100">
        <f>IFERROR(F4/$F$16,0)</f>
        <v>1</v>
      </c>
      <c r="H4" s="100">
        <f>SUM(H7:H15)</f>
        <v>1</v>
      </c>
      <c r="I4" s="43"/>
      <c r="J4" s="45">
        <f>SUM(J7:J15)</f>
        <v>1.8451824349999999</v>
      </c>
      <c r="K4" s="43"/>
      <c r="L4" s="101">
        <f>SUM(L7:L15)</f>
        <v>20734.547774675448</v>
      </c>
      <c r="M4" s="43"/>
      <c r="N4" s="101">
        <f>SUM(N7:N15)</f>
        <v>216.14357231534692</v>
      </c>
      <c r="O4" s="46"/>
      <c r="P4" s="100">
        <f>VLOOKUP($B4,'Portfolio Allocation'!$B$2:$T$29,15,0)</f>
        <v>0.26003126869671345</v>
      </c>
      <c r="Q4" s="100">
        <f>VLOOKUP($B4,'Portfolio Allocation'!$B$2:$T$29,16,0)</f>
        <v>4.9233915543793749E-2</v>
      </c>
      <c r="R4" s="43"/>
      <c r="S4" s="100">
        <f>VLOOKUP($B4,'Portfolio Allocation'!$B$2:$T$29,18,0)</f>
        <v>0.22988720536231996</v>
      </c>
      <c r="T4" s="100">
        <f>VLOOKUP($B4,'Portfolio Allocation'!$B$2:$T$29,19,0)</f>
        <v>5.1674172282218947E-2</v>
      </c>
    </row>
    <row r="5" spans="1:21" ht="13.15" x14ac:dyDescent="0.45">
      <c r="A5" s="11"/>
      <c r="B5" s="365" t="s">
        <v>219</v>
      </c>
      <c r="C5" s="43"/>
      <c r="D5" s="44"/>
      <c r="E5" s="45">
        <f>'Portfolio Allocation'!E5</f>
        <v>798.6154664588214</v>
      </c>
      <c r="F5" s="45">
        <f>'Portfolio Allocation'!F5</f>
        <v>983.49885633916824</v>
      </c>
      <c r="G5" s="100"/>
      <c r="H5" s="100"/>
      <c r="I5" s="43"/>
      <c r="J5" s="45">
        <f>'Portfolio Allocation'!J5</f>
        <v>1.843232435</v>
      </c>
      <c r="K5" s="43"/>
      <c r="L5" s="101">
        <f>L4-L8</f>
        <v>17010.355809458059</v>
      </c>
      <c r="M5" s="43"/>
      <c r="N5" s="101">
        <f>N4-N8</f>
        <v>178.901652663173</v>
      </c>
      <c r="O5" s="46"/>
      <c r="P5" s="100">
        <f>VLOOKUP($B5,'Portfolio Allocation'!$B$2:$T$29,15,0)</f>
        <v>0.19247269734463202</v>
      </c>
      <c r="Q5" s="100">
        <f>VLOOKUP($B5,'Portfolio Allocation'!$B$2:$T$29,16,0)</f>
        <v>4.1027378581728335E-2</v>
      </c>
      <c r="R5" s="226"/>
      <c r="S5" s="100">
        <f>VLOOKUP($B5,'Portfolio Allocation'!$B$2:$T$29,18,0)</f>
        <v>0.19345654845237731</v>
      </c>
      <c r="T5" s="227">
        <f>VLOOKUP($B5,'Portfolio Allocation'!$B$2:$T$29,19,0)</f>
        <v>4.8554506897926328E-2</v>
      </c>
    </row>
    <row r="6" spans="1:21" ht="13.15" x14ac:dyDescent="0.45">
      <c r="A6" s="11"/>
      <c r="B6" s="365" t="s">
        <v>257</v>
      </c>
      <c r="C6" s="43"/>
      <c r="D6" s="44"/>
      <c r="E6" s="45">
        <f>E5-E9</f>
        <v>648.20141038938652</v>
      </c>
      <c r="F6" s="45">
        <f>F5-F9</f>
        <v>761.14020681916827</v>
      </c>
      <c r="G6" s="100"/>
      <c r="H6" s="100"/>
      <c r="I6" s="43"/>
      <c r="J6" s="45"/>
      <c r="K6" s="43"/>
      <c r="L6" s="45">
        <f>L5-L9</f>
        <v>10122.975455442749</v>
      </c>
      <c r="M6" s="43"/>
      <c r="N6" s="45">
        <f>N5-N9</f>
        <v>105.12973396260784</v>
      </c>
      <c r="O6" s="46"/>
      <c r="P6" s="100">
        <f>VLOOKUP($B6,'Portfolio Allocation'!$B$2:$T$29,15,0)</f>
        <v>0.14585220297545565</v>
      </c>
      <c r="Q6" s="100">
        <f>VLOOKUP($B6,'Portfolio Allocation'!$B$2:$T$29,16,0)</f>
        <v>3.5615199112808194E-2</v>
      </c>
      <c r="R6" s="226"/>
      <c r="S6" s="100">
        <f>VLOOKUP($B6,'Portfolio Allocation'!$B$2:$T$29,18,0)</f>
        <v>0.1575427830219269</v>
      </c>
      <c r="T6" s="227">
        <f>VLOOKUP($B6,'Portfolio Allocation'!$B$2:$T$29,19,0)</f>
        <v>4.2163881659507754E-2</v>
      </c>
    </row>
    <row r="7" spans="1:21" x14ac:dyDescent="0.45">
      <c r="A7" s="15" t="s">
        <v>206</v>
      </c>
      <c r="B7" s="367" t="s">
        <v>14</v>
      </c>
      <c r="C7" s="47"/>
      <c r="D7" s="48" t="str">
        <f>'Portfolio Allocation'!D7</f>
        <v>Nov-22 - Dec-25</v>
      </c>
      <c r="E7" s="39">
        <f>VLOOKUP($B7,'Portfolio Allocation'!$B$2:$T$29,4,0)</f>
        <v>17.731315725000002</v>
      </c>
      <c r="F7" s="103">
        <f>VLOOKUP($B7,'Portfolio Allocation'!$B$2:$T$29,5,0)</f>
        <v>21.640257625</v>
      </c>
      <c r="G7" s="107">
        <f t="shared" ref="G7:G15" si="0">IFERROR(F7/$F$16,0)</f>
        <v>2.1112470020004902E-2</v>
      </c>
      <c r="H7" s="107">
        <f t="shared" ref="H7:H15" si="1">IFERROR(G7/$G$4,0)</f>
        <v>2.1112470020004902E-2</v>
      </c>
      <c r="I7" s="47"/>
      <c r="J7" s="103">
        <f>VLOOKUP($B7,'Portfolio Allocation'!$B$2:$T$29,9,0)</f>
        <v>0</v>
      </c>
      <c r="K7" s="47"/>
      <c r="L7" s="102">
        <f>'Portfolio Allocation'!L7</f>
        <v>682.89958901722309</v>
      </c>
      <c r="M7" s="47"/>
      <c r="N7" s="41">
        <f t="shared" ref="N7:N15" si="2">(F7+J7)-E7</f>
        <v>3.9089418999999985</v>
      </c>
      <c r="O7" s="49"/>
      <c r="P7" s="40">
        <f>VLOOKUP($B7,'Portfolio Allocation'!$B$2:$T$29,15,0)</f>
        <v>0.26617786639854768</v>
      </c>
      <c r="Q7" s="40">
        <f>VLOOKUP($B7,'Portfolio Allocation'!$B$2:$T$29,16,0)</f>
        <v>5.5932598445740611E-2</v>
      </c>
      <c r="R7" s="47"/>
      <c r="S7" s="40">
        <f>VLOOKUP($B7,'Portfolio Allocation'!$B$2:$T$29,18,0)</f>
        <v>0.17558800578117373</v>
      </c>
      <c r="T7" s="42">
        <f>VLOOKUP($B7,'Portfolio Allocation'!$B$2:$T$29,19,0)</f>
        <v>3.8443562388420116E-2</v>
      </c>
    </row>
    <row r="8" spans="1:21" x14ac:dyDescent="0.45">
      <c r="A8" s="15"/>
      <c r="B8" s="367" t="s">
        <v>15</v>
      </c>
      <c r="C8" s="47"/>
      <c r="D8" s="48" t="str">
        <f>'Portfolio Allocation'!D8</f>
        <v>Dec-22 - Feb-25</v>
      </c>
      <c r="E8" s="39">
        <f>VLOOKUP($B8,'Portfolio Allocation'!$B$2:$T$29,4,0)</f>
        <v>27.086596</v>
      </c>
      <c r="F8" s="103">
        <f>VLOOKUP($B8,'Portfolio Allocation'!$B$2:$T$29,5,0)</f>
        <v>64.32851565217392</v>
      </c>
      <c r="G8" s="107">
        <f t="shared" si="0"/>
        <v>6.2759597490602323E-2</v>
      </c>
      <c r="H8" s="107">
        <f t="shared" si="1"/>
        <v>6.2759597490602323E-2</v>
      </c>
      <c r="I8" s="47"/>
      <c r="J8" s="103">
        <f>VLOOKUP($B8,'Portfolio Allocation'!$B$2:$T$29,9,0)</f>
        <v>0</v>
      </c>
      <c r="K8" s="47"/>
      <c r="L8" s="102">
        <f>'Portfolio Allocation'!L8</f>
        <v>3724.191965217391</v>
      </c>
      <c r="M8" s="47"/>
      <c r="N8" s="41">
        <f t="shared" si="2"/>
        <v>37.24191965217392</v>
      </c>
      <c r="O8" s="49"/>
      <c r="P8" s="40">
        <f>VLOOKUP($B8,'Portfolio Allocation'!$B$2:$T$29,15,0)</f>
        <v>1.3749206305647976</v>
      </c>
      <c r="Q8" s="40">
        <f>VLOOKUP($B8,'Portfolio Allocation'!$B$2:$T$29,16,0)</f>
        <v>0.29941829110379725</v>
      </c>
      <c r="R8" s="47"/>
      <c r="S8" s="40">
        <f>VLOOKUP($B8,'Portfolio Allocation'!$B$2:$T$29,18,0)</f>
        <v>0.53955840468406691</v>
      </c>
      <c r="T8" s="42">
        <f>VLOOKUP($B8,'Portfolio Allocation'!$B$2:$T$29,19,0)</f>
        <v>0.1576156795024872</v>
      </c>
    </row>
    <row r="9" spans="1:21" x14ac:dyDescent="0.45">
      <c r="A9" s="13"/>
      <c r="B9" s="367" t="s">
        <v>255</v>
      </c>
      <c r="C9" s="47"/>
      <c r="D9" s="48" t="str">
        <f>'Portfolio Allocation'!D9</f>
        <v>Jul-23 - Jun-26</v>
      </c>
      <c r="E9" s="39">
        <f>VLOOKUP($B9,'Portfolio Allocation'!$B$2:$T$29,4,0)</f>
        <v>150.41405606943488</v>
      </c>
      <c r="F9" s="103">
        <f>VLOOKUP($B9,'Portfolio Allocation'!$B$2:$T$29,5,0)</f>
        <v>222.35864952000003</v>
      </c>
      <c r="G9" s="107">
        <f t="shared" si="0"/>
        <v>0.21693550987380067</v>
      </c>
      <c r="H9" s="107">
        <f t="shared" si="1"/>
        <v>0.21693550987380067</v>
      </c>
      <c r="I9" s="47"/>
      <c r="J9" s="103">
        <f>VLOOKUP($B9,'Portfolio Allocation'!$B$2:$T$29,9,0)</f>
        <v>1.8273252499999999</v>
      </c>
      <c r="K9" s="47"/>
      <c r="L9" s="102">
        <f>'Portfolio Allocation'!L9</f>
        <v>6887.3803540153085</v>
      </c>
      <c r="M9" s="47"/>
      <c r="N9" s="41">
        <f t="shared" si="2"/>
        <v>73.771918700565152</v>
      </c>
      <c r="O9" s="49"/>
      <c r="P9" s="40">
        <f>VLOOKUP($B9,'Portfolio Allocation'!$B$2:$T$29,15,0)</f>
        <v>0.43578584718611957</v>
      </c>
      <c r="Q9" s="40">
        <f>VLOOKUP($B9,'Portfolio Allocation'!$B$2:$T$29,16,0)</f>
        <v>6.9273634909743143E-2</v>
      </c>
      <c r="R9" s="47"/>
      <c r="S9" s="40">
        <f>VLOOKUP($B9,'Portfolio Allocation'!$B$2:$T$29,18,0)</f>
        <v>0.32026553750038167</v>
      </c>
      <c r="T9" s="42">
        <f>VLOOKUP($B9,'Portfolio Allocation'!$B$2:$T$29,19,0)</f>
        <v>7.2169986367225658E-2</v>
      </c>
    </row>
    <row r="10" spans="1:21" x14ac:dyDescent="0.45">
      <c r="A10" s="11"/>
      <c r="B10" s="367" t="s">
        <v>18</v>
      </c>
      <c r="C10" s="47"/>
      <c r="D10" s="48" t="str">
        <f>'Portfolio Allocation'!D10</f>
        <v>March 20 - Aug 25</v>
      </c>
      <c r="E10" s="39">
        <f>VLOOKUP($B10,'Portfolio Allocation'!$B$2:$T$29,4,0)</f>
        <v>332.69670548151311</v>
      </c>
      <c r="F10" s="103">
        <f>VLOOKUP($B10,'Portfolio Allocation'!$B$2:$T$29,5,0)</f>
        <v>361.70793325919067</v>
      </c>
      <c r="G10" s="107">
        <f t="shared" si="0"/>
        <v>0.35288618228419066</v>
      </c>
      <c r="H10" s="107">
        <f t="shared" si="1"/>
        <v>0.35288618228419066</v>
      </c>
      <c r="I10" s="47"/>
      <c r="J10" s="103">
        <f>VLOOKUP($B10,'Portfolio Allocation'!$B$2:$T$29,9,0)</f>
        <v>0</v>
      </c>
      <c r="K10" s="47"/>
      <c r="L10" s="102">
        <f>'Portfolio Allocation'!L10</f>
        <v>2945.7612107237364</v>
      </c>
      <c r="M10" s="47"/>
      <c r="N10" s="41">
        <f t="shared" si="2"/>
        <v>29.011227777677561</v>
      </c>
      <c r="O10" s="49"/>
      <c r="P10" s="40">
        <f>VLOOKUP($B10,'Portfolio Allocation'!$B$2:$T$29,15,0)</f>
        <v>8.7685415200472461E-2</v>
      </c>
      <c r="Q10" s="40">
        <f>VLOOKUP($B10,'Portfolio Allocation'!$B$2:$T$29,16,0)</f>
        <v>2.4078156295746611E-2</v>
      </c>
      <c r="R10" s="47"/>
      <c r="S10" s="40">
        <f>VLOOKUP($B10,'Portfolio Allocation'!$B$2:$T$29,18,0)</f>
        <v>9.3634906411170948E-2</v>
      </c>
      <c r="T10" s="42">
        <f>VLOOKUP($B10,'Portfolio Allocation'!$B$2:$T$29,19,0)</f>
        <v>2.6127818226814273E-2</v>
      </c>
    </row>
    <row r="11" spans="1:21" x14ac:dyDescent="0.45">
      <c r="B11" s="367" t="s">
        <v>19</v>
      </c>
      <c r="C11" s="47"/>
      <c r="D11" s="48" t="str">
        <f>'Portfolio Allocation'!D11</f>
        <v>May-22 - Jan-26</v>
      </c>
      <c r="E11" s="39">
        <f>VLOOKUP($B11,'Portfolio Allocation'!$B$2:$T$29,4,0)</f>
        <v>96.675687679502389</v>
      </c>
      <c r="F11" s="103">
        <f>VLOOKUP($B11,'Portfolio Allocation'!$B$2:$T$29,5,0)</f>
        <v>105.9862796978139</v>
      </c>
      <c r="G11" s="107">
        <f t="shared" si="0"/>
        <v>0.10340136385746702</v>
      </c>
      <c r="H11" s="107">
        <f t="shared" si="1"/>
        <v>0.10340136385746702</v>
      </c>
      <c r="I11" s="47"/>
      <c r="J11" s="103">
        <f>VLOOKUP($B11,'Portfolio Allocation'!$B$2:$T$29,9,0)</f>
        <v>0</v>
      </c>
      <c r="K11" s="47"/>
      <c r="L11" s="102">
        <f>'Portfolio Allocation'!L11</f>
        <v>188.7482139399103</v>
      </c>
      <c r="M11" s="47"/>
      <c r="N11" s="41">
        <f t="shared" si="2"/>
        <v>9.3105920183115103</v>
      </c>
      <c r="O11" s="49"/>
      <c r="P11" s="40">
        <f>VLOOKUP($B11,'Portfolio Allocation'!$B$2:$T$29,15,0)</f>
        <v>0.10094745417267648</v>
      </c>
      <c r="Q11" s="40">
        <f>VLOOKUP($B11,'Portfolio Allocation'!$B$2:$T$29,16,0)</f>
        <v>3.8213700815263874E-2</v>
      </c>
      <c r="R11" s="47"/>
      <c r="S11" s="40">
        <f>VLOOKUP($B11,'Portfolio Allocation'!$B$2:$T$29,18,0)</f>
        <v>1.6414567828178409E-2</v>
      </c>
      <c r="T11" s="261">
        <f>VLOOKUP($B11,'Portfolio Allocation'!$B$2:$T$29,19,0)</f>
        <v>3.431437313556672E-2</v>
      </c>
    </row>
    <row r="12" spans="1:21" x14ac:dyDescent="0.45">
      <c r="B12" s="367" t="s">
        <v>20</v>
      </c>
      <c r="C12" s="47"/>
      <c r="D12" s="48" t="str">
        <f>'Portfolio Allocation'!D12</f>
        <v>Sep-24 - Dec-25</v>
      </c>
      <c r="E12" s="39">
        <f>VLOOKUP($B12,'Portfolio Allocation'!$B$2:$T$29,4,0)</f>
        <v>183.99972500737104</v>
      </c>
      <c r="F12" s="103">
        <f>VLOOKUP($B12,'Portfolio Allocation'!$B$2:$T$29,5,0)</f>
        <v>246.7578324809898</v>
      </c>
      <c r="G12" s="107">
        <f t="shared" si="0"/>
        <v>0.24073961737118132</v>
      </c>
      <c r="H12" s="107">
        <f t="shared" si="1"/>
        <v>0.24073961737118132</v>
      </c>
      <c r="I12" s="47"/>
      <c r="J12" s="103">
        <f>VLOOKUP($B12,'Portfolio Allocation'!$B$2:$T$29,9,0)</f>
        <v>1.5907184999999997E-2</v>
      </c>
      <c r="K12" s="47"/>
      <c r="L12" s="102">
        <f>'Portfolio Allocation'!L12</f>
        <v>6277.4014658618798</v>
      </c>
      <c r="M12" s="47"/>
      <c r="N12" s="41">
        <f t="shared" si="2"/>
        <v>62.774014658618768</v>
      </c>
      <c r="O12" s="49"/>
      <c r="P12" s="40">
        <f>VLOOKUP($B12,'Portfolio Allocation'!$B$2:$T$29,15,0)</f>
        <v>0.34116363302229957</v>
      </c>
      <c r="Q12" s="261">
        <f>VLOOKUP($B12,'Portfolio Allocation'!$B$2:$T$29,16,0)</f>
        <v>4.5401409240004131E-2</v>
      </c>
      <c r="R12" s="47"/>
      <c r="S12" s="40">
        <f>VLOOKUP($B12,'Portfolio Allocation'!$B$2:$T$29,18,0)</f>
        <v>0.43341709971427922</v>
      </c>
      <c r="T12" s="42">
        <f>VLOOKUP($B12,'Portfolio Allocation'!$B$2:$T$29,19,0)</f>
        <v>5.6590232253074649E-2</v>
      </c>
    </row>
    <row r="13" spans="1:21" x14ac:dyDescent="0.45">
      <c r="B13" s="367" t="s">
        <v>22</v>
      </c>
      <c r="C13" s="47"/>
      <c r="D13" s="48" t="str">
        <f>'Portfolio Allocation'!D13</f>
        <v>Oct-24 - Oct-24</v>
      </c>
      <c r="E13" s="39">
        <f>VLOOKUP($B13,'Portfolio Allocation'!$B$2:$T$29,4,0)</f>
        <v>1</v>
      </c>
      <c r="F13" s="103">
        <f>VLOOKUP($B13,'Portfolio Allocation'!$B$2:$T$29,5,0)</f>
        <v>1.1248248999999999</v>
      </c>
      <c r="G13" s="107">
        <f t="shared" si="0"/>
        <v>1.0973913707741734E-3</v>
      </c>
      <c r="H13" s="107">
        <f t="shared" si="1"/>
        <v>1.0973913707741734E-3</v>
      </c>
      <c r="I13" s="47"/>
      <c r="J13" s="103">
        <f>VLOOKUP($B13,'Portfolio Allocation'!$B$2:$T$29,9,0)</f>
        <v>0</v>
      </c>
      <c r="K13" s="47"/>
      <c r="L13" s="102">
        <f>'Portfolio Allocation'!L13</f>
        <v>12.48249</v>
      </c>
      <c r="M13" s="47"/>
      <c r="N13" s="41">
        <f t="shared" si="2"/>
        <v>0.12482489999999991</v>
      </c>
      <c r="O13" s="49"/>
      <c r="P13" s="40">
        <f>VLOOKUP($B13,'Portfolio Allocation'!$B$2:$T$29,15,0)</f>
        <v>0.12482489999999991</v>
      </c>
      <c r="Q13" s="261">
        <f>VLOOKUP($B13,'Portfolio Allocation'!$B$2:$T$29,16,0)</f>
        <v>1.8808084897034227E-2</v>
      </c>
      <c r="R13" s="47"/>
      <c r="S13" s="40">
        <f>VLOOKUP($B13,'Portfolio Allocation'!$B$2:$T$29,18,0)</f>
        <v>7.2427824139595046E-2</v>
      </c>
      <c r="T13" s="261">
        <f>VLOOKUP($B13,'Portfolio Allocation'!$B$2:$T$29,19,0)</f>
        <v>1.1138436198234559E-2</v>
      </c>
    </row>
    <row r="14" spans="1:21" x14ac:dyDescent="0.45">
      <c r="B14" s="367" t="s">
        <v>21</v>
      </c>
      <c r="C14" s="47"/>
      <c r="D14" s="48"/>
      <c r="E14" s="39">
        <f>VLOOKUP($B14,'Portfolio Allocation'!$B$2:$T$29,4,0)</f>
        <v>0</v>
      </c>
      <c r="F14" s="103">
        <f>VLOOKUP($B14,'Portfolio Allocation'!$B$2:$T$29,5,0)</f>
        <v>0.24478595399999997</v>
      </c>
      <c r="G14" s="262">
        <f t="shared" si="0"/>
        <v>2.3881583134079248E-4</v>
      </c>
      <c r="H14" s="262">
        <f t="shared" si="1"/>
        <v>2.3881583134079248E-4</v>
      </c>
      <c r="I14" s="47"/>
      <c r="J14" s="103">
        <f>VLOOKUP($B14,'Portfolio Allocation'!$B$2:$T$29,9,0)</f>
        <v>0</v>
      </c>
      <c r="K14" s="47"/>
      <c r="L14" s="102">
        <f>'Portfolio Allocation'!L14</f>
        <v>24.4785954</v>
      </c>
      <c r="M14" s="47"/>
      <c r="N14" s="41">
        <f t="shared" si="2"/>
        <v>0.24478595399999997</v>
      </c>
      <c r="O14" s="49"/>
      <c r="P14" s="40"/>
      <c r="Q14" s="261"/>
      <c r="R14" s="47"/>
      <c r="S14" s="40"/>
      <c r="T14" s="42"/>
    </row>
    <row r="15" spans="1:21" x14ac:dyDescent="0.45">
      <c r="B15" s="367" t="s">
        <v>486</v>
      </c>
      <c r="C15" s="47"/>
      <c r="D15" s="48" t="str">
        <f>'Portfolio Allocation'!D15</f>
        <v>Mar-25 - May-26</v>
      </c>
      <c r="E15" s="39">
        <f>VLOOKUP($B15,'Portfolio Allocation'!$B$2:$T$29,4,0)</f>
        <v>1.0963804960000001</v>
      </c>
      <c r="F15" s="103">
        <f>VLOOKUP($B15,'Portfolio Allocation'!$B$2:$T$29,5,0)</f>
        <v>0.84977725000000004</v>
      </c>
      <c r="G15" s="107">
        <f t="shared" si="0"/>
        <v>8.2905190063823058E-4</v>
      </c>
      <c r="H15" s="107">
        <f t="shared" si="1"/>
        <v>8.2905190063823058E-4</v>
      </c>
      <c r="I15" s="47"/>
      <c r="J15" s="103">
        <f>VLOOKUP($B15,'Portfolio Allocation'!$B$2:$T$29,9,0)</f>
        <v>1.9499999999999999E-3</v>
      </c>
      <c r="K15" s="47"/>
      <c r="L15" s="102">
        <f>'Portfolio Allocation'!L15</f>
        <v>-8.7961095000000018</v>
      </c>
      <c r="M15" s="47"/>
      <c r="N15" s="41">
        <f t="shared" si="2"/>
        <v>-0.24465324600000005</v>
      </c>
      <c r="O15" s="49"/>
      <c r="P15" s="40">
        <f>VLOOKUP($B15,'Portfolio Allocation'!$B$2:$T$29,15,0)</f>
        <v>-7.2034374355866793E-2</v>
      </c>
      <c r="Q15" s="261">
        <f>VLOOKUP($B15,'Portfolio Allocation'!$B$2:$T$29,16,0)</f>
        <v>6.9722836680911282E-2</v>
      </c>
      <c r="R15" s="47"/>
      <c r="S15" s="40">
        <f>VLOOKUP($B15,'Portfolio Allocation'!$B$2:$T$29,18,0)</f>
        <v>-0.10054798951166917</v>
      </c>
      <c r="T15" s="261">
        <f>VLOOKUP($B15,'Portfolio Allocation'!$B$2:$T$29,19,0)</f>
        <v>9.7778040170669572E-2</v>
      </c>
    </row>
    <row r="16" spans="1:21" x14ac:dyDescent="0.45">
      <c r="B16" s="50" t="s">
        <v>45</v>
      </c>
      <c r="C16" s="51"/>
      <c r="D16" s="52"/>
      <c r="E16" s="53">
        <f>E4</f>
        <v>810.70046645882144</v>
      </c>
      <c r="F16" s="527">
        <f>F4</f>
        <v>1024.9988563391682</v>
      </c>
      <c r="G16" s="104">
        <f>G4</f>
        <v>1</v>
      </c>
      <c r="H16" s="105"/>
      <c r="I16" s="51"/>
      <c r="J16" s="53">
        <f>J4</f>
        <v>1.8451824349999999</v>
      </c>
      <c r="K16" s="51"/>
      <c r="L16" s="53">
        <f>L4</f>
        <v>20734.547774675448</v>
      </c>
      <c r="M16" s="51"/>
      <c r="N16" s="53">
        <f>N4</f>
        <v>216.14357231534692</v>
      </c>
      <c r="O16" s="54"/>
      <c r="P16" s="105">
        <f>'Portfolio Allocation'!P4</f>
        <v>0.26003126869671345</v>
      </c>
      <c r="Q16" s="105">
        <f>'Portfolio Allocation'!Q4</f>
        <v>4.9233915543793749E-2</v>
      </c>
      <c r="R16" s="228"/>
      <c r="S16" s="105">
        <f>'Portfolio Allocation'!S4</f>
        <v>0.22988720536231996</v>
      </c>
      <c r="T16" s="229">
        <f>'Portfolio Allocation'!T4</f>
        <v>5.1674172282218947E-2</v>
      </c>
      <c r="U16" s="206"/>
    </row>
    <row r="17" spans="2:2" ht="13.15" x14ac:dyDescent="0.45">
      <c r="B17" s="128" t="s">
        <v>287</v>
      </c>
    </row>
  </sheetData>
  <mergeCells count="11">
    <mergeCell ref="J2:J3"/>
    <mergeCell ref="L2:L3"/>
    <mergeCell ref="N2:N3"/>
    <mergeCell ref="P2:Q2"/>
    <mergeCell ref="S2:T2"/>
    <mergeCell ref="H2:H3"/>
    <mergeCell ref="B2:B3"/>
    <mergeCell ref="D2:D3"/>
    <mergeCell ref="E2:E3"/>
    <mergeCell ref="F2:F3"/>
    <mergeCell ref="G2:G3"/>
  </mergeCells>
  <conditionalFormatting sqref="E7:H15">
    <cfRule type="cellIs" dxfId="315" priority="14" operator="equal">
      <formula>0</formula>
    </cfRule>
  </conditionalFormatting>
  <conditionalFormatting sqref="J7:J15">
    <cfRule type="cellIs" dxfId="314" priority="16" operator="equal">
      <formula>0</formula>
    </cfRule>
  </conditionalFormatting>
  <conditionalFormatting sqref="N7:N15">
    <cfRule type="cellIs" dxfId="313" priority="15" operator="equal">
      <formula>0</formula>
    </cfRule>
  </conditionalFormatting>
  <conditionalFormatting sqref="P7:Q7">
    <cfRule type="top10" dxfId="312" priority="36" rank="1"/>
  </conditionalFormatting>
  <conditionalFormatting sqref="P8:Q8">
    <cfRule type="top10" dxfId="311" priority="69" rank="1"/>
  </conditionalFormatting>
  <conditionalFormatting sqref="P9:Q9">
    <cfRule type="top10" dxfId="310" priority="18" rank="1"/>
  </conditionalFormatting>
  <conditionalFormatting sqref="P10:Q10">
    <cfRule type="top10" dxfId="309" priority="59" rank="1"/>
  </conditionalFormatting>
  <conditionalFormatting sqref="P11:Q11">
    <cfRule type="top10" dxfId="308" priority="57" rank="1"/>
  </conditionalFormatting>
  <conditionalFormatting sqref="P12:Q12">
    <cfRule type="top10" dxfId="307" priority="55" rank="1"/>
  </conditionalFormatting>
  <conditionalFormatting sqref="P13:Q13">
    <cfRule type="top10" dxfId="306" priority="6" rank="1"/>
  </conditionalFormatting>
  <conditionalFormatting sqref="P14:Q14">
    <cfRule type="top10" dxfId="305" priority="8" rank="1"/>
  </conditionalFormatting>
  <conditionalFormatting sqref="P15:Q15">
    <cfRule type="top10" dxfId="304" priority="13" rank="1"/>
  </conditionalFormatting>
  <conditionalFormatting sqref="S7:T7">
    <cfRule type="top10" dxfId="303" priority="10" rank="1"/>
  </conditionalFormatting>
  <conditionalFormatting sqref="S8:T8">
    <cfRule type="top10" dxfId="302" priority="51" rank="1"/>
  </conditionalFormatting>
  <conditionalFormatting sqref="S9:T9">
    <cfRule type="top10" dxfId="301" priority="17" rank="1"/>
  </conditionalFormatting>
  <conditionalFormatting sqref="S10:T10">
    <cfRule type="top10" dxfId="300" priority="58" rank="1"/>
  </conditionalFormatting>
  <conditionalFormatting sqref="S11:T11">
    <cfRule type="top10" dxfId="299" priority="9" rank="1"/>
  </conditionalFormatting>
  <conditionalFormatting sqref="S12:T12 S14:T14">
    <cfRule type="top10" dxfId="298" priority="56" rank="1"/>
  </conditionalFormatting>
  <conditionalFormatting sqref="S13:T13">
    <cfRule type="top10" dxfId="297" priority="7" rank="1"/>
  </conditionalFormatting>
  <conditionalFormatting sqref="S15:T15">
    <cfRule type="top10" dxfId="296" priority="11" rank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3" tint="0.59999389629810485"/>
  </sheetPr>
  <dimension ref="A1:L18"/>
  <sheetViews>
    <sheetView showGridLines="0" zoomScaleNormal="100" workbookViewId="0">
      <selection activeCell="O6" sqref="O6"/>
    </sheetView>
  </sheetViews>
  <sheetFormatPr defaultColWidth="8.73046875" defaultRowHeight="11.65" x14ac:dyDescent="0.45"/>
  <cols>
    <col min="1" max="1" width="8.73046875" style="79"/>
    <col min="2" max="2" width="13.73046875" style="79" customWidth="1"/>
    <col min="3" max="3" width="10.73046875" style="79" customWidth="1"/>
    <col min="4" max="4" width="10" style="79" customWidth="1"/>
    <col min="5" max="5" width="9.53125" style="79" customWidth="1"/>
    <col min="6" max="16384" width="8.73046875" style="79"/>
  </cols>
  <sheetData>
    <row r="1" spans="1:12" x14ac:dyDescent="0.35">
      <c r="B1" s="9" t="s">
        <v>181</v>
      </c>
      <c r="C1" s="127">
        <v>2</v>
      </c>
      <c r="D1" s="127">
        <v>3</v>
      </c>
      <c r="E1" s="127">
        <v>4</v>
      </c>
      <c r="F1" s="127">
        <v>6</v>
      </c>
      <c r="G1" s="108" t="s">
        <v>462</v>
      </c>
    </row>
    <row r="2" spans="1:12" ht="34.9" x14ac:dyDescent="0.45">
      <c r="B2" s="369" t="s">
        <v>85</v>
      </c>
      <c r="C2" s="83" t="s">
        <v>115</v>
      </c>
      <c r="D2" s="83" t="s">
        <v>4</v>
      </c>
      <c r="E2" s="83" t="s">
        <v>288</v>
      </c>
      <c r="F2" s="83" t="s">
        <v>183</v>
      </c>
      <c r="G2" s="83" t="s">
        <v>184</v>
      </c>
      <c r="H2" s="83" t="s">
        <v>4</v>
      </c>
      <c r="I2" s="83" t="s">
        <v>288</v>
      </c>
    </row>
    <row r="3" spans="1:12" x14ac:dyDescent="0.35">
      <c r="B3" s="371" t="s">
        <v>33</v>
      </c>
      <c r="C3" s="372">
        <v>1024.9988563391682</v>
      </c>
      <c r="D3" s="373">
        <v>0.78843032130173096</v>
      </c>
      <c r="E3" s="373">
        <v>0.72003376192416124</v>
      </c>
      <c r="F3" s="372"/>
      <c r="G3" s="372">
        <f>C3-F3</f>
        <v>1024.9988563391682</v>
      </c>
      <c r="H3" s="373">
        <v>0.81768588448022894</v>
      </c>
      <c r="I3" s="374">
        <v>0.74675139649945843</v>
      </c>
    </row>
    <row r="4" spans="1:12" x14ac:dyDescent="0.35">
      <c r="B4" s="371" t="s">
        <v>23</v>
      </c>
      <c r="C4" s="372">
        <v>45.88916369557257</v>
      </c>
      <c r="D4" s="373">
        <v>3.5297998483615915E-2</v>
      </c>
      <c r="E4" s="373">
        <v>7.5495492654209032E-2</v>
      </c>
      <c r="F4" s="372">
        <v>41.077278272791752</v>
      </c>
      <c r="G4" s="372">
        <f>C4-F4</f>
        <v>4.8118854227808185</v>
      </c>
      <c r="H4" s="373">
        <v>3.8386489542014727E-3</v>
      </c>
      <c r="I4" s="374">
        <v>4.5527714793909831E-2</v>
      </c>
    </row>
    <row r="5" spans="1:12" x14ac:dyDescent="0.35">
      <c r="B5" s="371" t="s">
        <v>223</v>
      </c>
      <c r="C5" s="372">
        <v>223.72545813310003</v>
      </c>
      <c r="D5" s="373">
        <v>0.17208988453826099</v>
      </c>
      <c r="E5" s="373">
        <v>0.19066432130414601</v>
      </c>
      <c r="F5" s="372"/>
      <c r="G5" s="372">
        <f>C5-F5</f>
        <v>223.72545813310003</v>
      </c>
      <c r="H5" s="373">
        <v>0.17847546656556962</v>
      </c>
      <c r="I5" s="374">
        <v>0.1977391279764584</v>
      </c>
    </row>
    <row r="6" spans="1:12" x14ac:dyDescent="0.35">
      <c r="B6" s="371" t="s">
        <v>27</v>
      </c>
      <c r="C6" s="372">
        <v>5.4365435599546803</v>
      </c>
      <c r="D6" s="373">
        <v>4.1817956763920451E-3</v>
      </c>
      <c r="E6" s="373">
        <v>1.3806424117483666E-2</v>
      </c>
      <c r="F6" s="372">
        <v>5.4365435599546803</v>
      </c>
      <c r="G6" s="372">
        <f>C6-F6</f>
        <v>0</v>
      </c>
      <c r="H6" s="373">
        <v>0</v>
      </c>
      <c r="I6" s="374">
        <v>9.9817607301733412E-3</v>
      </c>
    </row>
    <row r="7" spans="1:12" x14ac:dyDescent="0.35">
      <c r="B7" s="375" t="s">
        <v>45</v>
      </c>
      <c r="C7" s="376">
        <f t="shared" ref="C7:I7" si="0">SUM(C3:C6)</f>
        <v>1300.0500217277956</v>
      </c>
      <c r="D7" s="377">
        <f t="shared" si="0"/>
        <v>1</v>
      </c>
      <c r="E7" s="377">
        <f t="shared" si="0"/>
        <v>1</v>
      </c>
      <c r="F7" s="376">
        <f t="shared" si="0"/>
        <v>46.51382183274643</v>
      </c>
      <c r="G7" s="376">
        <f t="shared" si="0"/>
        <v>1253.5361998950491</v>
      </c>
      <c r="H7" s="377">
        <f t="shared" si="0"/>
        <v>1</v>
      </c>
      <c r="I7" s="378">
        <f t="shared" si="0"/>
        <v>1</v>
      </c>
    </row>
    <row r="9" spans="1:12" x14ac:dyDescent="0.45">
      <c r="B9" s="125" t="s">
        <v>228</v>
      </c>
    </row>
    <row r="12" spans="1:12" ht="34.9" x14ac:dyDescent="0.45">
      <c r="B12" s="369" t="s">
        <v>461</v>
      </c>
      <c r="C12" s="83" t="s">
        <v>500</v>
      </c>
      <c r="D12" s="83" t="s">
        <v>501</v>
      </c>
      <c r="E12" s="83" t="s">
        <v>502</v>
      </c>
      <c r="F12" s="83" t="s">
        <v>503</v>
      </c>
      <c r="G12" s="83" t="s">
        <v>504</v>
      </c>
      <c r="H12" s="83" t="s">
        <v>505</v>
      </c>
      <c r="I12" s="83" t="s">
        <v>506</v>
      </c>
      <c r="J12" s="83" t="s">
        <v>507</v>
      </c>
      <c r="K12" s="83" t="s">
        <v>508</v>
      </c>
      <c r="L12" s="83" t="s">
        <v>509</v>
      </c>
    </row>
    <row r="13" spans="1:12" x14ac:dyDescent="0.45">
      <c r="B13" s="487" t="s">
        <v>426</v>
      </c>
      <c r="E13" s="488"/>
      <c r="L13" s="489"/>
    </row>
    <row r="14" spans="1:12" x14ac:dyDescent="0.35">
      <c r="A14" s="126" t="s">
        <v>497</v>
      </c>
      <c r="B14" s="490" t="s">
        <v>510</v>
      </c>
      <c r="C14" s="488">
        <f>E14+G14+I14+K14</f>
        <v>541.90310876734975</v>
      </c>
      <c r="D14" s="491">
        <f>C14/$C$18</f>
        <v>0.41691100624375144</v>
      </c>
      <c r="E14" s="488">
        <f>SUMIF(Equity!$A:$A,'Asset Allocation'!A14,Equity!$H:$H)</f>
        <v>538.13468179034976</v>
      </c>
      <c r="F14" s="492">
        <f>E14/$E$18</f>
        <v>0.52513544209498408</v>
      </c>
      <c r="G14" s="488">
        <f>SUMIF(Debt!$A:$A,'Asset Allocation'!A14,Debt!$F:$F)</f>
        <v>3.7684269769999994</v>
      </c>
      <c r="H14" s="492">
        <f>G14/$G$18</f>
        <v>8.2120192950118659E-2</v>
      </c>
      <c r="I14" s="79">
        <v>0</v>
      </c>
      <c r="J14" s="79">
        <f>I14/$I$18</f>
        <v>0</v>
      </c>
      <c r="K14" s="79">
        <f>SUMIF(Alternate!$A:$A,'Asset Allocation'!A14,Alternate!$E:$E)</f>
        <v>0</v>
      </c>
      <c r="L14" s="493">
        <f>K14/$K$18</f>
        <v>0</v>
      </c>
    </row>
    <row r="15" spans="1:12" x14ac:dyDescent="0.35">
      <c r="A15" s="126" t="s">
        <v>499</v>
      </c>
      <c r="B15" s="490" t="s">
        <v>511</v>
      </c>
      <c r="C15" s="488">
        <f t="shared" ref="C15:C17" si="1">E15+G15+I15+K15</f>
        <v>191.70114526527394</v>
      </c>
      <c r="D15" s="491">
        <f t="shared" ref="D15:D17" si="2">C15/$C$18</f>
        <v>0.14748451536368143</v>
      </c>
      <c r="E15" s="488">
        <f>SUMIF(Equity!$A:$A,'Asset Allocation'!A15,Equity!$H:$H)</f>
        <v>22.828515652173916</v>
      </c>
      <c r="F15" s="492">
        <f>E15/$E$18</f>
        <v>2.2277067553967848E-2</v>
      </c>
      <c r="G15" s="488">
        <f>SUMIF(Debt!$A:$A,'Asset Allocation'!A15,Debt!$F:$F)</f>
        <v>0</v>
      </c>
      <c r="H15" s="492">
        <f>G15/$G$18</f>
        <v>0</v>
      </c>
      <c r="I15" s="79">
        <v>0</v>
      </c>
      <c r="J15" s="79">
        <f>I15/$I$18</f>
        <v>0</v>
      </c>
      <c r="K15" s="488">
        <f>SUMIF(Alternate!$A:$A,'Asset Allocation'!A15,Alternate!$E:$E)</f>
        <v>168.87262961310003</v>
      </c>
      <c r="L15" s="493">
        <f>K15/$K$18</f>
        <v>0.75482080145136343</v>
      </c>
    </row>
    <row r="16" spans="1:12" x14ac:dyDescent="0.35">
      <c r="A16" s="126" t="s">
        <v>28</v>
      </c>
      <c r="B16" s="385" t="s">
        <v>28</v>
      </c>
      <c r="C16" s="488">
        <f t="shared" si="1"/>
        <v>152.50010153056033</v>
      </c>
      <c r="D16" s="491">
        <f t="shared" si="2"/>
        <v>0.11732534793166492</v>
      </c>
      <c r="E16" s="488">
        <f>SUMIF(Equity!$A:$A,'Asset Allocation'!A16,Equity!$H:$H)</f>
        <v>105.9862796978139</v>
      </c>
      <c r="F16" s="492">
        <f>E16/$E$18</f>
        <v>0.10342606363883723</v>
      </c>
      <c r="G16" s="488">
        <f>SUMIF(Debt!$A:$A,'Asset Allocation'!A16,Debt!$F:$F)</f>
        <v>41.077278272791752</v>
      </c>
      <c r="H16" s="492">
        <f>G16/$G$18</f>
        <v>0.89514113931771055</v>
      </c>
      <c r="I16" s="498">
        <f>SUMIF(Cash!$A:$A,'Asset Allocation'!A16,Cash!$F:$F)</f>
        <v>5.4365435599546803</v>
      </c>
      <c r="J16" s="494">
        <f>I16/$I$18</f>
        <v>1</v>
      </c>
      <c r="K16" s="488">
        <f>SUMIF(Alternate!$A:$A,'Asset Allocation'!A16,Alternate!$E:$E)</f>
        <v>0</v>
      </c>
      <c r="L16" s="493">
        <f>K16/$K$18</f>
        <v>0</v>
      </c>
    </row>
    <row r="17" spans="1:12" x14ac:dyDescent="0.45">
      <c r="A17" s="4" t="s">
        <v>498</v>
      </c>
      <c r="B17" s="385" t="s">
        <v>512</v>
      </c>
      <c r="C17" s="488">
        <f t="shared" si="1"/>
        <v>413.70088021061161</v>
      </c>
      <c r="D17" s="491">
        <f t="shared" si="2"/>
        <v>0.31827913046090217</v>
      </c>
      <c r="E17" s="488">
        <f>SUMIF(Equity!$A:$A,'Asset Allocation'!A17,Equity!$H:$H)</f>
        <v>357.80459324483081</v>
      </c>
      <c r="F17" s="492">
        <f>E17/$E$18</f>
        <v>0.34916142671221101</v>
      </c>
      <c r="G17" s="488">
        <f>SUMIF(Debt!$A:$A,'Asset Allocation'!A17,Debt!$F:$F)</f>
        <v>1.0434584457808218</v>
      </c>
      <c r="H17" s="492">
        <f>G17/$G$18</f>
        <v>2.2738667732170845E-2</v>
      </c>
      <c r="I17" s="79">
        <v>0</v>
      </c>
      <c r="J17" s="79">
        <f>I17/$I$18</f>
        <v>0</v>
      </c>
      <c r="K17" s="488">
        <f>SUMIF(Alternate!$A:$A,'Asset Allocation'!A17,Alternate!$E:$E)</f>
        <v>54.852828519999996</v>
      </c>
      <c r="L17" s="493">
        <f>K17/$K$18</f>
        <v>0.24517919854863651</v>
      </c>
    </row>
    <row r="18" spans="1:12" x14ac:dyDescent="0.35">
      <c r="B18" s="375" t="s">
        <v>45</v>
      </c>
      <c r="C18" s="499">
        <f>SUM(C14:C17)</f>
        <v>1299.8052357737956</v>
      </c>
      <c r="D18" s="377">
        <f>SUM(D14:D17)</f>
        <v>1</v>
      </c>
      <c r="E18" s="376">
        <f t="shared" ref="E18:L18" si="3">SUM(E13:E17)</f>
        <v>1024.7540703851682</v>
      </c>
      <c r="F18" s="377">
        <f t="shared" si="3"/>
        <v>1.0000000000000002</v>
      </c>
      <c r="G18" s="497">
        <f t="shared" si="3"/>
        <v>45.88916369557257</v>
      </c>
      <c r="H18" s="495">
        <f t="shared" si="3"/>
        <v>1</v>
      </c>
      <c r="I18" s="376">
        <f t="shared" si="3"/>
        <v>5.4365435599546803</v>
      </c>
      <c r="J18" s="377">
        <f t="shared" si="3"/>
        <v>1</v>
      </c>
      <c r="K18" s="497">
        <f t="shared" si="3"/>
        <v>223.72545813310003</v>
      </c>
      <c r="L18" s="496">
        <f t="shared" si="3"/>
        <v>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346BA-420E-4E4F-B9E0-36EDE48C29EE}">
  <dimension ref="C2:N16"/>
  <sheetViews>
    <sheetView showGridLines="0" workbookViewId="0">
      <selection activeCell="H6" sqref="H6:H10"/>
    </sheetView>
  </sheetViews>
  <sheetFormatPr defaultRowHeight="14.25" x14ac:dyDescent="0.45"/>
  <cols>
    <col min="3" max="3" width="30.53125" bestFit="1" customWidth="1"/>
    <col min="4" max="4" width="11.73046875" bestFit="1" customWidth="1"/>
    <col min="5" max="5" width="27.265625" bestFit="1" customWidth="1"/>
    <col min="6" max="6" width="12.9296875" customWidth="1"/>
    <col min="10" max="10" width="10.53125" customWidth="1"/>
  </cols>
  <sheetData>
    <row r="2" spans="3:14" ht="34.9" x14ac:dyDescent="0.45">
      <c r="C2" s="379" t="s">
        <v>34</v>
      </c>
      <c r="D2" s="381" t="s">
        <v>1</v>
      </c>
      <c r="E2" s="380" t="s">
        <v>227</v>
      </c>
      <c r="F2" s="380" t="s">
        <v>373</v>
      </c>
      <c r="G2" s="380" t="s">
        <v>416</v>
      </c>
      <c r="H2" s="380" t="s">
        <v>417</v>
      </c>
      <c r="I2" s="382" t="s">
        <v>4</v>
      </c>
      <c r="J2" s="382" t="s">
        <v>252</v>
      </c>
      <c r="K2" s="382" t="s">
        <v>37</v>
      </c>
      <c r="L2" s="382" t="s">
        <v>38</v>
      </c>
      <c r="M2" s="382" t="s">
        <v>39</v>
      </c>
      <c r="N2" s="383" t="s">
        <v>40</v>
      </c>
    </row>
    <row r="3" spans="3:14" x14ac:dyDescent="0.45">
      <c r="C3" s="343" t="s">
        <v>261</v>
      </c>
      <c r="D3" s="343" t="s">
        <v>578</v>
      </c>
      <c r="E3" s="343" t="s">
        <v>516</v>
      </c>
      <c r="F3" s="343" t="s">
        <v>579</v>
      </c>
      <c r="G3" s="500">
        <v>29.998500073066403</v>
      </c>
      <c r="H3" s="500">
        <v>32.706286593388022</v>
      </c>
      <c r="I3" s="501">
        <f t="shared" ref="I3:I15" si="0">H3/$H$16</f>
        <v>6.0354491539611206E-2</v>
      </c>
      <c r="J3" s="504" t="s">
        <v>580</v>
      </c>
      <c r="K3" s="68">
        <v>9.0264063660728144E-2</v>
      </c>
      <c r="L3" s="68">
        <v>7.8803335140928965E-3</v>
      </c>
      <c r="M3" s="68">
        <v>4.9043646454811102E-2</v>
      </c>
      <c r="N3" s="68">
        <v>4.3587535619735718E-3</v>
      </c>
    </row>
    <row r="4" spans="3:14" x14ac:dyDescent="0.45">
      <c r="C4" s="343" t="s">
        <v>248</v>
      </c>
      <c r="D4" s="343" t="s">
        <v>581</v>
      </c>
      <c r="E4" s="343" t="s">
        <v>541</v>
      </c>
      <c r="F4" s="343" t="s">
        <v>76</v>
      </c>
      <c r="G4" s="500">
        <v>33</v>
      </c>
      <c r="H4" s="500">
        <v>40.047567800000003</v>
      </c>
      <c r="I4" s="501">
        <f t="shared" si="0"/>
        <v>7.390171259783869E-2</v>
      </c>
      <c r="J4" s="504" t="s">
        <v>580</v>
      </c>
      <c r="K4" s="68">
        <v>0.21356266060606077</v>
      </c>
      <c r="L4" s="68">
        <v>1.911572323497146E-2</v>
      </c>
      <c r="M4" s="68">
        <v>0.17886855006217958</v>
      </c>
      <c r="N4" s="68">
        <v>1.6431173682212832E-2</v>
      </c>
    </row>
    <row r="5" spans="3:14" x14ac:dyDescent="0.45">
      <c r="C5" s="343" t="s">
        <v>548</v>
      </c>
      <c r="D5" s="343" t="s">
        <v>582</v>
      </c>
      <c r="E5" s="343" t="s">
        <v>516</v>
      </c>
      <c r="F5" s="343" t="s">
        <v>579</v>
      </c>
      <c r="G5" s="500">
        <v>70.855886139104982</v>
      </c>
      <c r="H5" s="500">
        <v>76.047924594483433</v>
      </c>
      <c r="I5" s="501">
        <f t="shared" si="0"/>
        <v>0.14033491110148325</v>
      </c>
      <c r="J5" s="504" t="s">
        <v>580</v>
      </c>
      <c r="K5" s="68">
        <v>7.3276035884801249E-2</v>
      </c>
      <c r="L5" s="68">
        <v>2.8688755971998603E-2</v>
      </c>
      <c r="M5" s="68">
        <v>0.11424925923347476</v>
      </c>
      <c r="N5" s="68">
        <v>4.5162561535835269E-2</v>
      </c>
    </row>
    <row r="6" spans="3:14" x14ac:dyDescent="0.45">
      <c r="C6" s="343" t="s">
        <v>367</v>
      </c>
      <c r="D6" s="343" t="s">
        <v>583</v>
      </c>
      <c r="E6" s="343" t="s">
        <v>516</v>
      </c>
      <c r="F6" s="343" t="s">
        <v>579</v>
      </c>
      <c r="G6" s="500">
        <v>47.495160266834645</v>
      </c>
      <c r="H6" s="500">
        <v>52.115601613118805</v>
      </c>
      <c r="I6" s="501">
        <f t="shared" si="0"/>
        <v>9.617143871284399E-2</v>
      </c>
      <c r="J6" s="504" t="s">
        <v>580</v>
      </c>
      <c r="K6" s="68">
        <v>9.7282361409580576E-2</v>
      </c>
      <c r="L6" s="68">
        <v>9.4633109294703699E-2</v>
      </c>
      <c r="M6" s="68">
        <v>7.2618743777275105E-2</v>
      </c>
      <c r="N6" s="68">
        <v>7.0717307925224307E-2</v>
      </c>
    </row>
    <row r="7" spans="3:14" x14ac:dyDescent="0.45">
      <c r="C7" s="343" t="s">
        <v>185</v>
      </c>
      <c r="D7" s="343" t="s">
        <v>584</v>
      </c>
      <c r="E7" s="343" t="s">
        <v>516</v>
      </c>
      <c r="F7" s="343" t="s">
        <v>585</v>
      </c>
      <c r="G7" s="500">
        <v>25.318414809223999</v>
      </c>
      <c r="H7" s="500">
        <v>27.174766397315999</v>
      </c>
      <c r="I7" s="501">
        <f t="shared" si="0"/>
        <v>5.0146909950617553E-2</v>
      </c>
      <c r="J7" s="504" t="s">
        <v>298</v>
      </c>
      <c r="K7" s="68">
        <v>7.3320213847499316E-2</v>
      </c>
      <c r="L7" s="68">
        <v>-3.82316019938711E-3</v>
      </c>
      <c r="M7" s="68">
        <v>6.6808715462684631E-2</v>
      </c>
      <c r="N7" s="68">
        <v>-3.5201839167817131E-3</v>
      </c>
    </row>
    <row r="8" spans="3:14" x14ac:dyDescent="0.45">
      <c r="C8" s="343" t="s">
        <v>268</v>
      </c>
      <c r="D8" s="343" t="s">
        <v>586</v>
      </c>
      <c r="E8" s="343" t="s">
        <v>530</v>
      </c>
      <c r="F8" s="343" t="s">
        <v>587</v>
      </c>
      <c r="G8" s="500">
        <v>24.854421020454001</v>
      </c>
      <c r="H8" s="500">
        <v>25.418103684705002</v>
      </c>
      <c r="I8" s="501">
        <f t="shared" si="0"/>
        <v>4.690525533710773E-2</v>
      </c>
      <c r="J8" s="504" t="s">
        <v>298</v>
      </c>
      <c r="K8" s="68">
        <v>3.5939997946309532E-2</v>
      </c>
      <c r="L8" s="68">
        <v>4.8954900959032432E-2</v>
      </c>
      <c r="M8" s="68">
        <v>5.5750164389610293E-2</v>
      </c>
      <c r="N8" s="68">
        <v>7.6058045029640212E-2</v>
      </c>
    </row>
    <row r="9" spans="3:14" x14ac:dyDescent="0.45">
      <c r="C9" s="343" t="s">
        <v>418</v>
      </c>
      <c r="D9" s="343" t="s">
        <v>588</v>
      </c>
      <c r="E9" s="343" t="s">
        <v>530</v>
      </c>
      <c r="F9" s="343" t="s">
        <v>76</v>
      </c>
      <c r="G9" s="500">
        <v>1.586041775704</v>
      </c>
      <c r="H9" s="500">
        <v>2.5003334233067998</v>
      </c>
      <c r="I9" s="501">
        <f t="shared" si="0"/>
        <v>4.613986121973411E-3</v>
      </c>
      <c r="J9" s="504" t="s">
        <v>298</v>
      </c>
      <c r="K9" s="68">
        <v>0.576461264519323</v>
      </c>
      <c r="L9" s="68">
        <v>0.49445855371274305</v>
      </c>
      <c r="M9" s="68">
        <v>0.23195325732231142</v>
      </c>
      <c r="N9" s="68">
        <v>0.20958737730979921</v>
      </c>
    </row>
    <row r="10" spans="3:14" ht="23.25" x14ac:dyDescent="0.45">
      <c r="C10" s="344" t="s">
        <v>419</v>
      </c>
      <c r="D10" s="343" t="s">
        <v>589</v>
      </c>
      <c r="E10" s="343" t="s">
        <v>516</v>
      </c>
      <c r="F10" s="343" t="s">
        <v>590</v>
      </c>
      <c r="G10" s="500">
        <v>24.380016155124295</v>
      </c>
      <c r="H10" s="500">
        <v>24.782831948660803</v>
      </c>
      <c r="I10" s="501">
        <f t="shared" si="0"/>
        <v>4.5732957696134176E-2</v>
      </c>
      <c r="J10" s="504" t="s">
        <v>298</v>
      </c>
      <c r="K10" s="68">
        <v>1.6522375989149518E-2</v>
      </c>
      <c r="L10" s="68">
        <v>1.9394611179461174E-2</v>
      </c>
      <c r="M10" s="68"/>
      <c r="N10" s="68"/>
    </row>
    <row r="11" spans="3:14" x14ac:dyDescent="0.45">
      <c r="C11" s="344" t="s">
        <v>420</v>
      </c>
      <c r="D11" s="343" t="s">
        <v>589</v>
      </c>
      <c r="E11" s="343" t="s">
        <v>516</v>
      </c>
      <c r="F11" s="343" t="s">
        <v>591</v>
      </c>
      <c r="G11" s="500">
        <v>9.9995000250008985</v>
      </c>
      <c r="H11" s="500">
        <v>10.236297204381</v>
      </c>
      <c r="I11" s="501">
        <f t="shared" si="0"/>
        <v>1.8889534012205961E-2</v>
      </c>
      <c r="J11" s="504" t="s">
        <v>298</v>
      </c>
      <c r="K11" s="68">
        <v>2.3680901923901931E-2</v>
      </c>
      <c r="L11" s="68">
        <v>1.2127361470444686E-2</v>
      </c>
      <c r="M11" s="68"/>
      <c r="N11" s="68"/>
    </row>
    <row r="12" spans="3:14" x14ac:dyDescent="0.45">
      <c r="C12" s="343" t="s">
        <v>281</v>
      </c>
      <c r="D12" s="343" t="s">
        <v>592</v>
      </c>
      <c r="E12" s="343" t="s">
        <v>538</v>
      </c>
      <c r="F12" s="343" t="s">
        <v>593</v>
      </c>
      <c r="G12" s="500">
        <v>147.49972500737104</v>
      </c>
      <c r="H12" s="500">
        <v>204.48014363098983</v>
      </c>
      <c r="I12" s="501">
        <f t="shared" si="0"/>
        <v>0.37733709278050553</v>
      </c>
      <c r="J12" s="504" t="s">
        <v>254</v>
      </c>
      <c r="K12" s="68">
        <v>0.38630864308914004</v>
      </c>
      <c r="L12" s="68">
        <v>5.1790642029051037E-2</v>
      </c>
      <c r="M12" s="68">
        <v>0.59185677170753503</v>
      </c>
      <c r="N12" s="68">
        <v>7.4412158131599446E-2</v>
      </c>
    </row>
    <row r="13" spans="3:14" x14ac:dyDescent="0.45">
      <c r="C13" s="343" t="s">
        <v>240</v>
      </c>
      <c r="D13" s="343" t="s">
        <v>594</v>
      </c>
      <c r="E13" s="343" t="s">
        <v>543</v>
      </c>
      <c r="F13" s="343" t="s">
        <v>76</v>
      </c>
      <c r="G13" s="500">
        <v>1</v>
      </c>
      <c r="H13" s="500">
        <v>1.1248248999999999</v>
      </c>
      <c r="I13" s="501">
        <f t="shared" si="0"/>
        <v>2.0756937574294494E-3</v>
      </c>
      <c r="J13" s="504" t="s">
        <v>580</v>
      </c>
      <c r="K13" s="68">
        <v>0.12482489999999991</v>
      </c>
      <c r="L13" s="68">
        <v>1.8808084897034227E-2</v>
      </c>
      <c r="M13" s="68">
        <v>7.2427824139595046E-2</v>
      </c>
      <c r="N13" s="68">
        <v>1.1138436198234559E-2</v>
      </c>
    </row>
    <row r="14" spans="3:14" x14ac:dyDescent="0.45">
      <c r="C14" s="343" t="s">
        <v>43</v>
      </c>
      <c r="D14" s="343" t="s">
        <v>595</v>
      </c>
      <c r="E14" s="343" t="s">
        <v>596</v>
      </c>
      <c r="F14" s="343" t="s">
        <v>579</v>
      </c>
      <c r="G14" s="500">
        <v>12.085000000000001</v>
      </c>
      <c r="H14" s="500">
        <v>41.5</v>
      </c>
      <c r="I14" s="501">
        <f t="shared" si="0"/>
        <v>7.6581955941162183E-2</v>
      </c>
      <c r="J14" s="504" t="s">
        <v>298</v>
      </c>
      <c r="K14" s="68">
        <v>2.4340091021928005</v>
      </c>
      <c r="L14" s="68">
        <v>0.51558468642342192</v>
      </c>
      <c r="M14" s="68">
        <v>0.46641997694969184</v>
      </c>
      <c r="N14" s="68">
        <v>0.13803429007530213</v>
      </c>
    </row>
    <row r="15" spans="3:14" ht="23.25" x14ac:dyDescent="0.45">
      <c r="C15" s="344" t="s">
        <v>166</v>
      </c>
      <c r="D15" s="500" t="s">
        <v>569</v>
      </c>
      <c r="E15" s="343"/>
      <c r="F15" s="343"/>
      <c r="G15" s="500">
        <v>3.5</v>
      </c>
      <c r="H15" s="500">
        <v>3.7684269769999994</v>
      </c>
      <c r="I15" s="501">
        <f t="shared" si="0"/>
        <v>6.9540604510867701E-3</v>
      </c>
      <c r="J15" s="501" t="s">
        <v>641</v>
      </c>
      <c r="K15" s="68">
        <v>0.21981393628571411</v>
      </c>
      <c r="L15" s="68">
        <v>0.10395106813436672</v>
      </c>
      <c r="M15" s="68">
        <v>0.14966582655906677</v>
      </c>
      <c r="N15" s="68">
        <v>6.9996264576911923E-2</v>
      </c>
    </row>
    <row r="16" spans="3:14" x14ac:dyDescent="0.45">
      <c r="C16" s="70" t="s">
        <v>45</v>
      </c>
      <c r="D16" s="502"/>
      <c r="E16" s="502"/>
      <c r="F16" s="502"/>
      <c r="G16" s="502">
        <f>SUM(G3:G15)</f>
        <v>431.5726652718842</v>
      </c>
      <c r="H16" s="502">
        <f>SUM(H3:H15)</f>
        <v>541.90310876734975</v>
      </c>
      <c r="I16" s="503">
        <f>SUM(I3:I15)</f>
        <v>0.99999999999999989</v>
      </c>
      <c r="J16" s="502"/>
      <c r="K16" s="502"/>
      <c r="L16" s="502"/>
      <c r="M16" s="502"/>
      <c r="N16" s="502"/>
    </row>
  </sheetData>
  <conditionalFormatting sqref="K3:L3">
    <cfRule type="top10" dxfId="295" priority="47" rank="1"/>
  </conditionalFormatting>
  <conditionalFormatting sqref="K4:L4">
    <cfRule type="top10" dxfId="294" priority="19" rank="1"/>
  </conditionalFormatting>
  <conditionalFormatting sqref="K5:L5">
    <cfRule type="top10" dxfId="293" priority="17" rank="1"/>
  </conditionalFormatting>
  <conditionalFormatting sqref="K6:L6">
    <cfRule type="top10" dxfId="292" priority="15" rank="1"/>
  </conditionalFormatting>
  <conditionalFormatting sqref="K7:L7">
    <cfRule type="top10" dxfId="291" priority="13" rank="1"/>
  </conditionalFormatting>
  <conditionalFormatting sqref="K8:L8">
    <cfRule type="top10" dxfId="290" priority="11" rank="1"/>
  </conditionalFormatting>
  <conditionalFormatting sqref="K9:L9">
    <cfRule type="top10" dxfId="289" priority="9" rank="1"/>
  </conditionalFormatting>
  <conditionalFormatting sqref="K10:L10">
    <cfRule type="top10" dxfId="288" priority="5" rank="1"/>
  </conditionalFormatting>
  <conditionalFormatting sqref="K11:L11">
    <cfRule type="top10" dxfId="287" priority="3" rank="1"/>
  </conditionalFormatting>
  <conditionalFormatting sqref="K12:L12">
    <cfRule type="top10" dxfId="286" priority="2" rank="1"/>
  </conditionalFormatting>
  <conditionalFormatting sqref="K13:L13">
    <cfRule type="top10" dxfId="285" priority="1" rank="1"/>
  </conditionalFormatting>
  <conditionalFormatting sqref="K14:L14">
    <cfRule type="top10" dxfId="284" priority="21" rank="1"/>
  </conditionalFormatting>
  <conditionalFormatting sqref="K15:L15">
    <cfRule type="top10" dxfId="283" priority="23" rank="1"/>
  </conditionalFormatting>
  <conditionalFormatting sqref="M3:N3">
    <cfRule type="top10" dxfId="282" priority="46" rank="1"/>
  </conditionalFormatting>
  <conditionalFormatting sqref="M4:N4">
    <cfRule type="top10" dxfId="281" priority="18" rank="1"/>
  </conditionalFormatting>
  <conditionalFormatting sqref="M5:N5">
    <cfRule type="top10" dxfId="280" priority="16" rank="1"/>
  </conditionalFormatting>
  <conditionalFormatting sqref="M6:N6">
    <cfRule type="top10" dxfId="279" priority="14" rank="1"/>
  </conditionalFormatting>
  <conditionalFormatting sqref="M7:N7">
    <cfRule type="top10" dxfId="278" priority="12" rank="1"/>
  </conditionalFormatting>
  <conditionalFormatting sqref="M8:N8">
    <cfRule type="top10" dxfId="277" priority="10" rank="1"/>
  </conditionalFormatting>
  <conditionalFormatting sqref="M9:N9">
    <cfRule type="top10" dxfId="276" priority="8" rank="1"/>
  </conditionalFormatting>
  <conditionalFormatting sqref="M10:N10">
    <cfRule type="top10" dxfId="275" priority="4" rank="1"/>
  </conditionalFormatting>
  <conditionalFormatting sqref="M11:N14">
    <cfRule type="top10" dxfId="274" priority="20" rank="1"/>
  </conditionalFormatting>
  <conditionalFormatting sqref="M15:N15">
    <cfRule type="top10" dxfId="273" priority="22" rank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C9839-BA69-4C15-AB2B-077FA419685D}">
  <dimension ref="C2:N11"/>
  <sheetViews>
    <sheetView showGridLines="0" workbookViewId="0">
      <selection activeCell="O7" sqref="O7"/>
    </sheetView>
  </sheetViews>
  <sheetFormatPr defaultRowHeight="14.25" x14ac:dyDescent="0.45"/>
  <cols>
    <col min="3" max="3" width="22.59765625" bestFit="1" customWidth="1"/>
    <col min="4" max="4" width="16.73046875" customWidth="1"/>
  </cols>
  <sheetData>
    <row r="2" spans="3:14" ht="34.9" x14ac:dyDescent="0.45">
      <c r="C2" s="379" t="s">
        <v>34</v>
      </c>
      <c r="D2" s="381" t="s">
        <v>1</v>
      </c>
      <c r="E2" s="380" t="s">
        <v>227</v>
      </c>
      <c r="F2" s="380" t="s">
        <v>373</v>
      </c>
      <c r="G2" s="380" t="s">
        <v>416</v>
      </c>
      <c r="H2" s="380" t="s">
        <v>417</v>
      </c>
      <c r="I2" s="382" t="s">
        <v>4</v>
      </c>
      <c r="J2" s="382" t="s">
        <v>252</v>
      </c>
      <c r="K2" s="382" t="s">
        <v>37</v>
      </c>
      <c r="L2" s="382" t="s">
        <v>38</v>
      </c>
      <c r="M2" s="382" t="s">
        <v>39</v>
      </c>
      <c r="N2" s="383" t="s">
        <v>40</v>
      </c>
    </row>
    <row r="3" spans="3:14" x14ac:dyDescent="0.45">
      <c r="C3" s="343" t="s">
        <v>232</v>
      </c>
      <c r="D3" s="343" t="s">
        <v>597</v>
      </c>
      <c r="E3" s="343" t="s">
        <v>516</v>
      </c>
      <c r="F3" s="343" t="s">
        <v>76</v>
      </c>
      <c r="G3" s="500">
        <v>15.001595999999999</v>
      </c>
      <c r="H3" s="500">
        <v>22.828515652173916</v>
      </c>
      <c r="I3" s="501">
        <f t="shared" ref="I3:I10" si="0">H3/$H$11</f>
        <v>0.11510554833306555</v>
      </c>
      <c r="J3" s="343" t="s">
        <v>298</v>
      </c>
      <c r="K3" s="68">
        <v>0.52173913043478293</v>
      </c>
      <c r="L3" s="68">
        <v>0.12527876038735419</v>
      </c>
      <c r="M3" s="68"/>
      <c r="N3" s="68"/>
    </row>
    <row r="4" spans="3:14" x14ac:dyDescent="0.45">
      <c r="C4" s="343" t="s">
        <v>32</v>
      </c>
      <c r="D4" s="505">
        <v>43984</v>
      </c>
      <c r="E4" s="505"/>
      <c r="F4" s="505"/>
      <c r="G4" s="500">
        <v>136.15930288800004</v>
      </c>
      <c r="H4" s="500">
        <v>142.78496274004408</v>
      </c>
      <c r="I4" s="501">
        <f t="shared" si="0"/>
        <v>0.71994787923690529</v>
      </c>
      <c r="J4" s="343"/>
      <c r="K4" s="68"/>
      <c r="L4" s="68"/>
      <c r="M4" s="68"/>
      <c r="N4" s="68"/>
    </row>
    <row r="5" spans="3:14" x14ac:dyDescent="0.45">
      <c r="C5" s="343" t="s">
        <v>199</v>
      </c>
      <c r="D5" s="343" t="s">
        <v>645</v>
      </c>
      <c r="E5" s="343"/>
      <c r="F5" s="343"/>
      <c r="G5" s="500">
        <v>13.5</v>
      </c>
      <c r="H5" s="500">
        <v>15.93</v>
      </c>
      <c r="I5" s="501">
        <f t="shared" si="0"/>
        <v>8.032197155889638E-2</v>
      </c>
      <c r="J5" s="343" t="s">
        <v>298</v>
      </c>
      <c r="K5" s="68">
        <v>0.18300651851851857</v>
      </c>
      <c r="L5" s="68">
        <v>-9.6401407213404511E-2</v>
      </c>
      <c r="M5" s="68">
        <v>0.22696287035942075</v>
      </c>
      <c r="N5" s="68">
        <v>-0.12429736312738209</v>
      </c>
    </row>
    <row r="6" spans="3:14" x14ac:dyDescent="0.45">
      <c r="C6" s="343" t="s">
        <v>247</v>
      </c>
      <c r="D6" s="343" t="s">
        <v>646</v>
      </c>
      <c r="E6" s="343"/>
      <c r="F6" s="343"/>
      <c r="G6" s="500">
        <v>2.0249999999999999</v>
      </c>
      <c r="H6" s="500">
        <v>1.8842208740999999</v>
      </c>
      <c r="I6" s="501">
        <f t="shared" si="0"/>
        <v>9.5005860301405568E-3</v>
      </c>
      <c r="J6" s="343" t="s">
        <v>298</v>
      </c>
      <c r="K6" s="68">
        <v>0</v>
      </c>
      <c r="L6" s="68">
        <v>0</v>
      </c>
      <c r="M6" s="68">
        <v>0</v>
      </c>
      <c r="N6" s="68">
        <v>0</v>
      </c>
    </row>
    <row r="7" spans="3:14" ht="34.9" x14ac:dyDescent="0.45">
      <c r="C7" s="344" t="s">
        <v>114</v>
      </c>
      <c r="D7" s="343" t="s">
        <v>647</v>
      </c>
      <c r="E7" s="343"/>
      <c r="F7" s="343"/>
      <c r="G7" s="500">
        <v>1.984236004</v>
      </c>
      <c r="H7" s="500">
        <v>2.9160825510000001</v>
      </c>
      <c r="I7" s="501">
        <f t="shared" si="0"/>
        <v>1.4703421200553422E-2</v>
      </c>
      <c r="J7" s="343" t="s">
        <v>298</v>
      </c>
      <c r="K7" s="68">
        <v>0.65590366737156147</v>
      </c>
      <c r="L7" s="68">
        <v>0.99829500684935968</v>
      </c>
      <c r="M7" s="68">
        <v>0.10584796071052552</v>
      </c>
      <c r="N7" s="68">
        <v>0.1430230557918549</v>
      </c>
    </row>
    <row r="8" spans="3:14" x14ac:dyDescent="0.45">
      <c r="C8" s="343" t="s">
        <v>303</v>
      </c>
      <c r="D8" s="343" t="s">
        <v>648</v>
      </c>
      <c r="E8" s="343"/>
      <c r="F8" s="343"/>
      <c r="G8" s="500">
        <v>4.7149999999999999</v>
      </c>
      <c r="H8" s="500">
        <v>4.7149999999999999</v>
      </c>
      <c r="I8" s="501">
        <f t="shared" si="0"/>
        <v>2.3773891770257152E-2</v>
      </c>
      <c r="J8" s="343" t="s">
        <v>649</v>
      </c>
      <c r="K8" s="68">
        <v>0</v>
      </c>
      <c r="L8" s="68">
        <v>0</v>
      </c>
      <c r="M8" s="68">
        <v>0</v>
      </c>
      <c r="N8" s="68">
        <v>0</v>
      </c>
    </row>
    <row r="9" spans="3:14" x14ac:dyDescent="0.45">
      <c r="C9" s="343" t="s">
        <v>364</v>
      </c>
      <c r="D9" s="343" t="s">
        <v>644</v>
      </c>
      <c r="E9" s="343"/>
      <c r="F9" s="343"/>
      <c r="G9" s="500">
        <v>0</v>
      </c>
      <c r="H9" s="500">
        <v>5.0032848000000003</v>
      </c>
      <c r="I9" s="501">
        <f t="shared" si="0"/>
        <v>2.5227476422263567E-2</v>
      </c>
      <c r="J9" s="343" t="s">
        <v>649</v>
      </c>
      <c r="K9" s="68">
        <v>0</v>
      </c>
      <c r="L9" s="68">
        <v>4.8322712299062598E-2</v>
      </c>
      <c r="M9" s="68"/>
      <c r="N9" s="68"/>
    </row>
    <row r="10" spans="3:14" x14ac:dyDescent="0.45">
      <c r="C10" s="343" t="s">
        <v>360</v>
      </c>
      <c r="D10" s="343" t="s">
        <v>650</v>
      </c>
      <c r="E10" s="343"/>
      <c r="F10" s="343"/>
      <c r="G10" s="500">
        <v>0</v>
      </c>
      <c r="H10" s="500">
        <v>2.2647385</v>
      </c>
      <c r="I10" s="501">
        <f t="shared" si="0"/>
        <v>1.1419225447918246E-2</v>
      </c>
      <c r="J10" s="343" t="s">
        <v>649</v>
      </c>
      <c r="K10" s="68">
        <v>0.29413628571428574</v>
      </c>
      <c r="L10" s="68">
        <v>3.0877524727456862E-2</v>
      </c>
      <c r="M10" s="68"/>
      <c r="N10" s="68"/>
    </row>
    <row r="11" spans="3:14" x14ac:dyDescent="0.45">
      <c r="C11" s="70" t="s">
        <v>45</v>
      </c>
      <c r="D11" s="502"/>
      <c r="E11" s="502"/>
      <c r="F11" s="502"/>
      <c r="G11" s="502">
        <f>SUM(G3:G10)</f>
        <v>173.38513489200005</v>
      </c>
      <c r="H11" s="502">
        <f>SUM(H3:H10)</f>
        <v>198.32680511731797</v>
      </c>
      <c r="I11" s="503">
        <f>SUM(I3:I10)</f>
        <v>1.0000000000000002</v>
      </c>
      <c r="J11" s="502"/>
      <c r="K11" s="502"/>
      <c r="L11" s="502"/>
      <c r="M11" s="502"/>
      <c r="N11" s="502"/>
    </row>
  </sheetData>
  <conditionalFormatting sqref="K3:L3">
    <cfRule type="top10" dxfId="272" priority="24" rank="1"/>
  </conditionalFormatting>
  <conditionalFormatting sqref="K4:L4">
    <cfRule type="top10" dxfId="271" priority="22" rank="1"/>
  </conditionalFormatting>
  <conditionalFormatting sqref="K5:L5">
    <cfRule type="top10" dxfId="270" priority="17" rank="1"/>
  </conditionalFormatting>
  <conditionalFormatting sqref="K6:L6">
    <cfRule type="top10" dxfId="269" priority="7" rank="1"/>
  </conditionalFormatting>
  <conditionalFormatting sqref="K7:L7">
    <cfRule type="top10" dxfId="268" priority="8" rank="1"/>
  </conditionalFormatting>
  <conditionalFormatting sqref="K8:L8">
    <cfRule type="top10" dxfId="267" priority="4" rank="1"/>
  </conditionalFormatting>
  <conditionalFormatting sqref="K9:L9">
    <cfRule type="top10" dxfId="266" priority="2" rank="1"/>
  </conditionalFormatting>
  <conditionalFormatting sqref="K10:L10">
    <cfRule type="top10" dxfId="265" priority="1" rank="1"/>
  </conditionalFormatting>
  <conditionalFormatting sqref="M3:N3">
    <cfRule type="top10" dxfId="264" priority="23" rank="1"/>
  </conditionalFormatting>
  <conditionalFormatting sqref="M4:N4">
    <cfRule type="top10" dxfId="263" priority="21" rank="1"/>
  </conditionalFormatting>
  <conditionalFormatting sqref="M5:N5">
    <cfRule type="top10" dxfId="262" priority="20" rank="1"/>
  </conditionalFormatting>
  <conditionalFormatting sqref="M6:N6">
    <cfRule type="top10" dxfId="261" priority="6" rank="1"/>
  </conditionalFormatting>
  <conditionalFormatting sqref="M7:N7">
    <cfRule type="top10" dxfId="260" priority="5" rank="1"/>
  </conditionalFormatting>
  <conditionalFormatting sqref="M8:N8">
    <cfRule type="top10" dxfId="259" priority="3" rank="1"/>
  </conditionalFormatting>
  <conditionalFormatting sqref="M9:N10">
    <cfRule type="top10" dxfId="258" priority="9" rank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9139-2A36-4552-A2E8-723CCB97DAD6}">
  <dimension ref="C2:N47"/>
  <sheetViews>
    <sheetView showGridLines="0" topLeftCell="A23" workbookViewId="0">
      <selection activeCell="G54" sqref="G54"/>
    </sheetView>
  </sheetViews>
  <sheetFormatPr defaultRowHeight="14.25" x14ac:dyDescent="0.45"/>
  <cols>
    <col min="3" max="3" width="35.53125" bestFit="1" customWidth="1"/>
    <col min="4" max="4" width="13.33203125" bestFit="1" customWidth="1"/>
    <col min="5" max="5" width="15.59765625" bestFit="1" customWidth="1"/>
    <col min="6" max="6" width="26.59765625" bestFit="1" customWidth="1"/>
    <col min="10" max="10" width="19.796875" bestFit="1" customWidth="1"/>
  </cols>
  <sheetData>
    <row r="2" spans="3:14" ht="34.9" x14ac:dyDescent="0.45">
      <c r="C2" s="379" t="s">
        <v>34</v>
      </c>
      <c r="D2" s="381" t="s">
        <v>1</v>
      </c>
      <c r="E2" s="380" t="s">
        <v>227</v>
      </c>
      <c r="F2" s="380" t="s">
        <v>373</v>
      </c>
      <c r="G2" s="380" t="s">
        <v>416</v>
      </c>
      <c r="H2" s="380" t="s">
        <v>417</v>
      </c>
      <c r="I2" s="382" t="s">
        <v>4</v>
      </c>
      <c r="J2" s="382" t="s">
        <v>252</v>
      </c>
      <c r="K2" s="382" t="s">
        <v>37</v>
      </c>
      <c r="L2" s="382" t="s">
        <v>38</v>
      </c>
      <c r="M2" s="382" t="s">
        <v>39</v>
      </c>
      <c r="N2" s="383" t="s">
        <v>40</v>
      </c>
    </row>
    <row r="3" spans="3:14" x14ac:dyDescent="0.45">
      <c r="C3" s="343" t="s">
        <v>371</v>
      </c>
      <c r="D3" s="343" t="s">
        <v>598</v>
      </c>
      <c r="E3" s="343" t="s">
        <v>540</v>
      </c>
      <c r="F3" s="343" t="s">
        <v>579</v>
      </c>
      <c r="G3" s="500">
        <v>25</v>
      </c>
      <c r="H3" s="500">
        <v>25.922903000000002</v>
      </c>
      <c r="I3" s="501">
        <f t="shared" ref="I3:I38" si="0">H3/$H$47</f>
        <v>6.2958398642015231E-2</v>
      </c>
      <c r="J3" s="343" t="s">
        <v>297</v>
      </c>
      <c r="K3" s="68">
        <v>3.6916120000000108E-2</v>
      </c>
      <c r="L3" s="68">
        <v>-7.3733021003206112E-2</v>
      </c>
      <c r="M3" s="68"/>
      <c r="N3" s="68"/>
    </row>
    <row r="4" spans="3:14" x14ac:dyDescent="0.45">
      <c r="C4" s="343" t="s">
        <v>246</v>
      </c>
      <c r="D4" s="343" t="s">
        <v>599</v>
      </c>
      <c r="E4" s="343" t="s">
        <v>542</v>
      </c>
      <c r="F4" s="343" t="s">
        <v>579</v>
      </c>
      <c r="G4" s="500">
        <v>15.208722709</v>
      </c>
      <c r="H4" s="500">
        <v>17.6176514</v>
      </c>
      <c r="I4" s="501">
        <f t="shared" si="0"/>
        <v>4.2787612173577079E-2</v>
      </c>
      <c r="J4" s="343" t="s">
        <v>580</v>
      </c>
      <c r="K4" s="68">
        <v>0.15839125593199732</v>
      </c>
      <c r="L4" s="68">
        <v>7.9591184989657116E-2</v>
      </c>
      <c r="M4" s="68">
        <v>0.10670952200889589</v>
      </c>
      <c r="N4" s="68">
        <v>5.4228439927101149E-2</v>
      </c>
    </row>
    <row r="5" spans="3:14" x14ac:dyDescent="0.45">
      <c r="C5" s="343" t="s">
        <v>262</v>
      </c>
      <c r="D5" s="343" t="s">
        <v>600</v>
      </c>
      <c r="E5" s="343" t="s">
        <v>516</v>
      </c>
      <c r="F5" s="343" t="s">
        <v>76</v>
      </c>
      <c r="G5" s="500">
        <v>10</v>
      </c>
      <c r="H5" s="500">
        <v>11.128743535000002</v>
      </c>
      <c r="I5" s="501">
        <f t="shared" si="0"/>
        <v>2.7028140785824793E-2</v>
      </c>
      <c r="J5" s="343" t="s">
        <v>298</v>
      </c>
      <c r="K5" s="68">
        <v>0.11287435350000008</v>
      </c>
      <c r="L5" s="68">
        <v>1.9793346239894705E-2</v>
      </c>
      <c r="M5" s="68">
        <v>8.0529394745826738E-2</v>
      </c>
      <c r="N5" s="68">
        <v>1.4295670390129092E-2</v>
      </c>
    </row>
    <row r="6" spans="3:14" x14ac:dyDescent="0.45">
      <c r="C6" s="343" t="s">
        <v>299</v>
      </c>
      <c r="D6" s="343" t="s">
        <v>601</v>
      </c>
      <c r="E6" s="343" t="s">
        <v>516</v>
      </c>
      <c r="F6" s="343" t="s">
        <v>79</v>
      </c>
      <c r="G6" s="500">
        <v>15.000042508</v>
      </c>
      <c r="H6" s="500">
        <v>16.008922064830749</v>
      </c>
      <c r="I6" s="501">
        <f t="shared" si="0"/>
        <v>3.8880525733810289E-2</v>
      </c>
      <c r="J6" s="343" t="s">
        <v>298</v>
      </c>
      <c r="K6" s="68">
        <v>6.7258446520580328E-2</v>
      </c>
      <c r="L6" s="68">
        <v>-0.10187298109908494</v>
      </c>
      <c r="M6" s="68">
        <v>0.14816978573799136</v>
      </c>
      <c r="N6" s="68">
        <v>-0.20571077291724804</v>
      </c>
    </row>
    <row r="7" spans="3:14" x14ac:dyDescent="0.45">
      <c r="C7" s="343" t="s">
        <v>241</v>
      </c>
      <c r="D7" s="343" t="s">
        <v>602</v>
      </c>
      <c r="E7" s="343" t="s">
        <v>539</v>
      </c>
      <c r="F7" s="343" t="s">
        <v>603</v>
      </c>
      <c r="G7" s="500">
        <v>24</v>
      </c>
      <c r="H7" s="500">
        <v>26.383246749999998</v>
      </c>
      <c r="I7" s="501">
        <f t="shared" si="0"/>
        <v>6.4076425636324472E-2</v>
      </c>
      <c r="J7" s="343" t="s">
        <v>580</v>
      </c>
      <c r="K7" s="68">
        <v>9.9964747291666489E-2</v>
      </c>
      <c r="L7" s="68">
        <v>2.7818461203684031E-2</v>
      </c>
      <c r="M7" s="68">
        <v>7.1813413500785836E-2</v>
      </c>
      <c r="N7" s="68">
        <v>2.0221009850502018E-2</v>
      </c>
    </row>
    <row r="8" spans="3:14" x14ac:dyDescent="0.45">
      <c r="C8" s="343" t="s">
        <v>289</v>
      </c>
      <c r="D8" s="343" t="s">
        <v>604</v>
      </c>
      <c r="E8" s="343" t="s">
        <v>516</v>
      </c>
      <c r="F8" s="343" t="s">
        <v>579</v>
      </c>
      <c r="G8" s="500">
        <v>12.5</v>
      </c>
      <c r="H8" s="500">
        <v>15.894442099999999</v>
      </c>
      <c r="I8" s="501">
        <f t="shared" si="0"/>
        <v>3.8602490698060696E-2</v>
      </c>
      <c r="J8" s="343" t="s">
        <v>580</v>
      </c>
      <c r="K8" s="68">
        <v>0.27155536800000002</v>
      </c>
      <c r="L8" s="68">
        <v>3.7678631183408751E-3</v>
      </c>
      <c r="M8" s="68"/>
      <c r="N8" s="68"/>
    </row>
    <row r="9" spans="3:14" x14ac:dyDescent="0.45">
      <c r="C9" s="343" t="s">
        <v>325</v>
      </c>
      <c r="D9" s="343" t="s">
        <v>611</v>
      </c>
      <c r="E9" s="343"/>
      <c r="F9" s="343"/>
      <c r="G9" s="500">
        <v>4.2561917457059995</v>
      </c>
      <c r="H9" s="500">
        <v>6.5449619200000004</v>
      </c>
      <c r="I9" s="501">
        <f t="shared" si="0"/>
        <v>1.5895608669143631E-2</v>
      </c>
      <c r="J9" s="343" t="s">
        <v>651</v>
      </c>
      <c r="K9" s="68">
        <v>0.74830013820863428</v>
      </c>
      <c r="L9" s="68">
        <v>0.82390612134500274</v>
      </c>
      <c r="M9" s="343"/>
      <c r="N9" s="343"/>
    </row>
    <row r="10" spans="3:14" x14ac:dyDescent="0.45">
      <c r="C10" s="343" t="s">
        <v>375</v>
      </c>
      <c r="D10" s="343" t="s">
        <v>573</v>
      </c>
      <c r="E10" s="343"/>
      <c r="F10" s="343"/>
      <c r="G10" s="500">
        <v>53.585433569445598</v>
      </c>
      <c r="H10" s="500">
        <v>48.307866599999997</v>
      </c>
      <c r="I10" s="501">
        <f t="shared" si="0"/>
        <v>0.11732427972855096</v>
      </c>
      <c r="J10" s="343" t="s">
        <v>652</v>
      </c>
      <c r="K10" s="68">
        <v>-9.8488835825243037E-2</v>
      </c>
      <c r="L10" s="68">
        <v>-9.1201257275774106E-2</v>
      </c>
      <c r="M10" s="343"/>
      <c r="N10" s="343"/>
    </row>
    <row r="11" spans="3:14" x14ac:dyDescent="0.45">
      <c r="C11" s="343" t="s">
        <v>50</v>
      </c>
      <c r="D11" s="500" t="s">
        <v>570</v>
      </c>
      <c r="E11" s="343"/>
      <c r="F11" s="343"/>
      <c r="G11" s="500">
        <v>0.70001497999999995</v>
      </c>
      <c r="H11" s="500">
        <v>1.0434584457808218</v>
      </c>
      <c r="I11" s="501">
        <f t="shared" si="0"/>
        <v>2.5342251520150587E-3</v>
      </c>
      <c r="J11" s="343" t="s">
        <v>641</v>
      </c>
      <c r="K11" s="68">
        <v>0.49062302321133444</v>
      </c>
      <c r="L11" s="68">
        <v>0.24620556584858755</v>
      </c>
      <c r="M11" s="68">
        <v>0.12367324233055116</v>
      </c>
      <c r="N11" s="68">
        <v>6.7806676030158997E-2</v>
      </c>
    </row>
    <row r="12" spans="3:14" x14ac:dyDescent="0.45">
      <c r="C12" s="343" t="s">
        <v>486</v>
      </c>
      <c r="D12" s="343">
        <v>0</v>
      </c>
      <c r="E12" s="343" t="s">
        <v>513</v>
      </c>
      <c r="F12" s="343" t="s">
        <v>78</v>
      </c>
      <c r="G12" s="500">
        <v>1.0963804960000001</v>
      </c>
      <c r="H12" s="500">
        <v>0.84977725000000004</v>
      </c>
      <c r="I12" s="501">
        <f t="shared" si="0"/>
        <v>2.0638357849973609E-3</v>
      </c>
      <c r="J12" s="343">
        <v>0</v>
      </c>
      <c r="K12" s="68">
        <v>-7.2034374355866793E-2</v>
      </c>
      <c r="L12" s="68">
        <v>6.9722836680911282E-2</v>
      </c>
      <c r="M12" s="68">
        <v>-0.10054798951166917</v>
      </c>
      <c r="N12" s="68">
        <v>9.7778040170669572E-2</v>
      </c>
    </row>
    <row r="13" spans="3:14" x14ac:dyDescent="0.45">
      <c r="C13" s="343" t="s">
        <v>229</v>
      </c>
      <c r="D13" s="343" t="s">
        <v>605</v>
      </c>
      <c r="E13" s="343" t="s">
        <v>516</v>
      </c>
      <c r="F13" s="343" t="s">
        <v>79</v>
      </c>
      <c r="G13" s="500">
        <v>9.0745031999999989E-2</v>
      </c>
      <c r="H13" s="500">
        <v>8.4419999999999995E-2</v>
      </c>
      <c r="I13" s="501">
        <f t="shared" si="0"/>
        <v>2.0502904375173281E-4</v>
      </c>
      <c r="J13" s="343" t="s">
        <v>254</v>
      </c>
      <c r="K13" s="68">
        <v>-6.6140798445349813E-2</v>
      </c>
      <c r="L13" s="68">
        <v>7.782882372467026E-2</v>
      </c>
      <c r="M13" s="68">
        <v>-4.159937826054954E-2</v>
      </c>
      <c r="N13" s="68">
        <v>4.7544053196907049E-2</v>
      </c>
    </row>
    <row r="14" spans="3:14" x14ac:dyDescent="0.45">
      <c r="C14" s="343" t="s">
        <v>116</v>
      </c>
      <c r="D14" s="343" t="s">
        <v>606</v>
      </c>
      <c r="E14" s="343" t="s">
        <v>516</v>
      </c>
      <c r="F14" s="343" t="s">
        <v>603</v>
      </c>
      <c r="G14" s="500">
        <v>0.36973098800000004</v>
      </c>
      <c r="H14" s="500">
        <v>0.31274790499999999</v>
      </c>
      <c r="I14" s="501">
        <f t="shared" si="0"/>
        <v>7.5956413050826555E-4</v>
      </c>
      <c r="J14" s="343" t="s">
        <v>254</v>
      </c>
      <c r="K14" s="68">
        <v>-0.29805272059573062</v>
      </c>
      <c r="L14" s="68">
        <v>0.47520331497781076</v>
      </c>
      <c r="M14" s="68">
        <v>-0.16933851402174674</v>
      </c>
      <c r="N14" s="68">
        <v>0.22789279818534852</v>
      </c>
    </row>
    <row r="15" spans="3:14" x14ac:dyDescent="0.45">
      <c r="C15" s="343" t="s">
        <v>112</v>
      </c>
      <c r="D15" s="343" t="s">
        <v>607</v>
      </c>
      <c r="E15" s="343" t="s">
        <v>516</v>
      </c>
      <c r="F15" s="343" t="s">
        <v>76</v>
      </c>
      <c r="G15" s="500">
        <v>0</v>
      </c>
      <c r="H15" s="500">
        <v>15.462400000000001</v>
      </c>
      <c r="I15" s="501">
        <f t="shared" si="0"/>
        <v>3.7553199314224045E-2</v>
      </c>
      <c r="J15" s="343" t="s">
        <v>254</v>
      </c>
      <c r="K15" s="68">
        <v>3.3766660937246948</v>
      </c>
      <c r="L15" s="68">
        <v>0.153077208980122</v>
      </c>
      <c r="M15" s="68">
        <v>1.3370816588401797</v>
      </c>
      <c r="N15" s="68">
        <v>9.2957088351249703E-2</v>
      </c>
    </row>
    <row r="16" spans="3:14" x14ac:dyDescent="0.45">
      <c r="C16" s="346" t="s">
        <v>207</v>
      </c>
      <c r="D16" s="343" t="s">
        <v>608</v>
      </c>
      <c r="E16" s="343" t="s">
        <v>609</v>
      </c>
      <c r="F16" s="343" t="s">
        <v>76</v>
      </c>
      <c r="G16" s="500">
        <v>2.5226066296159999</v>
      </c>
      <c r="H16" s="500">
        <v>4.0400236500000002</v>
      </c>
      <c r="I16" s="501">
        <f t="shared" si="0"/>
        <v>9.8119188070822719E-3</v>
      </c>
      <c r="J16" s="343" t="s">
        <v>254</v>
      </c>
      <c r="K16" s="68">
        <v>0.62054364798933759</v>
      </c>
      <c r="L16" s="68">
        <v>5.6710201447650377E-2</v>
      </c>
      <c r="M16" s="68">
        <v>0.29264398217201237</v>
      </c>
      <c r="N16" s="68">
        <v>2.9473164677619932E-2</v>
      </c>
    </row>
    <row r="17" spans="3:14" x14ac:dyDescent="0.45">
      <c r="C17" s="343" t="s">
        <v>379</v>
      </c>
      <c r="D17" s="343" t="s">
        <v>610</v>
      </c>
      <c r="E17" s="343" t="s">
        <v>520</v>
      </c>
      <c r="F17" s="343" t="s">
        <v>76</v>
      </c>
      <c r="G17" s="500">
        <v>17.687888099999999</v>
      </c>
      <c r="H17" s="500">
        <v>16.0328613</v>
      </c>
      <c r="I17" s="501">
        <f t="shared" si="0"/>
        <v>3.8938666440928263E-2</v>
      </c>
      <c r="J17" s="343" t="s">
        <v>254</v>
      </c>
      <c r="K17" s="68">
        <v>-9.356836670625468E-2</v>
      </c>
      <c r="L17" s="68">
        <v>3.0529841141492042E-2</v>
      </c>
      <c r="M17" s="68"/>
      <c r="N17" s="68"/>
    </row>
    <row r="18" spans="3:14" x14ac:dyDescent="0.45">
      <c r="C18" s="347" t="s">
        <v>300</v>
      </c>
      <c r="D18" s="343" t="s">
        <v>611</v>
      </c>
      <c r="E18" s="343" t="s">
        <v>516</v>
      </c>
      <c r="F18" s="343" t="s">
        <v>76</v>
      </c>
      <c r="G18" s="500">
        <v>2.386563983607104</v>
      </c>
      <c r="H18" s="500">
        <v>2.0363229199999999</v>
      </c>
      <c r="I18" s="501">
        <f t="shared" si="0"/>
        <v>4.9455738102029889E-3</v>
      </c>
      <c r="J18" s="343" t="s">
        <v>254</v>
      </c>
      <c r="K18" s="68">
        <v>-0.26925924262470968</v>
      </c>
      <c r="L18" s="68">
        <v>-1.3144242780150472E-2</v>
      </c>
      <c r="M18" s="68"/>
      <c r="N18" s="68"/>
    </row>
    <row r="19" spans="3:14" x14ac:dyDescent="0.45">
      <c r="C19" s="343" t="s">
        <v>230</v>
      </c>
      <c r="D19" s="343" t="s">
        <v>605</v>
      </c>
      <c r="E19" s="343" t="s">
        <v>516</v>
      </c>
      <c r="F19" s="343" t="s">
        <v>79</v>
      </c>
      <c r="G19" s="500">
        <v>0.29772900000000002</v>
      </c>
      <c r="H19" s="500">
        <v>0.15423999999999999</v>
      </c>
      <c r="I19" s="501">
        <f t="shared" si="0"/>
        <v>3.7459938057648979E-4</v>
      </c>
      <c r="J19" s="343" t="s">
        <v>254</v>
      </c>
      <c r="K19" s="68">
        <v>-0.40075964823715537</v>
      </c>
      <c r="L19" s="68">
        <v>7.4973290533722148E-2</v>
      </c>
      <c r="M19" s="68">
        <v>-0.27978439976764491</v>
      </c>
      <c r="N19" s="68">
        <v>4.7128060460090646E-2</v>
      </c>
    </row>
    <row r="20" spans="3:14" x14ac:dyDescent="0.45">
      <c r="C20" s="343" t="s">
        <v>231</v>
      </c>
      <c r="D20" s="343" t="s">
        <v>612</v>
      </c>
      <c r="E20" s="343" t="s">
        <v>520</v>
      </c>
      <c r="F20" s="343" t="s">
        <v>603</v>
      </c>
      <c r="G20" s="500">
        <v>9.9681561999999992</v>
      </c>
      <c r="H20" s="500">
        <v>3.5238811999999999</v>
      </c>
      <c r="I20" s="501">
        <f t="shared" si="0"/>
        <v>8.5583747065945126E-3</v>
      </c>
      <c r="J20" s="343" t="s">
        <v>254</v>
      </c>
      <c r="K20" s="68">
        <v>-0.64648615759050809</v>
      </c>
      <c r="L20" s="68">
        <v>1.8308548377311329E-2</v>
      </c>
      <c r="M20" s="68">
        <v>-0.4885796583176909</v>
      </c>
      <c r="N20" s="68">
        <v>1.1768683791160587E-2</v>
      </c>
    </row>
    <row r="21" spans="3:14" x14ac:dyDescent="0.45">
      <c r="C21" s="343" t="s">
        <v>194</v>
      </c>
      <c r="D21" s="343" t="s">
        <v>613</v>
      </c>
      <c r="E21" s="343" t="s">
        <v>520</v>
      </c>
      <c r="F21" s="343" t="s">
        <v>76</v>
      </c>
      <c r="G21" s="500">
        <v>7.5000350000000005</v>
      </c>
      <c r="H21" s="500">
        <v>5.7957245549999996</v>
      </c>
      <c r="I21" s="501">
        <f t="shared" si="0"/>
        <v>1.4075951946933039E-2</v>
      </c>
      <c r="J21" s="343" t="s">
        <v>254</v>
      </c>
      <c r="K21" s="68">
        <v>-0.22724033221178308</v>
      </c>
      <c r="L21" s="68">
        <v>0.13100728317173593</v>
      </c>
      <c r="M21" s="68">
        <v>-0.14457367098431134</v>
      </c>
      <c r="N21" s="68">
        <v>7.5575730204582206E-2</v>
      </c>
    </row>
    <row r="22" spans="3:14" x14ac:dyDescent="0.45">
      <c r="C22" s="347" t="s">
        <v>179</v>
      </c>
      <c r="D22" s="343" t="s">
        <v>614</v>
      </c>
      <c r="E22" s="343" t="s">
        <v>609</v>
      </c>
      <c r="F22" s="343" t="s">
        <v>76</v>
      </c>
      <c r="G22" s="500">
        <v>5.4945528909999988</v>
      </c>
      <c r="H22" s="500">
        <v>10.05692977</v>
      </c>
      <c r="I22" s="501">
        <f t="shared" si="0"/>
        <v>2.442504967805537E-2</v>
      </c>
      <c r="J22" s="343" t="s">
        <v>254</v>
      </c>
      <c r="K22" s="68">
        <v>0.83195629738820243</v>
      </c>
      <c r="L22" s="68">
        <v>6.3249664491896951E-2</v>
      </c>
      <c r="M22" s="68">
        <v>0.50014291405677802</v>
      </c>
      <c r="N22" s="68">
        <v>4.2839798331260684E-2</v>
      </c>
    </row>
    <row r="23" spans="3:14" x14ac:dyDescent="0.45">
      <c r="C23" s="343" t="s">
        <v>249</v>
      </c>
      <c r="D23" s="343" t="s">
        <v>615</v>
      </c>
      <c r="E23" s="343" t="s">
        <v>609</v>
      </c>
      <c r="F23" s="343" t="s">
        <v>76</v>
      </c>
      <c r="G23" s="500">
        <v>19.271125926000003</v>
      </c>
      <c r="H23" s="500">
        <v>33.899697900000007</v>
      </c>
      <c r="I23" s="501">
        <f t="shared" si="0"/>
        <v>8.2331469366377946E-2</v>
      </c>
      <c r="J23" s="343" t="s">
        <v>254</v>
      </c>
      <c r="K23" s="68">
        <v>0.75909274996037435</v>
      </c>
      <c r="L23" s="68">
        <v>6.5319297890333194E-2</v>
      </c>
      <c r="M23" s="68">
        <v>0.63026348948478694</v>
      </c>
      <c r="N23" s="68">
        <v>5.8052888512611395E-2</v>
      </c>
    </row>
    <row r="24" spans="3:14" x14ac:dyDescent="0.45">
      <c r="C24" s="343" t="s">
        <v>117</v>
      </c>
      <c r="D24" s="343" t="s">
        <v>616</v>
      </c>
      <c r="E24" s="343" t="s">
        <v>609</v>
      </c>
      <c r="F24" s="343" t="s">
        <v>76</v>
      </c>
      <c r="G24" s="500">
        <v>15.182156491000001</v>
      </c>
      <c r="H24" s="500">
        <v>25.0533374</v>
      </c>
      <c r="I24" s="501">
        <f t="shared" si="0"/>
        <v>6.0846503315701544E-2</v>
      </c>
      <c r="J24" s="343" t="s">
        <v>254</v>
      </c>
      <c r="K24" s="68">
        <v>0.65085738741118337</v>
      </c>
      <c r="L24" s="68">
        <v>-0.11210565659658489</v>
      </c>
      <c r="M24" s="68">
        <v>0.50582085251808173</v>
      </c>
      <c r="N24" s="68">
        <v>5.0758591294288641E-2</v>
      </c>
    </row>
    <row r="25" spans="3:14" x14ac:dyDescent="0.45">
      <c r="C25" s="343" t="s">
        <v>165</v>
      </c>
      <c r="D25" s="343" t="s">
        <v>617</v>
      </c>
      <c r="E25" s="343" t="s">
        <v>516</v>
      </c>
      <c r="F25" s="343" t="s">
        <v>76</v>
      </c>
      <c r="G25" s="500">
        <v>4.5809306999999997</v>
      </c>
      <c r="H25" s="500">
        <v>8.6164675000000006</v>
      </c>
      <c r="I25" s="501">
        <f t="shared" si="0"/>
        <v>2.0926629851254253E-2</v>
      </c>
      <c r="J25" s="343" t="s">
        <v>254</v>
      </c>
      <c r="K25" s="68">
        <v>0.88248263611584443</v>
      </c>
      <c r="L25" s="68">
        <v>0.11527542320445239</v>
      </c>
      <c r="M25" s="68">
        <v>0.60834972262382514</v>
      </c>
      <c r="N25" s="68">
        <v>8.869355022907259E-2</v>
      </c>
    </row>
    <row r="26" spans="3:14" x14ac:dyDescent="0.45">
      <c r="C26" s="347" t="s">
        <v>177</v>
      </c>
      <c r="D26" s="343" t="s">
        <v>618</v>
      </c>
      <c r="E26" s="343" t="s">
        <v>516</v>
      </c>
      <c r="F26" s="343" t="s">
        <v>76</v>
      </c>
      <c r="G26" s="500">
        <v>0.94680989999999998</v>
      </c>
      <c r="H26" s="500">
        <v>1.7165075000000001</v>
      </c>
      <c r="I26" s="501">
        <f t="shared" si="0"/>
        <v>4.1688449575654771E-3</v>
      </c>
      <c r="J26" s="343" t="s">
        <v>254</v>
      </c>
      <c r="K26" s="68">
        <v>0.8557817149989666</v>
      </c>
      <c r="L26" s="68">
        <v>8.9868932716834493E-2</v>
      </c>
      <c r="M26" s="68">
        <v>0.36995773911476149</v>
      </c>
      <c r="N26" s="68">
        <v>4.3723109364509599E-2</v>
      </c>
    </row>
    <row r="27" spans="3:14" x14ac:dyDescent="0.45">
      <c r="C27" s="385" t="s">
        <v>292</v>
      </c>
      <c r="D27" s="343" t="s">
        <v>619</v>
      </c>
      <c r="E27" s="343" t="s">
        <v>520</v>
      </c>
      <c r="F27" s="343" t="s">
        <v>76</v>
      </c>
      <c r="G27" s="500">
        <v>1.0029999999999999</v>
      </c>
      <c r="H27" s="500">
        <v>3.6830750000000001</v>
      </c>
      <c r="I27" s="501">
        <f t="shared" si="0"/>
        <v>8.9450052750048963E-3</v>
      </c>
      <c r="J27" s="343" t="s">
        <v>254</v>
      </c>
      <c r="K27" s="68">
        <v>2.672058823529412</v>
      </c>
      <c r="L27" s="68">
        <v>0.17715311316081661</v>
      </c>
      <c r="M27" s="68"/>
      <c r="N27" s="68"/>
    </row>
    <row r="28" spans="3:14" x14ac:dyDescent="0.45">
      <c r="C28" s="386" t="s">
        <v>302</v>
      </c>
      <c r="D28" s="343" t="s">
        <v>620</v>
      </c>
      <c r="E28" s="343" t="s">
        <v>516</v>
      </c>
      <c r="F28" s="343" t="s">
        <v>77</v>
      </c>
      <c r="G28" s="500">
        <v>9.4396845219884984</v>
      </c>
      <c r="H28" s="500">
        <v>10.03806</v>
      </c>
      <c r="I28" s="501">
        <f t="shared" si="0"/>
        <v>2.4379221072287599E-2</v>
      </c>
      <c r="J28" s="343" t="s">
        <v>254</v>
      </c>
      <c r="K28" s="68">
        <v>6.338935126673606E-2</v>
      </c>
      <c r="L28" s="68">
        <v>0.14383958265695762</v>
      </c>
      <c r="M28" s="68"/>
      <c r="N28" s="68"/>
    </row>
    <row r="29" spans="3:14" x14ac:dyDescent="0.45">
      <c r="C29" s="343" t="s">
        <v>290</v>
      </c>
      <c r="D29" s="343" t="s">
        <v>621</v>
      </c>
      <c r="E29" s="343" t="s">
        <v>529</v>
      </c>
      <c r="F29" s="343" t="s">
        <v>603</v>
      </c>
      <c r="G29" s="500">
        <v>13.000005000000002</v>
      </c>
      <c r="H29" s="500">
        <v>14.025560949999999</v>
      </c>
      <c r="I29" s="501">
        <f t="shared" si="0"/>
        <v>3.4063579124142922E-2</v>
      </c>
      <c r="J29" s="343" t="s">
        <v>254</v>
      </c>
      <c r="K29" s="68">
        <v>7.8888888888888786E-2</v>
      </c>
      <c r="L29" s="68">
        <v>8.8763044632915733E-3</v>
      </c>
      <c r="M29" s="68">
        <v>4.369799792766571E-2</v>
      </c>
      <c r="N29" s="68">
        <v>4.9901217222213757E-3</v>
      </c>
    </row>
    <row r="30" spans="3:14" x14ac:dyDescent="0.45">
      <c r="C30" s="343" t="s">
        <v>242</v>
      </c>
      <c r="D30" s="343"/>
      <c r="E30" s="343" t="s">
        <v>529</v>
      </c>
      <c r="F30" s="343" t="s">
        <v>76</v>
      </c>
      <c r="G30" s="500">
        <v>3.6594000000000002E-2</v>
      </c>
      <c r="H30" s="500">
        <v>3.6594000000000002E-2</v>
      </c>
      <c r="I30" s="501">
        <f t="shared" si="0"/>
        <v>8.8875063101763932E-5</v>
      </c>
      <c r="J30" s="343" t="s">
        <v>254</v>
      </c>
      <c r="K30" s="68"/>
      <c r="L30" s="68"/>
      <c r="M30" s="68"/>
      <c r="N30" s="68"/>
    </row>
    <row r="31" spans="3:14" x14ac:dyDescent="0.45">
      <c r="C31" s="343" t="s">
        <v>208</v>
      </c>
      <c r="D31" s="343"/>
      <c r="E31" s="343" t="s">
        <v>529</v>
      </c>
      <c r="F31" s="343" t="s">
        <v>76</v>
      </c>
      <c r="G31" s="500">
        <v>5.586E-2</v>
      </c>
      <c r="H31" s="500">
        <v>5.586E-2</v>
      </c>
      <c r="I31" s="501">
        <f t="shared" si="0"/>
        <v>1.3566598417403216E-4</v>
      </c>
      <c r="J31" s="343" t="s">
        <v>254</v>
      </c>
      <c r="K31" s="68"/>
      <c r="L31" s="68"/>
      <c r="M31" s="68"/>
      <c r="N31" s="68"/>
    </row>
    <row r="32" spans="3:14" x14ac:dyDescent="0.45">
      <c r="C32" s="343" t="s">
        <v>209</v>
      </c>
      <c r="D32" s="343"/>
      <c r="E32" s="343" t="s">
        <v>529</v>
      </c>
      <c r="F32" s="343" t="s">
        <v>76</v>
      </c>
      <c r="G32" s="500">
        <v>0.11361775</v>
      </c>
      <c r="H32" s="500">
        <v>0.11361775</v>
      </c>
      <c r="I32" s="501">
        <f t="shared" si="0"/>
        <v>2.7594099307893204E-4</v>
      </c>
      <c r="J32" s="343" t="s">
        <v>254</v>
      </c>
      <c r="K32" s="68"/>
      <c r="L32" s="68"/>
      <c r="M32" s="68"/>
      <c r="N32" s="68"/>
    </row>
    <row r="33" spans="3:14" x14ac:dyDescent="0.45">
      <c r="C33" s="343" t="s">
        <v>341</v>
      </c>
      <c r="D33" s="343"/>
      <c r="E33" s="343" t="s">
        <v>529</v>
      </c>
      <c r="F33" s="343" t="s">
        <v>76</v>
      </c>
      <c r="G33" s="500">
        <v>4.2475999999999998E-3</v>
      </c>
      <c r="H33" s="500">
        <v>4.2475999999999998E-3</v>
      </c>
      <c r="I33" s="501">
        <f t="shared" si="0"/>
        <v>1.0316055037193323E-5</v>
      </c>
      <c r="J33" s="343" t="s">
        <v>254</v>
      </c>
      <c r="K33" s="68"/>
      <c r="L33" s="68"/>
      <c r="M33" s="68"/>
      <c r="N33" s="68"/>
    </row>
    <row r="34" spans="3:14" x14ac:dyDescent="0.45">
      <c r="C34" s="385" t="s">
        <v>301</v>
      </c>
      <c r="D34" s="343" t="s">
        <v>601</v>
      </c>
      <c r="E34" s="343" t="s">
        <v>516</v>
      </c>
      <c r="F34" s="343" t="s">
        <v>76</v>
      </c>
      <c r="G34" s="500">
        <v>2.2300749552991519</v>
      </c>
      <c r="H34" s="500">
        <v>2.53012455</v>
      </c>
      <c r="I34" s="501">
        <f t="shared" si="0"/>
        <v>6.1448592402189445E-3</v>
      </c>
      <c r="J34" s="343" t="s">
        <v>254</v>
      </c>
      <c r="K34" s="68">
        <v>0.13509478413941212</v>
      </c>
      <c r="L34" s="68">
        <v>6.6167369160046619E-2</v>
      </c>
      <c r="M34" s="68">
        <v>0.16837136149406434</v>
      </c>
      <c r="N34" s="68">
        <v>8.1823936104774481E-2</v>
      </c>
    </row>
    <row r="35" spans="3:14" x14ac:dyDescent="0.45">
      <c r="C35" s="343" t="s">
        <v>113</v>
      </c>
      <c r="D35" s="343" t="s">
        <v>622</v>
      </c>
      <c r="E35" s="343" t="s">
        <v>516</v>
      </c>
      <c r="F35" s="343" t="s">
        <v>76</v>
      </c>
      <c r="G35" s="500">
        <v>2.4795522241739998</v>
      </c>
      <c r="H35" s="500">
        <v>3.0563099999999999</v>
      </c>
      <c r="I35" s="501">
        <f t="shared" si="0"/>
        <v>7.4227945594510601E-3</v>
      </c>
      <c r="J35" s="343" t="s">
        <v>254</v>
      </c>
      <c r="K35" s="68">
        <v>0.33677765190212061</v>
      </c>
      <c r="L35" s="68">
        <v>0.64391933071006857</v>
      </c>
      <c r="M35" s="68">
        <v>0.1133603513240814</v>
      </c>
      <c r="N35" s="68">
        <v>0.19020486474037171</v>
      </c>
    </row>
    <row r="36" spans="3:14" x14ac:dyDescent="0.45">
      <c r="C36" s="343" t="s">
        <v>210</v>
      </c>
      <c r="D36" s="343" t="s">
        <v>623</v>
      </c>
      <c r="E36" s="343" t="s">
        <v>609</v>
      </c>
      <c r="F36" s="343" t="s">
        <v>76</v>
      </c>
      <c r="G36" s="500">
        <v>6.8212227884375416</v>
      </c>
      <c r="H36" s="500">
        <v>8.1993600000000004</v>
      </c>
      <c r="I36" s="501">
        <f t="shared" si="0"/>
        <v>1.9913609810189626E-2</v>
      </c>
      <c r="J36" s="343" t="s">
        <v>254</v>
      </c>
      <c r="K36" s="68">
        <v>0.39313878093941002</v>
      </c>
      <c r="L36" s="68">
        <v>6.5394196246965741E-2</v>
      </c>
      <c r="M36" s="68">
        <v>0.27076382040977476</v>
      </c>
      <c r="N36" s="68">
        <v>4.2134788632392894E-2</v>
      </c>
    </row>
    <row r="37" spans="3:14" x14ac:dyDescent="0.45">
      <c r="C37" s="343" t="s">
        <v>203</v>
      </c>
      <c r="D37" s="343" t="s">
        <v>624</v>
      </c>
      <c r="E37" s="343" t="s">
        <v>520</v>
      </c>
      <c r="F37" s="343" t="s">
        <v>76</v>
      </c>
      <c r="G37" s="500">
        <v>0.8411217340786642</v>
      </c>
      <c r="H37" s="500">
        <v>10.207311990000001</v>
      </c>
      <c r="I37" s="501">
        <f t="shared" si="0"/>
        <v>2.4790279751069618E-2</v>
      </c>
      <c r="J37" s="343" t="s">
        <v>254</v>
      </c>
      <c r="K37" s="68">
        <v>12.207189503725957</v>
      </c>
      <c r="L37" s="68">
        <v>0.2351057238551455</v>
      </c>
      <c r="M37" s="68">
        <v>1.4417536139488223</v>
      </c>
      <c r="N37" s="68">
        <v>0.10043599009513857</v>
      </c>
    </row>
    <row r="38" spans="3:14" x14ac:dyDescent="0.45">
      <c r="C38" s="343" t="s">
        <v>159</v>
      </c>
      <c r="D38" s="343" t="s">
        <v>625</v>
      </c>
      <c r="E38" s="343" t="s">
        <v>516</v>
      </c>
      <c r="F38" s="343" t="s">
        <v>579</v>
      </c>
      <c r="G38" s="500">
        <v>1.323394</v>
      </c>
      <c r="H38" s="500">
        <v>1.2837099999999999</v>
      </c>
      <c r="I38" s="501">
        <f t="shared" si="0"/>
        <v>3.1177189499471325E-3</v>
      </c>
      <c r="J38" s="343" t="s">
        <v>254</v>
      </c>
      <c r="K38" s="68">
        <v>-2.9986534622342242E-2</v>
      </c>
      <c r="L38" s="68">
        <v>0.3435644136388567</v>
      </c>
      <c r="M38" s="68">
        <v>-1.2906021064930592E-2</v>
      </c>
      <c r="N38" s="68">
        <v>0.13305876851081849</v>
      </c>
    </row>
    <row r="39" spans="3:14" x14ac:dyDescent="0.45">
      <c r="C39" s="343" t="s">
        <v>475</v>
      </c>
      <c r="D39" s="343" t="s">
        <v>626</v>
      </c>
      <c r="E39" s="343" t="s">
        <v>596</v>
      </c>
      <c r="F39" s="343" t="s">
        <v>579</v>
      </c>
      <c r="G39" s="500">
        <v>18.7715982</v>
      </c>
      <c r="H39" s="500">
        <v>25.917443969999997</v>
      </c>
      <c r="I39" s="501">
        <f t="shared" ref="I39:I44" si="1">H39/$H$47</f>
        <v>6.2945140412914158E-2</v>
      </c>
      <c r="J39" s="343" t="s">
        <v>254</v>
      </c>
      <c r="K39" s="68">
        <v>0.38067327533145257</v>
      </c>
      <c r="L39" s="68">
        <v>8.3451406114884552E-2</v>
      </c>
      <c r="M39" s="68">
        <v>1.1808729529380801</v>
      </c>
      <c r="N39" s="68">
        <v>0.21378570199012761</v>
      </c>
    </row>
    <row r="40" spans="3:14" x14ac:dyDescent="0.45">
      <c r="C40" s="343" t="s">
        <v>174</v>
      </c>
      <c r="D40" s="343" t="s">
        <v>627</v>
      </c>
      <c r="E40" s="343" t="s">
        <v>521</v>
      </c>
      <c r="F40" s="343" t="s">
        <v>76</v>
      </c>
      <c r="G40" s="500">
        <v>1.6277249999999999</v>
      </c>
      <c r="H40" s="500">
        <v>1.6277250000000001</v>
      </c>
      <c r="I40" s="501">
        <f t="shared" si="1"/>
        <v>3.9532208036103921E-3</v>
      </c>
      <c r="J40" s="343" t="s">
        <v>254</v>
      </c>
      <c r="K40" s="68">
        <v>2.2204460492503131E-16</v>
      </c>
      <c r="L40" s="68">
        <v>0.27849009600652619</v>
      </c>
      <c r="M40" s="68"/>
      <c r="N40" s="68"/>
    </row>
    <row r="41" spans="3:14" x14ac:dyDescent="0.45">
      <c r="C41" s="343" t="s">
        <v>471</v>
      </c>
      <c r="D41" s="343" t="s">
        <v>601</v>
      </c>
      <c r="E41" s="343" t="s">
        <v>609</v>
      </c>
      <c r="F41" s="343" t="s">
        <v>76</v>
      </c>
      <c r="G41" s="500">
        <v>1.0672524975</v>
      </c>
      <c r="H41" s="500">
        <v>0.74289999999999989</v>
      </c>
      <c r="I41" s="501">
        <f t="shared" si="1"/>
        <v>1.8042652997294752E-3</v>
      </c>
      <c r="J41" s="343" t="s">
        <v>254</v>
      </c>
      <c r="K41" s="68">
        <v>-0.73428470034517912</v>
      </c>
      <c r="L41" s="68">
        <v>7.4920278936118079E-2</v>
      </c>
      <c r="M41" s="68"/>
      <c r="N41" s="68"/>
    </row>
    <row r="42" spans="3:14" x14ac:dyDescent="0.45">
      <c r="C42" s="343" t="s">
        <v>472</v>
      </c>
      <c r="D42" s="343" t="s">
        <v>601</v>
      </c>
      <c r="E42" s="343" t="s">
        <v>609</v>
      </c>
      <c r="F42" s="343" t="s">
        <v>76</v>
      </c>
      <c r="G42" s="500">
        <v>1.5938776213716301</v>
      </c>
      <c r="H42" s="500">
        <v>0.92689999999999995</v>
      </c>
      <c r="I42" s="501">
        <f t="shared" si="1"/>
        <v>2.2511421541516366E-3</v>
      </c>
      <c r="J42" s="343" t="s">
        <v>254</v>
      </c>
      <c r="K42" s="68">
        <v>-0.41846225358108402</v>
      </c>
      <c r="L42" s="68">
        <v>5.6023710371125857E-2</v>
      </c>
      <c r="M42" s="68"/>
      <c r="N42" s="68"/>
    </row>
    <row r="43" spans="3:14" x14ac:dyDescent="0.45">
      <c r="C43" s="343" t="s">
        <v>473</v>
      </c>
      <c r="D43" s="343" t="s">
        <v>628</v>
      </c>
      <c r="E43" s="343" t="s">
        <v>609</v>
      </c>
      <c r="F43" s="343" t="s">
        <v>76</v>
      </c>
      <c r="G43" s="500">
        <v>0.93182542868415008</v>
      </c>
      <c r="H43" s="500">
        <v>10.3592</v>
      </c>
      <c r="I43" s="501">
        <f t="shared" si="1"/>
        <v>2.5159166903967668E-2</v>
      </c>
      <c r="J43" s="343" t="s">
        <v>254</v>
      </c>
      <c r="K43" s="68">
        <v>10.117103784802739</v>
      </c>
      <c r="L43" s="68">
        <v>5.6023710371125857E-2</v>
      </c>
      <c r="M43" s="68"/>
      <c r="N43" s="68"/>
    </row>
    <row r="44" spans="3:14" x14ac:dyDescent="0.45">
      <c r="C44" s="343" t="s">
        <v>474</v>
      </c>
      <c r="D44" s="343" t="s">
        <v>628</v>
      </c>
      <c r="E44" s="343" t="s">
        <v>609</v>
      </c>
      <c r="F44" s="343" t="s">
        <v>76</v>
      </c>
      <c r="G44" s="500">
        <v>0.88490834416299002</v>
      </c>
      <c r="H44" s="500">
        <v>0.81074999999999997</v>
      </c>
      <c r="I44" s="501">
        <f t="shared" si="1"/>
        <v>1.9690511397976473E-3</v>
      </c>
      <c r="J44" s="343" t="s">
        <v>254</v>
      </c>
      <c r="K44" s="68">
        <v>-8.3803418345133052E-2</v>
      </c>
      <c r="L44" s="68">
        <v>5.6023710371125857E-2</v>
      </c>
      <c r="M44" s="68"/>
      <c r="N44" s="68"/>
    </row>
    <row r="45" spans="3:14" x14ac:dyDescent="0.45">
      <c r="C45" s="343" t="s">
        <v>233</v>
      </c>
      <c r="D45" s="343" t="s">
        <v>605</v>
      </c>
      <c r="E45" s="343" t="s">
        <v>516</v>
      </c>
      <c r="F45" s="343" t="s">
        <v>603</v>
      </c>
      <c r="G45" s="500">
        <v>12.075700000000001</v>
      </c>
      <c r="H45" s="500">
        <v>15.029104999999999</v>
      </c>
      <c r="I45" s="501">
        <f>H45/$H$47</f>
        <v>3.6500865039023764E-2</v>
      </c>
      <c r="J45" s="343" t="s">
        <v>298</v>
      </c>
      <c r="K45" s="68">
        <v>0.2936708071800731</v>
      </c>
      <c r="L45" s="68">
        <v>5.8244655018981684E-2</v>
      </c>
      <c r="M45" s="68">
        <v>0.176773601770401</v>
      </c>
      <c r="N45" s="68">
        <v>3.6360618472099301E-2</v>
      </c>
    </row>
    <row r="46" spans="3:14" x14ac:dyDescent="0.45">
      <c r="C46" s="343" t="s">
        <v>42</v>
      </c>
      <c r="D46" s="343" t="s">
        <v>629</v>
      </c>
      <c r="E46" s="343" t="s">
        <v>516</v>
      </c>
      <c r="F46" s="343" t="s">
        <v>579</v>
      </c>
      <c r="G46" s="500">
        <v>5.6556157249999996</v>
      </c>
      <c r="H46" s="500">
        <v>6.6111526250000008</v>
      </c>
      <c r="I46" s="501">
        <f>H46/$H$47</f>
        <v>1.6056364615026162E-2</v>
      </c>
      <c r="J46" s="343" t="s">
        <v>298</v>
      </c>
      <c r="K46" s="68">
        <v>0.16895364651034539</v>
      </c>
      <c r="L46" s="68">
        <v>4.7756394290023207E-2</v>
      </c>
      <c r="M46" s="68">
        <v>0.16892190575599672</v>
      </c>
      <c r="N46" s="68">
        <v>5.0939485430717482E-2</v>
      </c>
    </row>
    <row r="47" spans="3:14" x14ac:dyDescent="0.45">
      <c r="C47" s="70" t="s">
        <v>45</v>
      </c>
      <c r="D47" s="502"/>
      <c r="E47" s="502"/>
      <c r="F47" s="502"/>
      <c r="G47" s="502">
        <f>SUM(G3:G11)</f>
        <v>160.25040551215159</v>
      </c>
      <c r="H47" s="502">
        <f>SUM(H3:H46)</f>
        <v>411.7465431006114</v>
      </c>
      <c r="I47" s="503">
        <f>SUM(I3:I46)</f>
        <v>1.0000000000000002</v>
      </c>
      <c r="J47" s="502"/>
      <c r="K47" s="502"/>
      <c r="L47" s="502"/>
      <c r="M47" s="502"/>
      <c r="N47" s="502"/>
    </row>
  </sheetData>
  <autoFilter ref="C2:N47" xr:uid="{04DF9139-2A36-4552-A2E8-723CCB97DAD6}"/>
  <conditionalFormatting sqref="K3:L3">
    <cfRule type="top10" dxfId="257" priority="142" rank="1"/>
  </conditionalFormatting>
  <conditionalFormatting sqref="K4:L4">
    <cfRule type="top10" dxfId="256" priority="65" rank="1"/>
  </conditionalFormatting>
  <conditionalFormatting sqref="K5:L5">
    <cfRule type="top10" dxfId="255" priority="63" rank="1"/>
  </conditionalFormatting>
  <conditionalFormatting sqref="K6:L6">
    <cfRule type="top10" dxfId="254" priority="61" rank="1"/>
  </conditionalFormatting>
  <conditionalFormatting sqref="K7:L7">
    <cfRule type="top10" dxfId="253" priority="59" rank="1"/>
  </conditionalFormatting>
  <conditionalFormatting sqref="K8:L8">
    <cfRule type="top10" dxfId="252" priority="57" rank="1"/>
  </conditionalFormatting>
  <conditionalFormatting sqref="K9:L9">
    <cfRule type="top10" dxfId="251" priority="66" rank="1"/>
  </conditionalFormatting>
  <conditionalFormatting sqref="K10:L10">
    <cfRule type="top10" dxfId="250" priority="67" rank="1"/>
  </conditionalFormatting>
  <conditionalFormatting sqref="K11:L11">
    <cfRule type="top10" dxfId="249" priority="69" rank="1"/>
  </conditionalFormatting>
  <conditionalFormatting sqref="K12:L12">
    <cfRule type="top10" dxfId="248" priority="55" rank="1"/>
  </conditionalFormatting>
  <conditionalFormatting sqref="K13:L13">
    <cfRule type="top10" dxfId="247" priority="53" rank="1"/>
  </conditionalFormatting>
  <conditionalFormatting sqref="K14:L14">
    <cfRule type="top10" dxfId="246" priority="51" rank="1"/>
  </conditionalFormatting>
  <conditionalFormatting sqref="K15:L15">
    <cfRule type="top10" dxfId="245" priority="49" rank="1"/>
  </conditionalFormatting>
  <conditionalFormatting sqref="K16:L16">
    <cfRule type="top10" dxfId="244" priority="8" rank="1"/>
  </conditionalFormatting>
  <conditionalFormatting sqref="K17:L17">
    <cfRule type="top10" dxfId="243" priority="9" rank="1"/>
  </conditionalFormatting>
  <conditionalFormatting sqref="K18:L18">
    <cfRule type="top10" dxfId="242" priority="10" rank="1"/>
  </conditionalFormatting>
  <conditionalFormatting sqref="K19:L19">
    <cfRule type="top10" dxfId="241" priority="11" rank="1"/>
  </conditionalFormatting>
  <conditionalFormatting sqref="K20:L20">
    <cfRule type="top10" dxfId="240" priority="12" rank="1"/>
  </conditionalFormatting>
  <conditionalFormatting sqref="K21:L21">
    <cfRule type="top10" dxfId="239" priority="13" rank="1"/>
  </conditionalFormatting>
  <conditionalFormatting sqref="K22:L22">
    <cfRule type="top10" dxfId="238" priority="14" rank="1"/>
  </conditionalFormatting>
  <conditionalFormatting sqref="K23:L23">
    <cfRule type="top10" dxfId="237" priority="15" rank="1"/>
  </conditionalFormatting>
  <conditionalFormatting sqref="K24:L24">
    <cfRule type="top10" dxfId="236" priority="16" rank="1"/>
  </conditionalFormatting>
  <conditionalFormatting sqref="K25:L25">
    <cfRule type="top10" dxfId="235" priority="17" rank="1"/>
  </conditionalFormatting>
  <conditionalFormatting sqref="K26:L26">
    <cfRule type="top10" dxfId="234" priority="18" rank="1"/>
  </conditionalFormatting>
  <conditionalFormatting sqref="K27:L27">
    <cfRule type="top10" dxfId="233" priority="19" rank="1"/>
  </conditionalFormatting>
  <conditionalFormatting sqref="K28:L28">
    <cfRule type="top10" dxfId="232" priority="20" rank="1"/>
  </conditionalFormatting>
  <conditionalFormatting sqref="K29:L29">
    <cfRule type="top10" dxfId="231" priority="21" rank="1"/>
  </conditionalFormatting>
  <conditionalFormatting sqref="K34:L34">
    <cfRule type="top10" dxfId="230" priority="22" rank="1"/>
  </conditionalFormatting>
  <conditionalFormatting sqref="K35:L35">
    <cfRule type="top10" dxfId="229" priority="23" rank="1"/>
  </conditionalFormatting>
  <conditionalFormatting sqref="K36:L36">
    <cfRule type="top10" dxfId="228" priority="24" rank="1"/>
  </conditionalFormatting>
  <conditionalFormatting sqref="K37:L37 K30:L33">
    <cfRule type="top10" dxfId="227" priority="1064" rank="1"/>
  </conditionalFormatting>
  <conditionalFormatting sqref="K38:L39">
    <cfRule type="top10" dxfId="226" priority="25" rank="1"/>
  </conditionalFormatting>
  <conditionalFormatting sqref="K40:L40">
    <cfRule type="top10" dxfId="225" priority="5" rank="1"/>
  </conditionalFormatting>
  <conditionalFormatting sqref="K41:L41">
    <cfRule type="top10" dxfId="224" priority="4" rank="1"/>
  </conditionalFormatting>
  <conditionalFormatting sqref="K42:L42">
    <cfRule type="top10" dxfId="223" priority="3" rank="1"/>
  </conditionalFormatting>
  <conditionalFormatting sqref="K43:L43">
    <cfRule type="top10" dxfId="222" priority="2" rank="1"/>
  </conditionalFormatting>
  <conditionalFormatting sqref="K44:L44">
    <cfRule type="top10" dxfId="221" priority="1" rank="1"/>
  </conditionalFormatting>
  <conditionalFormatting sqref="K45:L45">
    <cfRule type="top10" dxfId="220" priority="26" rank="1"/>
  </conditionalFormatting>
  <conditionalFormatting sqref="K46:L46">
    <cfRule type="top10" dxfId="219" priority="27" rank="1"/>
  </conditionalFormatting>
  <conditionalFormatting sqref="M3:N3">
    <cfRule type="top10" dxfId="218" priority="141" rank="1"/>
  </conditionalFormatting>
  <conditionalFormatting sqref="M4:N4">
    <cfRule type="top10" dxfId="217" priority="64" rank="1"/>
  </conditionalFormatting>
  <conditionalFormatting sqref="M5:N5">
    <cfRule type="top10" dxfId="216" priority="62" rank="1"/>
  </conditionalFormatting>
  <conditionalFormatting sqref="M6:N6">
    <cfRule type="top10" dxfId="215" priority="60" rank="1"/>
  </conditionalFormatting>
  <conditionalFormatting sqref="M7:N7">
    <cfRule type="top10" dxfId="214" priority="58" rank="1"/>
  </conditionalFormatting>
  <conditionalFormatting sqref="M8:N8">
    <cfRule type="top10" dxfId="213" priority="56" rank="1"/>
  </conditionalFormatting>
  <conditionalFormatting sqref="M11:N11">
    <cfRule type="top10" dxfId="212" priority="68" rank="1"/>
  </conditionalFormatting>
  <conditionalFormatting sqref="M12:N12">
    <cfRule type="top10" dxfId="211" priority="54" rank="1"/>
  </conditionalFormatting>
  <conditionalFormatting sqref="M13:N13">
    <cfRule type="top10" dxfId="210" priority="52" rank="1"/>
  </conditionalFormatting>
  <conditionalFormatting sqref="M14:N14">
    <cfRule type="top10" dxfId="209" priority="50" rank="1"/>
  </conditionalFormatting>
  <conditionalFormatting sqref="M15:N15">
    <cfRule type="top10" dxfId="208" priority="48" rank="1"/>
  </conditionalFormatting>
  <conditionalFormatting sqref="M16:N16">
    <cfRule type="top10" dxfId="207" priority="47" rank="1"/>
  </conditionalFormatting>
  <conditionalFormatting sqref="M17:N17">
    <cfRule type="top10" dxfId="206" priority="46" rank="1"/>
  </conditionalFormatting>
  <conditionalFormatting sqref="M18:N18">
    <cfRule type="top10" dxfId="205" priority="45" rank="1"/>
  </conditionalFormatting>
  <conditionalFormatting sqref="M19:N19">
    <cfRule type="top10" dxfId="204" priority="44" rank="1"/>
  </conditionalFormatting>
  <conditionalFormatting sqref="M20:N20">
    <cfRule type="top10" dxfId="203" priority="43" rank="1"/>
  </conditionalFormatting>
  <conditionalFormatting sqref="M21:N21">
    <cfRule type="top10" dxfId="202" priority="42" rank="1"/>
  </conditionalFormatting>
  <conditionalFormatting sqref="M22:N22">
    <cfRule type="top10" dxfId="201" priority="41" rank="1"/>
  </conditionalFormatting>
  <conditionalFormatting sqref="M23:N23">
    <cfRule type="top10" dxfId="200" priority="40" rank="1"/>
  </conditionalFormatting>
  <conditionalFormatting sqref="M24:N24">
    <cfRule type="top10" dxfId="199" priority="39" rank="1"/>
  </conditionalFormatting>
  <conditionalFormatting sqref="M25:N25">
    <cfRule type="top10" dxfId="198" priority="38" rank="1"/>
  </conditionalFormatting>
  <conditionalFormatting sqref="M26:N26">
    <cfRule type="top10" dxfId="197" priority="37" rank="1"/>
  </conditionalFormatting>
  <conditionalFormatting sqref="M27:N27">
    <cfRule type="top10" dxfId="196" priority="36" rank="1"/>
  </conditionalFormatting>
  <conditionalFormatting sqref="M28:N28">
    <cfRule type="top10" dxfId="195" priority="35" rank="1"/>
  </conditionalFormatting>
  <conditionalFormatting sqref="M29:N29">
    <cfRule type="top10" dxfId="194" priority="34" rank="1"/>
  </conditionalFormatting>
  <conditionalFormatting sqref="M30:N33 M37:N37">
    <cfRule type="top10" dxfId="193" priority="1066" rank="1"/>
  </conditionalFormatting>
  <conditionalFormatting sqref="M34:N34">
    <cfRule type="top10" dxfId="192" priority="33" rank="1"/>
  </conditionalFormatting>
  <conditionalFormatting sqref="M35:N35">
    <cfRule type="top10" dxfId="191" priority="32" rank="1"/>
  </conditionalFormatting>
  <conditionalFormatting sqref="M36:N36">
    <cfRule type="top10" dxfId="190" priority="31" rank="1"/>
  </conditionalFormatting>
  <conditionalFormatting sqref="M38:N44">
    <cfRule type="top10" dxfId="189" priority="30" rank="1"/>
  </conditionalFormatting>
  <conditionalFormatting sqref="M45:N45">
    <cfRule type="top10" dxfId="188" priority="29" rank="1"/>
  </conditionalFormatting>
  <conditionalFormatting sqref="M46:N46">
    <cfRule type="top10" dxfId="187" priority="28" rank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8961-A4C4-4FFB-98AE-87DA69DF5F5D}">
  <dimension ref="C2:N20"/>
  <sheetViews>
    <sheetView showGridLines="0" topLeftCell="A4" workbookViewId="0">
      <selection activeCell="H9" sqref="H9"/>
    </sheetView>
  </sheetViews>
  <sheetFormatPr defaultRowHeight="14.25" x14ac:dyDescent="0.45"/>
  <cols>
    <col min="3" max="3" width="37.9296875" bestFit="1" customWidth="1"/>
    <col min="4" max="4" width="12.265625" bestFit="1" customWidth="1"/>
    <col min="5" max="5" width="19.59765625" bestFit="1" customWidth="1"/>
    <col min="6" max="6" width="16.19921875" customWidth="1"/>
    <col min="10" max="10" width="17" bestFit="1" customWidth="1"/>
  </cols>
  <sheetData>
    <row r="2" spans="3:14" ht="34.9" x14ac:dyDescent="0.45">
      <c r="C2" s="379" t="s">
        <v>34</v>
      </c>
      <c r="D2" s="381" t="s">
        <v>1</v>
      </c>
      <c r="E2" s="380" t="s">
        <v>227</v>
      </c>
      <c r="F2" s="380" t="s">
        <v>373</v>
      </c>
      <c r="G2" s="380" t="s">
        <v>416</v>
      </c>
      <c r="H2" s="380" t="s">
        <v>417</v>
      </c>
      <c r="I2" s="382" t="s">
        <v>4</v>
      </c>
      <c r="J2" s="382" t="s">
        <v>252</v>
      </c>
      <c r="K2" s="382" t="s">
        <v>37</v>
      </c>
      <c r="L2" s="382" t="s">
        <v>38</v>
      </c>
      <c r="M2" s="382" t="s">
        <v>39</v>
      </c>
      <c r="N2" s="383" t="s">
        <v>40</v>
      </c>
    </row>
    <row r="3" spans="3:14" ht="46.5" x14ac:dyDescent="0.45">
      <c r="C3" s="343" t="s">
        <v>111</v>
      </c>
      <c r="D3" s="343" t="s">
        <v>630</v>
      </c>
      <c r="E3" s="343" t="s">
        <v>631</v>
      </c>
      <c r="F3" s="344" t="s">
        <v>632</v>
      </c>
      <c r="G3" s="500">
        <v>26.867901951302997</v>
      </c>
      <c r="H3" s="500">
        <v>29.582027007005998</v>
      </c>
      <c r="I3" s="501">
        <f>H3/$H$20</f>
        <v>0.19559270941620899</v>
      </c>
      <c r="J3" s="343" t="s">
        <v>193</v>
      </c>
      <c r="K3" s="68">
        <v>0.10101737979475445</v>
      </c>
      <c r="L3" s="68">
        <v>6.5388883043550949E-2</v>
      </c>
      <c r="M3" s="68">
        <v>8.3728280663490307E-2</v>
      </c>
      <c r="N3" s="68">
        <v>5.5001130700111381E-2</v>
      </c>
    </row>
    <row r="4" spans="3:14" ht="34.9" x14ac:dyDescent="0.45">
      <c r="C4" s="343" t="s">
        <v>278</v>
      </c>
      <c r="D4" s="343" t="s">
        <v>633</v>
      </c>
      <c r="E4" s="343" t="s">
        <v>634</v>
      </c>
      <c r="F4" s="344" t="s">
        <v>635</v>
      </c>
      <c r="G4" s="500">
        <v>7.2297464894178995</v>
      </c>
      <c r="H4" s="500">
        <v>10.869688673146401</v>
      </c>
      <c r="I4" s="501">
        <f>H4/$H$20</f>
        <v>7.1869039183415931E-2</v>
      </c>
      <c r="J4" s="343" t="s">
        <v>193</v>
      </c>
      <c r="K4" s="68">
        <v>0.49988855309936353</v>
      </c>
      <c r="L4" s="68">
        <v>0.35274614516264613</v>
      </c>
      <c r="M4" s="68">
        <v>0.13492340445518494</v>
      </c>
      <c r="N4" s="68">
        <v>9.9197882413864152E-2</v>
      </c>
    </row>
    <row r="5" spans="3:14" ht="34.9" x14ac:dyDescent="0.45">
      <c r="C5" s="343" t="s">
        <v>279</v>
      </c>
      <c r="D5" s="343" t="s">
        <v>636</v>
      </c>
      <c r="E5" s="343" t="s">
        <v>634</v>
      </c>
      <c r="F5" s="344" t="s">
        <v>637</v>
      </c>
      <c r="G5" s="500">
        <v>21.597723179637995</v>
      </c>
      <c r="H5" s="500">
        <v>22.317241029310001</v>
      </c>
      <c r="I5" s="501">
        <f>H5/$H$20</f>
        <v>0.1475588416771958</v>
      </c>
      <c r="J5" s="343" t="s">
        <v>193</v>
      </c>
      <c r="K5" s="68">
        <v>3.7451584087075052E-2</v>
      </c>
      <c r="L5" s="68">
        <v>1.6809687182903765E-2</v>
      </c>
      <c r="M5" s="68">
        <v>4.4622710347175604E-2</v>
      </c>
      <c r="N5" s="68">
        <v>2.0225557684898376E-2</v>
      </c>
    </row>
    <row r="6" spans="3:14" x14ac:dyDescent="0.45">
      <c r="C6" s="343" t="s">
        <v>368</v>
      </c>
      <c r="D6" s="343" t="s">
        <v>638</v>
      </c>
      <c r="E6" s="343" t="s">
        <v>516</v>
      </c>
      <c r="F6" s="344" t="s">
        <v>76</v>
      </c>
      <c r="G6" s="500">
        <v>23.281984162770001</v>
      </c>
      <c r="H6" s="500">
        <v>23.179461414255002</v>
      </c>
      <c r="I6" s="501">
        <f>H6/$H$20</f>
        <v>0.15325973638482818</v>
      </c>
      <c r="J6" s="343" t="s">
        <v>639</v>
      </c>
      <c r="K6" s="68">
        <v>-4.027668923054617E-3</v>
      </c>
      <c r="L6" s="68">
        <v>-6.1122933478176655E-2</v>
      </c>
      <c r="M6" s="68">
        <v>-0.47355465372341116</v>
      </c>
      <c r="N6" s="68">
        <v>-0.10196347315105969</v>
      </c>
    </row>
    <row r="7" spans="3:14" ht="34.9" x14ac:dyDescent="0.45">
      <c r="C7" s="343" t="s">
        <v>180</v>
      </c>
      <c r="D7" s="343" t="s">
        <v>623</v>
      </c>
      <c r="E7" s="343" t="s">
        <v>516</v>
      </c>
      <c r="F7" s="344" t="s">
        <v>587</v>
      </c>
      <c r="G7" s="500">
        <v>17.698331896373499</v>
      </c>
      <c r="H7" s="500">
        <v>20.037861574096503</v>
      </c>
      <c r="I7" s="501">
        <f>H7/$H$20</f>
        <v>0.13248786620525591</v>
      </c>
      <c r="J7" s="343" t="s">
        <v>193</v>
      </c>
      <c r="K7" s="68">
        <v>0.13218927588324791</v>
      </c>
      <c r="L7" s="68">
        <v>1.1121137670063952E-2</v>
      </c>
      <c r="M7" s="68">
        <v>0.12581871151924137</v>
      </c>
      <c r="N7" s="68">
        <v>1.0808691382408146E-2</v>
      </c>
    </row>
    <row r="8" spans="3:14" x14ac:dyDescent="0.45">
      <c r="C8" s="343" t="s">
        <v>466</v>
      </c>
      <c r="D8" s="343" t="s">
        <v>476</v>
      </c>
      <c r="E8" s="343"/>
      <c r="F8" s="343"/>
      <c r="G8" s="500">
        <v>0</v>
      </c>
      <c r="H8" s="500">
        <v>7.6245589539999992E-2</v>
      </c>
      <c r="I8" s="501">
        <f t="shared" ref="I8:I18" si="0">H8/$H$20</f>
        <v>5.0412642229123966E-4</v>
      </c>
      <c r="J8" s="343" t="s">
        <v>387</v>
      </c>
      <c r="K8" s="68"/>
      <c r="L8" s="68"/>
      <c r="M8" s="68">
        <v>7.5873285531997698E-3</v>
      </c>
      <c r="N8" s="68">
        <v>5.7610967755317682E-2</v>
      </c>
    </row>
    <row r="9" spans="3:14" x14ac:dyDescent="0.45">
      <c r="C9" s="343" t="s">
        <v>47</v>
      </c>
      <c r="D9" s="343" t="s">
        <v>470</v>
      </c>
      <c r="E9" s="343"/>
      <c r="F9" s="343"/>
      <c r="G9" s="500">
        <v>5.3714627569750012E-2</v>
      </c>
      <c r="H9" s="500">
        <v>7.9441247756400005E-2</v>
      </c>
      <c r="I9" s="501">
        <f t="shared" si="0"/>
        <v>5.2525571977872477E-4</v>
      </c>
      <c r="J9" s="343" t="s">
        <v>387</v>
      </c>
      <c r="K9" s="68"/>
      <c r="L9" s="68"/>
      <c r="M9" s="68">
        <v>5.7565376162528992E-2</v>
      </c>
      <c r="N9" s="68">
        <v>5.7437971234321594E-2</v>
      </c>
    </row>
    <row r="10" spans="3:14" x14ac:dyDescent="0.45">
      <c r="C10" s="343" t="s">
        <v>547</v>
      </c>
      <c r="D10" s="343" t="s">
        <v>477</v>
      </c>
      <c r="E10" s="343"/>
      <c r="F10" s="343"/>
      <c r="G10" s="500">
        <v>1.4284306643010268E-2</v>
      </c>
      <c r="H10" s="500">
        <v>1.9483298116860368E-2</v>
      </c>
      <c r="I10" s="501">
        <f t="shared" si="0"/>
        <v>1.2882116111035668E-4</v>
      </c>
      <c r="J10" s="343" t="s">
        <v>387</v>
      </c>
      <c r="K10" s="68"/>
      <c r="L10" s="68"/>
      <c r="M10" s="68">
        <v>3.0159518122673035E-2</v>
      </c>
      <c r="N10" s="68">
        <v>4.6286681294441231E-2</v>
      </c>
    </row>
    <row r="11" spans="3:14" x14ac:dyDescent="0.45">
      <c r="C11" s="344" t="s">
        <v>48</v>
      </c>
      <c r="D11" s="343" t="s">
        <v>470</v>
      </c>
      <c r="E11" s="343"/>
      <c r="F11" s="343"/>
      <c r="G11" s="500">
        <v>5.4356288299299997E-2</v>
      </c>
      <c r="H11" s="500">
        <v>6.0679280068799996E-2</v>
      </c>
      <c r="I11" s="501">
        <f t="shared" si="0"/>
        <v>4.0120390638784579E-4</v>
      </c>
      <c r="J11" s="343" t="s">
        <v>387</v>
      </c>
      <c r="K11" s="68"/>
      <c r="L11" s="68"/>
      <c r="M11" s="68">
        <v>1.5894654393196102E-2</v>
      </c>
      <c r="N11" s="68">
        <v>5.7519111037254336E-2</v>
      </c>
    </row>
    <row r="12" spans="3:14" x14ac:dyDescent="0.45">
      <c r="C12" s="344" t="s">
        <v>467</v>
      </c>
      <c r="D12" s="343" t="s">
        <v>576</v>
      </c>
      <c r="E12" s="343"/>
      <c r="F12" s="343"/>
      <c r="G12" s="500">
        <v>2.7448860430002204</v>
      </c>
      <c r="H12" s="500">
        <v>2.8740048544746002</v>
      </c>
      <c r="I12" s="501">
        <f t="shared" si="0"/>
        <v>1.9002565180164719E-2</v>
      </c>
      <c r="J12" s="343" t="s">
        <v>387</v>
      </c>
      <c r="K12" s="68"/>
      <c r="L12" s="68"/>
      <c r="M12" s="68">
        <v>6.3692632317543019E-2</v>
      </c>
      <c r="N12" s="68">
        <v>5.9854713082313535E-2</v>
      </c>
    </row>
    <row r="13" spans="3:14" x14ac:dyDescent="0.45">
      <c r="C13" s="343" t="s">
        <v>291</v>
      </c>
      <c r="D13" s="343" t="s">
        <v>470</v>
      </c>
      <c r="E13" s="343"/>
      <c r="F13" s="343"/>
      <c r="G13" s="500">
        <v>5.5192263035999993E-2</v>
      </c>
      <c r="H13" s="500">
        <v>7.7342732499999997E-2</v>
      </c>
      <c r="I13" s="501">
        <f t="shared" si="0"/>
        <v>5.1138059605399422E-4</v>
      </c>
      <c r="J13" s="343" t="s">
        <v>387</v>
      </c>
      <c r="K13" s="68"/>
      <c r="L13" s="68"/>
      <c r="M13" s="68">
        <v>4.9542978405952454E-2</v>
      </c>
      <c r="N13" s="68">
        <v>5.7519111037254336E-2</v>
      </c>
    </row>
    <row r="14" spans="3:14" x14ac:dyDescent="0.45">
      <c r="C14" s="343" t="s">
        <v>468</v>
      </c>
      <c r="D14" s="343" t="s">
        <v>470</v>
      </c>
      <c r="E14" s="343"/>
      <c r="F14" s="343"/>
      <c r="G14" s="500">
        <v>6.3572506886700006E-2</v>
      </c>
      <c r="H14" s="500">
        <v>9.3638681987200004E-2</v>
      </c>
      <c r="I14" s="501">
        <f t="shared" si="0"/>
        <v>6.1912740163821793E-4</v>
      </c>
      <c r="J14" s="343" t="s">
        <v>387</v>
      </c>
      <c r="K14" s="68"/>
      <c r="L14" s="68"/>
      <c r="M14" s="68">
        <v>5.7088866829872145E-2</v>
      </c>
      <c r="N14" s="68">
        <v>5.7512018084526065E-2</v>
      </c>
    </row>
    <row r="15" spans="3:14" x14ac:dyDescent="0.45">
      <c r="C15" s="343" t="s">
        <v>469</v>
      </c>
      <c r="D15" s="343" t="s">
        <v>577</v>
      </c>
      <c r="E15" s="343"/>
      <c r="F15" s="343"/>
      <c r="G15" s="500">
        <v>0.89729469770103121</v>
      </c>
      <c r="H15" s="500">
        <v>0.89860049999999991</v>
      </c>
      <c r="I15" s="501">
        <f t="shared" si="0"/>
        <v>5.941435535710058E-3</v>
      </c>
      <c r="J15" s="343" t="s">
        <v>387</v>
      </c>
      <c r="K15" s="68"/>
      <c r="L15" s="68"/>
      <c r="M15" s="68">
        <v>0</v>
      </c>
      <c r="N15" s="68">
        <v>0</v>
      </c>
    </row>
    <row r="16" spans="3:14" x14ac:dyDescent="0.45">
      <c r="C16" s="343" t="s">
        <v>46</v>
      </c>
      <c r="D16" s="500" t="s">
        <v>610</v>
      </c>
      <c r="E16" s="343"/>
      <c r="F16" s="343"/>
      <c r="G16" s="500">
        <v>3.7698115084156796</v>
      </c>
      <c r="H16" s="500">
        <v>4.0189932174371403</v>
      </c>
      <c r="I16" s="501">
        <f t="shared" si="0"/>
        <v>2.6573086838766202E-2</v>
      </c>
      <c r="J16" s="501" t="s">
        <v>642</v>
      </c>
      <c r="K16" s="68">
        <v>3.3220446483898991E-2</v>
      </c>
      <c r="L16" s="68">
        <v>3.3721467419888462E-2</v>
      </c>
      <c r="M16" s="68">
        <v>7.2971853613853471E-2</v>
      </c>
      <c r="N16" s="68">
        <v>7.4066814780235302E-2</v>
      </c>
    </row>
    <row r="17" spans="3:14" x14ac:dyDescent="0.45">
      <c r="C17" s="343" t="s">
        <v>49</v>
      </c>
      <c r="D17" s="500" t="s">
        <v>643</v>
      </c>
      <c r="E17" s="343"/>
      <c r="F17" s="343"/>
      <c r="G17" s="500">
        <v>2.3963148868763997</v>
      </c>
      <c r="H17" s="500">
        <v>2.5510448501390997</v>
      </c>
      <c r="I17" s="501">
        <f t="shared" si="0"/>
        <v>1.6867193514589172E-2</v>
      </c>
      <c r="J17" s="501" t="s">
        <v>642</v>
      </c>
      <c r="K17" s="68">
        <v>3.3220446483898991E-2</v>
      </c>
      <c r="L17" s="68">
        <v>3.3721467419888462E-2</v>
      </c>
      <c r="M17" s="68">
        <v>7.2971853613853471E-2</v>
      </c>
      <c r="N17" s="68">
        <v>7.4066814780235302E-2</v>
      </c>
    </row>
    <row r="18" spans="3:14" x14ac:dyDescent="0.45">
      <c r="C18" s="343" t="s">
        <v>323</v>
      </c>
      <c r="D18" s="500" t="s">
        <v>644</v>
      </c>
      <c r="E18" s="343"/>
      <c r="F18" s="343"/>
      <c r="G18" s="500">
        <v>2.6026159143373606</v>
      </c>
      <c r="H18" s="500">
        <v>2.7030789266861599</v>
      </c>
      <c r="I18" s="501">
        <f t="shared" si="0"/>
        <v>1.7872424053672523E-2</v>
      </c>
      <c r="J18" s="501" t="s">
        <v>642</v>
      </c>
      <c r="K18" s="68">
        <v>3.3220446483898991E-2</v>
      </c>
      <c r="L18" s="68">
        <v>3.3721467419888462E-2</v>
      </c>
      <c r="M18" s="68">
        <v>7.2971853613853471E-2</v>
      </c>
      <c r="N18" s="68">
        <v>7.4066814780235302E-2</v>
      </c>
    </row>
    <row r="19" spans="3:14" x14ac:dyDescent="0.45">
      <c r="C19" s="344" t="s">
        <v>280</v>
      </c>
      <c r="D19" s="500" t="s">
        <v>571</v>
      </c>
      <c r="E19" s="343"/>
      <c r="F19" s="343"/>
      <c r="G19" s="500">
        <v>30.985243872443377</v>
      </c>
      <c r="H19" s="500">
        <v>31.804161278529353</v>
      </c>
      <c r="I19" s="501">
        <f>H19/$H$20</f>
        <v>0.21028518680293207</v>
      </c>
      <c r="J19" s="501" t="s">
        <v>642</v>
      </c>
      <c r="K19" s="68">
        <v>3.3220446483898991E-2</v>
      </c>
      <c r="L19" s="68">
        <v>3.3721467419888462E-2</v>
      </c>
      <c r="M19" s="68">
        <v>7.2971853613853471E-2</v>
      </c>
      <c r="N19" s="68">
        <v>7.4066814780235302E-2</v>
      </c>
    </row>
    <row r="20" spans="3:14" x14ac:dyDescent="0.45">
      <c r="C20" s="70" t="s">
        <v>45</v>
      </c>
      <c r="D20" s="502"/>
      <c r="E20" s="502"/>
      <c r="F20" s="502"/>
      <c r="G20" s="502">
        <f>SUM(G3:G19)</f>
        <v>140.31297459471125</v>
      </c>
      <c r="H20" s="502">
        <f>SUM(H3:H19)</f>
        <v>151.24299415504953</v>
      </c>
      <c r="I20" s="503">
        <f>SUM(I3:I19)</f>
        <v>0.99999999999999989</v>
      </c>
      <c r="J20" s="502"/>
      <c r="K20" s="502"/>
      <c r="L20" s="502"/>
      <c r="M20" s="502"/>
      <c r="N20" s="502"/>
    </row>
  </sheetData>
  <conditionalFormatting sqref="K3:L3">
    <cfRule type="top10" dxfId="186" priority="41" rank="1"/>
  </conditionalFormatting>
  <conditionalFormatting sqref="K4:L4">
    <cfRule type="top10" dxfId="185" priority="18" rank="1"/>
  </conditionalFormatting>
  <conditionalFormatting sqref="K5:L5">
    <cfRule type="top10" dxfId="184" priority="3" rank="1"/>
  </conditionalFormatting>
  <conditionalFormatting sqref="K6:L6">
    <cfRule type="top10" dxfId="183" priority="2" rank="1"/>
  </conditionalFormatting>
  <conditionalFormatting sqref="K7:L7">
    <cfRule type="top10" dxfId="182" priority="1" rank="1"/>
  </conditionalFormatting>
  <conditionalFormatting sqref="K8:L8">
    <cfRule type="top10" dxfId="181" priority="27" rank="1"/>
  </conditionalFormatting>
  <conditionalFormatting sqref="K9:L15">
    <cfRule type="top10" dxfId="180" priority="16" rank="1"/>
  </conditionalFormatting>
  <conditionalFormatting sqref="K16:L16">
    <cfRule type="top10" dxfId="179" priority="29" rank="1"/>
  </conditionalFormatting>
  <conditionalFormatting sqref="K17:L19">
    <cfRule type="top10" dxfId="178" priority="14" rank="1"/>
  </conditionalFormatting>
  <conditionalFormatting sqref="M3:N3">
    <cfRule type="top10" dxfId="177" priority="40" rank="1"/>
  </conditionalFormatting>
  <conditionalFormatting sqref="M4:N4">
    <cfRule type="top10" dxfId="176" priority="17" rank="1"/>
  </conditionalFormatting>
  <conditionalFormatting sqref="M5:N5">
    <cfRule type="top10" dxfId="175" priority="4" rank="1"/>
  </conditionalFormatting>
  <conditionalFormatting sqref="M6:N6">
    <cfRule type="top10" dxfId="174" priority="5" rank="1"/>
  </conditionalFormatting>
  <conditionalFormatting sqref="M7:N7">
    <cfRule type="top10" dxfId="173" priority="6" rank="1"/>
  </conditionalFormatting>
  <conditionalFormatting sqref="M8:N8">
    <cfRule type="top10" dxfId="172" priority="26" rank="1"/>
  </conditionalFormatting>
  <conditionalFormatting sqref="M9:N9">
    <cfRule type="top10" dxfId="171" priority="7" rank="1"/>
  </conditionalFormatting>
  <conditionalFormatting sqref="M10:N10">
    <cfRule type="top10" dxfId="170" priority="8" rank="1"/>
  </conditionalFormatting>
  <conditionalFormatting sqref="M11:N11">
    <cfRule type="top10" dxfId="169" priority="9" rank="1"/>
  </conditionalFormatting>
  <conditionalFormatting sqref="M12:N12">
    <cfRule type="top10" dxfId="168" priority="15" rank="1"/>
  </conditionalFormatting>
  <conditionalFormatting sqref="M13:N13">
    <cfRule type="top10" dxfId="167" priority="10" rank="1"/>
  </conditionalFormatting>
  <conditionalFormatting sqref="M14:N14">
    <cfRule type="top10" dxfId="166" priority="11" rank="1"/>
  </conditionalFormatting>
  <conditionalFormatting sqref="M15:N15">
    <cfRule type="top10" dxfId="165" priority="12" rank="1"/>
  </conditionalFormatting>
  <conditionalFormatting sqref="M16:N16">
    <cfRule type="top10" dxfId="164" priority="28" rank="1"/>
  </conditionalFormatting>
  <conditionalFormatting sqref="M17:N19">
    <cfRule type="top10" dxfId="163" priority="13" rank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80"/>
  <sheetViews>
    <sheetView showGridLines="0" zoomScale="90" zoomScaleNormal="93" workbookViewId="0">
      <pane xSplit="2" ySplit="2" topLeftCell="C46" activePane="bottomRight" state="frozen"/>
      <selection pane="topRight" activeCell="C1" sqref="C1"/>
      <selection pane="bottomLeft" activeCell="A3" sqref="A3"/>
      <selection pane="bottomRight" activeCell="B67" sqref="B67"/>
    </sheetView>
  </sheetViews>
  <sheetFormatPr defaultColWidth="8.73046875" defaultRowHeight="11.65" outlineLevelRow="1" outlineLevelCol="1" x14ac:dyDescent="0.35"/>
  <cols>
    <col min="1" max="1" width="13" style="1" bestFit="1" customWidth="1"/>
    <col min="2" max="2" width="46.796875" style="4" customWidth="1"/>
    <col min="3" max="3" width="24.46484375" style="1" customWidth="1"/>
    <col min="4" max="4" width="22.33203125" style="1" customWidth="1"/>
    <col min="5" max="5" width="15.73046875" style="1" customWidth="1"/>
    <col min="6" max="6" width="9.19921875" style="1" bestFit="1" customWidth="1"/>
    <col min="7" max="7" width="10.265625" style="1" customWidth="1"/>
    <col min="8" max="9" width="10.796875" style="1" bestFit="1" customWidth="1"/>
    <col min="10" max="10" width="19.796875" style="1" bestFit="1" customWidth="1"/>
    <col min="11" max="11" width="10" style="1" customWidth="1"/>
    <col min="12" max="14" width="8.796875" style="1" bestFit="1" customWidth="1"/>
    <col min="15" max="15" width="10.9296875" style="1" bestFit="1" customWidth="1" outlineLevel="1"/>
    <col min="16" max="16384" width="8.73046875" style="1"/>
  </cols>
  <sheetData>
    <row r="1" spans="1:18" ht="15" customHeight="1" x14ac:dyDescent="0.35">
      <c r="C1" s="9"/>
      <c r="D1" s="9"/>
      <c r="E1" s="108" t="s">
        <v>234</v>
      </c>
    </row>
    <row r="2" spans="1:18" ht="34.9" x14ac:dyDescent="0.35">
      <c r="A2" s="175" t="s">
        <v>496</v>
      </c>
      <c r="B2" s="379" t="s">
        <v>34</v>
      </c>
      <c r="C2" s="380" t="s">
        <v>227</v>
      </c>
      <c r="D2" s="380" t="s">
        <v>373</v>
      </c>
      <c r="E2" s="381" t="s">
        <v>1</v>
      </c>
      <c r="F2" s="380" t="s">
        <v>35</v>
      </c>
      <c r="G2" s="380" t="s">
        <v>416</v>
      </c>
      <c r="H2" s="380" t="s">
        <v>417</v>
      </c>
      <c r="I2" s="382" t="s">
        <v>4</v>
      </c>
      <c r="J2" s="382" t="s">
        <v>252</v>
      </c>
      <c r="K2" s="382" t="s">
        <v>37</v>
      </c>
      <c r="L2" s="382" t="s">
        <v>38</v>
      </c>
      <c r="M2" s="382" t="s">
        <v>39</v>
      </c>
      <c r="N2" s="383" t="s">
        <v>40</v>
      </c>
      <c r="R2" s="1">
        <f>19456-19522</f>
        <v>-66</v>
      </c>
    </row>
    <row r="3" spans="1:18" x14ac:dyDescent="0.35">
      <c r="B3" s="341" t="s">
        <v>18</v>
      </c>
      <c r="C3" s="342"/>
      <c r="D3" s="342"/>
      <c r="E3" s="58">
        <v>395322</v>
      </c>
      <c r="F3" s="59"/>
      <c r="G3" s="60">
        <f>SUM(G4:G16)</f>
        <v>332.69670548151328</v>
      </c>
      <c r="H3" s="60">
        <f>SUM(H4:H16)</f>
        <v>361.70793325919061</v>
      </c>
      <c r="I3" s="61">
        <f>SUM(I4:I16)</f>
        <v>0.35288618228419055</v>
      </c>
      <c r="J3" s="61"/>
      <c r="K3" s="219">
        <v>8.7685415200472461E-2</v>
      </c>
      <c r="L3" s="219">
        <v>2.4078156295746611E-2</v>
      </c>
      <c r="M3" s="219">
        <v>9.3634906411170948E-2</v>
      </c>
      <c r="N3" s="384">
        <v>2.6127818226814273E-2</v>
      </c>
    </row>
    <row r="4" spans="1:18" ht="23.25" x14ac:dyDescent="0.35">
      <c r="A4" s="126" t="s">
        <v>497</v>
      </c>
      <c r="B4" s="343" t="s">
        <v>261</v>
      </c>
      <c r="C4" s="208" t="s">
        <v>516</v>
      </c>
      <c r="D4" s="208" t="s">
        <v>579</v>
      </c>
      <c r="E4" s="64" t="s">
        <v>578</v>
      </c>
      <c r="F4" s="65">
        <v>28410850.158</v>
      </c>
      <c r="G4" s="66">
        <v>29.998500073066403</v>
      </c>
      <c r="H4" s="66">
        <v>32.706286593388022</v>
      </c>
      <c r="I4" s="67">
        <f t="shared" ref="I4:I16" si="0">H4/$H$73</f>
        <v>3.1908607888793232E-2</v>
      </c>
      <c r="J4" s="67" t="s">
        <v>580</v>
      </c>
      <c r="K4" s="68">
        <v>9.0264063660728144E-2</v>
      </c>
      <c r="L4" s="69">
        <v>7.8803335140928965E-3</v>
      </c>
      <c r="M4" s="68">
        <v>4.9043646454811102E-2</v>
      </c>
      <c r="N4" s="69">
        <v>4.3587535619735718E-3</v>
      </c>
      <c r="O4" s="81"/>
    </row>
    <row r="5" spans="1:18" x14ac:dyDescent="0.35">
      <c r="A5" s="126" t="s">
        <v>497</v>
      </c>
      <c r="B5" s="343" t="s">
        <v>248</v>
      </c>
      <c r="C5" s="208" t="s">
        <v>541</v>
      </c>
      <c r="D5" s="208" t="s">
        <v>76</v>
      </c>
      <c r="E5" s="64" t="s">
        <v>581</v>
      </c>
      <c r="F5" s="65">
        <v>0</v>
      </c>
      <c r="G5" s="66">
        <v>33</v>
      </c>
      <c r="H5" s="66">
        <v>40.047567800000003</v>
      </c>
      <c r="I5" s="67">
        <f t="shared" si="0"/>
        <v>3.9070841447601007E-2</v>
      </c>
      <c r="J5" s="67" t="s">
        <v>580</v>
      </c>
      <c r="K5" s="68">
        <v>0.21356266060606077</v>
      </c>
      <c r="L5" s="69">
        <v>1.911572323497146E-2</v>
      </c>
      <c r="M5" s="68">
        <v>0.17886855006217958</v>
      </c>
      <c r="N5" s="69">
        <v>1.6431173682212832E-2</v>
      </c>
      <c r="O5" s="81"/>
    </row>
    <row r="6" spans="1:18" ht="14.55" customHeight="1" x14ac:dyDescent="0.35">
      <c r="A6" s="126" t="s">
        <v>497</v>
      </c>
      <c r="B6" s="343" t="s">
        <v>548</v>
      </c>
      <c r="C6" s="208" t="s">
        <v>516</v>
      </c>
      <c r="D6" s="208" t="s">
        <v>579</v>
      </c>
      <c r="E6" s="64" t="s">
        <v>582</v>
      </c>
      <c r="F6" s="65">
        <v>5335610.6167000001</v>
      </c>
      <c r="G6" s="66">
        <v>70.855886139104982</v>
      </c>
      <c r="H6" s="66">
        <v>76.047924594483433</v>
      </c>
      <c r="I6" s="67">
        <f t="shared" si="0"/>
        <v>7.4193179947626656E-2</v>
      </c>
      <c r="J6" s="67" t="s">
        <v>580</v>
      </c>
      <c r="K6" s="68">
        <v>7.3276035884801249E-2</v>
      </c>
      <c r="L6" s="69">
        <v>2.8688755971998603E-2</v>
      </c>
      <c r="M6" s="68">
        <v>0.11424925923347476</v>
      </c>
      <c r="N6" s="69">
        <v>4.5162561535835269E-2</v>
      </c>
      <c r="O6" s="81"/>
    </row>
    <row r="7" spans="1:18" ht="23.25" x14ac:dyDescent="0.35">
      <c r="A7" s="126" t="s">
        <v>497</v>
      </c>
      <c r="B7" s="343" t="s">
        <v>367</v>
      </c>
      <c r="C7" s="208" t="s">
        <v>516</v>
      </c>
      <c r="D7" s="208" t="s">
        <v>579</v>
      </c>
      <c r="E7" s="64" t="s">
        <v>583</v>
      </c>
      <c r="F7" s="65">
        <v>3470532.7180000003</v>
      </c>
      <c r="G7" s="66">
        <v>47.495160266834645</v>
      </c>
      <c r="H7" s="66">
        <v>52.115601613118805</v>
      </c>
      <c r="I7" s="67">
        <f t="shared" si="0"/>
        <v>5.0844546109302148E-2</v>
      </c>
      <c r="J7" s="67" t="s">
        <v>580</v>
      </c>
      <c r="K7" s="68">
        <v>9.7282361409580576E-2</v>
      </c>
      <c r="L7" s="69">
        <v>9.4633109294703699E-2</v>
      </c>
      <c r="M7" s="68">
        <v>7.2618743777275105E-2</v>
      </c>
      <c r="N7" s="69">
        <v>7.0717307925224307E-2</v>
      </c>
      <c r="O7" s="81"/>
    </row>
    <row r="8" spans="1:18" ht="23.25" x14ac:dyDescent="0.35">
      <c r="A8" s="126" t="s">
        <v>498</v>
      </c>
      <c r="B8" s="343" t="s">
        <v>371</v>
      </c>
      <c r="C8" s="208" t="s">
        <v>540</v>
      </c>
      <c r="D8" s="208" t="s">
        <v>579</v>
      </c>
      <c r="E8" s="468" t="s">
        <v>598</v>
      </c>
      <c r="F8" s="65">
        <v>0</v>
      </c>
      <c r="G8" s="66">
        <v>25</v>
      </c>
      <c r="H8" s="66">
        <v>25.922903000000002</v>
      </c>
      <c r="I8" s="67">
        <f t="shared" si="0"/>
        <v>2.5290665291652005E-2</v>
      </c>
      <c r="J8" s="67" t="s">
        <v>297</v>
      </c>
      <c r="K8" s="525">
        <v>3.6916120000000108E-2</v>
      </c>
      <c r="L8" s="526">
        <v>-7.3733021003206112E-2</v>
      </c>
      <c r="M8" s="68"/>
      <c r="N8" s="69"/>
      <c r="O8" s="81"/>
    </row>
    <row r="9" spans="1:18" ht="23.25" x14ac:dyDescent="0.35">
      <c r="A9" s="126" t="s">
        <v>498</v>
      </c>
      <c r="B9" s="343" t="s">
        <v>246</v>
      </c>
      <c r="C9" s="208" t="s">
        <v>542</v>
      </c>
      <c r="D9" s="208" t="s">
        <v>579</v>
      </c>
      <c r="E9" s="64" t="s">
        <v>599</v>
      </c>
      <c r="F9" s="65">
        <v>0</v>
      </c>
      <c r="G9" s="66">
        <v>15.208722709</v>
      </c>
      <c r="H9" s="66">
        <v>17.6176514</v>
      </c>
      <c r="I9" s="67">
        <f t="shared" si="0"/>
        <v>1.7187971763131787E-2</v>
      </c>
      <c r="J9" s="67" t="s">
        <v>580</v>
      </c>
      <c r="K9" s="68">
        <v>0.15839125593199732</v>
      </c>
      <c r="L9" s="69">
        <v>7.9591184989657116E-2</v>
      </c>
      <c r="M9" s="68">
        <v>0.10670952200889589</v>
      </c>
      <c r="N9" s="69">
        <v>5.4228439927101149E-2</v>
      </c>
      <c r="O9" s="81"/>
    </row>
    <row r="10" spans="1:18" x14ac:dyDescent="0.35">
      <c r="A10" s="126" t="s">
        <v>498</v>
      </c>
      <c r="B10" s="343" t="s">
        <v>262</v>
      </c>
      <c r="C10" s="208" t="s">
        <v>516</v>
      </c>
      <c r="D10" s="208" t="s">
        <v>76</v>
      </c>
      <c r="E10" s="64" t="s">
        <v>600</v>
      </c>
      <c r="F10" s="65">
        <v>99995</v>
      </c>
      <c r="G10" s="66">
        <v>10</v>
      </c>
      <c r="H10" s="66">
        <v>11.128743535000002</v>
      </c>
      <c r="I10" s="67">
        <f t="shared" si="0"/>
        <v>1.0857322880092602E-2</v>
      </c>
      <c r="J10" s="67" t="s">
        <v>298</v>
      </c>
      <c r="K10" s="68">
        <v>0.11287435350000008</v>
      </c>
      <c r="L10" s="69">
        <v>1.9793346239894705E-2</v>
      </c>
      <c r="M10" s="68">
        <v>8.0529394745826738E-2</v>
      </c>
      <c r="N10" s="69">
        <v>1.4295670390129092E-2</v>
      </c>
      <c r="O10" s="81"/>
    </row>
    <row r="11" spans="1:18" x14ac:dyDescent="0.35">
      <c r="A11" s="126" t="s">
        <v>498</v>
      </c>
      <c r="B11" s="343" t="s">
        <v>299</v>
      </c>
      <c r="C11" s="208" t="s">
        <v>516</v>
      </c>
      <c r="D11" s="208" t="s">
        <v>79</v>
      </c>
      <c r="E11" s="468" t="s">
        <v>601</v>
      </c>
      <c r="F11" s="65">
        <v>12993094.824999999</v>
      </c>
      <c r="G11" s="66">
        <v>15.000042508</v>
      </c>
      <c r="H11" s="66">
        <v>16.008922064830749</v>
      </c>
      <c r="I11" s="67">
        <f t="shared" si="0"/>
        <v>1.5618477977631476E-2</v>
      </c>
      <c r="J11" s="67" t="s">
        <v>298</v>
      </c>
      <c r="K11" s="525">
        <v>6.7258446520580328E-2</v>
      </c>
      <c r="L11" s="526">
        <v>-0.10187298109908494</v>
      </c>
      <c r="M11" s="525">
        <v>0.14816978573799136</v>
      </c>
      <c r="N11" s="526">
        <v>-0.20571077291724804</v>
      </c>
      <c r="O11" s="81"/>
    </row>
    <row r="12" spans="1:18" ht="58.15" x14ac:dyDescent="0.35">
      <c r="A12" s="126" t="s">
        <v>497</v>
      </c>
      <c r="B12" s="343" t="s">
        <v>185</v>
      </c>
      <c r="C12" s="208" t="s">
        <v>516</v>
      </c>
      <c r="D12" s="208" t="s">
        <v>585</v>
      </c>
      <c r="E12" s="64" t="s">
        <v>584</v>
      </c>
      <c r="F12" s="65">
        <v>17123356.267999999</v>
      </c>
      <c r="G12" s="66">
        <v>25.318414809223999</v>
      </c>
      <c r="H12" s="66">
        <v>27.174766397315999</v>
      </c>
      <c r="I12" s="67">
        <f t="shared" si="0"/>
        <v>2.6511996798095912E-2</v>
      </c>
      <c r="J12" s="67" t="s">
        <v>298</v>
      </c>
      <c r="K12" s="68">
        <v>7.3320213847499316E-2</v>
      </c>
      <c r="L12" s="69">
        <v>-3.82316019938711E-3</v>
      </c>
      <c r="M12" s="68">
        <v>6.6808715462684631E-2</v>
      </c>
      <c r="N12" s="69">
        <v>-3.5201839167817131E-3</v>
      </c>
      <c r="O12" s="81"/>
    </row>
    <row r="13" spans="1:18" ht="23.25" x14ac:dyDescent="0.35">
      <c r="A13" s="126" t="s">
        <v>497</v>
      </c>
      <c r="B13" s="343" t="s">
        <v>268</v>
      </c>
      <c r="C13" s="208" t="s">
        <v>530</v>
      </c>
      <c r="D13" s="208" t="s">
        <v>587</v>
      </c>
      <c r="E13" s="64" t="s">
        <v>586</v>
      </c>
      <c r="F13" s="65">
        <v>6446386.9350000005</v>
      </c>
      <c r="G13" s="66">
        <v>24.854421020454001</v>
      </c>
      <c r="H13" s="66">
        <v>25.418103684705002</v>
      </c>
      <c r="I13" s="67">
        <f t="shared" si="0"/>
        <v>2.4798177605277492E-2</v>
      </c>
      <c r="J13" s="67" t="s">
        <v>298</v>
      </c>
      <c r="K13" s="68">
        <v>3.5939997946309532E-2</v>
      </c>
      <c r="L13" s="69">
        <v>4.8954900959032432E-2</v>
      </c>
      <c r="M13" s="68">
        <v>5.5750164389610293E-2</v>
      </c>
      <c r="N13" s="69">
        <v>7.6058045029640212E-2</v>
      </c>
      <c r="O13" s="81"/>
    </row>
    <row r="14" spans="1:18" x14ac:dyDescent="0.35">
      <c r="A14" s="126" t="s">
        <v>497</v>
      </c>
      <c r="B14" s="343" t="s">
        <v>418</v>
      </c>
      <c r="C14" s="208" t="s">
        <v>530</v>
      </c>
      <c r="D14" s="208" t="s">
        <v>76</v>
      </c>
      <c r="E14" s="64" t="s">
        <v>588</v>
      </c>
      <c r="F14" s="65">
        <v>61946.481</v>
      </c>
      <c r="G14" s="66">
        <v>1.586041775704</v>
      </c>
      <c r="H14" s="66">
        <v>2.5003334233067998</v>
      </c>
      <c r="I14" s="67">
        <f t="shared" si="0"/>
        <v>2.4393524030230222E-3</v>
      </c>
      <c r="J14" s="67" t="s">
        <v>298</v>
      </c>
      <c r="K14" s="68">
        <v>0.576461264519323</v>
      </c>
      <c r="L14" s="68">
        <v>0.49445855371274305</v>
      </c>
      <c r="M14" s="68">
        <v>0.23195325732231142</v>
      </c>
      <c r="N14" s="69">
        <v>0.20958737730979921</v>
      </c>
      <c r="O14" s="81"/>
    </row>
    <row r="15" spans="1:18" ht="23.25" x14ac:dyDescent="0.35">
      <c r="A15" s="126" t="s">
        <v>497</v>
      </c>
      <c r="B15" s="344" t="s">
        <v>419</v>
      </c>
      <c r="C15" s="208" t="s">
        <v>516</v>
      </c>
      <c r="D15" s="208" t="s">
        <v>590</v>
      </c>
      <c r="E15" s="468" t="s">
        <v>589</v>
      </c>
      <c r="F15" s="65">
        <v>1517142.8540000005</v>
      </c>
      <c r="G15" s="66">
        <v>24.380016155124295</v>
      </c>
      <c r="H15" s="66">
        <v>24.782831948660803</v>
      </c>
      <c r="I15" s="67">
        <f t="shared" si="0"/>
        <v>2.4178399610292108E-2</v>
      </c>
      <c r="J15" s="67" t="s">
        <v>298</v>
      </c>
      <c r="K15" s="68">
        <v>1.6522375989149518E-2</v>
      </c>
      <c r="L15" s="69">
        <v>1.9394611179461174E-2</v>
      </c>
      <c r="M15" s="68"/>
      <c r="N15" s="69"/>
      <c r="O15" s="81"/>
    </row>
    <row r="16" spans="1:18" ht="23.25" x14ac:dyDescent="0.35">
      <c r="A16" s="126" t="s">
        <v>497</v>
      </c>
      <c r="B16" s="344" t="s">
        <v>420</v>
      </c>
      <c r="C16" s="208" t="s">
        <v>516</v>
      </c>
      <c r="D16" s="208" t="s">
        <v>591</v>
      </c>
      <c r="E16" s="468" t="s">
        <v>589</v>
      </c>
      <c r="F16" s="65">
        <v>4795641.6979999999</v>
      </c>
      <c r="G16" s="66">
        <v>9.9995000250008985</v>
      </c>
      <c r="H16" s="66">
        <v>10.236297204381</v>
      </c>
      <c r="I16" s="67">
        <f t="shared" si="0"/>
        <v>9.9866425616711597E-3</v>
      </c>
      <c r="J16" s="67" t="s">
        <v>298</v>
      </c>
      <c r="K16" s="68">
        <v>2.3680901923901931E-2</v>
      </c>
      <c r="L16" s="69">
        <v>1.2127361470444686E-2</v>
      </c>
      <c r="M16" s="68"/>
      <c r="N16" s="69"/>
      <c r="O16" s="81"/>
    </row>
    <row r="17" spans="1:15" x14ac:dyDescent="0.35">
      <c r="A17" s="126"/>
      <c r="B17" s="341" t="s">
        <v>20</v>
      </c>
      <c r="C17" s="342"/>
      <c r="D17" s="342"/>
      <c r="E17" s="58">
        <v>42997</v>
      </c>
      <c r="F17" s="59"/>
      <c r="G17" s="60">
        <f>SUM(G18:G20)</f>
        <v>183.99972500737104</v>
      </c>
      <c r="H17" s="60">
        <f>SUM(H18:H20)</f>
        <v>246.7578324809898</v>
      </c>
      <c r="I17" s="61">
        <f>SUM(I18:I20)</f>
        <v>0.24073961737118135</v>
      </c>
      <c r="J17" s="61"/>
      <c r="K17" s="219">
        <v>0.34116363302229957</v>
      </c>
      <c r="L17" s="219">
        <v>4.5401409240004131E-2</v>
      </c>
      <c r="M17" s="219">
        <v>0.43341709971427922</v>
      </c>
      <c r="N17" s="384">
        <v>5.6590232253074649E-2</v>
      </c>
    </row>
    <row r="18" spans="1:15" ht="23.25" x14ac:dyDescent="0.35">
      <c r="A18" s="126" t="s">
        <v>498</v>
      </c>
      <c r="B18" s="343" t="s">
        <v>241</v>
      </c>
      <c r="C18" s="208" t="s">
        <v>539</v>
      </c>
      <c r="D18" s="208" t="s">
        <v>603</v>
      </c>
      <c r="E18" s="64" t="s">
        <v>602</v>
      </c>
      <c r="F18" s="65">
        <v>0</v>
      </c>
      <c r="G18" s="66">
        <v>24</v>
      </c>
      <c r="H18" s="66">
        <v>26.383246749999998</v>
      </c>
      <c r="I18" s="67">
        <f>H18/$H$73</f>
        <v>2.5739781646419595E-2</v>
      </c>
      <c r="J18" s="67" t="s">
        <v>580</v>
      </c>
      <c r="K18" s="68">
        <v>9.9964747291666489E-2</v>
      </c>
      <c r="L18" s="68">
        <v>2.7818461203684031E-2</v>
      </c>
      <c r="M18" s="68">
        <v>7.1813413500785836E-2</v>
      </c>
      <c r="N18" s="69">
        <v>2.0221009850502018E-2</v>
      </c>
    </row>
    <row r="19" spans="1:15" ht="32.549999999999997" customHeight="1" x14ac:dyDescent="0.35">
      <c r="A19" s="126" t="s">
        <v>497</v>
      </c>
      <c r="B19" s="343" t="s">
        <v>281</v>
      </c>
      <c r="C19" s="208" t="s">
        <v>538</v>
      </c>
      <c r="D19" s="208" t="s">
        <v>593</v>
      </c>
      <c r="E19" s="64" t="s">
        <v>592</v>
      </c>
      <c r="F19" s="65">
        <v>0</v>
      </c>
      <c r="G19" s="66">
        <v>147.49972500737104</v>
      </c>
      <c r="H19" s="66">
        <v>204.48014363098983</v>
      </c>
      <c r="I19" s="67">
        <f>H19/$H$73</f>
        <v>0.19949304564231449</v>
      </c>
      <c r="J19" s="67" t="s">
        <v>254</v>
      </c>
      <c r="K19" s="525">
        <v>0.38630864308914004</v>
      </c>
      <c r="L19" s="525">
        <v>5.1790642029051037E-2</v>
      </c>
      <c r="M19" s="525">
        <v>0.59185677170753503</v>
      </c>
      <c r="N19" s="526">
        <v>7.4412158131599446E-2</v>
      </c>
    </row>
    <row r="20" spans="1:15" ht="24.5" customHeight="1" x14ac:dyDescent="0.35">
      <c r="A20" s="126" t="s">
        <v>498</v>
      </c>
      <c r="B20" s="343" t="s">
        <v>289</v>
      </c>
      <c r="C20" s="208" t="s">
        <v>516</v>
      </c>
      <c r="D20" s="208" t="s">
        <v>579</v>
      </c>
      <c r="E20" s="468" t="s">
        <v>604</v>
      </c>
      <c r="F20" s="65">
        <v>0</v>
      </c>
      <c r="G20" s="66">
        <v>12.5</v>
      </c>
      <c r="H20" s="66">
        <v>15.894442099999999</v>
      </c>
      <c r="I20" s="67">
        <f>H20/$H$73</f>
        <v>1.5506790082447262E-2</v>
      </c>
      <c r="J20" s="67" t="s">
        <v>580</v>
      </c>
      <c r="K20" s="525">
        <v>0.27155536800000002</v>
      </c>
      <c r="L20" s="525">
        <v>3.7678631183408751E-3</v>
      </c>
      <c r="M20" s="68"/>
      <c r="N20" s="69"/>
    </row>
    <row r="21" spans="1:15" x14ac:dyDescent="0.35">
      <c r="A21" s="126"/>
      <c r="B21" s="341" t="s">
        <v>19</v>
      </c>
      <c r="C21" s="342"/>
      <c r="D21" s="342"/>
      <c r="E21" s="58">
        <v>42997</v>
      </c>
      <c r="F21" s="59"/>
      <c r="G21" s="60">
        <f>SUM(G22:G26)</f>
        <v>96.675687679502403</v>
      </c>
      <c r="H21" s="60">
        <f>SUM(H22:H26)</f>
        <v>105.9862796978139</v>
      </c>
      <c r="I21" s="61">
        <f>SUM(I22:I26)</f>
        <v>0.10340136385746701</v>
      </c>
      <c r="J21" s="61"/>
      <c r="K21" s="219">
        <v>0.10094745417267648</v>
      </c>
      <c r="L21" s="219">
        <v>3.8213700815263874E-2</v>
      </c>
      <c r="M21" s="219">
        <v>1.6414567828178409E-2</v>
      </c>
      <c r="N21" s="384">
        <v>3.431437313556672E-2</v>
      </c>
    </row>
    <row r="22" spans="1:15" ht="11.55" customHeight="1" x14ac:dyDescent="0.35">
      <c r="A22" s="126" t="s">
        <v>28</v>
      </c>
      <c r="B22" s="343" t="s">
        <v>111</v>
      </c>
      <c r="C22" s="208" t="s">
        <v>631</v>
      </c>
      <c r="D22" s="208" t="s">
        <v>632</v>
      </c>
      <c r="E22" s="64" t="s">
        <v>630</v>
      </c>
      <c r="F22" s="65">
        <v>2437030.6140000001</v>
      </c>
      <c r="G22" s="66">
        <v>26.867901951302997</v>
      </c>
      <c r="H22" s="66">
        <v>29.582027007005998</v>
      </c>
      <c r="I22" s="67">
        <f>H22/$H$73</f>
        <v>2.8860546354812142E-2</v>
      </c>
      <c r="J22" s="67" t="s">
        <v>193</v>
      </c>
      <c r="K22" s="68">
        <v>0.10101737979475445</v>
      </c>
      <c r="L22" s="68">
        <v>6.5388883043550949E-2</v>
      </c>
      <c r="M22" s="68">
        <v>8.3728280663490307E-2</v>
      </c>
      <c r="N22" s="69">
        <v>5.5001130700111381E-2</v>
      </c>
      <c r="O22" s="81"/>
    </row>
    <row r="23" spans="1:15" ht="23.25" x14ac:dyDescent="0.35">
      <c r="A23" s="126" t="s">
        <v>28</v>
      </c>
      <c r="B23" s="343" t="s">
        <v>278</v>
      </c>
      <c r="C23" s="208" t="s">
        <v>634</v>
      </c>
      <c r="D23" s="208" t="s">
        <v>635</v>
      </c>
      <c r="E23" s="64" t="s">
        <v>633</v>
      </c>
      <c r="F23" s="65">
        <v>206861.50399999999</v>
      </c>
      <c r="G23" s="66">
        <v>7.2297464894178995</v>
      </c>
      <c r="H23" s="66">
        <v>10.869688673146401</v>
      </c>
      <c r="I23" s="67">
        <f>H23/$H$73</f>
        <v>1.0604586147508503E-2</v>
      </c>
      <c r="J23" s="67" t="s">
        <v>193</v>
      </c>
      <c r="K23" s="68">
        <v>0.49988855309936353</v>
      </c>
      <c r="L23" s="68">
        <v>0.35274614516264613</v>
      </c>
      <c r="M23" s="68">
        <v>0.13492340445518494</v>
      </c>
      <c r="N23" s="69">
        <v>9.9197882413864152E-2</v>
      </c>
      <c r="O23" s="81"/>
    </row>
    <row r="24" spans="1:15" ht="23.25" x14ac:dyDescent="0.35">
      <c r="A24" s="126" t="s">
        <v>28</v>
      </c>
      <c r="B24" s="343" t="s">
        <v>279</v>
      </c>
      <c r="C24" s="208" t="s">
        <v>634</v>
      </c>
      <c r="D24" s="208" t="s">
        <v>637</v>
      </c>
      <c r="E24" s="64" t="s">
        <v>636</v>
      </c>
      <c r="F24" s="65">
        <v>2610585.5499999998</v>
      </c>
      <c r="G24" s="66">
        <v>21.597723179637995</v>
      </c>
      <c r="H24" s="66">
        <v>22.317241029310001</v>
      </c>
      <c r="I24" s="67">
        <f>H24/$H$73</f>
        <v>2.1772942370898909E-2</v>
      </c>
      <c r="J24" s="67" t="s">
        <v>193</v>
      </c>
      <c r="K24" s="68">
        <v>3.7451584087075052E-2</v>
      </c>
      <c r="L24" s="68">
        <v>1.6809687182903765E-2</v>
      </c>
      <c r="M24" s="68">
        <v>4.4622710347175604E-2</v>
      </c>
      <c r="N24" s="69">
        <v>2.0225557684898376E-2</v>
      </c>
      <c r="O24" s="81"/>
    </row>
    <row r="25" spans="1:15" x14ac:dyDescent="0.35">
      <c r="A25" s="126" t="s">
        <v>28</v>
      </c>
      <c r="B25" s="343" t="s">
        <v>368</v>
      </c>
      <c r="C25" s="208" t="s">
        <v>516</v>
      </c>
      <c r="D25" s="208" t="s">
        <v>76</v>
      </c>
      <c r="E25" s="468" t="s">
        <v>638</v>
      </c>
      <c r="F25" s="65">
        <v>9320249.8650000002</v>
      </c>
      <c r="G25" s="66">
        <v>23.281984162770001</v>
      </c>
      <c r="H25" s="66">
        <v>23.179461414255002</v>
      </c>
      <c r="I25" s="67">
        <f>H25/$H$73</f>
        <v>2.2614133928930948E-2</v>
      </c>
      <c r="J25" s="67" t="s">
        <v>639</v>
      </c>
      <c r="K25" s="525">
        <v>-4.027668923054617E-3</v>
      </c>
      <c r="L25" s="525">
        <v>-6.1122933478176655E-2</v>
      </c>
      <c r="M25" s="525"/>
      <c r="N25" s="526"/>
      <c r="O25" s="81"/>
    </row>
    <row r="26" spans="1:15" ht="10.050000000000001" customHeight="1" x14ac:dyDescent="0.35">
      <c r="A26" s="126" t="s">
        <v>28</v>
      </c>
      <c r="B26" s="343" t="s">
        <v>180</v>
      </c>
      <c r="C26" s="208" t="s">
        <v>516</v>
      </c>
      <c r="D26" s="208" t="s">
        <v>587</v>
      </c>
      <c r="E26" s="64" t="s">
        <v>623</v>
      </c>
      <c r="F26" s="65">
        <v>12334787.056999998</v>
      </c>
      <c r="G26" s="66">
        <v>17.698331896373499</v>
      </c>
      <c r="H26" s="66">
        <v>20.037861574096503</v>
      </c>
      <c r="I26" s="67">
        <f>H26/$H$73</f>
        <v>1.9549155055316521E-2</v>
      </c>
      <c r="J26" s="67" t="s">
        <v>193</v>
      </c>
      <c r="K26" s="68">
        <v>0.13218927588324791</v>
      </c>
      <c r="L26" s="68">
        <v>1.1121137670063952E-2</v>
      </c>
      <c r="M26" s="68">
        <v>0.12581871151924137</v>
      </c>
      <c r="N26" s="69">
        <v>1.0808691382408146E-2</v>
      </c>
      <c r="O26" s="81"/>
    </row>
    <row r="27" spans="1:15" x14ac:dyDescent="0.35">
      <c r="A27" s="126"/>
      <c r="B27" s="341" t="s">
        <v>22</v>
      </c>
      <c r="C27" s="342"/>
      <c r="D27" s="342"/>
      <c r="E27" s="58">
        <v>173635</v>
      </c>
      <c r="F27" s="59"/>
      <c r="G27" s="60">
        <f>G28</f>
        <v>1</v>
      </c>
      <c r="H27" s="60">
        <f>H28</f>
        <v>1.1248248999999999</v>
      </c>
      <c r="I27" s="61">
        <f>SUM(I28)</f>
        <v>1.0973913707741734E-3</v>
      </c>
      <c r="J27" s="61"/>
      <c r="K27" s="219">
        <v>0.12482489999999991</v>
      </c>
      <c r="L27" s="219">
        <v>1.8808084897034227E-2</v>
      </c>
      <c r="M27" s="219">
        <v>7.2427824139595046E-2</v>
      </c>
      <c r="N27" s="384">
        <v>1.1138436198234559E-2</v>
      </c>
    </row>
    <row r="28" spans="1:15" x14ac:dyDescent="0.35">
      <c r="A28" s="126" t="s">
        <v>497</v>
      </c>
      <c r="B28" s="343" t="s">
        <v>240</v>
      </c>
      <c r="C28" s="208" t="s">
        <v>543</v>
      </c>
      <c r="D28" s="208" t="s">
        <v>76</v>
      </c>
      <c r="E28" s="64" t="s">
        <v>594</v>
      </c>
      <c r="F28" s="65">
        <v>0</v>
      </c>
      <c r="G28" s="66">
        <v>1</v>
      </c>
      <c r="H28" s="66">
        <v>1.1248248999999999</v>
      </c>
      <c r="I28" s="67">
        <f>H28/$H$73</f>
        <v>1.0973913707741734E-3</v>
      </c>
      <c r="J28" s="67" t="s">
        <v>580</v>
      </c>
      <c r="K28" s="68">
        <v>0.12482489999999991</v>
      </c>
      <c r="L28" s="68">
        <v>1.8808084897034227E-2</v>
      </c>
      <c r="M28" s="68">
        <v>7.2427824139595046E-2</v>
      </c>
      <c r="N28" s="69">
        <v>1.1138436198234559E-2</v>
      </c>
      <c r="O28" s="81"/>
    </row>
    <row r="29" spans="1:15" x14ac:dyDescent="0.35">
      <c r="A29" s="126" t="s">
        <v>498</v>
      </c>
      <c r="B29" s="341" t="s">
        <v>255</v>
      </c>
      <c r="C29" s="342" t="s">
        <v>277</v>
      </c>
      <c r="D29" s="342"/>
      <c r="E29" s="58">
        <v>882055</v>
      </c>
      <c r="F29" s="59"/>
      <c r="G29" s="60">
        <f>SUM(G30:G63)</f>
        <v>150.41405606943491</v>
      </c>
      <c r="H29" s="60">
        <f>SUM(H30:H63)</f>
        <v>222.35864952000006</v>
      </c>
      <c r="I29" s="61">
        <f>SUM(I30:I63)</f>
        <v>0.21693550987380067</v>
      </c>
      <c r="J29" s="61"/>
      <c r="K29" s="219">
        <v>0.43578584718611957</v>
      </c>
      <c r="L29" s="219">
        <v>6.9273634909743143E-2</v>
      </c>
      <c r="M29" s="219">
        <v>0.32026553750038167</v>
      </c>
      <c r="N29" s="384">
        <v>7.2169986367225658E-2</v>
      </c>
    </row>
    <row r="30" spans="1:15" outlineLevel="1" x14ac:dyDescent="0.35">
      <c r="A30" s="126"/>
      <c r="B30" s="343" t="s">
        <v>229</v>
      </c>
      <c r="C30" s="345" t="s">
        <v>516</v>
      </c>
      <c r="D30" s="345" t="s">
        <v>79</v>
      </c>
      <c r="E30" s="64" t="s">
        <v>605</v>
      </c>
      <c r="F30" s="65">
        <v>603</v>
      </c>
      <c r="G30" s="66">
        <v>9.0745031999999989E-2</v>
      </c>
      <c r="H30" s="66">
        <v>8.4419999999999995E-2</v>
      </c>
      <c r="I30" s="67">
        <f t="shared" ref="I30:I57" si="1">H30/$H$73</f>
        <v>8.2361067505489716E-5</v>
      </c>
      <c r="J30" s="67" t="s">
        <v>254</v>
      </c>
      <c r="K30" s="68">
        <v>-6.6140798445349813E-2</v>
      </c>
      <c r="L30" s="68">
        <v>7.782882372467026E-2</v>
      </c>
      <c r="M30" s="68">
        <v>-4.159937826054954E-2</v>
      </c>
      <c r="N30" s="69">
        <v>4.7544053196907049E-2</v>
      </c>
    </row>
    <row r="31" spans="1:15" outlineLevel="1" x14ac:dyDescent="0.35">
      <c r="A31" s="126"/>
      <c r="B31" s="343" t="s">
        <v>116</v>
      </c>
      <c r="C31" s="345" t="s">
        <v>516</v>
      </c>
      <c r="D31" s="345" t="s">
        <v>603</v>
      </c>
      <c r="E31" s="64" t="s">
        <v>606</v>
      </c>
      <c r="F31" s="65">
        <v>15193</v>
      </c>
      <c r="G31" s="66">
        <v>0.36973098800000004</v>
      </c>
      <c r="H31" s="66">
        <v>0.31274790499999999</v>
      </c>
      <c r="I31" s="67">
        <f t="shared" si="1"/>
        <v>3.0512024776007448E-4</v>
      </c>
      <c r="J31" s="67" t="s">
        <v>254</v>
      </c>
      <c r="K31" s="68">
        <v>-0.29805272059573062</v>
      </c>
      <c r="L31" s="68">
        <v>0.47520331497781076</v>
      </c>
      <c r="M31" s="68">
        <v>-0.16933851402174674</v>
      </c>
      <c r="N31" s="69">
        <v>0.22789279818534852</v>
      </c>
    </row>
    <row r="32" spans="1:15" outlineLevel="1" x14ac:dyDescent="0.35">
      <c r="A32" s="126"/>
      <c r="B32" s="343" t="s">
        <v>112</v>
      </c>
      <c r="C32" s="345" t="s">
        <v>516</v>
      </c>
      <c r="D32" s="345" t="s">
        <v>76</v>
      </c>
      <c r="E32" s="64" t="s">
        <v>607</v>
      </c>
      <c r="F32" s="65">
        <v>40000</v>
      </c>
      <c r="G32" s="66">
        <v>0</v>
      </c>
      <c r="H32" s="66">
        <v>15.462400000000001</v>
      </c>
      <c r="I32" s="67">
        <f t="shared" si="1"/>
        <v>1.5085285124341203E-2</v>
      </c>
      <c r="J32" s="67" t="s">
        <v>254</v>
      </c>
      <c r="K32" s="68">
        <v>3.3766660937246948</v>
      </c>
      <c r="L32" s="68">
        <v>0.153077208980122</v>
      </c>
      <c r="M32" s="68">
        <v>1.3370816588401797</v>
      </c>
      <c r="N32" s="69">
        <v>9.2957088351249703E-2</v>
      </c>
    </row>
    <row r="33" spans="1:14" outlineLevel="1" x14ac:dyDescent="0.35">
      <c r="A33" s="126"/>
      <c r="B33" s="343" t="s">
        <v>475</v>
      </c>
      <c r="C33" s="345" t="s">
        <v>596</v>
      </c>
      <c r="D33" s="345" t="s">
        <v>579</v>
      </c>
      <c r="E33" s="468" t="s">
        <v>626</v>
      </c>
      <c r="F33" s="65">
        <v>189934</v>
      </c>
      <c r="G33" s="66">
        <v>18.7715982</v>
      </c>
      <c r="H33" s="66">
        <v>25.917443969999997</v>
      </c>
      <c r="I33" s="67">
        <f t="shared" si="1"/>
        <v>2.5285339402782721E-2</v>
      </c>
      <c r="J33" s="67" t="s">
        <v>254</v>
      </c>
      <c r="K33" s="525">
        <v>0.38067327533145257</v>
      </c>
      <c r="L33" s="525">
        <v>8.3451406114884552E-2</v>
      </c>
      <c r="M33" s="525"/>
      <c r="N33" s="526"/>
    </row>
    <row r="34" spans="1:14" outlineLevel="1" x14ac:dyDescent="0.35">
      <c r="A34" s="126"/>
      <c r="B34" s="346" t="s">
        <v>207</v>
      </c>
      <c r="C34" s="345" t="s">
        <v>609</v>
      </c>
      <c r="D34" s="345" t="s">
        <v>76</v>
      </c>
      <c r="E34" s="64" t="s">
        <v>608</v>
      </c>
      <c r="F34" s="65">
        <v>25930</v>
      </c>
      <c r="G34" s="66">
        <v>2.5226066296159999</v>
      </c>
      <c r="H34" s="66">
        <v>4.0400236500000002</v>
      </c>
      <c r="I34" s="67">
        <f t="shared" si="1"/>
        <v>3.9414908855890194E-3</v>
      </c>
      <c r="J34" s="67" t="s">
        <v>254</v>
      </c>
      <c r="K34" s="68">
        <v>0.62054364798933759</v>
      </c>
      <c r="L34" s="68">
        <v>5.6710201447650377E-2</v>
      </c>
      <c r="M34" s="68">
        <v>0.29264398217201237</v>
      </c>
      <c r="N34" s="69">
        <v>2.9473164677619932E-2</v>
      </c>
    </row>
    <row r="35" spans="1:14" outlineLevel="1" x14ac:dyDescent="0.35">
      <c r="A35" s="126"/>
      <c r="B35" s="343" t="s">
        <v>379</v>
      </c>
      <c r="C35" s="345" t="s">
        <v>520</v>
      </c>
      <c r="D35" s="345" t="s">
        <v>76</v>
      </c>
      <c r="E35" s="468" t="s">
        <v>610</v>
      </c>
      <c r="F35" s="65">
        <v>180185</v>
      </c>
      <c r="G35" s="66">
        <v>17.687888099999999</v>
      </c>
      <c r="H35" s="66">
        <v>16.0328613</v>
      </c>
      <c r="I35" s="67">
        <f t="shared" si="1"/>
        <v>1.5641833355075265E-2</v>
      </c>
      <c r="J35" s="67" t="s">
        <v>254</v>
      </c>
      <c r="K35" s="68">
        <v>-9.356836670625468E-2</v>
      </c>
      <c r="L35" s="68">
        <v>3.0529841141492042E-2</v>
      </c>
      <c r="M35" s="68"/>
      <c r="N35" s="69"/>
    </row>
    <row r="36" spans="1:14" outlineLevel="1" x14ac:dyDescent="0.35">
      <c r="A36" s="126"/>
      <c r="B36" s="343" t="s">
        <v>174</v>
      </c>
      <c r="C36" s="345" t="s">
        <v>521</v>
      </c>
      <c r="D36" s="345" t="s">
        <v>76</v>
      </c>
      <c r="E36" s="64" t="s">
        <v>627</v>
      </c>
      <c r="F36" s="65">
        <v>262125</v>
      </c>
      <c r="G36" s="66">
        <v>1.6277249999999999</v>
      </c>
      <c r="H36" s="66">
        <v>1.6277250000000001</v>
      </c>
      <c r="I36" s="67">
        <f t="shared" si="1"/>
        <v>1.5880261621105576E-3</v>
      </c>
      <c r="J36" s="67" t="s">
        <v>254</v>
      </c>
      <c r="K36" s="68">
        <v>2.2204460492503131E-16</v>
      </c>
      <c r="L36" s="68">
        <v>0.27849009600652619</v>
      </c>
      <c r="M36" s="68">
        <v>-0.20421217805212996</v>
      </c>
      <c r="N36" s="69">
        <v>0.11246661543846131</v>
      </c>
    </row>
    <row r="37" spans="1:14" outlineLevel="1" x14ac:dyDescent="0.35">
      <c r="A37" s="126"/>
      <c r="B37" s="347" t="s">
        <v>300</v>
      </c>
      <c r="C37" s="345" t="s">
        <v>516</v>
      </c>
      <c r="D37" s="345" t="s">
        <v>76</v>
      </c>
      <c r="E37" s="468" t="s">
        <v>611</v>
      </c>
      <c r="F37" s="65">
        <v>15772</v>
      </c>
      <c r="G37" s="66">
        <v>2.386563983607104</v>
      </c>
      <c r="H37" s="66">
        <v>2.0363229199999999</v>
      </c>
      <c r="I37" s="67">
        <f t="shared" si="1"/>
        <v>1.9866587239646522E-3</v>
      </c>
      <c r="J37" s="67" t="s">
        <v>254</v>
      </c>
      <c r="K37" s="68">
        <v>-0.26925924262470968</v>
      </c>
      <c r="L37" s="68">
        <v>-1.3144242780150472E-2</v>
      </c>
      <c r="M37" s="324"/>
      <c r="N37" s="323"/>
    </row>
    <row r="38" spans="1:14" outlineLevel="1" x14ac:dyDescent="0.35">
      <c r="A38" s="126"/>
      <c r="B38" s="343" t="s">
        <v>230</v>
      </c>
      <c r="C38" s="345" t="s">
        <v>516</v>
      </c>
      <c r="D38" s="345" t="s">
        <v>79</v>
      </c>
      <c r="E38" s="64" t="s">
        <v>605</v>
      </c>
      <c r="F38" s="65">
        <v>8000</v>
      </c>
      <c r="G38" s="66">
        <v>0.29772900000000002</v>
      </c>
      <c r="H38" s="66">
        <v>0.15423999999999999</v>
      </c>
      <c r="I38" s="67">
        <f t="shared" si="1"/>
        <v>1.5047821667906578E-4</v>
      </c>
      <c r="J38" s="67" t="s">
        <v>254</v>
      </c>
      <c r="K38" s="68">
        <v>-0.40075964823715537</v>
      </c>
      <c r="L38" s="68">
        <v>7.4973290533722148E-2</v>
      </c>
      <c r="M38" s="68">
        <v>-0.27978439976764491</v>
      </c>
      <c r="N38" s="69">
        <v>4.7128060460090646E-2</v>
      </c>
    </row>
    <row r="39" spans="1:14" outlineLevel="1" x14ac:dyDescent="0.35">
      <c r="A39" s="126"/>
      <c r="B39" s="343" t="s">
        <v>231</v>
      </c>
      <c r="C39" s="345" t="s">
        <v>520</v>
      </c>
      <c r="D39" s="345" t="s">
        <v>603</v>
      </c>
      <c r="E39" s="64" t="s">
        <v>612</v>
      </c>
      <c r="F39" s="65">
        <v>303260</v>
      </c>
      <c r="G39" s="66">
        <v>9.9681561999999992</v>
      </c>
      <c r="H39" s="66">
        <v>3.5238811999999999</v>
      </c>
      <c r="I39" s="67">
        <f t="shared" si="1"/>
        <v>3.4379367139839626E-3</v>
      </c>
      <c r="J39" s="67" t="s">
        <v>254</v>
      </c>
      <c r="K39" s="68">
        <v>-0.64648615759050809</v>
      </c>
      <c r="L39" s="68">
        <v>1.8308548377311329E-2</v>
      </c>
      <c r="M39" s="68">
        <v>-0.4885796583176909</v>
      </c>
      <c r="N39" s="69">
        <v>1.1768683791160587E-2</v>
      </c>
    </row>
    <row r="40" spans="1:14" outlineLevel="1" x14ac:dyDescent="0.35">
      <c r="A40" s="126"/>
      <c r="B40" s="343" t="s">
        <v>194</v>
      </c>
      <c r="C40" s="345" t="s">
        <v>520</v>
      </c>
      <c r="D40" s="345" t="s">
        <v>76</v>
      </c>
      <c r="E40" s="64" t="s">
        <v>613</v>
      </c>
      <c r="F40" s="65">
        <v>116979</v>
      </c>
      <c r="G40" s="66">
        <v>7.5000350000000005</v>
      </c>
      <c r="H40" s="66">
        <v>5.7957245549999996</v>
      </c>
      <c r="I40" s="67">
        <f t="shared" si="1"/>
        <v>5.6543717284716815E-3</v>
      </c>
      <c r="J40" s="67" t="s">
        <v>254</v>
      </c>
      <c r="K40" s="68">
        <v>-0.22724033221178308</v>
      </c>
      <c r="L40" s="68">
        <v>0.13100728317173593</v>
      </c>
      <c r="M40" s="68">
        <v>-0.14457367098431134</v>
      </c>
      <c r="N40" s="69">
        <v>7.5575730204582206E-2</v>
      </c>
    </row>
    <row r="41" spans="1:14" outlineLevel="1" x14ac:dyDescent="0.35">
      <c r="A41" s="126"/>
      <c r="B41" s="347" t="s">
        <v>179</v>
      </c>
      <c r="C41" s="345" t="s">
        <v>609</v>
      </c>
      <c r="D41" s="345" t="s">
        <v>76</v>
      </c>
      <c r="E41" s="64" t="s">
        <v>614</v>
      </c>
      <c r="F41" s="65">
        <v>19483</v>
      </c>
      <c r="G41" s="66">
        <v>5.4945528909999988</v>
      </c>
      <c r="H41" s="66">
        <v>10.05692977</v>
      </c>
      <c r="I41" s="67">
        <f t="shared" si="1"/>
        <v>9.8116497475117179E-3</v>
      </c>
      <c r="J41" s="67" t="s">
        <v>254</v>
      </c>
      <c r="K41" s="68">
        <v>0.83195629738820243</v>
      </c>
      <c r="L41" s="68">
        <v>6.3249664491896951E-2</v>
      </c>
      <c r="M41" s="68">
        <v>0.50014291405677802</v>
      </c>
      <c r="N41" s="69">
        <v>4.2839798331260684E-2</v>
      </c>
    </row>
    <row r="42" spans="1:14" outlineLevel="1" x14ac:dyDescent="0.35">
      <c r="A42" s="126"/>
      <c r="B42" s="343" t="s">
        <v>249</v>
      </c>
      <c r="C42" s="345" t="s">
        <v>609</v>
      </c>
      <c r="D42" s="345" t="s">
        <v>76</v>
      </c>
      <c r="E42" s="64" t="s">
        <v>615</v>
      </c>
      <c r="F42" s="65">
        <v>583020</v>
      </c>
      <c r="G42" s="66">
        <v>19.271125926000003</v>
      </c>
      <c r="H42" s="66">
        <v>33.899697900000007</v>
      </c>
      <c r="I42" s="67">
        <f t="shared" si="1"/>
        <v>3.3072912901653741E-2</v>
      </c>
      <c r="J42" s="67" t="s">
        <v>254</v>
      </c>
      <c r="K42" s="68">
        <v>0.75909274996037435</v>
      </c>
      <c r="L42" s="68">
        <v>6.5319297890333194E-2</v>
      </c>
      <c r="M42" s="68">
        <v>0.63026348948478694</v>
      </c>
      <c r="N42" s="69">
        <v>5.8052888512611395E-2</v>
      </c>
    </row>
    <row r="43" spans="1:14" outlineLevel="1" x14ac:dyDescent="0.35">
      <c r="A43" s="126"/>
      <c r="B43" s="343" t="s">
        <v>117</v>
      </c>
      <c r="C43" s="345" t="s">
        <v>609</v>
      </c>
      <c r="D43" s="345" t="s">
        <v>76</v>
      </c>
      <c r="E43" s="64" t="s">
        <v>616</v>
      </c>
      <c r="F43" s="65">
        <v>151270</v>
      </c>
      <c r="G43" s="66">
        <v>15.182156491000001</v>
      </c>
      <c r="H43" s="66">
        <v>25.0533374</v>
      </c>
      <c r="I43" s="67">
        <f t="shared" si="1"/>
        <v>2.4442307662156011E-2</v>
      </c>
      <c r="J43" s="67" t="s">
        <v>254</v>
      </c>
      <c r="K43" s="68">
        <v>0.65085738741118337</v>
      </c>
      <c r="L43" s="68">
        <v>-0.11210565659658489</v>
      </c>
      <c r="M43" s="68">
        <v>0.50582085251808173</v>
      </c>
      <c r="N43" s="69">
        <v>5.0758591294288641E-2</v>
      </c>
    </row>
    <row r="44" spans="1:14" outlineLevel="1" x14ac:dyDescent="0.35">
      <c r="A44" s="126"/>
      <c r="B44" s="477" t="s">
        <v>545</v>
      </c>
      <c r="C44" s="345" t="s">
        <v>516</v>
      </c>
      <c r="D44" s="345" t="s">
        <v>76</v>
      </c>
      <c r="E44" s="468" t="s">
        <v>640</v>
      </c>
      <c r="F44" s="65">
        <v>4878</v>
      </c>
      <c r="G44" s="66">
        <v>0.886061707507104</v>
      </c>
      <c r="H44" s="66">
        <v>0.92313710999999998</v>
      </c>
      <c r="I44" s="67">
        <f t="shared" ref="I44:I45" si="2">H44/$H$73</f>
        <v>9.0062257561635505E-4</v>
      </c>
      <c r="J44" s="67" t="s">
        <v>254</v>
      </c>
      <c r="K44" s="68">
        <v>4.1842912495571039E-2</v>
      </c>
      <c r="L44" s="68">
        <v>2.043653752167307E-3</v>
      </c>
      <c r="M44" s="68">
        <v>2.2833663225173955</v>
      </c>
      <c r="N44" s="69">
        <v>6.1001721024513247E-2</v>
      </c>
    </row>
    <row r="45" spans="1:14" outlineLevel="1" x14ac:dyDescent="0.35">
      <c r="A45" s="126"/>
      <c r="B45" s="477" t="s">
        <v>546</v>
      </c>
      <c r="C45" s="345" t="s">
        <v>516</v>
      </c>
      <c r="D45" s="345" t="s">
        <v>76</v>
      </c>
      <c r="E45" s="468" t="s">
        <v>640</v>
      </c>
      <c r="F45" s="65">
        <v>32000</v>
      </c>
      <c r="G45" s="66">
        <v>1.0034018550079999</v>
      </c>
      <c r="H45" s="66">
        <v>1.0311999999999999</v>
      </c>
      <c r="I45" s="67">
        <f t="shared" si="2"/>
        <v>1.0060499030047499E-3</v>
      </c>
      <c r="J45" s="67" t="s">
        <v>254</v>
      </c>
      <c r="K45" s="68">
        <v>2.7703900339887566E-2</v>
      </c>
      <c r="L45" s="68">
        <v>4.288894709271851E-3</v>
      </c>
      <c r="M45" s="68">
        <v>1.1538579583168032</v>
      </c>
      <c r="N45" s="69">
        <v>0.12767892479896545</v>
      </c>
    </row>
    <row r="46" spans="1:14" outlineLevel="1" x14ac:dyDescent="0.35">
      <c r="A46" s="126"/>
      <c r="B46" s="343" t="s">
        <v>165</v>
      </c>
      <c r="C46" s="345" t="s">
        <v>516</v>
      </c>
      <c r="D46" s="345" t="s">
        <v>76</v>
      </c>
      <c r="E46" s="64" t="s">
        <v>617</v>
      </c>
      <c r="F46" s="65">
        <v>4625</v>
      </c>
      <c r="G46" s="66">
        <v>4.5809306999999997</v>
      </c>
      <c r="H46" s="66">
        <v>8.6164675000000006</v>
      </c>
      <c r="I46" s="67">
        <f t="shared" si="1"/>
        <v>8.4063191355882288E-3</v>
      </c>
      <c r="J46" s="67" t="s">
        <v>254</v>
      </c>
      <c r="K46" s="68">
        <v>0.88248263611584443</v>
      </c>
      <c r="L46" s="68">
        <v>0.11527542320445239</v>
      </c>
      <c r="M46" s="68">
        <v>0.60834972262382514</v>
      </c>
      <c r="N46" s="69">
        <v>8.869355022907259E-2</v>
      </c>
    </row>
    <row r="47" spans="1:14" outlineLevel="1" x14ac:dyDescent="0.35">
      <c r="A47" s="126"/>
      <c r="B47" s="347" t="s">
        <v>177</v>
      </c>
      <c r="C47" s="345" t="s">
        <v>516</v>
      </c>
      <c r="D47" s="345" t="s">
        <v>76</v>
      </c>
      <c r="E47" s="64" t="s">
        <v>618</v>
      </c>
      <c r="F47" s="65">
        <v>9500</v>
      </c>
      <c r="G47" s="66">
        <v>0.94680989999999998</v>
      </c>
      <c r="H47" s="66">
        <v>1.7165075000000001</v>
      </c>
      <c r="I47" s="67">
        <f t="shared" si="1"/>
        <v>1.6746433319258399E-3</v>
      </c>
      <c r="J47" s="67" t="s">
        <v>254</v>
      </c>
      <c r="K47" s="68">
        <v>0.8557817149989666</v>
      </c>
      <c r="L47" s="68">
        <v>8.9868932716834493E-2</v>
      </c>
      <c r="M47" s="68">
        <v>0.36995773911476149</v>
      </c>
      <c r="N47" s="69">
        <v>4.3723109364509599E-2</v>
      </c>
    </row>
    <row r="48" spans="1:14" outlineLevel="1" x14ac:dyDescent="0.35">
      <c r="A48" s="126"/>
      <c r="B48" s="385" t="s">
        <v>292</v>
      </c>
      <c r="C48" s="345" t="s">
        <v>520</v>
      </c>
      <c r="D48" s="345" t="s">
        <v>76</v>
      </c>
      <c r="E48" s="468" t="s">
        <v>619</v>
      </c>
      <c r="F48" s="65">
        <v>59000</v>
      </c>
      <c r="G48" s="66">
        <v>1.0029999999999999</v>
      </c>
      <c r="H48" s="66">
        <v>3.6830750000000001</v>
      </c>
      <c r="I48" s="67">
        <f t="shared" si="1"/>
        <v>3.593247911665264E-3</v>
      </c>
      <c r="J48" s="67" t="s">
        <v>254</v>
      </c>
      <c r="K48" s="68">
        <v>2.672058823529412</v>
      </c>
      <c r="L48" s="68">
        <v>0.17715311316081661</v>
      </c>
      <c r="M48" s="68">
        <v>1.9418343782424925</v>
      </c>
      <c r="N48" s="69">
        <v>0.14487785696983338</v>
      </c>
    </row>
    <row r="49" spans="1:14" outlineLevel="1" x14ac:dyDescent="0.35">
      <c r="A49" s="126"/>
      <c r="B49" s="386" t="s">
        <v>302</v>
      </c>
      <c r="C49" s="345" t="s">
        <v>516</v>
      </c>
      <c r="D49" s="345" t="s">
        <v>77</v>
      </c>
      <c r="E49" s="468" t="s">
        <v>620</v>
      </c>
      <c r="F49" s="65">
        <v>180000</v>
      </c>
      <c r="G49" s="66">
        <v>9.4396845219884984</v>
      </c>
      <c r="H49" s="66">
        <v>10.03806</v>
      </c>
      <c r="I49" s="67">
        <f t="shared" si="1"/>
        <v>9.7932401952636368E-3</v>
      </c>
      <c r="J49" s="67" t="s">
        <v>254</v>
      </c>
      <c r="K49" s="68">
        <v>6.338935126673606E-2</v>
      </c>
      <c r="L49" s="68">
        <v>0.14383958265695762</v>
      </c>
      <c r="M49" s="324"/>
      <c r="N49" s="69"/>
    </row>
    <row r="50" spans="1:14" outlineLevel="1" x14ac:dyDescent="0.35">
      <c r="A50" s="126"/>
      <c r="B50" s="343" t="s">
        <v>290</v>
      </c>
      <c r="C50" s="345" t="s">
        <v>529</v>
      </c>
      <c r="D50" s="345" t="s">
        <v>603</v>
      </c>
      <c r="E50" s="64" t="s">
        <v>621</v>
      </c>
      <c r="F50" s="65">
        <v>288889</v>
      </c>
      <c r="G50" s="66">
        <v>13.000005000000002</v>
      </c>
      <c r="H50" s="66">
        <v>14.025560949999999</v>
      </c>
      <c r="I50" s="67">
        <f t="shared" si="1"/>
        <v>1.3683489365142271E-2</v>
      </c>
      <c r="J50" s="67" t="s">
        <v>254</v>
      </c>
      <c r="K50" s="68">
        <v>7.8888888888888786E-2</v>
      </c>
      <c r="L50" s="68">
        <v>8.8763044632915733E-3</v>
      </c>
      <c r="M50" s="68">
        <v>4.369799792766571E-2</v>
      </c>
      <c r="N50" s="69">
        <v>4.9901217222213757E-3</v>
      </c>
    </row>
    <row r="51" spans="1:14" outlineLevel="1" x14ac:dyDescent="0.35">
      <c r="A51" s="126"/>
      <c r="B51" s="343" t="s">
        <v>242</v>
      </c>
      <c r="C51" s="345" t="s">
        <v>529</v>
      </c>
      <c r="D51" s="345" t="s">
        <v>76</v>
      </c>
      <c r="E51" s="355" t="s">
        <v>394</v>
      </c>
      <c r="F51" s="65">
        <v>1140</v>
      </c>
      <c r="G51" s="66">
        <v>3.6594000000000002E-2</v>
      </c>
      <c r="H51" s="66">
        <v>3.6594000000000002E-2</v>
      </c>
      <c r="I51" s="67">
        <f t="shared" si="1"/>
        <v>3.5701503249181371E-5</v>
      </c>
      <c r="J51" s="67" t="s">
        <v>254</v>
      </c>
      <c r="K51" s="355"/>
      <c r="L51" s="355"/>
      <c r="M51" s="355"/>
      <c r="N51" s="387"/>
    </row>
    <row r="52" spans="1:14" outlineLevel="1" x14ac:dyDescent="0.35">
      <c r="A52" s="126"/>
      <c r="B52" s="343" t="s">
        <v>208</v>
      </c>
      <c r="C52" s="345" t="s">
        <v>529</v>
      </c>
      <c r="D52" s="345" t="s">
        <v>76</v>
      </c>
      <c r="E52" s="355" t="s">
        <v>394</v>
      </c>
      <c r="F52" s="65">
        <v>1140</v>
      </c>
      <c r="G52" s="66">
        <v>5.586E-2</v>
      </c>
      <c r="H52" s="66">
        <v>5.586E-2</v>
      </c>
      <c r="I52" s="67">
        <f t="shared" si="1"/>
        <v>5.4497621782239469E-5</v>
      </c>
      <c r="J52" s="67" t="s">
        <v>254</v>
      </c>
      <c r="K52" s="355"/>
      <c r="L52" s="355"/>
      <c r="M52" s="355"/>
      <c r="N52" s="387"/>
    </row>
    <row r="53" spans="1:14" outlineLevel="1" x14ac:dyDescent="0.35">
      <c r="A53" s="126"/>
      <c r="B53" s="343" t="s">
        <v>209</v>
      </c>
      <c r="C53" s="345" t="s">
        <v>529</v>
      </c>
      <c r="D53" s="345" t="s">
        <v>76</v>
      </c>
      <c r="E53" s="355" t="s">
        <v>394</v>
      </c>
      <c r="F53" s="65">
        <v>1850</v>
      </c>
      <c r="G53" s="66">
        <v>0.11361775</v>
      </c>
      <c r="H53" s="66">
        <v>0.11361775</v>
      </c>
      <c r="I53" s="67">
        <f t="shared" si="1"/>
        <v>1.1084670904491656E-4</v>
      </c>
      <c r="J53" s="67" t="s">
        <v>254</v>
      </c>
      <c r="K53" s="355"/>
      <c r="L53" s="355"/>
      <c r="M53" s="355"/>
      <c r="N53" s="387"/>
    </row>
    <row r="54" spans="1:14" outlineLevel="1" x14ac:dyDescent="0.35">
      <c r="A54" s="126"/>
      <c r="B54" s="343" t="s">
        <v>341</v>
      </c>
      <c r="C54" s="345" t="s">
        <v>529</v>
      </c>
      <c r="D54" s="345" t="s">
        <v>76</v>
      </c>
      <c r="E54" s="355" t="s">
        <v>394</v>
      </c>
      <c r="F54" s="65">
        <v>1850</v>
      </c>
      <c r="G54" s="66">
        <v>4.2475999999999998E-3</v>
      </c>
      <c r="H54" s="66">
        <v>4.2475999999999998E-3</v>
      </c>
      <c r="I54" s="67">
        <f t="shared" si="1"/>
        <v>4.1440046237422194E-6</v>
      </c>
      <c r="J54" s="67" t="s">
        <v>254</v>
      </c>
      <c r="K54" s="355"/>
      <c r="L54" s="355"/>
      <c r="M54" s="355"/>
      <c r="N54" s="387"/>
    </row>
    <row r="55" spans="1:14" outlineLevel="1" x14ac:dyDescent="0.35">
      <c r="A55" s="126"/>
      <c r="B55" s="385" t="s">
        <v>301</v>
      </c>
      <c r="C55" s="345" t="s">
        <v>516</v>
      </c>
      <c r="D55" s="345" t="s">
        <v>76</v>
      </c>
      <c r="E55" s="468" t="s">
        <v>601</v>
      </c>
      <c r="F55" s="65">
        <v>21185</v>
      </c>
      <c r="G55" s="66">
        <v>2.2300749552991519</v>
      </c>
      <c r="H55" s="66">
        <v>2.53012455</v>
      </c>
      <c r="I55" s="67">
        <f t="shared" si="1"/>
        <v>2.4684169492992991E-3</v>
      </c>
      <c r="J55" s="67" t="s">
        <v>254</v>
      </c>
      <c r="K55" s="68">
        <v>0.13509478413941212</v>
      </c>
      <c r="L55" s="68">
        <v>6.6167369160046619E-2</v>
      </c>
      <c r="M55" s="325"/>
      <c r="N55" s="326"/>
    </row>
    <row r="56" spans="1:14" outlineLevel="1" x14ac:dyDescent="0.35">
      <c r="A56" s="126"/>
      <c r="B56" s="343" t="s">
        <v>113</v>
      </c>
      <c r="C56" s="345" t="s">
        <v>516</v>
      </c>
      <c r="D56" s="345" t="s">
        <v>76</v>
      </c>
      <c r="E56" s="64" t="s">
        <v>622</v>
      </c>
      <c r="F56" s="65">
        <v>21750</v>
      </c>
      <c r="G56" s="66">
        <v>2.4795522241739998</v>
      </c>
      <c r="H56" s="66">
        <v>3.0563099999999999</v>
      </c>
      <c r="I56" s="67">
        <f t="shared" si="1"/>
        <v>2.9817691806171913E-3</v>
      </c>
      <c r="J56" s="67" t="s">
        <v>254</v>
      </c>
      <c r="K56" s="68">
        <v>0.33677765190212061</v>
      </c>
      <c r="L56" s="68">
        <v>0.64391933071006857</v>
      </c>
      <c r="M56" s="68">
        <v>0.1133603513240814</v>
      </c>
      <c r="N56" s="69">
        <v>0.19020486474037171</v>
      </c>
    </row>
    <row r="57" spans="1:14" outlineLevel="1" x14ac:dyDescent="0.35">
      <c r="A57" s="126"/>
      <c r="B57" s="343" t="s">
        <v>210</v>
      </c>
      <c r="C57" s="345" t="s">
        <v>609</v>
      </c>
      <c r="D57" s="345" t="s">
        <v>76</v>
      </c>
      <c r="E57" s="64" t="s">
        <v>623</v>
      </c>
      <c r="F57" s="65">
        <v>292000</v>
      </c>
      <c r="G57" s="66">
        <v>6.8212227884375416</v>
      </c>
      <c r="H57" s="66">
        <v>8.1993600000000004</v>
      </c>
      <c r="I57" s="67">
        <f t="shared" si="1"/>
        <v>7.9993845352027033E-3</v>
      </c>
      <c r="J57" s="67" t="s">
        <v>254</v>
      </c>
      <c r="K57" s="68">
        <v>0.39313878093941002</v>
      </c>
      <c r="L57" s="68">
        <v>6.5394196246965741E-2</v>
      </c>
      <c r="M57" s="68">
        <v>0.27076382040977476</v>
      </c>
      <c r="N57" s="69">
        <v>4.2134788632392894E-2</v>
      </c>
    </row>
    <row r="58" spans="1:14" outlineLevel="1" x14ac:dyDescent="0.35">
      <c r="A58" s="126"/>
      <c r="B58" s="343" t="s">
        <v>471</v>
      </c>
      <c r="C58" s="345" t="s">
        <v>609</v>
      </c>
      <c r="D58" s="345" t="s">
        <v>76</v>
      </c>
      <c r="E58" s="468" t="s">
        <v>601</v>
      </c>
      <c r="F58" s="65">
        <v>230000</v>
      </c>
      <c r="G58" s="66">
        <v>1.0672524975</v>
      </c>
      <c r="H58" s="66">
        <v>0.74289999999999989</v>
      </c>
      <c r="I58" s="67">
        <f t="shared" ref="I58:I64" si="3">H58/$H$73</f>
        <v>7.2478129649168805E-4</v>
      </c>
      <c r="J58" s="67" t="s">
        <v>254</v>
      </c>
      <c r="K58" s="68">
        <v>-0.73428470034517912</v>
      </c>
      <c r="L58" s="68">
        <v>7.4920278936118079E-2</v>
      </c>
      <c r="M58" s="68"/>
      <c r="N58" s="69"/>
    </row>
    <row r="59" spans="1:14" outlineLevel="1" x14ac:dyDescent="0.35">
      <c r="A59" s="126"/>
      <c r="B59" s="343" t="s">
        <v>472</v>
      </c>
      <c r="C59" s="345" t="s">
        <v>609</v>
      </c>
      <c r="D59" s="345" t="s">
        <v>76</v>
      </c>
      <c r="E59" s="468" t="s">
        <v>601</v>
      </c>
      <c r="F59" s="65">
        <v>230000</v>
      </c>
      <c r="G59" s="66">
        <v>1.5938776213716301</v>
      </c>
      <c r="H59" s="66">
        <v>0.92689999999999995</v>
      </c>
      <c r="I59" s="67">
        <f t="shared" si="3"/>
        <v>9.0429369190758615E-4</v>
      </c>
      <c r="J59" s="67" t="s">
        <v>254</v>
      </c>
      <c r="K59" s="68">
        <v>-0.41846225358108402</v>
      </c>
      <c r="L59" s="69">
        <v>5.6023710371125857E-2</v>
      </c>
      <c r="M59" s="68"/>
      <c r="N59" s="69"/>
    </row>
    <row r="60" spans="1:14" outlineLevel="1" x14ac:dyDescent="0.35">
      <c r="A60" s="126"/>
      <c r="B60" s="343" t="s">
        <v>473</v>
      </c>
      <c r="C60" s="345" t="s">
        <v>609</v>
      </c>
      <c r="D60" s="345" t="s">
        <v>76</v>
      </c>
      <c r="E60" s="468" t="s">
        <v>628</v>
      </c>
      <c r="F60" s="65">
        <v>230000</v>
      </c>
      <c r="G60" s="66">
        <v>0.93182542868415008</v>
      </c>
      <c r="H60" s="66">
        <v>10.3592</v>
      </c>
      <c r="I60" s="67">
        <f t="shared" si="3"/>
        <v>1.0106547861915057E-2</v>
      </c>
      <c r="J60" s="67" t="s">
        <v>254</v>
      </c>
      <c r="K60" s="68">
        <v>10.117103784802739</v>
      </c>
      <c r="L60" s="69">
        <v>5.6023710371125857E-2</v>
      </c>
      <c r="M60" s="68"/>
      <c r="N60" s="69"/>
    </row>
    <row r="61" spans="1:14" outlineLevel="1" x14ac:dyDescent="0.35">
      <c r="A61" s="126"/>
      <c r="B61" s="343" t="s">
        <v>474</v>
      </c>
      <c r="C61" s="345" t="s">
        <v>609</v>
      </c>
      <c r="D61" s="345" t="s">
        <v>76</v>
      </c>
      <c r="E61" s="468" t="s">
        <v>628</v>
      </c>
      <c r="F61" s="65">
        <v>230000</v>
      </c>
      <c r="G61" s="66">
        <v>0.88490834416299002</v>
      </c>
      <c r="H61" s="66">
        <v>0.81074999999999997</v>
      </c>
      <c r="I61" s="67">
        <f t="shared" si="3"/>
        <v>7.9097649230130051E-4</v>
      </c>
      <c r="J61" s="67" t="s">
        <v>254</v>
      </c>
      <c r="K61" s="68">
        <v>-8.3803418345133052E-2</v>
      </c>
      <c r="L61" s="69">
        <v>5.6023710371125857E-2</v>
      </c>
      <c r="M61" s="68"/>
      <c r="N61" s="69"/>
    </row>
    <row r="62" spans="1:14" outlineLevel="1" x14ac:dyDescent="0.35">
      <c r="A62" s="126"/>
      <c r="B62" s="343" t="s">
        <v>203</v>
      </c>
      <c r="C62" s="345" t="s">
        <v>520</v>
      </c>
      <c r="D62" s="345" t="s">
        <v>76</v>
      </c>
      <c r="E62" s="64" t="s">
        <v>624</v>
      </c>
      <c r="F62" s="65">
        <v>116462</v>
      </c>
      <c r="G62" s="66">
        <v>0.8411217340786642</v>
      </c>
      <c r="H62" s="66">
        <v>10.207311990000001</v>
      </c>
      <c r="I62" s="67">
        <f t="shared" si="3"/>
        <v>9.958364272186505E-3</v>
      </c>
      <c r="J62" s="67" t="s">
        <v>254</v>
      </c>
      <c r="K62" s="68">
        <v>12.207189503725957</v>
      </c>
      <c r="L62" s="68">
        <v>0.2351057238551455</v>
      </c>
      <c r="M62" s="68">
        <v>1.4417536139488223</v>
      </c>
      <c r="N62" s="69">
        <v>0.10043599009513857</v>
      </c>
    </row>
    <row r="63" spans="1:14" ht="12.5" customHeight="1" outlineLevel="1" x14ac:dyDescent="0.35">
      <c r="A63" s="126"/>
      <c r="B63" s="343" t="s">
        <v>159</v>
      </c>
      <c r="C63" s="345" t="s">
        <v>516</v>
      </c>
      <c r="D63" s="345" t="s">
        <v>579</v>
      </c>
      <c r="E63" s="64" t="s">
        <v>625</v>
      </c>
      <c r="F63" s="65">
        <v>62000</v>
      </c>
      <c r="G63" s="66">
        <v>1.323394</v>
      </c>
      <c r="H63" s="66">
        <v>1.2837099999999999</v>
      </c>
      <c r="I63" s="67">
        <f t="shared" si="3"/>
        <v>1.2524013973877306E-3</v>
      </c>
      <c r="J63" s="67" t="s">
        <v>254</v>
      </c>
      <c r="K63" s="68">
        <v>-2.9986534622342242E-2</v>
      </c>
      <c r="L63" s="68">
        <v>0.3435644136388567</v>
      </c>
      <c r="M63" s="68">
        <v>-1.2906021064930592E-2</v>
      </c>
      <c r="N63" s="69">
        <v>0.13305876851081849</v>
      </c>
    </row>
    <row r="64" spans="1:14" x14ac:dyDescent="0.35">
      <c r="A64" s="126" t="s">
        <v>498</v>
      </c>
      <c r="B64" s="348" t="s">
        <v>486</v>
      </c>
      <c r="C64" s="342"/>
      <c r="D64" s="342"/>
      <c r="E64" s="58"/>
      <c r="F64" s="59"/>
      <c r="G64" s="332">
        <v>1.0963804960000001</v>
      </c>
      <c r="H64" s="332">
        <v>0.84977725000000004</v>
      </c>
      <c r="I64" s="333">
        <f t="shared" si="3"/>
        <v>8.2905190063823058E-4</v>
      </c>
      <c r="J64" s="333"/>
      <c r="K64" s="62">
        <v>-7.2034374355866793E-2</v>
      </c>
      <c r="L64" s="62">
        <v>6.9722836680911282E-2</v>
      </c>
      <c r="M64" s="62">
        <v>-0.10054798951166917</v>
      </c>
      <c r="N64" s="63">
        <v>9.7778040170669572E-2</v>
      </c>
    </row>
    <row r="65" spans="1:14" x14ac:dyDescent="0.35">
      <c r="A65" s="126" t="s">
        <v>498</v>
      </c>
      <c r="B65" s="341" t="s">
        <v>14</v>
      </c>
      <c r="C65" s="342"/>
      <c r="D65" s="342"/>
      <c r="E65" s="58"/>
      <c r="F65" s="59"/>
      <c r="G65" s="60">
        <f>SUM(G66:G67)</f>
        <v>17.731315725000002</v>
      </c>
      <c r="H65" s="60">
        <f>SUM(H66:H67)</f>
        <v>21.640257625</v>
      </c>
      <c r="I65" s="61">
        <f>SUM(I66:I67)</f>
        <v>2.1112470020004902E-2</v>
      </c>
      <c r="J65" s="61"/>
      <c r="K65" s="219">
        <v>0.26617786639854768</v>
      </c>
      <c r="L65" s="219">
        <v>5.5932598445740611E-2</v>
      </c>
      <c r="M65" s="219">
        <v>0.17558800578117373</v>
      </c>
      <c r="N65" s="384">
        <v>3.8443562388420116E-2</v>
      </c>
    </row>
    <row r="66" spans="1:14" x14ac:dyDescent="0.35">
      <c r="A66" s="126"/>
      <c r="B66" s="343" t="s">
        <v>233</v>
      </c>
      <c r="C66" s="345" t="s">
        <v>516</v>
      </c>
      <c r="D66" s="345" t="s">
        <v>603</v>
      </c>
      <c r="E66" s="64" t="s">
        <v>605</v>
      </c>
      <c r="F66" s="65">
        <v>91000</v>
      </c>
      <c r="G66" s="66">
        <v>12.075700000000001</v>
      </c>
      <c r="H66" s="66">
        <v>15.029104999999999</v>
      </c>
      <c r="I66" s="67">
        <f>H66/$H$73</f>
        <v>1.4662557823407878E-2</v>
      </c>
      <c r="J66" s="67" t="s">
        <v>298</v>
      </c>
      <c r="K66" s="68">
        <v>0.2936708071800731</v>
      </c>
      <c r="L66" s="68">
        <v>5.8244655018981684E-2</v>
      </c>
      <c r="M66" s="68">
        <v>0.176773601770401</v>
      </c>
      <c r="N66" s="69">
        <v>3.6360618472099301E-2</v>
      </c>
    </row>
    <row r="67" spans="1:14" x14ac:dyDescent="0.35">
      <c r="A67" s="126"/>
      <c r="B67" s="343" t="s">
        <v>42</v>
      </c>
      <c r="C67" s="345" t="s">
        <v>516</v>
      </c>
      <c r="D67" s="345" t="s">
        <v>579</v>
      </c>
      <c r="E67" s="64" t="s">
        <v>629</v>
      </c>
      <c r="F67" s="65">
        <v>21175</v>
      </c>
      <c r="G67" s="66">
        <v>5.6556157249999996</v>
      </c>
      <c r="H67" s="66">
        <v>6.6111526250000008</v>
      </c>
      <c r="I67" s="67">
        <f>H67/$H$73</f>
        <v>6.4499121965970229E-3</v>
      </c>
      <c r="J67" s="67" t="s">
        <v>298</v>
      </c>
      <c r="K67" s="68">
        <v>0.16895364651034539</v>
      </c>
      <c r="L67" s="68">
        <v>4.7756394290023207E-2</v>
      </c>
      <c r="M67" s="68">
        <v>0.16892190575599672</v>
      </c>
      <c r="N67" s="69">
        <v>5.0939485430717482E-2</v>
      </c>
    </row>
    <row r="68" spans="1:14" x14ac:dyDescent="0.35">
      <c r="A68" s="126"/>
      <c r="B68" s="341" t="s">
        <v>15</v>
      </c>
      <c r="C68" s="341"/>
      <c r="D68" s="341"/>
      <c r="E68" s="58">
        <v>173635</v>
      </c>
      <c r="F68" s="59"/>
      <c r="G68" s="60">
        <f>SUM(G69:G70)</f>
        <v>27.086596</v>
      </c>
      <c r="H68" s="60">
        <f>SUM(H69:H70)</f>
        <v>64.32851565217392</v>
      </c>
      <c r="I68" s="61">
        <f>SUM(I69:I70)</f>
        <v>6.2759597490602323E-2</v>
      </c>
      <c r="J68" s="61"/>
      <c r="K68" s="219">
        <v>1.3749206305647976</v>
      </c>
      <c r="L68" s="219">
        <v>0.29941829110379725</v>
      </c>
      <c r="M68" s="219">
        <v>0.53955840468406691</v>
      </c>
      <c r="N68" s="384">
        <v>0.1576156795024872</v>
      </c>
    </row>
    <row r="69" spans="1:14" x14ac:dyDescent="0.35">
      <c r="A69" s="126" t="s">
        <v>497</v>
      </c>
      <c r="B69" s="343" t="s">
        <v>43</v>
      </c>
      <c r="C69" s="345" t="s">
        <v>596</v>
      </c>
      <c r="D69" s="345" t="s">
        <v>579</v>
      </c>
      <c r="E69" s="64" t="s">
        <v>595</v>
      </c>
      <c r="F69" s="65">
        <v>200000</v>
      </c>
      <c r="G69" s="66">
        <v>12.085000000000001</v>
      </c>
      <c r="H69" s="66">
        <v>41.5</v>
      </c>
      <c r="I69" s="67">
        <f>H69/$H$73</f>
        <v>4.0487850053042215E-2</v>
      </c>
      <c r="J69" s="67" t="s">
        <v>298</v>
      </c>
      <c r="K69" s="68">
        <v>2.4340091021928005</v>
      </c>
      <c r="L69" s="68">
        <v>0.51558468642342192</v>
      </c>
      <c r="M69" s="68">
        <v>0.46641997694969184</v>
      </c>
      <c r="N69" s="69">
        <v>0.13803429007530213</v>
      </c>
    </row>
    <row r="70" spans="1:14" x14ac:dyDescent="0.35">
      <c r="A70" s="126" t="s">
        <v>499</v>
      </c>
      <c r="B70" s="343" t="s">
        <v>232</v>
      </c>
      <c r="C70" s="345" t="s">
        <v>516</v>
      </c>
      <c r="D70" s="345" t="s">
        <v>76</v>
      </c>
      <c r="E70" s="64" t="s">
        <v>597</v>
      </c>
      <c r="F70" s="65">
        <v>4716</v>
      </c>
      <c r="G70" s="66">
        <v>15.001595999999999</v>
      </c>
      <c r="H70" s="66">
        <v>22.828515652173916</v>
      </c>
      <c r="I70" s="67">
        <f>H70/$H$73</f>
        <v>2.2271747437560111E-2</v>
      </c>
      <c r="J70" s="67" t="s">
        <v>298</v>
      </c>
      <c r="K70" s="68">
        <v>0.52173913043478293</v>
      </c>
      <c r="L70" s="68">
        <v>0.12527876038735419</v>
      </c>
      <c r="M70" s="68"/>
      <c r="N70" s="69"/>
    </row>
    <row r="71" spans="1:14" x14ac:dyDescent="0.35">
      <c r="B71" s="341" t="s">
        <v>21</v>
      </c>
      <c r="C71" s="342"/>
      <c r="D71" s="342"/>
      <c r="E71" s="58">
        <v>44407</v>
      </c>
      <c r="F71" s="59"/>
      <c r="G71" s="60">
        <f>G72</f>
        <v>0</v>
      </c>
      <c r="H71" s="60">
        <f>H72</f>
        <v>0.24478595399999997</v>
      </c>
      <c r="I71" s="61">
        <f>I72</f>
        <v>2.3881583134079248E-4</v>
      </c>
      <c r="J71" s="61"/>
      <c r="K71" s="62"/>
      <c r="L71" s="62"/>
      <c r="M71" s="62"/>
      <c r="N71" s="63"/>
    </row>
    <row r="72" spans="1:14" x14ac:dyDescent="0.35">
      <c r="A72" s="126"/>
      <c r="B72" s="349" t="s">
        <v>21</v>
      </c>
      <c r="C72" s="208">
        <v>0</v>
      </c>
      <c r="D72" s="208">
        <v>0</v>
      </c>
      <c r="E72" s="64">
        <v>44407</v>
      </c>
      <c r="F72" s="65">
        <v>0</v>
      </c>
      <c r="G72" s="66">
        <v>0</v>
      </c>
      <c r="H72" s="66">
        <v>0.24478595399999997</v>
      </c>
      <c r="I72" s="67">
        <f>H72/$H$73</f>
        <v>2.3881583134079248E-4</v>
      </c>
      <c r="J72" s="340"/>
      <c r="K72" s="324"/>
      <c r="L72" s="324"/>
      <c r="M72" s="324"/>
      <c r="N72" s="323"/>
    </row>
    <row r="73" spans="1:14" x14ac:dyDescent="0.35">
      <c r="A73" s="126"/>
      <c r="B73" s="470" t="s">
        <v>33</v>
      </c>
      <c r="C73" s="471"/>
      <c r="D73" s="471"/>
      <c r="E73" s="472">
        <v>2638063</v>
      </c>
      <c r="F73" s="473"/>
      <c r="G73" s="474">
        <f>G71+G21+G17+G68+G65+G29+G3+G64+G27</f>
        <v>810.70046645882167</v>
      </c>
      <c r="H73" s="474">
        <f>H71+H21+H17+H68+H65+H29+H3+H64+H27</f>
        <v>1024.9988563391682</v>
      </c>
      <c r="I73" s="476">
        <f>I71+I21+I17+I68+I65+I29+I3+I64+I27</f>
        <v>0.99999999999999989</v>
      </c>
      <c r="J73" s="475"/>
      <c r="K73" s="476">
        <f>'Portfolio Allocation'!P4</f>
        <v>0.26003126869671345</v>
      </c>
      <c r="L73" s="476">
        <f>'Portfolio Allocation'!Q4</f>
        <v>4.9233915543793749E-2</v>
      </c>
      <c r="M73" s="476">
        <f>'Portfolio Allocation'!S4</f>
        <v>0.22988720536231996</v>
      </c>
      <c r="N73" s="476">
        <f>'Portfolio Allocation'!T4</f>
        <v>5.1674172282218947E-2</v>
      </c>
    </row>
    <row r="74" spans="1:14" x14ac:dyDescent="0.35">
      <c r="A74" s="429"/>
      <c r="B74" s="401" t="s">
        <v>478</v>
      </c>
      <c r="C74" s="108"/>
      <c r="D74" s="108"/>
      <c r="H74" s="388">
        <f>H73-'Live Equity Performance'!F16</f>
        <v>0</v>
      </c>
    </row>
    <row r="75" spans="1:14" x14ac:dyDescent="0.35">
      <c r="B75" s="478" t="s">
        <v>549</v>
      </c>
    </row>
    <row r="76" spans="1:14" x14ac:dyDescent="0.35">
      <c r="B76" s="169" t="s">
        <v>550</v>
      </c>
    </row>
    <row r="77" spans="1:14" x14ac:dyDescent="0.35">
      <c r="B77" s="169" t="s">
        <v>551</v>
      </c>
    </row>
    <row r="78" spans="1:14" x14ac:dyDescent="0.35">
      <c r="B78" s="108" t="s">
        <v>552</v>
      </c>
    </row>
    <row r="79" spans="1:14" x14ac:dyDescent="0.35">
      <c r="B79" s="1"/>
    </row>
    <row r="80" spans="1:14" x14ac:dyDescent="0.35">
      <c r="B80" s="401"/>
    </row>
  </sheetData>
  <autoFilter ref="A2:R77" xr:uid="{00000000-0001-0000-0400-000000000000}"/>
  <sortState xmlns:xlrd2="http://schemas.microsoft.com/office/spreadsheetml/2017/richdata2" ref="B4:O14">
    <sortCondition descending="1" ref="H4:H14"/>
  </sortState>
  <conditionalFormatting sqref="K4:L4">
    <cfRule type="top10" dxfId="162" priority="44" rank="1"/>
  </conditionalFormatting>
  <conditionalFormatting sqref="K5:L5">
    <cfRule type="top10" dxfId="161" priority="42" rank="1"/>
  </conditionalFormatting>
  <conditionalFormatting sqref="K6:L6">
    <cfRule type="top10" dxfId="160" priority="40" rank="1"/>
  </conditionalFormatting>
  <conditionalFormatting sqref="K7:L7">
    <cfRule type="top10" dxfId="159" priority="28" rank="1"/>
  </conditionalFormatting>
  <conditionalFormatting sqref="K8:L8">
    <cfRule type="top10" dxfId="158" priority="39" rank="1"/>
  </conditionalFormatting>
  <conditionalFormatting sqref="K9:L9">
    <cfRule type="top10" dxfId="157" priority="38" rank="1"/>
  </conditionalFormatting>
  <conditionalFormatting sqref="K10:L10">
    <cfRule type="top10" dxfId="156" priority="33" rank="1"/>
  </conditionalFormatting>
  <conditionalFormatting sqref="K11:L11">
    <cfRule type="top10" dxfId="155" priority="32" rank="1"/>
  </conditionalFormatting>
  <conditionalFormatting sqref="K12:L12">
    <cfRule type="top10" dxfId="154" priority="37" rank="1"/>
  </conditionalFormatting>
  <conditionalFormatting sqref="K13:L13">
    <cfRule type="top10" dxfId="153" priority="35" rank="1"/>
  </conditionalFormatting>
  <conditionalFormatting sqref="K14:L14">
    <cfRule type="top10" dxfId="152" priority="46" rank="1"/>
  </conditionalFormatting>
  <conditionalFormatting sqref="K15:L15">
    <cfRule type="top10" dxfId="151" priority="25" rank="1"/>
  </conditionalFormatting>
  <conditionalFormatting sqref="K16:L16">
    <cfRule type="top10" dxfId="150" priority="24" rank="1"/>
  </conditionalFormatting>
  <conditionalFormatting sqref="K18:L18">
    <cfRule type="top10" dxfId="149" priority="142" rank="1"/>
  </conditionalFormatting>
  <conditionalFormatting sqref="K19:L19">
    <cfRule type="top10" dxfId="148" priority="140" rank="1"/>
  </conditionalFormatting>
  <conditionalFormatting sqref="K20:L20">
    <cfRule type="top10" dxfId="147" priority="138" rank="1"/>
  </conditionalFormatting>
  <conditionalFormatting sqref="K22:L22">
    <cfRule type="top10" dxfId="146" priority="137" rank="1"/>
  </conditionalFormatting>
  <conditionalFormatting sqref="K23:L23">
    <cfRule type="top10" dxfId="145" priority="135" rank="1"/>
  </conditionalFormatting>
  <conditionalFormatting sqref="K24:L24">
    <cfRule type="top10" dxfId="144" priority="133" rank="1"/>
  </conditionalFormatting>
  <conditionalFormatting sqref="K25:L25">
    <cfRule type="top10" dxfId="143" priority="131" rank="1"/>
  </conditionalFormatting>
  <conditionalFormatting sqref="K26:L26">
    <cfRule type="top10" dxfId="142" priority="130" rank="1"/>
  </conditionalFormatting>
  <conditionalFormatting sqref="K28:L28">
    <cfRule type="top10" dxfId="141" priority="128" rank="1"/>
  </conditionalFormatting>
  <conditionalFormatting sqref="K30:L30">
    <cfRule type="top10" dxfId="140" priority="124" rank="1"/>
  </conditionalFormatting>
  <conditionalFormatting sqref="K31:L31">
    <cfRule type="top10" dxfId="139" priority="122" rank="1"/>
  </conditionalFormatting>
  <conditionalFormatting sqref="K32:L32">
    <cfRule type="top10" dxfId="138" priority="119" rank="1"/>
  </conditionalFormatting>
  <conditionalFormatting sqref="K33:L33">
    <cfRule type="top10" dxfId="137" priority="6" rank="1"/>
  </conditionalFormatting>
  <conditionalFormatting sqref="K34:L34">
    <cfRule type="top10" dxfId="136" priority="116" rank="1"/>
  </conditionalFormatting>
  <conditionalFormatting sqref="K35:L35">
    <cfRule type="top10" dxfId="135" priority="114" rank="1"/>
  </conditionalFormatting>
  <conditionalFormatting sqref="K36:L36">
    <cfRule type="top10" dxfId="134" priority="3" rank="1"/>
  </conditionalFormatting>
  <conditionalFormatting sqref="K37:L37">
    <cfRule type="top10" dxfId="133" priority="110" rank="1"/>
  </conditionalFormatting>
  <conditionalFormatting sqref="K38:L38">
    <cfRule type="top10" dxfId="132" priority="109" rank="1"/>
  </conditionalFormatting>
  <conditionalFormatting sqref="K39:L39">
    <cfRule type="top10" dxfId="131" priority="18" rank="1"/>
  </conditionalFormatting>
  <conditionalFormatting sqref="K40:L40">
    <cfRule type="top10" dxfId="130" priority="105" rank="1"/>
  </conditionalFormatting>
  <conditionalFormatting sqref="K41:L41">
    <cfRule type="top10" dxfId="129" priority="102" rank="1"/>
  </conditionalFormatting>
  <conditionalFormatting sqref="K42:L42">
    <cfRule type="top10" dxfId="128" priority="97" rank="1"/>
  </conditionalFormatting>
  <conditionalFormatting sqref="K43:L45">
    <cfRule type="top10" dxfId="127" priority="95" rank="1"/>
  </conditionalFormatting>
  <conditionalFormatting sqref="K46:L46">
    <cfRule type="top10" dxfId="126" priority="89" rank="1"/>
  </conditionalFormatting>
  <conditionalFormatting sqref="K47:L47">
    <cfRule type="top10" dxfId="125" priority="88" rank="1"/>
  </conditionalFormatting>
  <conditionalFormatting sqref="K48:L48">
    <cfRule type="top10" dxfId="124" priority="86" rank="1"/>
  </conditionalFormatting>
  <conditionalFormatting sqref="K49:L49">
    <cfRule type="top10" dxfId="123" priority="85" rank="1"/>
  </conditionalFormatting>
  <conditionalFormatting sqref="K50:L50">
    <cfRule type="top10" dxfId="122" priority="83" rank="1"/>
  </conditionalFormatting>
  <conditionalFormatting sqref="K55:L55">
    <cfRule type="top10" dxfId="121" priority="79" rank="1"/>
  </conditionalFormatting>
  <conditionalFormatting sqref="K56:L56">
    <cfRule type="top10" dxfId="120" priority="78" rank="1"/>
  </conditionalFormatting>
  <conditionalFormatting sqref="K57:L57">
    <cfRule type="top10" dxfId="119" priority="75" rank="1"/>
  </conditionalFormatting>
  <conditionalFormatting sqref="K58:L58">
    <cfRule type="top10" dxfId="118" priority="14" rank="1"/>
  </conditionalFormatting>
  <conditionalFormatting sqref="K59:L59">
    <cfRule type="top10" dxfId="117" priority="12" rank="1"/>
  </conditionalFormatting>
  <conditionalFormatting sqref="K60:L60">
    <cfRule type="top10" dxfId="116" priority="11" rank="1"/>
  </conditionalFormatting>
  <conditionalFormatting sqref="K61:L61">
    <cfRule type="top10" dxfId="115" priority="10" rank="1"/>
  </conditionalFormatting>
  <conditionalFormatting sqref="K62:L62">
    <cfRule type="top10" dxfId="114" priority="73" rank="1"/>
  </conditionalFormatting>
  <conditionalFormatting sqref="K63:L63">
    <cfRule type="top10" dxfId="113" priority="71" rank="1"/>
  </conditionalFormatting>
  <conditionalFormatting sqref="K66:L66">
    <cfRule type="top10" dxfId="112" priority="54" rank="1"/>
  </conditionalFormatting>
  <conditionalFormatting sqref="K67:L67">
    <cfRule type="top10" dxfId="111" priority="68" rank="1"/>
  </conditionalFormatting>
  <conditionalFormatting sqref="K69:L69">
    <cfRule type="top10" dxfId="110" priority="50" rank="1"/>
  </conditionalFormatting>
  <conditionalFormatting sqref="K70:L70">
    <cfRule type="top10" dxfId="109" priority="48" rank="1"/>
  </conditionalFormatting>
  <conditionalFormatting sqref="M4:N4">
    <cfRule type="top10" dxfId="108" priority="43" rank="1"/>
  </conditionalFormatting>
  <conditionalFormatting sqref="M5:N5">
    <cfRule type="top10" dxfId="107" priority="22" rank="1"/>
  </conditionalFormatting>
  <conditionalFormatting sqref="M6:N6">
    <cfRule type="top10" dxfId="106" priority="41" rank="1"/>
  </conditionalFormatting>
  <conditionalFormatting sqref="M7:N7">
    <cfRule type="top10" dxfId="105" priority="27" rank="1"/>
  </conditionalFormatting>
  <conditionalFormatting sqref="M8:N8 M14:N14">
    <cfRule type="top10" dxfId="104" priority="45" rank="1"/>
  </conditionalFormatting>
  <conditionalFormatting sqref="M9:N9">
    <cfRule type="top10" dxfId="103" priority="17" rank="1"/>
  </conditionalFormatting>
  <conditionalFormatting sqref="M10:N10">
    <cfRule type="top10" dxfId="102" priority="26" rank="1"/>
  </conditionalFormatting>
  <conditionalFormatting sqref="M11:N11">
    <cfRule type="top10" dxfId="101" priority="31" rank="1"/>
  </conditionalFormatting>
  <conditionalFormatting sqref="M12:N12">
    <cfRule type="top10" dxfId="100" priority="36" rank="1"/>
  </conditionalFormatting>
  <conditionalFormatting sqref="M13:N13">
    <cfRule type="top10" dxfId="99" priority="34" rank="1"/>
  </conditionalFormatting>
  <conditionalFormatting sqref="M15:N16">
    <cfRule type="top10" dxfId="98" priority="1067" rank="1"/>
  </conditionalFormatting>
  <conditionalFormatting sqref="M18:N18">
    <cfRule type="top10" dxfId="97" priority="141" rank="1"/>
  </conditionalFormatting>
  <conditionalFormatting sqref="M19:N19">
    <cfRule type="top10" dxfId="96" priority="52" rank="1"/>
  </conditionalFormatting>
  <conditionalFormatting sqref="M20:N20">
    <cfRule type="top10" dxfId="95" priority="21" rank="1"/>
  </conditionalFormatting>
  <conditionalFormatting sqref="M22:N22">
    <cfRule type="top10" dxfId="94" priority="136" rank="1"/>
  </conditionalFormatting>
  <conditionalFormatting sqref="M23:N23">
    <cfRule type="top10" dxfId="93" priority="134" rank="1"/>
  </conditionalFormatting>
  <conditionalFormatting sqref="M24:N24">
    <cfRule type="top10" dxfId="92" priority="132" rank="1"/>
  </conditionalFormatting>
  <conditionalFormatting sqref="M25:N25">
    <cfRule type="top10" dxfId="91" priority="20" rank="1"/>
  </conditionalFormatting>
  <conditionalFormatting sqref="M26:N26">
    <cfRule type="top10" dxfId="90" priority="129" rank="1"/>
  </conditionalFormatting>
  <conditionalFormatting sqref="M28:N28">
    <cfRule type="top10" dxfId="89" priority="127" rank="1"/>
  </conditionalFormatting>
  <conditionalFormatting sqref="M30:N30">
    <cfRule type="top10" dxfId="88" priority="123" rank="1"/>
  </conditionalFormatting>
  <conditionalFormatting sqref="M31:N31">
    <cfRule type="top10" dxfId="87" priority="121" rank="1"/>
  </conditionalFormatting>
  <conditionalFormatting sqref="M32:N32">
    <cfRule type="top10" dxfId="86" priority="118" rank="1"/>
  </conditionalFormatting>
  <conditionalFormatting sqref="M33:N33">
    <cfRule type="top10" dxfId="85" priority="1" rank="1"/>
  </conditionalFormatting>
  <conditionalFormatting sqref="M34:N34">
    <cfRule type="top10" dxfId="84" priority="115" rank="1"/>
  </conditionalFormatting>
  <conditionalFormatting sqref="M35:N35">
    <cfRule type="top10" dxfId="83" priority="968" rank="1"/>
  </conditionalFormatting>
  <conditionalFormatting sqref="M36:N36">
    <cfRule type="top10" dxfId="82" priority="2" rank="1"/>
  </conditionalFormatting>
  <conditionalFormatting sqref="M38:N38">
    <cfRule type="top10" dxfId="81" priority="108" rank="1"/>
  </conditionalFormatting>
  <conditionalFormatting sqref="M39:N39">
    <cfRule type="top10" dxfId="80" priority="979" rank="1"/>
  </conditionalFormatting>
  <conditionalFormatting sqref="M40:N40">
    <cfRule type="top10" dxfId="79" priority="104" rank="1"/>
  </conditionalFormatting>
  <conditionalFormatting sqref="M41:N41">
    <cfRule type="top10" dxfId="78" priority="101" rank="1"/>
  </conditionalFormatting>
  <conditionalFormatting sqref="M42:N42">
    <cfRule type="top10" dxfId="77" priority="96" rank="1"/>
  </conditionalFormatting>
  <conditionalFormatting sqref="M43:N45">
    <cfRule type="top10" dxfId="76" priority="94" rank="1"/>
  </conditionalFormatting>
  <conditionalFormatting sqref="M46:N46">
    <cfRule type="top10" dxfId="75" priority="92" rank="1"/>
  </conditionalFormatting>
  <conditionalFormatting sqref="M47:N47">
    <cfRule type="top10" dxfId="74" priority="91" rank="1"/>
  </conditionalFormatting>
  <conditionalFormatting sqref="M48:N48">
    <cfRule type="top10" dxfId="73" priority="16" rank="1"/>
  </conditionalFormatting>
  <conditionalFormatting sqref="M50:N50">
    <cfRule type="top10" dxfId="72" priority="15" rank="1"/>
  </conditionalFormatting>
  <conditionalFormatting sqref="M56:N56">
    <cfRule type="top10" dxfId="71" priority="77" rank="1"/>
  </conditionalFormatting>
  <conditionalFormatting sqref="M57:N57">
    <cfRule type="top10" dxfId="70" priority="74" rank="1"/>
  </conditionalFormatting>
  <conditionalFormatting sqref="M58:N58">
    <cfRule type="top10" dxfId="69" priority="13" rank="1"/>
  </conditionalFormatting>
  <conditionalFormatting sqref="M59:N59">
    <cfRule type="top10" dxfId="68" priority="9" rank="1"/>
  </conditionalFormatting>
  <conditionalFormatting sqref="M60:N60">
    <cfRule type="top10" dxfId="67" priority="8" rank="1"/>
  </conditionalFormatting>
  <conditionalFormatting sqref="M61:N61">
    <cfRule type="top10" dxfId="66" priority="7" rank="1"/>
  </conditionalFormatting>
  <conditionalFormatting sqref="M62:N62">
    <cfRule type="top10" dxfId="65" priority="72" rank="1"/>
  </conditionalFormatting>
  <conditionalFormatting sqref="M63:N63">
    <cfRule type="top10" dxfId="64" priority="70" rank="1"/>
  </conditionalFormatting>
  <conditionalFormatting sqref="M66:N66">
    <cfRule type="top10" dxfId="63" priority="53" rank="1"/>
  </conditionalFormatting>
  <conditionalFormatting sqref="M67:N67">
    <cfRule type="top10" dxfId="62" priority="66" rank="1"/>
  </conditionalFormatting>
  <conditionalFormatting sqref="M69:N69">
    <cfRule type="top10" dxfId="61" priority="47" rank="1"/>
  </conditionalFormatting>
  <conditionalFormatting sqref="M70:N70">
    <cfRule type="top10" dxfId="60" priority="49" rank="1"/>
  </conditionalFormatting>
  <conditionalFormatting sqref="N49">
    <cfRule type="top10" dxfId="59" priority="19" rank="1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1:U20"/>
  <sheetViews>
    <sheetView showGridLines="0" workbookViewId="0">
      <selection activeCell="D7" sqref="D7"/>
    </sheetView>
  </sheetViews>
  <sheetFormatPr defaultColWidth="8.73046875" defaultRowHeight="11.65" x14ac:dyDescent="0.45"/>
  <cols>
    <col min="1" max="1" width="8.73046875" style="4"/>
    <col min="2" max="2" width="3.53125" style="4" customWidth="1"/>
    <col min="3" max="3" width="30.796875" style="4" customWidth="1"/>
    <col min="4" max="5" width="15.265625" style="4" customWidth="1"/>
    <col min="6" max="6" width="11.53125" style="4" bestFit="1" customWidth="1"/>
    <col min="7" max="7" width="7.53125" style="4" bestFit="1" customWidth="1"/>
    <col min="8" max="8" width="14.19921875" style="4" customWidth="1"/>
    <col min="9" max="9" width="10.46484375" style="4" customWidth="1"/>
    <col min="10" max="10" width="8.73046875" style="4"/>
    <col min="11" max="11" width="12.53125" style="4" customWidth="1"/>
    <col min="12" max="12" width="23.73046875" style="4" bestFit="1" customWidth="1"/>
    <col min="13" max="13" width="8.73046875" style="4"/>
    <col min="14" max="14" width="17.73046875" style="4" bestFit="1" customWidth="1"/>
    <col min="15" max="15" width="9.53125" style="4" bestFit="1" customWidth="1"/>
    <col min="16" max="16" width="9.73046875" style="4" bestFit="1" customWidth="1"/>
    <col min="17" max="17" width="8.73046875" style="4"/>
    <col min="18" max="20" width="0" style="4" hidden="1" customWidth="1"/>
    <col min="21" max="21" width="11.53125" style="4" hidden="1" customWidth="1"/>
    <col min="22" max="16384" width="8.73046875" style="4"/>
  </cols>
  <sheetData>
    <row r="1" spans="2:21" ht="30" customHeight="1" thickBot="1" x14ac:dyDescent="0.5">
      <c r="C1" s="241" t="s">
        <v>555</v>
      </c>
      <c r="D1" s="446">
        <f>10^2</f>
        <v>100</v>
      </c>
      <c r="E1" s="242"/>
      <c r="F1" s="242"/>
      <c r="G1" s="242"/>
      <c r="H1" s="242"/>
      <c r="J1" s="591"/>
      <c r="K1" s="591"/>
      <c r="L1" s="591"/>
      <c r="N1" s="5"/>
      <c r="O1" s="4" t="s">
        <v>192</v>
      </c>
      <c r="P1" s="4" t="s">
        <v>192</v>
      </c>
    </row>
    <row r="2" spans="2:21" ht="34.9" x14ac:dyDescent="0.45">
      <c r="C2" s="23" t="s">
        <v>0</v>
      </c>
      <c r="D2" s="24" t="s">
        <v>553</v>
      </c>
      <c r="E2" s="24" t="s">
        <v>458</v>
      </c>
      <c r="F2" s="24" t="s">
        <v>484</v>
      </c>
      <c r="G2" s="24" t="s">
        <v>6</v>
      </c>
      <c r="H2" s="24" t="s">
        <v>554</v>
      </c>
      <c r="I2" s="191" t="s">
        <v>459</v>
      </c>
      <c r="J2" s="196" t="s">
        <v>220</v>
      </c>
      <c r="K2" s="195" t="s">
        <v>215</v>
      </c>
      <c r="L2" s="25" t="s">
        <v>216</v>
      </c>
      <c r="O2" s="5">
        <v>46203</v>
      </c>
      <c r="P2" s="5">
        <v>46171</v>
      </c>
      <c r="Q2" s="4" t="s">
        <v>82</v>
      </c>
      <c r="R2" s="5">
        <v>45911</v>
      </c>
      <c r="S2" s="4" t="s">
        <v>82</v>
      </c>
      <c r="T2" s="5">
        <v>45933</v>
      </c>
      <c r="U2" s="4" t="s">
        <v>82</v>
      </c>
    </row>
    <row r="3" spans="2:21" x14ac:dyDescent="0.45">
      <c r="C3" s="26" t="s">
        <v>218</v>
      </c>
      <c r="D3" s="27">
        <f>SUM(D4:D12)</f>
        <v>714.11114521305353</v>
      </c>
      <c r="E3" s="27">
        <f>SUM(E4:E12)</f>
        <v>32.499625012084302</v>
      </c>
      <c r="F3" s="27">
        <f>SUM(F4:F12)</f>
        <v>24.877564848188001</v>
      </c>
      <c r="G3" s="27">
        <f>SUM(G4:G12)</f>
        <v>1.9499999999999999E-3</v>
      </c>
      <c r="H3" s="27">
        <f>SUM(H4:H12)</f>
        <v>759.42288383081677</v>
      </c>
      <c r="I3" s="192">
        <f>H3+G3+F3-E3-D3</f>
        <v>37.691628453866883</v>
      </c>
      <c r="J3" s="197">
        <f t="shared" ref="J3:J10" si="0">((H3+G3+F3)/(E3+D3))-1</f>
        <v>5.0483638807542475E-2</v>
      </c>
      <c r="K3" s="443">
        <f>SUMPRODUCT(K4:K12,H4:H12)/SUM(H4:H12)</f>
        <v>1.840079654943988E-2</v>
      </c>
      <c r="L3" s="76"/>
      <c r="N3" s="4" t="s">
        <v>298</v>
      </c>
      <c r="O3" s="17">
        <v>36880.75</v>
      </c>
      <c r="P3" s="17">
        <v>36261.800000000003</v>
      </c>
      <c r="Q3" s="6">
        <f>(O3-P3)/P3</f>
        <v>1.7068926528743665E-2</v>
      </c>
      <c r="R3" s="17">
        <v>23102.65</v>
      </c>
      <c r="S3" s="6">
        <f>(R3-O3)/O3</f>
        <v>-0.37358513587711745</v>
      </c>
      <c r="T3" s="259">
        <v>23027.7</v>
      </c>
      <c r="U3" s="258">
        <f>(T3-R3)/R3</f>
        <v>-3.244216572557725E-3</v>
      </c>
    </row>
    <row r="4" spans="2:21" x14ac:dyDescent="0.45">
      <c r="B4" s="4" t="s">
        <v>206</v>
      </c>
      <c r="C4" s="28" t="s">
        <v>14</v>
      </c>
      <c r="D4" s="29">
        <v>23.147697125000001</v>
      </c>
      <c r="E4" s="31">
        <f>SUMIFS(Transactions!L:L,Transactions!J:J,'Month on Month Equity Change'!C4)</f>
        <v>0</v>
      </c>
      <c r="F4" s="31">
        <f>SUMIFS(Transactions!F:F,Transactions!D:D,'Month on Month Equity Change'!C4)</f>
        <v>0</v>
      </c>
      <c r="G4" s="30"/>
      <c r="H4" s="29">
        <f>VLOOKUP(C4,'Live Equity Performance'!$B$7:$F$15,5,0)</f>
        <v>21.640257625</v>
      </c>
      <c r="I4" s="193">
        <f t="shared" ref="I4:I10" si="1">H4+F4+G4-E4-D4</f>
        <v>-1.5074395000000003</v>
      </c>
      <c r="J4" s="439">
        <f t="shared" si="0"/>
        <v>-6.5122655262839668E-2</v>
      </c>
      <c r="K4" s="444">
        <f>Q3</f>
        <v>1.7068926528743665E-2</v>
      </c>
      <c r="L4" s="77" t="str">
        <f>$N$3</f>
        <v>Nifty 500 TRI</v>
      </c>
      <c r="N4" s="4" t="s">
        <v>297</v>
      </c>
      <c r="O4" s="17">
        <v>36145.879999999997</v>
      </c>
      <c r="P4" s="17">
        <v>35552.639999999999</v>
      </c>
      <c r="Q4" s="6">
        <f t="shared" ref="Q4:Q11" si="2">(O4-P4)/P4</f>
        <v>1.6686243271948242E-2</v>
      </c>
      <c r="R4" s="17">
        <v>25005.5</v>
      </c>
      <c r="S4" s="6">
        <f t="shared" ref="S4:S11" si="3">(R4-O4)/O4</f>
        <v>-0.30820608047168857</v>
      </c>
      <c r="T4" s="259">
        <v>24894.25</v>
      </c>
      <c r="U4" s="258">
        <f t="shared" ref="U4:U11" si="4">(T4-R4)/R4</f>
        <v>-4.4490212153326268E-3</v>
      </c>
    </row>
    <row r="5" spans="2:21" x14ac:dyDescent="0.45">
      <c r="C5" s="28" t="s">
        <v>15</v>
      </c>
      <c r="D5" s="29">
        <v>62.82851565217392</v>
      </c>
      <c r="E5" s="31">
        <f>SUMIFS(Transactions!L:L,Transactions!J:J,'Month on Month Equity Change'!C5)</f>
        <v>0</v>
      </c>
      <c r="F5" s="31">
        <f>SUMIFS(Transactions!F:F,Transactions!D:D,'Month on Month Equity Change'!C5)</f>
        <v>0</v>
      </c>
      <c r="G5" s="30"/>
      <c r="H5" s="29">
        <f>VLOOKUP(C5,'Live Equity Performance'!$B$7:$F$15,5,0)</f>
        <v>64.32851565217392</v>
      </c>
      <c r="I5" s="193">
        <f t="shared" si="1"/>
        <v>1.5</v>
      </c>
      <c r="J5" s="439">
        <f t="shared" si="0"/>
        <v>2.3874509598542426E-2</v>
      </c>
      <c r="K5" s="444">
        <f>Q4</f>
        <v>1.6686243271948242E-2</v>
      </c>
      <c r="L5" s="77" t="str">
        <f>$N$3</f>
        <v>Nifty 500 TRI</v>
      </c>
      <c r="N5" s="4" t="s">
        <v>286</v>
      </c>
      <c r="O5" s="17">
        <v>71629.45</v>
      </c>
      <c r="P5" s="17">
        <v>71073.649999999994</v>
      </c>
      <c r="Q5" s="6">
        <f t="shared" si="2"/>
        <v>7.8200570816329678E-3</v>
      </c>
      <c r="R5" s="17">
        <v>67974.7</v>
      </c>
      <c r="S5" s="6">
        <f t="shared" si="3"/>
        <v>-5.1023007994616738E-2</v>
      </c>
      <c r="T5" s="259">
        <v>68355.899999999994</v>
      </c>
      <c r="U5" s="258">
        <f t="shared" si="4"/>
        <v>5.6079688472328252E-3</v>
      </c>
    </row>
    <row r="6" spans="2:21" x14ac:dyDescent="0.45">
      <c r="C6" s="28" t="s">
        <v>486</v>
      </c>
      <c r="D6" s="29">
        <v>0.89762149999999996</v>
      </c>
      <c r="E6" s="31">
        <f>SUMIFS(Transactions!L:L,Transactions!J:J,'Month on Month Equity Change'!C6)</f>
        <v>0</v>
      </c>
      <c r="F6" s="31">
        <f>SUMIFS(Transactions!F:F,Transactions!D:D,'Month on Month Equity Change'!C6)</f>
        <v>0.30555209999999999</v>
      </c>
      <c r="G6" s="30">
        <f>'Portfolio Allocation'!J15</f>
        <v>1.9499999999999999E-3</v>
      </c>
      <c r="H6" s="29">
        <f>VLOOKUP(C6,'Live Equity Performance'!$B$7:$F$15,5,0)</f>
        <v>0.84977725000000004</v>
      </c>
      <c r="I6" s="193">
        <f t="shared" si="1"/>
        <v>0.25965785000000008</v>
      </c>
      <c r="J6" s="439">
        <f t="shared" si="0"/>
        <v>0.28927320702545578</v>
      </c>
      <c r="K6" s="444">
        <f>Q11</f>
        <v>2.1063078663627794E-2</v>
      </c>
      <c r="L6" s="230" t="s">
        <v>254</v>
      </c>
      <c r="O6" s="17"/>
      <c r="P6" s="17"/>
      <c r="Q6" s="6"/>
      <c r="R6" s="17"/>
      <c r="S6" s="6"/>
      <c r="T6" s="259"/>
      <c r="U6" s="258"/>
    </row>
    <row r="7" spans="2:21" x14ac:dyDescent="0.45">
      <c r="C7" s="28" t="s">
        <v>18</v>
      </c>
      <c r="D7" s="29">
        <v>332.0285950732162</v>
      </c>
      <c r="E7" s="31">
        <f>SUMIFS(Transactions!L:L,Transactions!J:J,'Month on Month Equity Change'!C7)</f>
        <v>32.499625012084302</v>
      </c>
      <c r="F7" s="31">
        <f>SUMIFS(Transactions!F:F,Transactions!D:D,'Month on Month Equity Change'!C7)</f>
        <v>15.539890250876001</v>
      </c>
      <c r="G7" s="32"/>
      <c r="H7" s="29">
        <f>VLOOKUP(C7,'Live Equity Performance'!$B$7:$F$15,5,0)</f>
        <v>361.70793325919067</v>
      </c>
      <c r="I7" s="193">
        <f t="shared" si="1"/>
        <v>12.719603424766149</v>
      </c>
      <c r="J7" s="439">
        <f t="shared" si="0"/>
        <v>3.4893329854653654E-2</v>
      </c>
      <c r="K7" s="444">
        <f>Q3</f>
        <v>1.7068926528743665E-2</v>
      </c>
      <c r="L7" s="77" t="str">
        <f>$N$3</f>
        <v>Nifty 500 TRI</v>
      </c>
      <c r="N7" s="4" t="s">
        <v>193</v>
      </c>
      <c r="O7" s="17">
        <v>21017.898499999999</v>
      </c>
      <c r="P7" s="17">
        <v>20658.1499</v>
      </c>
      <c r="Q7" s="6">
        <f t="shared" si="2"/>
        <v>1.7414366811231194E-2</v>
      </c>
      <c r="R7" s="17">
        <v>20787.812999999998</v>
      </c>
      <c r="S7" s="6">
        <f t="shared" si="3"/>
        <v>-1.0947122044575534E-2</v>
      </c>
      <c r="T7" s="4">
        <v>20786.1708</v>
      </c>
      <c r="U7" s="258">
        <f t="shared" si="4"/>
        <v>-7.8998209191049159E-5</v>
      </c>
    </row>
    <row r="8" spans="2:21" x14ac:dyDescent="0.45">
      <c r="C8" s="28" t="s">
        <v>19</v>
      </c>
      <c r="D8" s="29">
        <v>70.267209608039806</v>
      </c>
      <c r="E8" s="31">
        <f>SUMIFS(Transactions!L:L,Transactions!J:J,'Month on Month Equity Change'!C8)</f>
        <v>0</v>
      </c>
      <c r="F8" s="31">
        <f>SUMIFS(Transactions!F:F,Transactions!D:D,'Month on Month Equity Change'!C8)-4.31</f>
        <v>9.0321224973119989</v>
      </c>
      <c r="G8" s="31"/>
      <c r="H8" s="29">
        <f>'Attribution Analysis'!B25</f>
        <v>62.768956709462401</v>
      </c>
      <c r="I8" s="193">
        <f t="shared" si="1"/>
        <v>1.5338695987345972</v>
      </c>
      <c r="J8" s="439">
        <f>'Attribution Analysis'!F25</f>
        <v>2.1823773315500228E-2</v>
      </c>
      <c r="K8" s="444">
        <f>Q7</f>
        <v>1.7414366811231194E-2</v>
      </c>
      <c r="L8" s="77" t="s">
        <v>193</v>
      </c>
      <c r="N8" s="4" t="s">
        <v>214</v>
      </c>
      <c r="O8" s="17">
        <v>29049.9</v>
      </c>
      <c r="P8" s="17">
        <v>28766.84</v>
      </c>
      <c r="Q8" s="6">
        <f t="shared" si="2"/>
        <v>9.8398016605230638E-3</v>
      </c>
      <c r="R8" s="17">
        <v>27323.85</v>
      </c>
      <c r="S8" s="6">
        <f t="shared" si="3"/>
        <v>-5.9416727768426152E-2</v>
      </c>
      <c r="T8" s="259">
        <v>27191.96</v>
      </c>
      <c r="U8" s="258">
        <f t="shared" si="4"/>
        <v>-4.826918607736444E-3</v>
      </c>
    </row>
    <row r="9" spans="2:21" x14ac:dyDescent="0.45">
      <c r="B9" s="4" t="s">
        <v>206</v>
      </c>
      <c r="C9" s="28" t="s">
        <v>20</v>
      </c>
      <c r="D9" s="29">
        <v>223.51739442526363</v>
      </c>
      <c r="E9" s="31">
        <f>SUMIFS(Transactions!L:L,Transactions!J:J,'Month on Month Equity Change'!C9)</f>
        <v>0</v>
      </c>
      <c r="F9" s="31">
        <f>SUMIFS(Transactions!F:F,Transactions!D:D,'Month on Month Equity Change'!C9)</f>
        <v>0</v>
      </c>
      <c r="G9" s="30"/>
      <c r="H9" s="29">
        <f>VLOOKUP(C9,'Live Equity Performance'!$B$7:$F$15,5,0)</f>
        <v>246.7578324809898</v>
      </c>
      <c r="I9" s="193">
        <f t="shared" si="1"/>
        <v>23.240438055726173</v>
      </c>
      <c r="J9" s="439">
        <f t="shared" si="0"/>
        <v>0.10397597070905795</v>
      </c>
      <c r="K9" s="444">
        <f>Q11</f>
        <v>2.1063078663627794E-2</v>
      </c>
      <c r="L9" s="230" t="s">
        <v>254</v>
      </c>
      <c r="N9" s="4" t="s">
        <v>213</v>
      </c>
      <c r="O9" s="17">
        <v>22573.38</v>
      </c>
      <c r="P9" s="17">
        <v>21635.09</v>
      </c>
      <c r="Q9" s="6">
        <f t="shared" si="2"/>
        <v>4.3368897471653726E-2</v>
      </c>
      <c r="R9" s="17">
        <v>21706.21</v>
      </c>
      <c r="S9" s="6">
        <f t="shared" si="3"/>
        <v>-3.8415602802947625E-2</v>
      </c>
      <c r="T9" s="259">
        <v>21614.49</v>
      </c>
      <c r="U9" s="258">
        <f t="shared" si="4"/>
        <v>-4.2255188722488879E-3</v>
      </c>
    </row>
    <row r="10" spans="2:21" x14ac:dyDescent="0.45">
      <c r="C10" s="28" t="s">
        <v>22</v>
      </c>
      <c r="D10" s="29">
        <v>1.1531671999999999</v>
      </c>
      <c r="E10" s="31">
        <f>SUMIFS(Transactions!L:L,Transactions!J:J,'Month on Month Equity Change'!C10)</f>
        <v>0</v>
      </c>
      <c r="F10" s="31">
        <f>SUMIFS(Transactions!F:F,Transactions!D:D,'Month on Month Equity Change'!C10)</f>
        <v>0</v>
      </c>
      <c r="G10" s="30"/>
      <c r="H10" s="29">
        <f>VLOOKUP(C10,'Live Equity Performance'!$B$7:$F$15,5,0)</f>
        <v>1.1248248999999999</v>
      </c>
      <c r="I10" s="193">
        <f t="shared" si="1"/>
        <v>-2.8342300000000042E-2</v>
      </c>
      <c r="J10" s="439">
        <f t="shared" si="0"/>
        <v>-2.457778889305906E-2</v>
      </c>
      <c r="K10" s="444">
        <f>Q9</f>
        <v>4.3368897471653726E-2</v>
      </c>
      <c r="L10" s="77" t="s">
        <v>370</v>
      </c>
      <c r="N10" s="4" t="s">
        <v>244</v>
      </c>
      <c r="O10" s="17">
        <v>80622.929999999993</v>
      </c>
      <c r="P10" s="17">
        <v>75764.06</v>
      </c>
      <c r="Q10" s="6">
        <f t="shared" si="2"/>
        <v>6.413159484853366E-2</v>
      </c>
      <c r="R10" s="17">
        <v>76239.59</v>
      </c>
      <c r="S10" s="6">
        <f t="shared" si="3"/>
        <v>-5.4368403629091587E-2</v>
      </c>
      <c r="T10" s="259">
        <v>77522.14</v>
      </c>
      <c r="U10" s="258">
        <f t="shared" si="4"/>
        <v>1.6822624570777506E-2</v>
      </c>
    </row>
    <row r="11" spans="2:21" x14ac:dyDescent="0.45">
      <c r="C11" s="28" t="s">
        <v>245</v>
      </c>
      <c r="D11" s="29" t="s">
        <v>314</v>
      </c>
      <c r="E11" s="31">
        <f>SUMIFS(Transactions!L:L,Transactions!J:J,'Month on Month Equity Change'!C11)</f>
        <v>0</v>
      </c>
      <c r="F11" s="31">
        <f>SUMIFS(Transactions!F:F,Transactions!D:D,'Month on Month Equity Change'!C11)</f>
        <v>0</v>
      </c>
      <c r="G11" s="30"/>
      <c r="H11" s="29" t="s">
        <v>314</v>
      </c>
      <c r="I11" s="29" t="s">
        <v>314</v>
      </c>
      <c r="J11" s="439" t="s">
        <v>314</v>
      </c>
      <c r="K11" s="444">
        <f>Q3</f>
        <v>1.7068926528743665E-2</v>
      </c>
      <c r="L11" s="77" t="str">
        <f>$N$3</f>
        <v>Nifty 500 TRI</v>
      </c>
      <c r="N11" s="4" t="s">
        <v>254</v>
      </c>
      <c r="O11" s="17">
        <v>26687.25</v>
      </c>
      <c r="P11" s="17">
        <v>26136.73</v>
      </c>
      <c r="Q11" s="6">
        <f t="shared" si="2"/>
        <v>2.1063078663627794E-2</v>
      </c>
      <c r="R11" s="17">
        <v>25311.39</v>
      </c>
      <c r="S11" s="6">
        <f t="shared" si="3"/>
        <v>-5.1554956018323377E-2</v>
      </c>
      <c r="T11" s="4">
        <v>25194.89</v>
      </c>
      <c r="U11" s="258">
        <f t="shared" si="4"/>
        <v>-4.6026709714480319E-3</v>
      </c>
    </row>
    <row r="12" spans="2:21" x14ac:dyDescent="0.45">
      <c r="C12" s="28" t="s">
        <v>21</v>
      </c>
      <c r="D12" s="29">
        <v>0.27094462935999997</v>
      </c>
      <c r="E12" s="30">
        <f>SUMIFS(Transactions!L:L,Transactions!J:J,'Month on Month Equity Change'!C12)</f>
        <v>0</v>
      </c>
      <c r="F12" s="30">
        <f>SUMIFS(Transactions!F:F,Transactions!D:D,'Month on Month Equity Change'!C12)</f>
        <v>0</v>
      </c>
      <c r="G12" s="30"/>
      <c r="H12" s="29">
        <f>VLOOKUP(C12,'Live Equity Performance'!$B$7:$F$15,5,0)</f>
        <v>0.24478595399999997</v>
      </c>
      <c r="I12" s="193"/>
      <c r="J12" s="439"/>
      <c r="K12" s="444"/>
      <c r="L12" s="77"/>
    </row>
    <row r="13" spans="2:21" x14ac:dyDescent="0.45">
      <c r="C13" s="26" t="s">
        <v>190</v>
      </c>
      <c r="D13" s="27">
        <f>D14</f>
        <v>202.82710729057564</v>
      </c>
      <c r="E13" s="27">
        <f>SUM(E14:E14)</f>
        <v>1.8894635625151039</v>
      </c>
      <c r="F13" s="27">
        <f>SUM(F14:F14)</f>
        <v>3.0000359999999997</v>
      </c>
      <c r="G13" s="27">
        <f>SUM(G14:G14)</f>
        <v>1.8273252499999999</v>
      </c>
      <c r="H13" s="27">
        <f>SUM(H14:H14)</f>
        <v>222.35864952000003</v>
      </c>
      <c r="I13" s="192">
        <f>SUM(I14:I14)</f>
        <v>22.469439916909295</v>
      </c>
      <c r="J13" s="440">
        <f>((H13+G13+F13)/(E13+D13))-1</f>
        <v>0.1097587744034354</v>
      </c>
      <c r="K13" s="443">
        <f>K14</f>
        <v>2.1063078663627794E-2</v>
      </c>
      <c r="L13" s="76"/>
    </row>
    <row r="14" spans="2:21" x14ac:dyDescent="0.45">
      <c r="C14" s="28" t="s">
        <v>255</v>
      </c>
      <c r="D14" s="29">
        <v>202.82710729057564</v>
      </c>
      <c r="E14" s="31">
        <f>SUMIFS(Transactions!L:L,Transactions!J:J,'Month on Month Equity Change'!C14)</f>
        <v>1.8894635625151039</v>
      </c>
      <c r="F14" s="31">
        <f>SUMIFS(Transactions!F:F,Transactions!D:D,'Month on Month Equity Change'!C14)</f>
        <v>3.0000359999999997</v>
      </c>
      <c r="G14" s="30">
        <f>'Portfolio Allocation'!J9</f>
        <v>1.8273252499999999</v>
      </c>
      <c r="H14" s="29">
        <f>VLOOKUP(C14,'Live Equity Performance'!$B$7:$F$14,5,0)</f>
        <v>222.35864952000003</v>
      </c>
      <c r="I14" s="193">
        <f>H14+G14+F14-E14-D14</f>
        <v>22.469439916909295</v>
      </c>
      <c r="J14" s="439">
        <f>((H14+G14+F14)/(E14+D14))-1</f>
        <v>0.1097587744034354</v>
      </c>
      <c r="K14" s="444">
        <f>Q11</f>
        <v>2.1063078663627794E-2</v>
      </c>
      <c r="L14" s="230" t="s">
        <v>254</v>
      </c>
    </row>
    <row r="15" spans="2:21" x14ac:dyDescent="0.45">
      <c r="B15" s="7" t="s">
        <v>206</v>
      </c>
      <c r="C15" s="22" t="s">
        <v>45</v>
      </c>
      <c r="D15" s="33">
        <f>D13+D3</f>
        <v>916.9382525036292</v>
      </c>
      <c r="E15" s="33">
        <f>E13+E3</f>
        <v>34.389088574599405</v>
      </c>
      <c r="F15" s="33">
        <f>F13+F3</f>
        <v>27.877600848188003</v>
      </c>
      <c r="G15" s="33">
        <f>G13+G3</f>
        <v>1.8292752499999998</v>
      </c>
      <c r="H15" s="33">
        <f>H13+H3</f>
        <v>981.78153335081674</v>
      </c>
      <c r="I15" s="194">
        <f>H15+G15+F15-E15-D15</f>
        <v>60.161068370776093</v>
      </c>
      <c r="J15" s="441">
        <f>((H15+G15+F15)/(E15+D15))-1</f>
        <v>6.3239082672206015E-2</v>
      </c>
      <c r="K15" s="445">
        <f>K3*(H3/H15)+K13*(H13/H15)</f>
        <v>1.9003763131558864E-2</v>
      </c>
      <c r="L15" s="78"/>
    </row>
    <row r="16" spans="2:21" s="7" customFormat="1" ht="12" thickBot="1" x14ac:dyDescent="0.5">
      <c r="B16" s="4"/>
      <c r="C16" s="22" t="s">
        <v>217</v>
      </c>
      <c r="D16" s="33">
        <f>D3-D5</f>
        <v>651.28262956087963</v>
      </c>
      <c r="E16" s="33">
        <f>E3-E5</f>
        <v>32.499625012084302</v>
      </c>
      <c r="F16" s="33">
        <f>F3-F5</f>
        <v>24.877564848188001</v>
      </c>
      <c r="G16" s="33">
        <f>G3-G5</f>
        <v>1.9499999999999999E-3</v>
      </c>
      <c r="H16" s="33">
        <f>H3-H5</f>
        <v>695.09436817864287</v>
      </c>
      <c r="I16" s="194">
        <f>H16+G16+F16-E16-D16</f>
        <v>36.191628453866997</v>
      </c>
      <c r="J16" s="442">
        <f>((H16+G16+F16)/(E16+D16))-1</f>
        <v>5.2928586859086302E-2</v>
      </c>
      <c r="K16" s="445">
        <f>K3*((H3-H5)/(H15-H5))+K13*((H13)/(H15-H5))</f>
        <v>1.9046040986083639E-2</v>
      </c>
      <c r="L16" s="78"/>
    </row>
    <row r="17" spans="3:8" x14ac:dyDescent="0.45">
      <c r="C17" s="169" t="s">
        <v>251</v>
      </c>
      <c r="F17" s="8"/>
      <c r="H17" s="8"/>
    </row>
    <row r="18" spans="3:8" x14ac:dyDescent="0.45">
      <c r="C18" s="125" t="s">
        <v>460</v>
      </c>
    </row>
    <row r="19" spans="3:8" x14ac:dyDescent="0.45">
      <c r="C19" s="125" t="s">
        <v>483</v>
      </c>
    </row>
    <row r="20" spans="3:8" x14ac:dyDescent="0.45">
      <c r="C20" s="125" t="s">
        <v>488</v>
      </c>
    </row>
  </sheetData>
  <mergeCells count="1">
    <mergeCell ref="J1:L1"/>
  </mergeCells>
  <conditionalFormatting sqref="D4:D12">
    <cfRule type="cellIs" dxfId="58" priority="2" operator="equal">
      <formula>0</formula>
    </cfRule>
  </conditionalFormatting>
  <conditionalFormatting sqref="D14">
    <cfRule type="cellIs" dxfId="57" priority="1" operator="equal">
      <formula>0</formula>
    </cfRule>
  </conditionalFormatting>
  <conditionalFormatting sqref="H4:H10 H12">
    <cfRule type="cellIs" dxfId="56" priority="90" operator="equal">
      <formula>0</formula>
    </cfRule>
  </conditionalFormatting>
  <conditionalFormatting sqref="H14">
    <cfRule type="cellIs" dxfId="55" priority="25" operator="equal">
      <formula>0</formula>
    </cfRule>
  </conditionalFormatting>
  <conditionalFormatting sqref="H11:I11">
    <cfRule type="cellIs" dxfId="54" priority="13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5"/>
  </sheetPr>
  <dimension ref="B1:V45"/>
  <sheetViews>
    <sheetView showGridLines="0" workbookViewId="0">
      <selection activeCell="K38" sqref="K38"/>
    </sheetView>
  </sheetViews>
  <sheetFormatPr defaultColWidth="8.73046875" defaultRowHeight="11.65" x14ac:dyDescent="0.35"/>
  <cols>
    <col min="1" max="1" width="8.73046875" style="1"/>
    <col min="2" max="2" width="47.46484375" style="1" bestFit="1" customWidth="1"/>
    <col min="3" max="3" width="10.796875" style="1" customWidth="1"/>
    <col min="4" max="4" width="11.19921875" style="1" customWidth="1"/>
    <col min="5" max="5" width="10.796875" style="1" customWidth="1"/>
    <col min="6" max="7" width="12.46484375" style="1" customWidth="1"/>
    <col min="8" max="8" width="19.73046875" style="1" bestFit="1" customWidth="1"/>
    <col min="9" max="9" width="12.73046875" style="1" customWidth="1"/>
    <col min="10" max="10" width="20.06640625" style="1" customWidth="1"/>
    <col min="11" max="11" width="12.53125" style="1" customWidth="1"/>
    <col min="12" max="12" width="14.796875" style="1" customWidth="1"/>
    <col min="13" max="13" width="22.73046875" style="1" bestFit="1" customWidth="1"/>
    <col min="14" max="14" width="11.19921875" style="1" customWidth="1"/>
    <col min="15" max="16384" width="8.73046875" style="1"/>
  </cols>
  <sheetData>
    <row r="1" spans="2:22" x14ac:dyDescent="0.35">
      <c r="B1" s="466" t="s">
        <v>670</v>
      </c>
      <c r="M1" s="429"/>
    </row>
    <row r="2" spans="2:22" ht="23.25" x14ac:dyDescent="0.35">
      <c r="B2" s="2" t="s">
        <v>86</v>
      </c>
      <c r="C2" s="2" t="s">
        <v>87</v>
      </c>
      <c r="D2" s="2" t="s">
        <v>88</v>
      </c>
      <c r="E2" s="2" t="s">
        <v>89</v>
      </c>
      <c r="F2" s="2" t="s">
        <v>90</v>
      </c>
      <c r="G2" s="21"/>
      <c r="H2" s="2" t="s">
        <v>91</v>
      </c>
      <c r="I2" s="2" t="s">
        <v>92</v>
      </c>
      <c r="J2" s="2" t="s">
        <v>93</v>
      </c>
      <c r="K2" s="2" t="s">
        <v>94</v>
      </c>
      <c r="M2" s="592"/>
      <c r="N2" s="592"/>
      <c r="O2" s="592"/>
      <c r="P2" s="592"/>
    </row>
    <row r="3" spans="2:22" x14ac:dyDescent="0.35">
      <c r="B3" s="18" t="s">
        <v>43</v>
      </c>
      <c r="C3" s="98">
        <v>5.3414948477048423</v>
      </c>
      <c r="D3" s="18">
        <v>1</v>
      </c>
      <c r="E3" s="486" t="s">
        <v>314</v>
      </c>
      <c r="F3" s="486" t="s">
        <v>314</v>
      </c>
      <c r="G3" s="19"/>
      <c r="H3" s="334" t="s">
        <v>295</v>
      </c>
      <c r="I3" s="334">
        <v>26.473945978849684</v>
      </c>
      <c r="J3" s="334">
        <f>_xlfn.XLOOKUP(H3,'[5]Index data'!$O:$O,'[5]Index data'!$P:$P)</f>
        <v>35.14702940588117</v>
      </c>
      <c r="K3" s="334">
        <f>_xlfn.XLOOKUP(H3,'[5]Index data'!$O:$O,'[5]Index data'!$Q:$Q)</f>
        <v>29.857505920071961</v>
      </c>
      <c r="M3" s="467" t="s">
        <v>461</v>
      </c>
      <c r="N3" s="467" t="s">
        <v>100</v>
      </c>
      <c r="O3" s="467" t="s">
        <v>101</v>
      </c>
      <c r="P3" s="467" t="s">
        <v>102</v>
      </c>
    </row>
    <row r="4" spans="2:22" x14ac:dyDescent="0.35">
      <c r="B4" s="18" t="s">
        <v>249</v>
      </c>
      <c r="C4" s="98">
        <v>4.3632544981108596</v>
      </c>
      <c r="D4" s="18">
        <v>1</v>
      </c>
      <c r="E4" s="486" t="s">
        <v>314</v>
      </c>
      <c r="F4" s="486" t="s">
        <v>314</v>
      </c>
      <c r="G4" s="19"/>
      <c r="H4" s="334" t="s">
        <v>296</v>
      </c>
      <c r="I4" s="334">
        <v>13.889775695997898</v>
      </c>
      <c r="J4" s="334">
        <f>_xlfn.XLOOKUP(H4,'[5]Index data'!$O:$O,'[5]Index data'!$P:$P)</f>
        <v>6.3912782556511294</v>
      </c>
      <c r="K4" s="334">
        <f>_xlfn.XLOOKUP(H4,'[5]Index data'!$O:$O,'[5]Index data'!$Q:$Q)</f>
        <v>6.8445651301433195</v>
      </c>
      <c r="M4" s="97" t="s">
        <v>222</v>
      </c>
      <c r="N4" s="98">
        <v>37.5</v>
      </c>
      <c r="O4" s="98">
        <v>4.8</v>
      </c>
      <c r="P4" s="99">
        <f>O4/N4</f>
        <v>0.128</v>
      </c>
      <c r="Q4" s="272"/>
    </row>
    <row r="5" spans="2:22" x14ac:dyDescent="0.35">
      <c r="B5" s="18" t="s">
        <v>475</v>
      </c>
      <c r="C5" s="98">
        <v>3.3358528537694916</v>
      </c>
      <c r="D5" s="18">
        <v>1</v>
      </c>
      <c r="E5" s="486" t="s">
        <v>314</v>
      </c>
      <c r="F5" s="486" t="s">
        <v>314</v>
      </c>
      <c r="G5" s="19"/>
      <c r="H5" s="334" t="s">
        <v>97</v>
      </c>
      <c r="I5" s="334">
        <v>10.30048892987422</v>
      </c>
      <c r="J5" s="334">
        <f>_xlfn.XLOOKUP(H5,'[5]Index data'!$O:$O,'[5]Index data'!$P:$P)</f>
        <v>4.6909381876375269</v>
      </c>
      <c r="K5" s="334">
        <f>_xlfn.XLOOKUP(H5,'[5]Index data'!$O:$O,'[5]Index data'!$Q:$Q)</f>
        <v>6.9219396889777203</v>
      </c>
      <c r="M5" s="97" t="s">
        <v>221</v>
      </c>
      <c r="N5" s="98">
        <v>28.3</v>
      </c>
      <c r="O5" s="98">
        <v>3.4</v>
      </c>
      <c r="P5" s="99">
        <f>O5/N5</f>
        <v>0.12014134275618374</v>
      </c>
      <c r="Q5" s="108"/>
    </row>
    <row r="6" spans="2:22" x14ac:dyDescent="0.35">
      <c r="B6" s="18" t="s">
        <v>117</v>
      </c>
      <c r="C6" s="98">
        <v>3.2246330756605062</v>
      </c>
      <c r="D6" s="18">
        <v>1</v>
      </c>
      <c r="E6" s="486" t="s">
        <v>314</v>
      </c>
      <c r="F6" s="486" t="s">
        <v>314</v>
      </c>
      <c r="G6" s="19"/>
      <c r="H6" s="334" t="s">
        <v>187</v>
      </c>
      <c r="I6" s="334">
        <v>8.724321852322344</v>
      </c>
      <c r="J6" s="334">
        <f>_xlfn.XLOOKUP(H6,'[5]Index data'!$O:$O,'[5]Index data'!$P:$P)</f>
        <v>5.9511902380476087</v>
      </c>
      <c r="K6" s="334">
        <f>_xlfn.XLOOKUP(H6,'[5]Index data'!$O:$O,'[5]Index data'!$Q:$Q)</f>
        <v>5.7023077887170368</v>
      </c>
      <c r="M6" s="97" t="s">
        <v>83</v>
      </c>
      <c r="N6" s="98">
        <v>22.2</v>
      </c>
      <c r="O6" s="98">
        <v>3.7</v>
      </c>
      <c r="P6" s="99">
        <f>O6/N6</f>
        <v>0.16666666666666669</v>
      </c>
    </row>
    <row r="7" spans="2:22" x14ac:dyDescent="0.35">
      <c r="B7" s="18" t="s">
        <v>232</v>
      </c>
      <c r="C7" s="98">
        <v>2.9382746683575016</v>
      </c>
      <c r="D7" s="18">
        <v>1</v>
      </c>
      <c r="E7" s="486" t="s">
        <v>314</v>
      </c>
      <c r="F7" s="486" t="s">
        <v>314</v>
      </c>
      <c r="G7" s="19"/>
      <c r="H7" s="334" t="s">
        <v>95</v>
      </c>
      <c r="I7" s="334">
        <v>6.5293359420541179</v>
      </c>
      <c r="J7" s="334">
        <f>_xlfn.XLOOKUP(H7,'[5]Index data'!$O:$O,'[5]Index data'!$P:$P)</f>
        <v>8.4816963392678524</v>
      </c>
      <c r="K7" s="334">
        <f>_xlfn.XLOOKUP(H7,'[5]Index data'!$O:$O,'[5]Index data'!$Q:$Q)</f>
        <v>7.1389652294603234</v>
      </c>
      <c r="M7" s="97" t="s">
        <v>84</v>
      </c>
      <c r="N7" s="98">
        <v>20.6</v>
      </c>
      <c r="O7" s="98">
        <v>3.1</v>
      </c>
      <c r="P7" s="99">
        <f>O7/N7</f>
        <v>0.15048543689320387</v>
      </c>
    </row>
    <row r="8" spans="2:22" x14ac:dyDescent="0.35">
      <c r="B8" s="18" t="s">
        <v>490</v>
      </c>
      <c r="C8" s="98">
        <v>2.3436241080594216</v>
      </c>
      <c r="D8" s="18">
        <v>10</v>
      </c>
      <c r="E8" s="486">
        <v>8.3216643328665718</v>
      </c>
      <c r="F8" s="486">
        <v>4.6601941879156188</v>
      </c>
      <c r="G8" s="19"/>
      <c r="H8" s="334" t="s">
        <v>96</v>
      </c>
      <c r="I8" s="334">
        <v>5.2468870617937027</v>
      </c>
      <c r="J8" s="334">
        <f>_xlfn.XLOOKUP(H8,'[5]Index data'!$O:$O,'[5]Index data'!$P:$P)</f>
        <v>1.3602720544108822</v>
      </c>
      <c r="K8" s="334">
        <f>_xlfn.XLOOKUP(H8,'[5]Index data'!$O:$O,'[5]Index data'!$Q:$Q)</f>
        <v>5.1408983736535907</v>
      </c>
    </row>
    <row r="9" spans="2:22" x14ac:dyDescent="0.35">
      <c r="B9" s="18" t="s">
        <v>233</v>
      </c>
      <c r="C9" s="98">
        <v>2.3049673595306293</v>
      </c>
      <c r="D9" s="18">
        <v>3</v>
      </c>
      <c r="E9" s="486" t="s">
        <v>314</v>
      </c>
      <c r="F9" s="486" t="s">
        <v>314</v>
      </c>
      <c r="G9" s="19"/>
      <c r="H9" s="334" t="s">
        <v>98</v>
      </c>
      <c r="I9" s="334">
        <v>4.4690560802189747</v>
      </c>
      <c r="J9" s="334">
        <f>_xlfn.XLOOKUP(H9,'[5]Index data'!$O:$O,'[5]Index data'!$P:$P)</f>
        <v>6.8713742748549702</v>
      </c>
      <c r="K9" s="334">
        <f>_xlfn.XLOOKUP(H9,'[5]Index data'!$O:$O,'[5]Index data'!$Q:$Q)</f>
        <v>8.2997902965133576</v>
      </c>
    </row>
    <row r="10" spans="2:22" x14ac:dyDescent="0.35">
      <c r="B10" s="18" t="s">
        <v>112</v>
      </c>
      <c r="C10" s="98">
        <v>2.0688932209209265</v>
      </c>
      <c r="D10" s="18">
        <v>3</v>
      </c>
      <c r="E10" s="486" t="s">
        <v>314</v>
      </c>
      <c r="F10" s="486" t="s">
        <v>314</v>
      </c>
      <c r="G10" s="19"/>
      <c r="H10" s="334" t="s">
        <v>381</v>
      </c>
      <c r="I10" s="334">
        <v>2.1033410755971298</v>
      </c>
      <c r="J10" s="334">
        <f>_xlfn.XLOOKUP(H10,'[5]Index data'!$O:$O,'[5]Index data'!$P:$P)</f>
        <v>4.430886177235446</v>
      </c>
      <c r="K10" s="334">
        <f>_xlfn.XLOOKUP(H10,'[5]Index data'!$O:$O,'[5]Index data'!$Q:$Q)</f>
        <v>2.8379582725604569</v>
      </c>
    </row>
    <row r="11" spans="2:22" x14ac:dyDescent="0.35">
      <c r="B11" s="18" t="s">
        <v>379</v>
      </c>
      <c r="C11" s="98">
        <v>2.0636011091064184</v>
      </c>
      <c r="D11" s="18">
        <v>1</v>
      </c>
      <c r="E11" s="486" t="s">
        <v>314</v>
      </c>
      <c r="F11" s="486" t="s">
        <v>314</v>
      </c>
      <c r="G11" s="19"/>
      <c r="H11" s="334" t="s">
        <v>666</v>
      </c>
      <c r="I11" s="334">
        <v>1.9267573264097453</v>
      </c>
      <c r="J11" s="334" t="s">
        <v>314</v>
      </c>
      <c r="K11" s="334" t="s">
        <v>314</v>
      </c>
    </row>
    <row r="12" spans="2:22" x14ac:dyDescent="0.35">
      <c r="B12" s="18" t="s">
        <v>290</v>
      </c>
      <c r="C12" s="98">
        <v>1.9267573264097453</v>
      </c>
      <c r="D12" s="18">
        <v>2</v>
      </c>
      <c r="E12" s="486" t="s">
        <v>314</v>
      </c>
      <c r="F12" s="486" t="s">
        <v>314</v>
      </c>
      <c r="G12" s="19"/>
      <c r="H12" s="334" t="s">
        <v>455</v>
      </c>
      <c r="I12" s="334">
        <v>1.9154583425607536</v>
      </c>
      <c r="J12" s="334">
        <f>_xlfn.XLOOKUP(H12,'[5]Index data'!$O:$O,'[5]Index data'!$P:$P)</f>
        <v>5.2010402080416078</v>
      </c>
      <c r="K12" s="334">
        <f>_xlfn.XLOOKUP(H12,'[5]Index data'!$O:$O,'[5]Index data'!$Q:$Q)</f>
        <v>4.2540048602038345</v>
      </c>
    </row>
    <row r="13" spans="2:22" x14ac:dyDescent="0.35">
      <c r="B13" s="18" t="s">
        <v>667</v>
      </c>
      <c r="C13" s="98">
        <v>1.7390170307794424</v>
      </c>
      <c r="D13" s="18">
        <v>15</v>
      </c>
      <c r="E13" s="486">
        <v>3.7107421484296852</v>
      </c>
      <c r="F13" s="486">
        <v>2.0763359182114685</v>
      </c>
      <c r="G13" s="19"/>
      <c r="H13" s="3" t="s">
        <v>45</v>
      </c>
      <c r="I13" s="3">
        <f>SUM(I3:I12)</f>
        <v>81.579368285678569</v>
      </c>
      <c r="J13" s="3">
        <f>SUM(J3:J12)</f>
        <v>78.525705141028197</v>
      </c>
      <c r="K13" s="3">
        <f>SUM(K3:K12)</f>
        <v>76.997935560301599</v>
      </c>
    </row>
    <row r="14" spans="2:22" x14ac:dyDescent="0.35">
      <c r="B14" s="18" t="s">
        <v>491</v>
      </c>
      <c r="C14" s="98">
        <v>1.7018501799703969</v>
      </c>
      <c r="D14" s="18">
        <v>10</v>
      </c>
      <c r="E14" s="486">
        <v>10.562112422484496</v>
      </c>
      <c r="F14" s="486">
        <v>5.9119536747443382</v>
      </c>
      <c r="G14" s="19"/>
    </row>
    <row r="15" spans="2:22" x14ac:dyDescent="0.35">
      <c r="B15" s="18" t="s">
        <v>473</v>
      </c>
      <c r="C15" s="98">
        <v>1.4674367300523272</v>
      </c>
      <c r="D15" s="18">
        <v>5</v>
      </c>
      <c r="E15" s="486" t="s">
        <v>314</v>
      </c>
      <c r="F15" s="486" t="s">
        <v>314</v>
      </c>
      <c r="G15" s="19"/>
      <c r="H15" s="109" t="s">
        <v>188</v>
      </c>
    </row>
    <row r="16" spans="2:22" x14ac:dyDescent="0.35">
      <c r="B16" s="18" t="s">
        <v>668</v>
      </c>
      <c r="C16" s="98">
        <v>1.4067421740518986</v>
      </c>
      <c r="D16" s="18">
        <v>9</v>
      </c>
      <c r="E16" s="486">
        <v>3.4206841368273651</v>
      </c>
      <c r="F16" s="486">
        <v>1.9152642866705025</v>
      </c>
      <c r="G16" s="19"/>
      <c r="H16" s="283" t="s">
        <v>671</v>
      </c>
      <c r="J16" s="283" t="s">
        <v>495</v>
      </c>
      <c r="L16" s="283" t="s">
        <v>457</v>
      </c>
      <c r="N16" s="330" t="s">
        <v>382</v>
      </c>
      <c r="P16" s="283"/>
      <c r="Q16" s="257"/>
      <c r="R16" s="257"/>
      <c r="U16" s="1" t="s">
        <v>16</v>
      </c>
      <c r="V16" s="335">
        <v>0.26400000000000001</v>
      </c>
    </row>
    <row r="17" spans="2:22" x14ac:dyDescent="0.35">
      <c r="B17" s="18" t="s">
        <v>489</v>
      </c>
      <c r="C17" s="98">
        <v>1.382366391100839</v>
      </c>
      <c r="D17" s="18">
        <v>2</v>
      </c>
      <c r="E17" s="486" t="s">
        <v>314</v>
      </c>
      <c r="F17" s="486">
        <v>0.15540644226214917</v>
      </c>
      <c r="G17" s="19"/>
      <c r="U17" s="1" t="s">
        <v>17</v>
      </c>
      <c r="V17" s="335">
        <v>0.22</v>
      </c>
    </row>
    <row r="18" spans="2:22" x14ac:dyDescent="0.35">
      <c r="B18" s="18" t="s">
        <v>203</v>
      </c>
      <c r="C18" s="98">
        <v>1.3137904675542378</v>
      </c>
      <c r="D18" s="18">
        <v>1</v>
      </c>
      <c r="E18" s="486" t="s">
        <v>314</v>
      </c>
      <c r="F18" s="486" t="s">
        <v>314</v>
      </c>
      <c r="G18" s="19"/>
      <c r="U18" s="1" t="s">
        <v>383</v>
      </c>
      <c r="V18" s="272">
        <f>100%-V16-V17</f>
        <v>0.51600000000000001</v>
      </c>
    </row>
    <row r="19" spans="2:22" x14ac:dyDescent="0.35">
      <c r="B19" s="18" t="s">
        <v>302</v>
      </c>
      <c r="C19" s="98">
        <v>1.3030525148633101</v>
      </c>
      <c r="D19" s="18">
        <v>2</v>
      </c>
      <c r="E19" s="486" t="s">
        <v>314</v>
      </c>
      <c r="F19" s="486">
        <v>4.0242495851993763E-2</v>
      </c>
      <c r="G19" s="19"/>
    </row>
    <row r="20" spans="2:22" x14ac:dyDescent="0.35">
      <c r="B20" s="18" t="s">
        <v>179</v>
      </c>
      <c r="C20" s="98">
        <v>1.2944346638598661</v>
      </c>
      <c r="D20" s="18">
        <v>1</v>
      </c>
      <c r="E20" s="486" t="s">
        <v>314</v>
      </c>
      <c r="F20" s="486" t="s">
        <v>314</v>
      </c>
      <c r="G20" s="19"/>
    </row>
    <row r="21" spans="2:22" x14ac:dyDescent="0.35">
      <c r="B21" s="18" t="s">
        <v>165</v>
      </c>
      <c r="C21" s="98">
        <v>1.2381265511552062</v>
      </c>
      <c r="D21" s="18">
        <v>3</v>
      </c>
      <c r="E21" s="486" t="s">
        <v>314</v>
      </c>
      <c r="F21" s="486">
        <v>7.6425842926460583E-2</v>
      </c>
      <c r="G21" s="19"/>
    </row>
    <row r="22" spans="2:22" x14ac:dyDescent="0.35">
      <c r="B22" s="18" t="s">
        <v>669</v>
      </c>
      <c r="C22" s="98">
        <v>1.1897627240368513</v>
      </c>
      <c r="D22" s="18">
        <v>10</v>
      </c>
      <c r="E22" s="486">
        <v>4.430886177235446</v>
      </c>
      <c r="F22" s="486">
        <v>2.4832435593964108</v>
      </c>
      <c r="G22" s="19"/>
    </row>
    <row r="23" spans="2:22" x14ac:dyDescent="0.35">
      <c r="B23" s="319" t="s">
        <v>45</v>
      </c>
      <c r="C23" s="3">
        <v>41.707660689667897</v>
      </c>
      <c r="D23" s="3"/>
      <c r="E23" s="3">
        <v>31.180000000000003</v>
      </c>
      <c r="F23" s="3">
        <v>19.15456512805779</v>
      </c>
      <c r="G23" s="20"/>
    </row>
    <row r="29" spans="2:22" x14ac:dyDescent="0.35">
      <c r="H29" s="108" t="s">
        <v>385</v>
      </c>
    </row>
    <row r="34" spans="10:17" ht="58.15" x14ac:dyDescent="0.35">
      <c r="J34" s="270" t="s">
        <v>315</v>
      </c>
      <c r="K34" s="269" t="s">
        <v>672</v>
      </c>
      <c r="L34" s="269" t="s">
        <v>492</v>
      </c>
      <c r="M34" s="269" t="s">
        <v>456</v>
      </c>
      <c r="N34" s="269" t="s">
        <v>384</v>
      </c>
      <c r="O34" s="268" t="s">
        <v>673</v>
      </c>
      <c r="P34" s="268" t="s">
        <v>493</v>
      </c>
      <c r="Q34" s="268" t="s">
        <v>494</v>
      </c>
    </row>
    <row r="35" spans="10:17" x14ac:dyDescent="0.35">
      <c r="J35" s="264" t="s">
        <v>316</v>
      </c>
      <c r="K35" s="18">
        <v>1172</v>
      </c>
      <c r="L35" s="18">
        <v>1251</v>
      </c>
      <c r="M35" s="18">
        <v>1284</v>
      </c>
      <c r="N35" s="18">
        <v>1051</v>
      </c>
      <c r="O35" s="99">
        <f>K35/L35-1</f>
        <v>-6.314948041566748E-2</v>
      </c>
      <c r="P35" s="99">
        <f>L35/M35-1</f>
        <v>-2.5700934579439227E-2</v>
      </c>
      <c r="Q35" s="331">
        <f>M35/N35-1</f>
        <v>0.22169362511893431</v>
      </c>
    </row>
    <row r="36" spans="10:17" x14ac:dyDescent="0.35">
      <c r="J36" s="266" t="s">
        <v>317</v>
      </c>
      <c r="K36" s="318">
        <v>567</v>
      </c>
      <c r="L36" s="318">
        <v>550</v>
      </c>
      <c r="M36" s="318">
        <v>551</v>
      </c>
      <c r="N36" s="318">
        <v>530</v>
      </c>
      <c r="O36" s="336">
        <f t="shared" ref="O36:O39" si="0">K36/L36-1</f>
        <v>3.0909090909090997E-2</v>
      </c>
      <c r="P36" s="336">
        <f t="shared" ref="P36:Q39" si="1">L36/M36-1</f>
        <v>-1.8148820326678861E-3</v>
      </c>
      <c r="Q36" s="336">
        <f t="shared" si="1"/>
        <v>3.9622641509434064E-2</v>
      </c>
    </row>
    <row r="37" spans="10:17" x14ac:dyDescent="0.35">
      <c r="J37" s="267" t="s">
        <v>318</v>
      </c>
      <c r="K37" s="18">
        <v>41</v>
      </c>
      <c r="L37" s="18">
        <v>37</v>
      </c>
      <c r="M37" s="18">
        <v>44</v>
      </c>
      <c r="N37" s="18">
        <v>44</v>
      </c>
      <c r="O37" s="99">
        <f t="shared" si="0"/>
        <v>0.10810810810810811</v>
      </c>
      <c r="P37" s="99">
        <f t="shared" si="1"/>
        <v>-0.15909090909090906</v>
      </c>
      <c r="Q37" s="331">
        <f t="shared" si="1"/>
        <v>0</v>
      </c>
    </row>
    <row r="38" spans="10:17" x14ac:dyDescent="0.35">
      <c r="J38" s="267" t="s">
        <v>221</v>
      </c>
      <c r="K38" s="18">
        <f>K35-K37-K39</f>
        <v>917</v>
      </c>
      <c r="L38" s="18">
        <f>L35-L37-L39</f>
        <v>872</v>
      </c>
      <c r="M38" s="18">
        <f>M35-M37-M39</f>
        <v>901</v>
      </c>
      <c r="N38" s="18">
        <f>N35-N37-N39</f>
        <v>677</v>
      </c>
      <c r="O38" s="99">
        <f t="shared" si="0"/>
        <v>5.1605504587155959E-2</v>
      </c>
      <c r="P38" s="99">
        <f t="shared" si="1"/>
        <v>-3.2186459489456198E-2</v>
      </c>
      <c r="Q38" s="331">
        <f t="shared" si="1"/>
        <v>0.33087149187592324</v>
      </c>
    </row>
    <row r="39" spans="10:17" x14ac:dyDescent="0.35">
      <c r="J39" s="267" t="s">
        <v>319</v>
      </c>
      <c r="K39" s="18">
        <v>214</v>
      </c>
      <c r="L39" s="18">
        <v>342</v>
      </c>
      <c r="M39" s="18">
        <v>339</v>
      </c>
      <c r="N39" s="18">
        <v>330</v>
      </c>
      <c r="O39" s="99">
        <f t="shared" si="0"/>
        <v>-0.3742690058479532</v>
      </c>
      <c r="P39" s="99">
        <f t="shared" si="1"/>
        <v>8.8495575221239076E-3</v>
      </c>
      <c r="Q39" s="331">
        <f t="shared" si="1"/>
        <v>2.7272727272727337E-2</v>
      </c>
    </row>
    <row r="41" spans="10:17" ht="58.15" x14ac:dyDescent="0.35">
      <c r="J41" s="270" t="s">
        <v>320</v>
      </c>
      <c r="K41" s="269" t="s">
        <v>672</v>
      </c>
      <c r="L41" s="269" t="s">
        <v>492</v>
      </c>
      <c r="M41" s="269" t="s">
        <v>456</v>
      </c>
      <c r="N41" s="269" t="s">
        <v>384</v>
      </c>
      <c r="O41" s="268" t="s">
        <v>673</v>
      </c>
      <c r="P41" s="268" t="s">
        <v>493</v>
      </c>
      <c r="Q41" s="268" t="s">
        <v>494</v>
      </c>
    </row>
    <row r="42" spans="10:17" x14ac:dyDescent="0.35">
      <c r="J42" s="267" t="s">
        <v>321</v>
      </c>
      <c r="K42" s="18">
        <v>16</v>
      </c>
      <c r="L42" s="18">
        <v>17</v>
      </c>
      <c r="M42" s="18">
        <v>18</v>
      </c>
      <c r="N42" s="18">
        <v>15</v>
      </c>
      <c r="O42" s="18"/>
      <c r="P42" s="18">
        <f>L42-M42</f>
        <v>-1</v>
      </c>
      <c r="Q42" s="265">
        <f>M42-N42</f>
        <v>3</v>
      </c>
    </row>
    <row r="43" spans="10:17" x14ac:dyDescent="0.35">
      <c r="J43" s="267" t="s">
        <v>319</v>
      </c>
      <c r="K43" s="18">
        <v>3</v>
      </c>
      <c r="L43" s="18">
        <v>3</v>
      </c>
      <c r="M43" s="18">
        <v>3</v>
      </c>
      <c r="N43" s="18">
        <v>3</v>
      </c>
      <c r="O43" s="18"/>
      <c r="P43" s="18">
        <f>L43-M43</f>
        <v>0</v>
      </c>
      <c r="Q43" s="265">
        <f>M43-N43</f>
        <v>0</v>
      </c>
    </row>
    <row r="44" spans="10:17" x14ac:dyDescent="0.35">
      <c r="J44" s="266" t="s">
        <v>45</v>
      </c>
      <c r="K44" s="337">
        <f>SUM(K42:K43)</f>
        <v>19</v>
      </c>
      <c r="L44" s="337">
        <f>SUM(L42:L43)</f>
        <v>20</v>
      </c>
      <c r="M44" s="337">
        <f>SUM(M42:M43)</f>
        <v>21</v>
      </c>
      <c r="N44" s="337">
        <f>SUM(N42:N43)</f>
        <v>18</v>
      </c>
      <c r="O44" s="337"/>
      <c r="P44" s="337">
        <f>SUM(P42:P43)</f>
        <v>-1</v>
      </c>
      <c r="Q44" s="337">
        <f>SUM(Q42:Q43)</f>
        <v>3</v>
      </c>
    </row>
    <row r="45" spans="10:17" ht="36.5" customHeight="1" x14ac:dyDescent="0.35">
      <c r="J45" s="593" t="s">
        <v>674</v>
      </c>
      <c r="K45" s="593"/>
      <c r="L45" s="593"/>
      <c r="M45" s="593"/>
      <c r="N45" s="593"/>
      <c r="O45" s="593"/>
      <c r="P45" s="593"/>
      <c r="Q45" s="593"/>
    </row>
  </sheetData>
  <mergeCells count="2">
    <mergeCell ref="M2:P2"/>
    <mergeCell ref="J45:Q45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9"/>
  </sheetPr>
  <dimension ref="A1:J80"/>
  <sheetViews>
    <sheetView showGridLines="0" zoomScale="90" zoomScaleNormal="90" workbookViewId="0">
      <pane ySplit="3" topLeftCell="A32" activePane="bottomLeft" state="frozen"/>
      <selection pane="bottomLeft" activeCell="B50" activeCellId="2" sqref="B39:B40 B48 B50"/>
    </sheetView>
  </sheetViews>
  <sheetFormatPr defaultColWidth="9.19921875" defaultRowHeight="13.15" outlineLevelRow="1" x14ac:dyDescent="0.4"/>
  <cols>
    <col min="1" max="1" width="72.265625" style="207" customWidth="1"/>
    <col min="2" max="2" width="8.796875" style="207" bestFit="1" customWidth="1"/>
    <col min="3" max="6" width="9.19921875" style="207"/>
    <col min="7" max="7" width="13.19921875" style="207" bestFit="1" customWidth="1"/>
    <col min="8" max="8" width="9.19921875" style="207"/>
    <col min="9" max="9" width="9.19921875" style="215"/>
    <col min="10" max="10" width="18" style="215" bestFit="1" customWidth="1"/>
    <col min="11" max="11" width="10" style="207" bestFit="1" customWidth="1"/>
    <col min="12" max="16384" width="9.19921875" style="207"/>
  </cols>
  <sheetData>
    <row r="1" spans="1:10" x14ac:dyDescent="0.4">
      <c r="A1" s="566" t="s">
        <v>556</v>
      </c>
      <c r="B1" s="566"/>
      <c r="C1" s="566"/>
      <c r="D1" s="566"/>
      <c r="E1" s="566"/>
      <c r="F1" s="566"/>
      <c r="G1" s="566"/>
      <c r="H1" s="566"/>
      <c r="I1" s="566"/>
      <c r="J1" s="566"/>
    </row>
    <row r="2" spans="1:10" x14ac:dyDescent="0.4">
      <c r="A2" s="438"/>
      <c r="C2" s="244" t="s">
        <v>243</v>
      </c>
      <c r="E2" s="456">
        <v>100</v>
      </c>
      <c r="I2" s="207">
        <f>265.4-264.4</f>
        <v>1</v>
      </c>
      <c r="J2" s="207"/>
    </row>
    <row r="3" spans="1:10" ht="52.5" x14ac:dyDescent="0.4">
      <c r="A3" s="389" t="s">
        <v>238</v>
      </c>
      <c r="B3" s="390" t="s">
        <v>557</v>
      </c>
      <c r="C3" s="390" t="s">
        <v>558</v>
      </c>
      <c r="D3" s="390" t="s">
        <v>224</v>
      </c>
      <c r="E3" s="390" t="s">
        <v>225</v>
      </c>
      <c r="F3" s="391" t="s">
        <v>226</v>
      </c>
      <c r="G3" s="391" t="s">
        <v>252</v>
      </c>
      <c r="H3" s="390" t="s">
        <v>270</v>
      </c>
      <c r="I3" s="390" t="s">
        <v>271</v>
      </c>
      <c r="J3" s="392" t="s">
        <v>170</v>
      </c>
    </row>
    <row r="4" spans="1:10" x14ac:dyDescent="0.4">
      <c r="A4" s="356" t="s">
        <v>18</v>
      </c>
      <c r="B4" s="393">
        <f>SUM(B5:B18)</f>
        <v>361.70793325919061</v>
      </c>
      <c r="C4" s="393">
        <f>SUM(C5:C18)</f>
        <v>331.99510717321624</v>
      </c>
      <c r="D4" s="393">
        <f>SUM(D5:D18)</f>
        <v>32.499625012084302</v>
      </c>
      <c r="E4" s="393">
        <f>SUM(E5:E18)</f>
        <v>15.539890250875999</v>
      </c>
      <c r="F4" s="395">
        <f t="shared" ref="F4:F18" si="0">(B4+E4)/(C4+D4)-1</f>
        <v>3.4988410527378111E-2</v>
      </c>
      <c r="G4" s="447">
        <f>SUMPRODUCT(G5:G18,C5:C18)/C4</f>
        <v>1.7068926528743662E-2</v>
      </c>
      <c r="H4" s="395">
        <f>F4-G4</f>
        <v>1.7919483998634449E-2</v>
      </c>
      <c r="I4" s="395">
        <f>IF((VLOOKUP(A4,Equity!$B$2:$O$73,14,0)="A"),(VLOOKUP(A4,Equity!$B$2:$N$73,9,0)-VLOOKUP(A4,Equity!$B$2:$N$73,10,0)),(VLOOKUP(A4,Equity!$B$2:$N$73,11,0)-VLOOKUP(A4,Equity!$B$2:$N$73,12,0)))</f>
        <v>-6.9556750115424337E-2</v>
      </c>
      <c r="J4" s="451"/>
    </row>
    <row r="5" spans="1:10" x14ac:dyDescent="0.4">
      <c r="A5" s="344" t="s">
        <v>261</v>
      </c>
      <c r="B5" s="358">
        <f>VLOOKUP(A5,Equity!$B$2:$H$73,7,0)</f>
        <v>32.706286593388022</v>
      </c>
      <c r="C5" s="358">
        <v>31.419559189732198</v>
      </c>
      <c r="D5" s="359">
        <f>SUMIFS(Transactions!L:L,Transactions!K:K,A5)</f>
        <v>0</v>
      </c>
      <c r="E5" s="359">
        <f>SUMIFS(Transactions!F:F,Transactions!E:E,A5)</f>
        <v>0</v>
      </c>
      <c r="F5" s="396">
        <f t="shared" si="0"/>
        <v>4.0953069897820882E-2</v>
      </c>
      <c r="G5" s="448">
        <f>'Month on Month Equity Change'!$Q$3</f>
        <v>1.7068926528743665E-2</v>
      </c>
      <c r="H5" s="396">
        <f>F5-G5</f>
        <v>2.3884143369077217E-2</v>
      </c>
      <c r="I5" s="396">
        <f>IF((VLOOKUP(A5,Equity!$B$2:$O$73,14,0)="A"),(VLOOKUP(A5,Equity!$B$2:$N$73,9,0)-VLOOKUP(A5,Equity!$B$2:$N$73,10,0)),(VLOOKUP(A5,Equity!$B$2:$N$73,11,0)-VLOOKUP(A5,Equity!$B$2:$N$73,12,0)))</f>
        <v>-4.1163312940718205E-2</v>
      </c>
      <c r="J5" s="452"/>
    </row>
    <row r="6" spans="1:10" x14ac:dyDescent="0.4">
      <c r="A6" s="344" t="s">
        <v>248</v>
      </c>
      <c r="B6" s="358">
        <f>VLOOKUP(A6,Equity!$B$2:$H$73,7,0)</f>
        <v>40.047567800000003</v>
      </c>
      <c r="C6" s="358">
        <v>36.932103099999999</v>
      </c>
      <c r="D6" s="359">
        <f>SUMIFS(Transactions!L:L,Transactions!K:K,A6)</f>
        <v>0</v>
      </c>
      <c r="E6" s="359">
        <f>SUMIFS(Transactions!F:F,Transactions!E:E,A6)</f>
        <v>0</v>
      </c>
      <c r="F6" s="396">
        <f t="shared" si="0"/>
        <v>8.4356547244665459E-2</v>
      </c>
      <c r="G6" s="448">
        <f>'Month on Month Equity Change'!$Q$3</f>
        <v>1.7068926528743665E-2</v>
      </c>
      <c r="H6" s="396">
        <f>F6-G6</f>
        <v>6.7287620715921787E-2</v>
      </c>
      <c r="I6" s="396">
        <f>IF((VLOOKUP(A6,Equity!$B$2:$O$73,14,0)="A"),(VLOOKUP(A6,Equity!$B$2:$N$73,9,0)-VLOOKUP(A6,Equity!$B$2:$N$73,10,0)),(VLOOKUP(A6,Equity!$B$2:$N$73,11,0)-VLOOKUP(A6,Equity!$B$2:$N$73,12,0)))</f>
        <v>-0.15975282682720812</v>
      </c>
      <c r="J6" s="452"/>
    </row>
    <row r="7" spans="1:10" x14ac:dyDescent="0.4">
      <c r="A7" s="344" t="s">
        <v>246</v>
      </c>
      <c r="B7" s="358">
        <f>VLOOKUP(A7,Equity!$B$2:$H$73,7,0)</f>
        <v>17.6176514</v>
      </c>
      <c r="C7" s="358">
        <v>17.2003518</v>
      </c>
      <c r="D7" s="359">
        <f>SUMIFS(Transactions!L:L,Transactions!K:K,A7)</f>
        <v>0</v>
      </c>
      <c r="E7" s="359">
        <f>SUMIFS(Transactions!F:F,Transactions!E:E,A7)</f>
        <v>0</v>
      </c>
      <c r="F7" s="396">
        <f t="shared" si="0"/>
        <v>2.4261108426863576E-2</v>
      </c>
      <c r="G7" s="448">
        <f>'Month on Month Equity Change'!$Q$3</f>
        <v>1.7068926528743665E-2</v>
      </c>
      <c r="H7" s="396">
        <f>F7-G7</f>
        <v>7.1921818981199107E-3</v>
      </c>
      <c r="I7" s="396">
        <f>IF((VLOOKUP(A7,Equity!$B$2:$O$73,14,0)="A"),(VLOOKUP(A7,Equity!$B$2:$N$73,9,0)-VLOOKUP(A7,Equity!$B$2:$N$73,10,0)),(VLOOKUP(A7,Equity!$B$2:$N$73,11,0)-VLOOKUP(A7,Equity!$B$2:$N$73,12,0)))</f>
        <v>-2.711833701923877E-2</v>
      </c>
      <c r="J7" s="452"/>
    </row>
    <row r="8" spans="1:10" x14ac:dyDescent="0.4">
      <c r="A8" s="344" t="s">
        <v>367</v>
      </c>
      <c r="B8" s="358">
        <f>VLOOKUP(A8,Equity!$B$2:$H$73,7,0)</f>
        <v>52.115601613118805</v>
      </c>
      <c r="C8" s="358">
        <v>51.01089634365222</v>
      </c>
      <c r="D8" s="359">
        <f>SUMIFS(Transactions!L:L,Transactions!K:K,A8)</f>
        <v>0</v>
      </c>
      <c r="E8" s="359">
        <f>SUMIFS(Transactions!F:F,Transactions!E:E,A8)</f>
        <v>0</v>
      </c>
      <c r="F8" s="396">
        <f t="shared" si="0"/>
        <v>2.1656260694271401E-2</v>
      </c>
      <c r="G8" s="448">
        <f>'Month on Month Equity Change'!$Q$3</f>
        <v>1.7068926528743665E-2</v>
      </c>
      <c r="H8" s="396">
        <f t="shared" ref="H8:H18" si="1">F8-G8</f>
        <v>4.5873341655277358E-3</v>
      </c>
      <c r="I8" s="396">
        <f>IF((VLOOKUP(A8,Equity!$B$2:$O$73,14,0)="A"),(VLOOKUP(A8,Equity!$B$2:$N$73,9,0)-VLOOKUP(A8,Equity!$B$2:$N$73,10,0)),(VLOOKUP(A8,Equity!$B$2:$N$73,11,0)-VLOOKUP(A8,Equity!$B$2:$N$73,12,0)))</f>
        <v>2.2014365517428594E-2</v>
      </c>
      <c r="J8" s="452"/>
    </row>
    <row r="9" spans="1:10" x14ac:dyDescent="0.4">
      <c r="A9" s="344" t="s">
        <v>262</v>
      </c>
      <c r="B9" s="358">
        <f>VLOOKUP(A9,Equity!$B$2:$H$73,7,0)</f>
        <v>11.128743535000002</v>
      </c>
      <c r="C9" s="358">
        <v>10.645767685000001</v>
      </c>
      <c r="D9" s="359">
        <f>SUMIFS(Transactions!L:L,Transactions!K:K,A9)</f>
        <v>0</v>
      </c>
      <c r="E9" s="359">
        <f>SUMIFS(Transactions!F:F,Transactions!E:E,A9)</f>
        <v>0</v>
      </c>
      <c r="F9" s="396">
        <f t="shared" si="0"/>
        <v>4.5367874284963028E-2</v>
      </c>
      <c r="G9" s="448">
        <f>'Month on Month Equity Change'!$Q$3</f>
        <v>1.7068926528743665E-2</v>
      </c>
      <c r="H9" s="396">
        <f t="shared" si="1"/>
        <v>2.8298947756219363E-2</v>
      </c>
      <c r="I9" s="396">
        <f>IF((VLOOKUP(A9,Equity!$B$2:$O$73,14,0)="A"),(VLOOKUP(A9,Equity!$B$2:$N$73,9,0)-VLOOKUP(A9,Equity!$B$2:$N$73,10,0)),(VLOOKUP(A9,Equity!$B$2:$N$73,11,0)-VLOOKUP(A9,Equity!$B$2:$N$73,12,0)))</f>
        <v>-6.0736048505932033E-2</v>
      </c>
      <c r="J9" s="452"/>
    </row>
    <row r="10" spans="1:10" x14ac:dyDescent="0.4">
      <c r="A10" s="344" t="s">
        <v>299</v>
      </c>
      <c r="B10" s="358">
        <f>VLOOKUP(A10,Equity!$B$2:$H$73,7,0)</f>
        <v>16.008922064830749</v>
      </c>
      <c r="C10" s="358">
        <v>15.390580682108999</v>
      </c>
      <c r="D10" s="359">
        <f>SUMIFS(Transactions!L:L,Transactions!K:K,A10)</f>
        <v>0</v>
      </c>
      <c r="E10" s="359">
        <f>SUMIFS(Transactions!F:F,Transactions!E:E,A10)</f>
        <v>0</v>
      </c>
      <c r="F10" s="396">
        <f t="shared" si="0"/>
        <v>4.0176611623273573E-2</v>
      </c>
      <c r="G10" s="448">
        <f>'Month on Month Equity Change'!$Q$3</f>
        <v>1.7068926528743665E-2</v>
      </c>
      <c r="H10" s="396">
        <f>F10-G10</f>
        <v>2.3107685094529908E-2</v>
      </c>
      <c r="I10" s="396">
        <f>IF((VLOOKUP(A10,Equity!$B$2:$O$73,14,0)="A"),(VLOOKUP(A10,Equity!$B$2:$N$73,9,0)-VLOOKUP(A10,Equity!$B$2:$N$73,10,0)),(VLOOKUP(A10,Equity!$B$2:$N$73,11,0)-VLOOKUP(A10,Equity!$B$2:$N$73,12,0)))</f>
        <v>-0.25004276683707627</v>
      </c>
      <c r="J10" s="452"/>
    </row>
    <row r="11" spans="1:10" x14ac:dyDescent="0.4">
      <c r="A11" s="344" t="s">
        <v>371</v>
      </c>
      <c r="B11" s="358">
        <f>VLOOKUP(A11,Equity!$B$2:$H$73,7,0)</f>
        <v>25.922903000000002</v>
      </c>
      <c r="C11" s="358">
        <v>24.324255299999997</v>
      </c>
      <c r="D11" s="359">
        <f>SUMIFS(Transactions!L:L,Transactions!K:K,A11)</f>
        <v>0</v>
      </c>
      <c r="E11" s="359">
        <f>SUMIFS(Transactions!F:F,Transactions!E:E,A11)</f>
        <v>0</v>
      </c>
      <c r="F11" s="396">
        <f t="shared" si="0"/>
        <v>6.5722369720400131E-2</v>
      </c>
      <c r="G11" s="448">
        <f>'Month on Month Equity Change'!$Q$3</f>
        <v>1.7068926528743665E-2</v>
      </c>
      <c r="H11" s="396">
        <f>F11-G11</f>
        <v>4.8653443191656466E-2</v>
      </c>
      <c r="I11" s="396">
        <f>IF((VLOOKUP(A11,Equity!$B$2:$O$73,14,0)="A"),(VLOOKUP(A11,Equity!$B$2:$N$73,9,0)-VLOOKUP(A11,Equity!$B$2:$N$73,10,0)),(VLOOKUP(A11,Equity!$B$2:$N$73,11,0)-VLOOKUP(A11,Equity!$B$2:$N$73,12,0)))</f>
        <v>-7.3733021003206112E-2</v>
      </c>
      <c r="J11" s="452"/>
    </row>
    <row r="12" spans="1:10" x14ac:dyDescent="0.4">
      <c r="A12" s="343" t="s">
        <v>548</v>
      </c>
      <c r="B12" s="358">
        <f>VLOOKUP(A12,Equity!$B$2:$H$73,7,0)</f>
        <v>76.047924594483433</v>
      </c>
      <c r="C12" s="358">
        <v>49.2</v>
      </c>
      <c r="D12" s="359">
        <f>SUMIFS(Transactions!L:L,Transactions!K:K,A12)</f>
        <v>25</v>
      </c>
      <c r="E12" s="359">
        <f>SUMIFS(Transactions!F:F,Transactions!E:E,A12)</f>
        <v>0</v>
      </c>
      <c r="F12" s="396">
        <f>(B12+E12)/(C12+D12)-1</f>
        <v>2.4904644130504527E-2</v>
      </c>
      <c r="G12" s="448">
        <f>'Month on Month Equity Change'!$Q$3</f>
        <v>1.7068926528743665E-2</v>
      </c>
      <c r="H12" s="396">
        <f>F12-G12</f>
        <v>7.8357176017608623E-3</v>
      </c>
      <c r="I12" s="396">
        <f>IF((VLOOKUP(A12,Equity!$B$2:$O$73,14,0)="A"),(VLOOKUP(A12,Equity!$B$2:$N$73,9,0)-VLOOKUP(A12,Equity!$B$2:$N$73,10,0)),(VLOOKUP(A12,Equity!$B$2:$N$73,11,0)-VLOOKUP(A12,Equity!$B$2:$N$73,12,0)))</f>
        <v>-8.5560503261476156E-2</v>
      </c>
      <c r="J12" s="452"/>
    </row>
    <row r="13" spans="1:10" x14ac:dyDescent="0.4">
      <c r="A13" s="344" t="s">
        <v>264</v>
      </c>
      <c r="B13" s="483">
        <v>0</v>
      </c>
      <c r="C13" s="358">
        <v>9.2693366976140013</v>
      </c>
      <c r="D13" s="359">
        <f>SUMIFS(Transactions!L:L,Transactions!K:K,A13)</f>
        <v>0</v>
      </c>
      <c r="E13" s="359">
        <f>SUMIFS(Transactions!F:F,Transactions!E:E,A13)</f>
        <v>9.602160364066</v>
      </c>
      <c r="F13" s="396">
        <f t="shared" si="0"/>
        <v>3.5905877336149583E-2</v>
      </c>
      <c r="G13" s="448">
        <f>'Month on Month Equity Change'!$Q$3</f>
        <v>1.7068926528743665E-2</v>
      </c>
      <c r="H13" s="396">
        <f t="shared" si="1"/>
        <v>1.8836950807405918E-2</v>
      </c>
      <c r="I13" s="396" t="e">
        <f>IF((VLOOKUP(A13,Equity!$B$2:$O$73,14,0)="A"),(VLOOKUP(A13,Equity!$B$2:$N$73,9,0)-VLOOKUP(A13,Equity!$B$2:$N$73,10,0)),(VLOOKUP(A13,Equity!$B$2:$N$73,11,0)-VLOOKUP(A13,Equity!$B$2:$N$73,12,0)))</f>
        <v>#N/A</v>
      </c>
      <c r="J13" s="452"/>
    </row>
    <row r="14" spans="1:10" x14ac:dyDescent="0.4">
      <c r="A14" s="344" t="s">
        <v>185</v>
      </c>
      <c r="B14" s="358">
        <f>VLOOKUP(A14,Equity!$B$2:$H$73,7,0)</f>
        <v>27.174766397315999</v>
      </c>
      <c r="C14" s="358">
        <v>26.147365021236002</v>
      </c>
      <c r="D14" s="359">
        <f>SUMIFS(Transactions!L:L,Transactions!K:K,A14)</f>
        <v>0</v>
      </c>
      <c r="E14" s="359">
        <f>SUMIFS(Transactions!F:F,Transactions!E:E,A14)</f>
        <v>0</v>
      </c>
      <c r="F14" s="396">
        <f t="shared" si="0"/>
        <v>3.9292730844793677E-2</v>
      </c>
      <c r="G14" s="448">
        <f>'Month on Month Equity Change'!$Q$3</f>
        <v>1.7068926528743665E-2</v>
      </c>
      <c r="H14" s="396">
        <f t="shared" si="1"/>
        <v>2.2223804316050012E-2</v>
      </c>
      <c r="I14" s="396">
        <f>IF((VLOOKUP(A14,Equity!$B$2:$O$73,14,0)="A"),(VLOOKUP(A14,Equity!$B$2:$N$73,9,0)-VLOOKUP(A14,Equity!$B$2:$N$73,10,0)),(VLOOKUP(A14,Equity!$B$2:$N$73,11,0)-VLOOKUP(A14,Equity!$B$2:$N$73,12,0)))</f>
        <v>-7.0631875662071741E-2</v>
      </c>
      <c r="J14" s="452"/>
    </row>
    <row r="15" spans="1:10" x14ac:dyDescent="0.4">
      <c r="A15" s="344" t="s">
        <v>419</v>
      </c>
      <c r="B15" s="358">
        <f>VLOOKUP(A15,Equity!$B$2:$H$73,7,0)</f>
        <v>24.782831948660803</v>
      </c>
      <c r="C15" s="358">
        <v>17.072485880939201</v>
      </c>
      <c r="D15" s="359">
        <f>SUMIFS(Transactions!L:L,Transactions!K:K,A15)</f>
        <v>7.4996250120843007</v>
      </c>
      <c r="E15" s="359">
        <f>SUMIFS(Transactions!F:F,Transactions!E:E,A15)</f>
        <v>0</v>
      </c>
      <c r="F15" s="396">
        <f t="shared" si="0"/>
        <v>8.5756187799530537E-3</v>
      </c>
      <c r="G15" s="448">
        <f>'Month on Month Equity Change'!$Q$3</f>
        <v>1.7068926528743665E-2</v>
      </c>
      <c r="H15" s="396">
        <f>F15-G15</f>
        <v>-8.4933077487906114E-3</v>
      </c>
      <c r="I15" s="396">
        <f>IF((VLOOKUP(A15,Equity!$B$2:$O$73,14,0)="A"),(VLOOKUP(A15,Equity!$B$2:$N$73,9,0)-VLOOKUP(A15,Equity!$B$2:$N$73,10,0)),(VLOOKUP(A15,Equity!$B$2:$N$73,11,0)-VLOOKUP(A15,Equity!$B$2:$N$73,12,0)))</f>
        <v>1.9394611179461174E-2</v>
      </c>
      <c r="J15" s="452"/>
    </row>
    <row r="16" spans="1:10" x14ac:dyDescent="0.4">
      <c r="A16" s="344" t="s">
        <v>418</v>
      </c>
      <c r="B16" s="358">
        <f>VLOOKUP(A16,Equity!$B$2:$H$73,7,0)</f>
        <v>2.5003334233067998</v>
      </c>
      <c r="C16" s="358">
        <v>2.4220826285075998</v>
      </c>
      <c r="D16" s="359">
        <f>SUMIFS(Transactions!L:L,Transactions!K:K,A16)</f>
        <v>0</v>
      </c>
      <c r="E16" s="359">
        <f>SUMIFS(Transactions!F:F,Transactions!E:E,A16)</f>
        <v>0</v>
      </c>
      <c r="F16" s="396">
        <f t="shared" si="0"/>
        <v>3.2307235879651008E-2</v>
      </c>
      <c r="G16" s="448">
        <f>'Month on Month Equity Change'!$Q$3</f>
        <v>1.7068926528743665E-2</v>
      </c>
      <c r="H16" s="396">
        <f>F16-G16</f>
        <v>1.5238309350907343E-2</v>
      </c>
      <c r="I16" s="396">
        <f>IF((VLOOKUP(A16,Equity!$B$2:$O$73,14,0)="A"),(VLOOKUP(A16,Equity!$B$2:$N$73,9,0)-VLOOKUP(A16,Equity!$B$2:$N$73,10,0)),(VLOOKUP(A16,Equity!$B$2:$N$73,11,0)-VLOOKUP(A16,Equity!$B$2:$N$73,12,0)))</f>
        <v>0.26250529639043163</v>
      </c>
      <c r="J16" s="452"/>
    </row>
    <row r="17" spans="1:10" x14ac:dyDescent="0.4">
      <c r="A17" s="344" t="s">
        <v>420</v>
      </c>
      <c r="B17" s="358">
        <f>VLOOKUP(A17,Equity!$B$2:$H$73,7,0)</f>
        <v>10.236297204381</v>
      </c>
      <c r="C17" s="358">
        <v>9.9509565233499995</v>
      </c>
      <c r="D17" s="359">
        <f>SUMIFS(Transactions!L:L,Transactions!K:K,A17)</f>
        <v>0</v>
      </c>
      <c r="E17" s="359">
        <f>SUMIFS(Transactions!F:F,Transactions!E:E,A17)</f>
        <v>0</v>
      </c>
      <c r="F17" s="396">
        <f t="shared" si="0"/>
        <v>2.8674698795180698E-2</v>
      </c>
      <c r="G17" s="448">
        <f>'Month on Month Equity Change'!$Q$3</f>
        <v>1.7068926528743665E-2</v>
      </c>
      <c r="H17" s="396">
        <f>F17-G17</f>
        <v>1.1605772266437032E-2</v>
      </c>
      <c r="I17" s="396">
        <f>IF((VLOOKUP(A17,Equity!$B$2:$O$73,14,0)="A"),(VLOOKUP(A17,Equity!$B$2:$N$73,9,0)-VLOOKUP(A17,Equity!$B$2:$N$73,10,0)),(VLOOKUP(A17,Equity!$B$2:$N$73,11,0)-VLOOKUP(A17,Equity!$B$2:$N$73,12,0)))</f>
        <v>1.2127361470444686E-2</v>
      </c>
      <c r="J17" s="452"/>
    </row>
    <row r="18" spans="1:10" x14ac:dyDescent="0.4">
      <c r="A18" s="344" t="s">
        <v>268</v>
      </c>
      <c r="B18" s="483">
        <f>VLOOKUP(A18,Equity!$B$2:$H$73,7,0)</f>
        <v>25.418103684705002</v>
      </c>
      <c r="C18" s="358">
        <v>31.009366321076005</v>
      </c>
      <c r="D18" s="359">
        <f>SUMIFS(Transactions!L:L,Transactions!K:K,A18)</f>
        <v>0</v>
      </c>
      <c r="E18" s="359">
        <f>SUMIFS(Transactions!F:F,Transactions!E:E,A18)</f>
        <v>5.9377298868099988</v>
      </c>
      <c r="F18" s="396">
        <f t="shared" si="0"/>
        <v>1.1172987117879618E-2</v>
      </c>
      <c r="G18" s="448">
        <f>'Month on Month Equity Change'!$Q$3</f>
        <v>1.7068926528743665E-2</v>
      </c>
      <c r="H18" s="396">
        <f t="shared" si="1"/>
        <v>-5.895939410864047E-3</v>
      </c>
      <c r="I18" s="396">
        <f>IF((VLOOKUP(A18,Equity!$B$2:$O$73,14,0)="A"),(VLOOKUP(A18,Equity!$B$2:$N$73,9,0)-VLOOKUP(A18,Equity!$B$2:$N$73,10,0)),(VLOOKUP(A18,Equity!$B$2:$N$73,11,0)-VLOOKUP(A18,Equity!$B$2:$N$73,12,0)))</f>
        <v>-6.7952634305778609E-3</v>
      </c>
      <c r="J18" s="452"/>
    </row>
    <row r="19" spans="1:10" x14ac:dyDescent="0.4">
      <c r="A19" s="356" t="s">
        <v>22</v>
      </c>
      <c r="B19" s="394">
        <f>B20</f>
        <v>1.1248248999999999</v>
      </c>
      <c r="C19" s="394">
        <f>C20</f>
        <v>1.1531671999999999</v>
      </c>
      <c r="D19" s="394">
        <f>SUM(D20:D20)</f>
        <v>0</v>
      </c>
      <c r="E19" s="394">
        <f>SUM(E20:E20)</f>
        <v>0</v>
      </c>
      <c r="F19" s="395">
        <f t="shared" ref="F19:F29" si="2">(B19+E19)/(C19+D19)-1</f>
        <v>-2.457778889305906E-2</v>
      </c>
      <c r="G19" s="447">
        <f>'Month on Month Equity Change'!$K$10</f>
        <v>4.3368897471653726E-2</v>
      </c>
      <c r="H19" s="395">
        <f t="shared" ref="H19:H33" si="3">F19-G19</f>
        <v>-6.7946686364712794E-2</v>
      </c>
      <c r="I19" s="395">
        <f>IF((VLOOKUP(A19,Equity!$B$2:$O$73,14,0)="A"),(VLOOKUP(A19,Equity!$B$2:$N$73,9,0)-VLOOKUP(A19,Equity!$B$2:$N$73,10,0)),(VLOOKUP(A19,Equity!$B$2:$N$73,11,0)-VLOOKUP(A19,Equity!$B$2:$N$73,12,0)))</f>
        <v>-5.3619739242560818E-2</v>
      </c>
      <c r="J19" s="451"/>
    </row>
    <row r="20" spans="1:10" x14ac:dyDescent="0.4">
      <c r="A20" s="344" t="s">
        <v>240</v>
      </c>
      <c r="B20" s="359">
        <f>'Month on Month Equity Change'!H10</f>
        <v>1.1248248999999999</v>
      </c>
      <c r="C20" s="358">
        <v>1.1531671999999999</v>
      </c>
      <c r="D20" s="359">
        <f>SUMIFS(Transactions!L:L,Transactions!K:K,A20)</f>
        <v>0</v>
      </c>
      <c r="E20" s="359">
        <f>SUMIFS(Transactions!F:F,Transactions!E:E,A20)</f>
        <v>0</v>
      </c>
      <c r="F20" s="396">
        <f t="shared" si="2"/>
        <v>-2.457778889305906E-2</v>
      </c>
      <c r="G20" s="396">
        <f>'Month on Month Equity Change'!$K$10</f>
        <v>4.3368897471653726E-2</v>
      </c>
      <c r="H20" s="396">
        <f t="shared" si="3"/>
        <v>-6.7946686364712794E-2</v>
      </c>
      <c r="I20" s="396">
        <f>IF((VLOOKUP(A20,Equity!$B$2:$O$73,14,0)="A"),(VLOOKUP(A20,Equity!$B$2:$N$73,9,0)-VLOOKUP(A20,Equity!$B$2:$N$73,10,0)),(VLOOKUP(A20,Equity!$B$2:$N$73,11,0)-VLOOKUP(A20,Equity!$B$2:$N$73,12,0)))</f>
        <v>-5.3619739242560818E-2</v>
      </c>
      <c r="J20" s="453"/>
    </row>
    <row r="21" spans="1:10" x14ac:dyDescent="0.4">
      <c r="A21" s="356" t="s">
        <v>20</v>
      </c>
      <c r="B21" s="394">
        <f>VLOOKUP(A21,Equity!$B$2:$H$73,7,0)</f>
        <v>246.7578324809898</v>
      </c>
      <c r="C21" s="394">
        <f>SUM(C22:C24)</f>
        <v>223.51739442526366</v>
      </c>
      <c r="D21" s="394">
        <f>SUM(D22:D24)</f>
        <v>0</v>
      </c>
      <c r="E21" s="394">
        <f>SUM(E22:E24)</f>
        <v>0</v>
      </c>
      <c r="F21" s="395">
        <f t="shared" si="2"/>
        <v>0.10397597070905795</v>
      </c>
      <c r="G21" s="447">
        <f>SUMPRODUCT(G22:G24,C22:C24)/C21</f>
        <v>2.1063078663627794E-2</v>
      </c>
      <c r="H21" s="395">
        <f t="shared" si="3"/>
        <v>8.2912892045430162E-2</v>
      </c>
      <c r="I21" s="395">
        <f>IF((VLOOKUP(A21,Equity!$B$2:$O$73,14,0)="A"),(VLOOKUP(A21,Equity!$B$2:$N$73,9,0)-VLOOKUP(A21,Equity!$B$2:$N$73,10,0)),(VLOOKUP(A21,Equity!$B$2:$N$73,11,0)-VLOOKUP(A21,Equity!$B$2:$N$73,12,0)))</f>
        <v>-0.38801569047427509</v>
      </c>
      <c r="J21" s="451"/>
    </row>
    <row r="22" spans="1:10" x14ac:dyDescent="0.4">
      <c r="A22" s="344" t="s">
        <v>281</v>
      </c>
      <c r="B22" s="358">
        <f>VLOOKUP(A22,Equity!$B$2:$H$73,7,0)</f>
        <v>204.48014363098983</v>
      </c>
      <c r="C22" s="358">
        <v>184.19402552726365</v>
      </c>
      <c r="D22" s="359">
        <f>SUMIFS(Transactions!L:L,Transactions!K:K,A22)</f>
        <v>0</v>
      </c>
      <c r="E22" s="359">
        <f>SUMIFS(Transactions!F:F,Transactions!E:E,'Attribution Analysis'!A22)</f>
        <v>0</v>
      </c>
      <c r="F22" s="396">
        <f t="shared" si="2"/>
        <v>0.11013450651103507</v>
      </c>
      <c r="G22" s="448">
        <f>'Month on Month Equity Change'!$Q$11</f>
        <v>2.1063078663627794E-2</v>
      </c>
      <c r="H22" s="396">
        <f t="shared" si="3"/>
        <v>8.9071427847407278E-2</v>
      </c>
      <c r="I22" s="396">
        <f>IF((VLOOKUP(A22,Equity!$B$2:$O$73,14,0)="A"),(VLOOKUP(A22,Equity!$B$2:$N$73,9,0)-VLOOKUP(A22,Equity!$B$2:$N$73,10,0)),(VLOOKUP(A22,Equity!$B$2:$N$73,11,0)-VLOOKUP(A22,Equity!$B$2:$N$73,12,0)))</f>
        <v>-0.540066129678484</v>
      </c>
      <c r="J22" s="452"/>
    </row>
    <row r="23" spans="1:10" x14ac:dyDescent="0.4">
      <c r="A23" s="343" t="s">
        <v>289</v>
      </c>
      <c r="B23" s="358">
        <f>VLOOKUP(A23,Equity!$B$2:$H$73,7,0)</f>
        <v>15.894442099999999</v>
      </c>
      <c r="C23" s="358">
        <v>14.910847326999999</v>
      </c>
      <c r="D23" s="359">
        <f>SUMIFS(Transactions!L:L,Transactions!K:K,A23)</f>
        <v>0</v>
      </c>
      <c r="E23" s="359">
        <f>SUMIFS(Transactions!F:F,Transactions!E:E,'Attribution Analysis'!A23)</f>
        <v>0</v>
      </c>
      <c r="F23" s="396">
        <f t="shared" si="2"/>
        <v>6.596504889557453E-2</v>
      </c>
      <c r="G23" s="448">
        <f>'Month on Month Equity Change'!$Q$11</f>
        <v>2.1063078663627794E-2</v>
      </c>
      <c r="H23" s="396">
        <f t="shared" si="3"/>
        <v>4.4901970231946739E-2</v>
      </c>
      <c r="I23" s="396">
        <f>IF((VLOOKUP(A23,Equity!$B$2:$O$73,14,0)="A"),(VLOOKUP(A23,Equity!$B$2:$N$73,9,0)-VLOOKUP(A23,Equity!$B$2:$N$73,10,0)),(VLOOKUP(A23,Equity!$B$2:$N$73,11,0)-VLOOKUP(A23,Equity!$B$2:$N$73,12,0)))</f>
        <v>3.7678631183408751E-3</v>
      </c>
      <c r="J23" s="452"/>
    </row>
    <row r="24" spans="1:10" x14ac:dyDescent="0.4">
      <c r="A24" s="343" t="s">
        <v>241</v>
      </c>
      <c r="B24" s="358">
        <f>VLOOKUP(A24,Equity!$B$2:$H$73,7,0)</f>
        <v>26.383246749999998</v>
      </c>
      <c r="C24" s="358">
        <v>24.412521570999999</v>
      </c>
      <c r="D24" s="359">
        <f>SUMIFS(Transactions!L:L,Transactions!K:K,A24)</f>
        <v>0</v>
      </c>
      <c r="E24" s="359">
        <f>SUMIFS(Transactions!F:F,Transactions!E:E,'Attribution Analysis'!A24)</f>
        <v>0</v>
      </c>
      <c r="F24" s="396">
        <f t="shared" si="2"/>
        <v>8.0725998470434712E-2</v>
      </c>
      <c r="G24" s="448">
        <f>'Month on Month Equity Change'!$Q$11</f>
        <v>2.1063078663627794E-2</v>
      </c>
      <c r="H24" s="396">
        <f t="shared" si="3"/>
        <v>5.9662919806806922E-2</v>
      </c>
      <c r="I24" s="396">
        <f>IF((VLOOKUP(A24,Equity!$B$2:$O$73,14,0)="A"),(VLOOKUP(A24,Equity!$B$2:$N$73,9,0)-VLOOKUP(A24,Equity!$B$2:$N$73,10,0)),(VLOOKUP(A24,Equity!$B$2:$N$73,11,0)-VLOOKUP(A24,Equity!$B$2:$N$73,12,0)))</f>
        <v>-4.3994952297101805E-2</v>
      </c>
      <c r="J24" s="452"/>
    </row>
    <row r="25" spans="1:10" x14ac:dyDescent="0.4">
      <c r="A25" s="356" t="s">
        <v>19</v>
      </c>
      <c r="B25" s="394">
        <f>SUM(B26:B28)</f>
        <v>62.768956709462401</v>
      </c>
      <c r="C25" s="394">
        <f>SUM(C26:C28)</f>
        <v>70.267209608039806</v>
      </c>
      <c r="D25" s="394">
        <f>SUM(D26:D28)</f>
        <v>0</v>
      </c>
      <c r="E25" s="394">
        <f>SUM(E26:E28)</f>
        <v>9.0317485525759977</v>
      </c>
      <c r="F25" s="395">
        <f>(B25+E25)/(C25+D25)-1</f>
        <v>2.1823773315500228E-2</v>
      </c>
      <c r="G25" s="447">
        <f>SUMPRODUCT(G26:G28,C26:C28)/C25</f>
        <v>1.741436681123119E-2</v>
      </c>
      <c r="H25" s="395">
        <f t="shared" si="3"/>
        <v>4.4094065042690374E-3</v>
      </c>
      <c r="I25" s="395">
        <f>IF((VLOOKUP(A25,Equity!$B$2:$O$73,14,0)="A"),(VLOOKUP(A25,Equity!$B$2:$N$73,9,0)-VLOOKUP(A25,Equity!$B$2:$N$73,10,0)),(VLOOKUP(A25,Equity!$B$2:$N$73,11,0)-VLOOKUP(A25,Equity!$B$2:$N$73,12,0)))</f>
        <v>2.1799132987085464E-2</v>
      </c>
      <c r="J25" s="451"/>
    </row>
    <row r="26" spans="1:10" x14ac:dyDescent="0.4">
      <c r="A26" s="357" t="s">
        <v>111</v>
      </c>
      <c r="B26" s="358">
        <f>VLOOKUP(A26,Equity!$B$2:$H$73,7,0)</f>
        <v>29.582027007005998</v>
      </c>
      <c r="C26" s="358">
        <v>29.054270269145999</v>
      </c>
      <c r="D26" s="359">
        <f>SUMIFS(Transactions!L:L,Transactions!K:K,A26)</f>
        <v>0</v>
      </c>
      <c r="E26" s="359">
        <f>SUMIFS(Transactions!F:F,Transactions!E:E,'Attribution Analysis'!A26)</f>
        <v>0</v>
      </c>
      <c r="F26" s="396">
        <f t="shared" si="2"/>
        <v>1.8164515335304943E-2</v>
      </c>
      <c r="G26" s="448">
        <f>'Month on Month Equity Change'!$Q$7</f>
        <v>1.7414366811231194E-2</v>
      </c>
      <c r="H26" s="396">
        <f t="shared" si="3"/>
        <v>7.5014852407374877E-4</v>
      </c>
      <c r="I26" s="458"/>
      <c r="J26" s="457"/>
    </row>
    <row r="27" spans="1:10" x14ac:dyDescent="0.4">
      <c r="A27" s="357" t="s">
        <v>278</v>
      </c>
      <c r="B27" s="358">
        <f>VLOOKUP(A27,Equity!$B$2:$H$73,7,0)</f>
        <v>10.869688673146401</v>
      </c>
      <c r="C27" s="358">
        <v>13.835907550985802</v>
      </c>
      <c r="D27" s="359">
        <f>SUMIFS(Transactions!L:L,Transactions!K:K,A27)</f>
        <v>0</v>
      </c>
      <c r="E27" s="359">
        <f>SUMIFS(Transactions!F:F,Transactions!E:E,'Attribution Analysis'!A27)</f>
        <v>3.3040293625899997</v>
      </c>
      <c r="F27" s="396">
        <f t="shared" si="2"/>
        <v>2.441549161164569E-2</v>
      </c>
      <c r="G27" s="448">
        <f>'Month on Month Equity Change'!$Q$7</f>
        <v>1.7414366811231194E-2</v>
      </c>
      <c r="H27" s="396">
        <f t="shared" si="3"/>
        <v>7.001124800414496E-3</v>
      </c>
      <c r="I27" s="458"/>
      <c r="J27" s="457"/>
    </row>
    <row r="28" spans="1:10" x14ac:dyDescent="0.4">
      <c r="A28" s="357" t="s">
        <v>279</v>
      </c>
      <c r="B28" s="358">
        <f>VLOOKUP(A28,Equity!$B$2:$H$73,7,0)</f>
        <v>22.317241029310001</v>
      </c>
      <c r="C28" s="358">
        <v>27.377031787908006</v>
      </c>
      <c r="D28" s="359">
        <f>SUMIFS(Transactions!L:L,Transactions!K:K,A28)</f>
        <v>0</v>
      </c>
      <c r="E28" s="359">
        <f>SUMIFS(Transactions!F:F,Transactions!E:E,'Attribution Analysis'!A28)</f>
        <v>5.7277191899859989</v>
      </c>
      <c r="F28" s="396">
        <f t="shared" si="2"/>
        <v>2.43974013166397E-2</v>
      </c>
      <c r="G28" s="448">
        <f>'Month on Month Equity Change'!$Q$7</f>
        <v>1.7414366811231194E-2</v>
      </c>
      <c r="H28" s="396">
        <f t="shared" si="3"/>
        <v>6.9830345054085058E-3</v>
      </c>
      <c r="I28" s="458"/>
      <c r="J28" s="457"/>
    </row>
    <row r="29" spans="1:10" x14ac:dyDescent="0.4">
      <c r="A29" s="356" t="s">
        <v>14</v>
      </c>
      <c r="B29" s="394">
        <f>VLOOKUP(A29,Equity!$B$2:$H$73,7,0)</f>
        <v>21.640257625</v>
      </c>
      <c r="C29" s="394">
        <f>SUM(C30:C31)</f>
        <v>23.147697125000001</v>
      </c>
      <c r="D29" s="394">
        <f>SUM(D30:D31)</f>
        <v>0</v>
      </c>
      <c r="E29" s="394">
        <f>SUM(E30:E31)</f>
        <v>0</v>
      </c>
      <c r="F29" s="395">
        <f t="shared" si="2"/>
        <v>-6.5122655262839668E-2</v>
      </c>
      <c r="G29" s="447">
        <f>'Month on Month Equity Change'!K4</f>
        <v>1.7068926528743665E-2</v>
      </c>
      <c r="H29" s="395">
        <f t="shared" si="3"/>
        <v>-8.219158179158334E-2</v>
      </c>
      <c r="I29" s="395">
        <f>IF((VLOOKUP(A29,Equity!$B$2:$O$73,14,0)="A"),(VLOOKUP(A29,Equity!$B$2:$N$73,9,0)-VLOOKUP(A29,Equity!$B$2:$N$73,10,0)),(VLOOKUP(A29,Equity!$B$2:$N$73,11,0)-VLOOKUP(A29,Equity!$B$2:$N$73,12,0)))</f>
        <v>-0.11965540733543312</v>
      </c>
      <c r="J29" s="451"/>
    </row>
    <row r="30" spans="1:10" x14ac:dyDescent="0.4">
      <c r="A30" s="357" t="s">
        <v>233</v>
      </c>
      <c r="B30" s="358">
        <f>VLOOKUP(A30,Equity!$B$2:$H$73,7,0)</f>
        <v>15.029104999999999</v>
      </c>
      <c r="C30" s="358">
        <v>16.512405000000001</v>
      </c>
      <c r="D30" s="359">
        <v>0</v>
      </c>
      <c r="E30" s="359">
        <f>SUMIFS(Transactions!F:F,Transactions!E:E,'Attribution Analysis'!A30)</f>
        <v>0</v>
      </c>
      <c r="F30" s="396">
        <f>(B30+E30)/(C30+D30)-1</f>
        <v>-8.982943429500434E-2</v>
      </c>
      <c r="G30" s="448">
        <f>'Month on Month Equity Change'!$K$4</f>
        <v>1.7068926528743665E-2</v>
      </c>
      <c r="H30" s="396">
        <f t="shared" si="3"/>
        <v>-0.10689836082374801</v>
      </c>
      <c r="I30" s="396">
        <f>IF((VLOOKUP(A30,Equity!$B$2:$O$73,14,0)="A"),(VLOOKUP(A30,Equity!$B$2:$N$73,9,0)-VLOOKUP(A30,Equity!$B$2:$N$73,10,0)),(VLOOKUP(A30,Equity!$B$2:$N$73,11,0)-VLOOKUP(A30,Equity!$B$2:$N$73,12,0)))</f>
        <v>-0.11852894675141931</v>
      </c>
      <c r="J30" s="452"/>
    </row>
    <row r="31" spans="1:10" x14ac:dyDescent="0.4">
      <c r="A31" s="357" t="s">
        <v>42</v>
      </c>
      <c r="B31" s="358">
        <f>VLOOKUP(A31,Equity!$B$2:$H$73,7,0)</f>
        <v>6.6111526250000008</v>
      </c>
      <c r="C31" s="358">
        <v>6.6352921249999994</v>
      </c>
      <c r="D31" s="359">
        <f>SUMIFS(Transactions!L:L,Transactions!K:K,A31)</f>
        <v>0</v>
      </c>
      <c r="E31" s="359">
        <f>SUMIFS(Transactions!F:F,Transactions!E:E,'Attribution Analysis'!A31)</f>
        <v>0</v>
      </c>
      <c r="F31" s="396">
        <f>(B31+E31)/(C31+D31)-1</f>
        <v>-3.6380463053085066E-3</v>
      </c>
      <c r="G31" s="448">
        <f>'Month on Month Equity Change'!$K$4</f>
        <v>1.7068926528743665E-2</v>
      </c>
      <c r="H31" s="396">
        <f t="shared" si="3"/>
        <v>-2.0706972834052172E-2</v>
      </c>
      <c r="I31" s="396">
        <f>IF((VLOOKUP(A31,Equity!$B$2:$O$73,14,0)="A"),(VLOOKUP(A31,Equity!$B$2:$N$73,9,0)-VLOOKUP(A31,Equity!$B$2:$N$73,10,0)),(VLOOKUP(A31,Equity!$B$2:$N$73,11,0)-VLOOKUP(A31,Equity!$B$2:$N$73,12,0)))</f>
        <v>-0.12116551146597351</v>
      </c>
      <c r="J31" s="452"/>
    </row>
    <row r="32" spans="1:10" x14ac:dyDescent="0.4">
      <c r="A32" s="356" t="s">
        <v>15</v>
      </c>
      <c r="B32" s="394">
        <f>VLOOKUP(A32,Equity!$B$2:$H$73,7,0)</f>
        <v>64.32851565217392</v>
      </c>
      <c r="C32" s="394">
        <f>SUM(C33:C34)</f>
        <v>62.82851565217392</v>
      </c>
      <c r="D32" s="394">
        <f>SUM(D33:D34)</f>
        <v>0</v>
      </c>
      <c r="E32" s="394">
        <f>SUM(E33:E34)</f>
        <v>0</v>
      </c>
      <c r="F32" s="395">
        <f>(B32+E32)/(C32+D32)-1</f>
        <v>2.3874509598542426E-2</v>
      </c>
      <c r="G32" s="447">
        <f>'Month on Month Equity Change'!K5</f>
        <v>1.6686243271948242E-2</v>
      </c>
      <c r="H32" s="395">
        <f t="shared" si="3"/>
        <v>7.1882663265941844E-3</v>
      </c>
      <c r="I32" s="395">
        <f>IF((VLOOKUP(A32,Equity!$B$2:$O$73,14,0)="A"),(VLOOKUP(A32,Equity!$B$2:$N$73,9,0)-VLOOKUP(A32,Equity!$B$2:$N$73,10,0)),(VLOOKUP(A32,Equity!$B$2:$N$73,11,0)-VLOOKUP(A32,Equity!$B$2:$N$73,12,0)))</f>
        <v>-0.24014011358026965</v>
      </c>
      <c r="J32" s="451"/>
    </row>
    <row r="33" spans="1:10" s="240" customFormat="1" x14ac:dyDescent="0.45">
      <c r="A33" s="347" t="s">
        <v>43</v>
      </c>
      <c r="B33" s="358">
        <f>VLOOKUP(A33,Equity!$B$2:$H$73,7,0)</f>
        <v>41.5</v>
      </c>
      <c r="C33" s="358">
        <v>40</v>
      </c>
      <c r="D33" s="359">
        <f>SUMIFS(Transactions!L:L,Transactions!K:K,A33)</f>
        <v>0</v>
      </c>
      <c r="E33" s="359">
        <f>SUMIFS(Transactions!F:F,Transactions!E:E,'Attribution Analysis'!A33)</f>
        <v>0</v>
      </c>
      <c r="F33" s="396">
        <f>(B33+E33)/(C33+D33)-1</f>
        <v>3.7500000000000089E-2</v>
      </c>
      <c r="G33" s="448">
        <f>'Month on Month Equity Change'!$K$5</f>
        <v>1.6686243271948242E-2</v>
      </c>
      <c r="H33" s="396">
        <f t="shared" si="3"/>
        <v>2.0813756728051847E-2</v>
      </c>
      <c r="I33" s="396">
        <f>IF((VLOOKUP(A33,Equity!$B$2:$O$73,14,0)="A"),(VLOOKUP(A33,Equity!$B$2:$N$73,9,0)-VLOOKUP(A33,Equity!$B$2:$N$73,10,0)),(VLOOKUP(A33,Equity!$B$2:$N$73,11,0)-VLOOKUP(A33,Equity!$B$2:$N$73,12,0)))</f>
        <v>4.9164709473730084E-2</v>
      </c>
      <c r="J33" s="454" t="s">
        <v>253</v>
      </c>
    </row>
    <row r="34" spans="1:10" x14ac:dyDescent="0.4">
      <c r="A34" s="347" t="s">
        <v>232</v>
      </c>
      <c r="B34" s="358">
        <f>VLOOKUP(A34,Equity!$B$2:$H$73,7,0)</f>
        <v>22.828515652173916</v>
      </c>
      <c r="C34" s="358">
        <v>22.828515652173916</v>
      </c>
      <c r="D34" s="359">
        <f>SUMIFS(Transactions!L:L,Transactions!K:K,A34)</f>
        <v>0</v>
      </c>
      <c r="E34" s="359">
        <f>SUMIFS(Transactions!F:F,Transactions!E:E,'Attribution Analysis'!A34)</f>
        <v>0</v>
      </c>
      <c r="F34" s="396">
        <f>(B34+E34)/(C34+D34)-1</f>
        <v>0</v>
      </c>
      <c r="G34" s="448">
        <f>'Month on Month Equity Change'!$K$5</f>
        <v>1.6686243271948242E-2</v>
      </c>
      <c r="H34" s="396"/>
      <c r="I34" s="396"/>
      <c r="J34" s="454"/>
    </row>
    <row r="35" spans="1:10" x14ac:dyDescent="0.4">
      <c r="A35" s="356" t="s">
        <v>486</v>
      </c>
      <c r="B35" s="393">
        <f>'Live Equity Performance'!F15</f>
        <v>0.84977725000000004</v>
      </c>
      <c r="C35" s="393">
        <f>'Month on Month Equity Change'!D6</f>
        <v>0.89762149999999996</v>
      </c>
      <c r="D35" s="394">
        <f>SUMIFS(Transactions!L:L,Transactions!J:J,A35)</f>
        <v>0</v>
      </c>
      <c r="E35" s="394">
        <f>'Month on Month Equity Change'!F6</f>
        <v>0.30555209999999999</v>
      </c>
      <c r="F35" s="395">
        <f>'Month on Month Equity Change'!J6</f>
        <v>0.28927320702545578</v>
      </c>
      <c r="G35" s="447">
        <f>'Month on Month Equity Change'!$Q$11</f>
        <v>2.1063078663627794E-2</v>
      </c>
      <c r="H35" s="395">
        <f>F35-G35</f>
        <v>0.268210128361828</v>
      </c>
      <c r="I35" s="395">
        <f>IF((VLOOKUP(A35,Equity!$B$2:$O$73,14,0)="A"),(VLOOKUP(A35,Equity!$B$2:$N$73,9,0)-VLOOKUP(A35,Equity!$B$2:$N$73,10,0)),(VLOOKUP(A35,Equity!$B$2:$N$73,11,0)-VLOOKUP(A35,Equity!$B$2:$N$73,12,0)))</f>
        <v>0.17027082619258044</v>
      </c>
      <c r="J35" s="451"/>
    </row>
    <row r="36" spans="1:10" x14ac:dyDescent="0.4">
      <c r="A36" s="356" t="s">
        <v>255</v>
      </c>
      <c r="B36" s="393">
        <f>VLOOKUP(A36,Equity!$B$2:$H$73,7,0)</f>
        <v>222.35864952000006</v>
      </c>
      <c r="C36" s="393">
        <f>SUM(C37:C70)</f>
        <v>202.82710729057561</v>
      </c>
      <c r="D36" s="393">
        <f>SUM(D37:D67)</f>
        <v>1.8894635625151039</v>
      </c>
      <c r="E36" s="393">
        <f>SUM(E37:E70)</f>
        <v>3.0000359999999997</v>
      </c>
      <c r="F36" s="395">
        <f>(B36+E36+'Month on Month Equity Change'!G14)/(C36+D36)-1</f>
        <v>0.10975877440343562</v>
      </c>
      <c r="G36" s="447">
        <f>'Month on Month Equity Change'!$Q$11</f>
        <v>2.1063078663627794E-2</v>
      </c>
      <c r="H36" s="395">
        <f>F36-G36</f>
        <v>8.8695695739807831E-2</v>
      </c>
      <c r="I36" s="395">
        <f>IF((VLOOKUP(A36,Equity!$B$2:$O$73,14,0)="A"),(VLOOKUP(A36,Equity!$B$2:$N$73,9,0)-VLOOKUP(A36,Equity!$B$2:$N$73,10,0)),(VLOOKUP(A36,Equity!$B$2:$N$73,11,0)-VLOOKUP(A36,Equity!$B$2:$N$73,12,0)))</f>
        <v>-0.25099190259063853</v>
      </c>
      <c r="J36" s="451"/>
    </row>
    <row r="37" spans="1:10" outlineLevel="1" x14ac:dyDescent="0.4">
      <c r="A37" s="343" t="s">
        <v>229</v>
      </c>
      <c r="B37" s="358">
        <f>VLOOKUP(A37,Equity!$B$2:$H$73,7,0)</f>
        <v>8.4419999999999995E-2</v>
      </c>
      <c r="C37" s="359">
        <v>8.1118574999999998E-2</v>
      </c>
      <c r="D37" s="359">
        <f>SUMIFS(Transactions!L:L,Transactions!K:K,A37)</f>
        <v>0</v>
      </c>
      <c r="E37" s="359">
        <f>SUMIFS(Transactions!F:F,Transactions!E:E,'Attribution Analysis'!A37)</f>
        <v>0</v>
      </c>
      <c r="F37" s="396">
        <f>(B37+E37)/(C37+D37)-1</f>
        <v>4.0698754878275345E-2</v>
      </c>
      <c r="G37" s="448">
        <f>'Month on Month Equity Change'!$Q$11</f>
        <v>2.1063078663627794E-2</v>
      </c>
      <c r="H37" s="396">
        <f>F37-G37</f>
        <v>1.9635676214647551E-2</v>
      </c>
      <c r="I37" s="396">
        <f>IF((VLOOKUP(A37,Equity!$B$2:$O$73,14,0)="A"),(VLOOKUP(A37,Equity!$B$2:$N$73,9,0)-VLOOKUP(A37,Equity!$B$2:$N$73,10,0)),(VLOOKUP(A37,Equity!$B$2:$N$73,11,0)-VLOOKUP(A37,Equity!$B$2:$N$73,12,0)))</f>
        <v>0.11942820198521981</v>
      </c>
      <c r="J37" s="454"/>
    </row>
    <row r="38" spans="1:10" outlineLevel="1" x14ac:dyDescent="0.4">
      <c r="A38" s="343" t="s">
        <v>116</v>
      </c>
      <c r="B38" s="358">
        <f>VLOOKUP(A38,Equity!$B$2:$H$73,7,0)</f>
        <v>0.31274790499999999</v>
      </c>
      <c r="C38" s="359">
        <v>0.29573174499999999</v>
      </c>
      <c r="D38" s="359">
        <f>SUMIFS(Transactions!L:L,Transactions!K:K,A38)</f>
        <v>0</v>
      </c>
      <c r="E38" s="359">
        <f>SUMIFS(Transactions!F:F,Transactions!E:E,'Attribution Analysis'!A38)</f>
        <v>0</v>
      </c>
      <c r="F38" s="396">
        <f>(B38+E38)/(C38+D38)-1</f>
        <v>5.7539172874389921E-2</v>
      </c>
      <c r="G38" s="448">
        <f>'Month on Month Equity Change'!$Q$11</f>
        <v>2.1063078663627794E-2</v>
      </c>
      <c r="H38" s="396">
        <f>F38-G38</f>
        <v>3.6476094210762131E-2</v>
      </c>
      <c r="I38" s="396">
        <f>IF((VLOOKUP(A38,Equity!$B$2:$O$73,14,0)="A"),(VLOOKUP(A38,Equity!$B$2:$N$73,9,0)-VLOOKUP(A38,Equity!$B$2:$N$73,10,0)),(VLOOKUP(A38,Equity!$B$2:$N$73,11,0)-VLOOKUP(A38,Equity!$B$2:$N$73,12,0)))</f>
        <v>0.64454182899955748</v>
      </c>
      <c r="J38" s="452"/>
    </row>
    <row r="39" spans="1:10" outlineLevel="1" x14ac:dyDescent="0.4">
      <c r="A39" s="343" t="s">
        <v>112</v>
      </c>
      <c r="B39" s="565">
        <f>VLOOKUP(A39,Equity!$B$2:$H$73,7,0)</f>
        <v>15.462400000000001</v>
      </c>
      <c r="C39" s="359">
        <v>16.584399999999999</v>
      </c>
      <c r="D39" s="359">
        <f>SUMIFS(Transactions!L:L,Transactions!K:K,A39)</f>
        <v>0</v>
      </c>
      <c r="E39" s="359">
        <f>SUMIFS(Transactions!F:F,Transactions!E:E,'Attribution Analysis'!A39)</f>
        <v>0</v>
      </c>
      <c r="F39" s="396">
        <f>(B39+E39)/(C39+D39)-1</f>
        <v>-6.7653939847085121E-2</v>
      </c>
      <c r="G39" s="448">
        <f>'Month on Month Equity Change'!$Q$11</f>
        <v>2.1063078663627794E-2</v>
      </c>
      <c r="H39" s="396">
        <f t="shared" ref="H39:H55" si="4">F39-G39</f>
        <v>-8.8717018510712911E-2</v>
      </c>
      <c r="I39" s="396">
        <f>IF((VLOOKUP(A39,Equity!$B$2:$O$73,14,0)="A"),(VLOOKUP(A39,Equity!$B$2:$N$73,9,0)-VLOOKUP(A39,Equity!$B$2:$N$73,10,0)),(VLOOKUP(A39,Equity!$B$2:$N$73,11,0)-VLOOKUP(A39,Equity!$B$2:$N$73,12,0)))</f>
        <v>-1.1840044498600577</v>
      </c>
      <c r="J39" s="452"/>
    </row>
    <row r="40" spans="1:10" outlineLevel="1" x14ac:dyDescent="0.4">
      <c r="A40" s="343" t="s">
        <v>475</v>
      </c>
      <c r="B40" s="565">
        <f>VLOOKUP(A40,Equity!$B$2:$H$73,7,0)</f>
        <v>25.917443969999997</v>
      </c>
      <c r="C40" s="359">
        <v>21.062730930000001</v>
      </c>
      <c r="D40" s="359">
        <f>SUMIFS(Transactions!L:L,Transactions!K:K,A40)</f>
        <v>0</v>
      </c>
      <c r="E40" s="359">
        <f>SUMIFS(Transactions!F:F,Transactions!E:E,'Attribution Analysis'!A40)</f>
        <v>0</v>
      </c>
      <c r="F40" s="396"/>
      <c r="G40" s="448">
        <f>'Month on Month Equity Change'!$Q$11</f>
        <v>2.1063078663627794E-2</v>
      </c>
      <c r="H40" s="396"/>
      <c r="I40" s="396">
        <f>IF((VLOOKUP(A40,Equity!$B$2:$O$73,14,0)="A"),(VLOOKUP(A40,Equity!$B$2:$N$73,9,0)-VLOOKUP(A40,Equity!$B$2:$N$73,10,0)),(VLOOKUP(A40,Equity!$B$2:$N$73,11,0)-VLOOKUP(A40,Equity!$B$2:$N$73,12,0)))</f>
        <v>8.3451406114884552E-2</v>
      </c>
      <c r="J40" s="452" t="s">
        <v>285</v>
      </c>
    </row>
    <row r="41" spans="1:10" outlineLevel="1" x14ac:dyDescent="0.4">
      <c r="A41" s="346" t="s">
        <v>207</v>
      </c>
      <c r="B41" s="358">
        <f>VLOOKUP(A41,Equity!$B$2:$H$73,7,0)</f>
        <v>4.0400236500000002</v>
      </c>
      <c r="C41" s="359">
        <v>3.6587229999999997</v>
      </c>
      <c r="D41" s="359">
        <f>SUMIFS(Transactions!L:L,Transactions!K:K,A41)</f>
        <v>0</v>
      </c>
      <c r="E41" s="359">
        <f>SUMIFS(Transactions!F:F,Transactions!E:E,'Attribution Analysis'!A41)</f>
        <v>0</v>
      </c>
      <c r="F41" s="396">
        <f>(B41+E41)/(C41+D41)-1</f>
        <v>0.10421686746987957</v>
      </c>
      <c r="G41" s="448">
        <f>'Month on Month Equity Change'!$Q$11</f>
        <v>2.1063078663627794E-2</v>
      </c>
      <c r="H41" s="396">
        <f t="shared" si="4"/>
        <v>8.315378880625178E-2</v>
      </c>
      <c r="I41" s="396">
        <f>IF((VLOOKUP(A41,Equity!$B$2:$O$73,14,0)="A"),(VLOOKUP(A41,Equity!$B$2:$N$73,9,0)-VLOOKUP(A41,Equity!$B$2:$N$73,10,0)),(VLOOKUP(A41,Equity!$B$2:$N$73,11,0)-VLOOKUP(A41,Equity!$B$2:$N$73,12,0)))</f>
        <v>-0.235933780724362</v>
      </c>
      <c r="J41" s="452"/>
    </row>
    <row r="42" spans="1:10" outlineLevel="1" x14ac:dyDescent="0.4">
      <c r="A42" s="343" t="s">
        <v>379</v>
      </c>
      <c r="B42" s="358">
        <f>VLOOKUP(A42,Equity!$B$2:$H$73,7,0)</f>
        <v>16.0328613</v>
      </c>
      <c r="C42" s="359">
        <v>18.038320349999999</v>
      </c>
      <c r="D42" s="359">
        <f>SUMIFS(Transactions!L:L,Transactions!K:K,A42)</f>
        <v>0</v>
      </c>
      <c r="E42" s="359">
        <f>SUMIFS(Transactions!F:F,Transactions!E:E,'Attribution Analysis'!A42)</f>
        <v>0</v>
      </c>
      <c r="F42" s="396">
        <f>(B42+E42)/(C42+D42)-1</f>
        <v>-0.1111777045250224</v>
      </c>
      <c r="G42" s="448">
        <f>'Month on Month Equity Change'!$Q$11</f>
        <v>2.1063078663627794E-2</v>
      </c>
      <c r="H42" s="396">
        <f t="shared" si="4"/>
        <v>-0.13224078318865021</v>
      </c>
      <c r="I42" s="396">
        <f>IF((VLOOKUP(A42,Equity!$B$2:$O$73,14,0)="A"),(VLOOKUP(A42,Equity!$B$2:$N$73,9,0)-VLOOKUP(A42,Equity!$B$2:$N$73,10,0)),(VLOOKUP(A42,Equity!$B$2:$N$73,11,0)-VLOOKUP(A42,Equity!$B$2:$N$73,12,0)))</f>
        <v>3.0529841141492042E-2</v>
      </c>
      <c r="J42" s="452" t="s">
        <v>285</v>
      </c>
    </row>
    <row r="43" spans="1:10" outlineLevel="1" x14ac:dyDescent="0.4">
      <c r="A43" s="343" t="s">
        <v>174</v>
      </c>
      <c r="B43" s="358">
        <f>VLOOKUP(A43,Equity!$B$2:$H$73,7,0)</f>
        <v>1.6277250000000001</v>
      </c>
      <c r="C43" s="359">
        <v>1.6277250000000001</v>
      </c>
      <c r="D43" s="359">
        <f>SUMIFS(Transactions!L:L,Transactions!K:K,A43)</f>
        <v>0</v>
      </c>
      <c r="E43" s="359">
        <f>SUMIFS(Transactions!F:F,Transactions!E:E,'Attribution Analysis'!A43)</f>
        <v>0</v>
      </c>
      <c r="F43" s="396"/>
      <c r="G43" s="448">
        <f>'Month on Month Equity Change'!$Q$11</f>
        <v>2.1063078663627794E-2</v>
      </c>
      <c r="H43" s="396"/>
      <c r="I43" s="396">
        <f>IF((VLOOKUP(A43,Equity!$B$2:$O$73,14,0)="A"),(VLOOKUP(A43,Equity!$B$2:$N$73,9,0)-VLOOKUP(A43,Equity!$B$2:$N$73,10,0)),(VLOOKUP(A43,Equity!$B$2:$N$73,11,0)-VLOOKUP(A43,Equity!$B$2:$N$73,12,0)))</f>
        <v>0.48270227405865618</v>
      </c>
      <c r="J43" s="452" t="s">
        <v>285</v>
      </c>
    </row>
    <row r="44" spans="1:10" outlineLevel="1" x14ac:dyDescent="0.4">
      <c r="A44" s="347" t="s">
        <v>300</v>
      </c>
      <c r="B44" s="358">
        <f>VLOOKUP(A44,Equity!$B$2:$H$73,7,0)</f>
        <v>2.0363229199999999</v>
      </c>
      <c r="C44" s="359">
        <v>1.9718154400000003</v>
      </c>
      <c r="D44" s="359">
        <f>SUMIFS(Transactions!L:L,Transactions!K:K,A44)</f>
        <v>0</v>
      </c>
      <c r="E44" s="359">
        <f>SUMIFS(Transactions!F:F,Transactions!E:E,'Attribution Analysis'!A44)</f>
        <v>0</v>
      </c>
      <c r="F44" s="396">
        <f t="shared" ref="F44:F47" si="5">(B44+E44)/(C44+D44)-1</f>
        <v>3.2714765637497756E-2</v>
      </c>
      <c r="G44" s="448">
        <f>'Month on Month Equity Change'!$Q$11</f>
        <v>2.1063078663627794E-2</v>
      </c>
      <c r="H44" s="396">
        <f t="shared" ref="H44:H47" si="6">F44-G44</f>
        <v>1.1651686973869962E-2</v>
      </c>
      <c r="I44" s="396">
        <f>IF((VLOOKUP(A44,Equity!$B$2:$O$73,14,0)="A"),(VLOOKUP(A44,Equity!$B$2:$N$73,9,0)-VLOOKUP(A44,Equity!$B$2:$N$73,10,0)),(VLOOKUP(A44,Equity!$B$2:$N$73,11,0)-VLOOKUP(A44,Equity!$B$2:$N$73,12,0)))</f>
        <v>-1.3144242780150472E-2</v>
      </c>
      <c r="J44" s="452"/>
    </row>
    <row r="45" spans="1:10" outlineLevel="1" x14ac:dyDescent="0.4">
      <c r="A45" s="343" t="s">
        <v>230</v>
      </c>
      <c r="B45" s="358">
        <f>VLOOKUP(A45,Equity!$B$2:$H$73,7,0)</f>
        <v>0.15423999999999999</v>
      </c>
      <c r="C45" s="359">
        <v>0.15423999999999999</v>
      </c>
      <c r="D45" s="359">
        <f>SUMIFS(Transactions!L:L,Transactions!K:K,A45)</f>
        <v>0</v>
      </c>
      <c r="E45" s="359">
        <f>SUMIFS(Transactions!F:F,Transactions!E:E,'Attribution Analysis'!A45)</f>
        <v>0</v>
      </c>
      <c r="F45" s="396">
        <f t="shared" si="5"/>
        <v>0</v>
      </c>
      <c r="G45" s="448">
        <f>'Month on Month Equity Change'!$Q$11</f>
        <v>2.1063078663627794E-2</v>
      </c>
      <c r="H45" s="396">
        <f t="shared" si="6"/>
        <v>-2.1063078663627794E-2</v>
      </c>
      <c r="I45" s="396">
        <f>IF((VLOOKUP(A45,Equity!$B$2:$O$73,14,0)="A"),(VLOOKUP(A45,Equity!$B$2:$N$73,9,0)-VLOOKUP(A45,Equity!$B$2:$N$73,10,0)),(VLOOKUP(A45,Equity!$B$2:$N$73,11,0)-VLOOKUP(A45,Equity!$B$2:$N$73,12,0)))</f>
        <v>0.35475769030136706</v>
      </c>
      <c r="J45" s="452"/>
    </row>
    <row r="46" spans="1:10" outlineLevel="1" x14ac:dyDescent="0.4">
      <c r="A46" s="343" t="s">
        <v>231</v>
      </c>
      <c r="B46" s="358">
        <f>VLOOKUP(A46,Equity!$B$2:$H$73,7,0)</f>
        <v>3.5238811999999999</v>
      </c>
      <c r="C46" s="359">
        <v>3.8241085999999997</v>
      </c>
      <c r="D46" s="359">
        <f>SUMIFS(Transactions!L:L,Transactions!K:K,A46)</f>
        <v>0</v>
      </c>
      <c r="E46" s="359">
        <f>SUMIFS(Transactions!F:F,Transactions!E:E,'Attribution Analysis'!A46)</f>
        <v>0</v>
      </c>
      <c r="F46" s="396">
        <f t="shared" si="5"/>
        <v>-7.8509119746233091E-2</v>
      </c>
      <c r="G46" s="448">
        <f>'Month on Month Equity Change'!$Q$11</f>
        <v>2.1063078663627794E-2</v>
      </c>
      <c r="H46" s="396">
        <f t="shared" si="6"/>
        <v>-9.9572198409860882E-2</v>
      </c>
      <c r="I46" s="396">
        <f>IF((VLOOKUP(A46,Equity!$B$2:$O$73,14,0)="A"),(VLOOKUP(A46,Equity!$B$2:$N$73,9,0)-VLOOKUP(A46,Equity!$B$2:$N$73,10,0)),(VLOOKUP(A46,Equity!$B$2:$N$73,11,0)-VLOOKUP(A46,Equity!$B$2:$N$73,12,0)))</f>
        <v>0.50688820669500223</v>
      </c>
      <c r="J46" s="452"/>
    </row>
    <row r="47" spans="1:10" outlineLevel="1" x14ac:dyDescent="0.4">
      <c r="A47" s="343" t="s">
        <v>194</v>
      </c>
      <c r="B47" s="358">
        <f>VLOOKUP(A47,Equity!$B$2:$H$73,7,0)</f>
        <v>5.7957245549999996</v>
      </c>
      <c r="C47" s="359">
        <v>6.5595974249999998</v>
      </c>
      <c r="D47" s="359">
        <f>SUMIFS(Transactions!L:L,Transactions!K:K,A47)</f>
        <v>0</v>
      </c>
      <c r="E47" s="359">
        <f>SUMIFS(Transactions!F:F,Transactions!E:E,'Attribution Analysis'!A47)</f>
        <v>0</v>
      </c>
      <c r="F47" s="396">
        <f t="shared" si="5"/>
        <v>-0.1164511814534106</v>
      </c>
      <c r="G47" s="448">
        <f>'Month on Month Equity Change'!$Q$11</f>
        <v>2.1063078663627794E-2</v>
      </c>
      <c r="H47" s="396">
        <f t="shared" si="6"/>
        <v>-0.13751426011703841</v>
      </c>
      <c r="I47" s="396">
        <f>IF((VLOOKUP(A47,Equity!$B$2:$O$73,14,0)="A"),(VLOOKUP(A47,Equity!$B$2:$N$73,9,0)-VLOOKUP(A47,Equity!$B$2:$N$73,10,0)),(VLOOKUP(A47,Equity!$B$2:$N$73,11,0)-VLOOKUP(A47,Equity!$B$2:$N$73,12,0)))</f>
        <v>0.27558095415604728</v>
      </c>
      <c r="J47" s="452" t="s">
        <v>285</v>
      </c>
    </row>
    <row r="48" spans="1:10" outlineLevel="1" x14ac:dyDescent="0.4">
      <c r="A48" s="347" t="s">
        <v>179</v>
      </c>
      <c r="B48" s="565">
        <f>VLOOKUP(A48,Equity!$B$2:$H$73,7,0)</f>
        <v>10.05692977</v>
      </c>
      <c r="C48" s="359">
        <v>10.62622303</v>
      </c>
      <c r="D48" s="359">
        <f>SUMIFS(Transactions!L:L,Transactions!K:K,A48)</f>
        <v>0</v>
      </c>
      <c r="E48" s="359">
        <f>SUMIFS(Transactions!F:F,Transactions!E:E,'Attribution Analysis'!A48)</f>
        <v>0</v>
      </c>
      <c r="F48" s="396">
        <f t="shared" ref="F48:F55" si="7">(B48+E48)/(C48+D48)-1</f>
        <v>-5.3574375240644678E-2</v>
      </c>
      <c r="G48" s="448">
        <f>'Month on Month Equity Change'!$Q$11</f>
        <v>2.1063078663627794E-2</v>
      </c>
      <c r="H48" s="396">
        <f t="shared" si="4"/>
        <v>-7.4637453904272469E-2</v>
      </c>
      <c r="I48" s="396">
        <f>IF((VLOOKUP(A48,Equity!$B$2:$O$73,14,0)="A"),(VLOOKUP(A48,Equity!$B$2:$N$73,9,0)-VLOOKUP(A48,Equity!$B$2:$N$73,10,0)),(VLOOKUP(A48,Equity!$B$2:$N$73,11,0)-VLOOKUP(A48,Equity!$B$2:$N$73,12,0)))</f>
        <v>-0.43689324956488107</v>
      </c>
      <c r="J48" s="452"/>
    </row>
    <row r="49" spans="1:10" outlineLevel="1" x14ac:dyDescent="0.4">
      <c r="A49" s="343" t="s">
        <v>249</v>
      </c>
      <c r="B49" s="358">
        <f>VLOOKUP(A49,Equity!$B$2:$H$73,7,0)</f>
        <v>33.899697900000007</v>
      </c>
      <c r="C49" s="359">
        <v>29.2005567</v>
      </c>
      <c r="D49" s="359">
        <f>SUMIFS(Transactions!L:L,Transactions!K:K,A49)</f>
        <v>0</v>
      </c>
      <c r="E49" s="359">
        <f>SUMIFS(Transactions!F:F,Transactions!E:E,'Attribution Analysis'!A49)</f>
        <v>0</v>
      </c>
      <c r="F49" s="396">
        <f t="shared" si="7"/>
        <v>0.16092642507736876</v>
      </c>
      <c r="G49" s="448">
        <f>'Month on Month Equity Change'!$Q$11</f>
        <v>2.1063078663627794E-2</v>
      </c>
      <c r="H49" s="396">
        <f t="shared" si="4"/>
        <v>0.13986334641374096</v>
      </c>
      <c r="I49" s="396">
        <f>IF((VLOOKUP(A49,Equity!$B$2:$O$73,14,0)="A"),(VLOOKUP(A49,Equity!$B$2:$N$73,9,0)-VLOOKUP(A49,Equity!$B$2:$N$73,10,0)),(VLOOKUP(A49,Equity!$B$2:$N$73,11,0)-VLOOKUP(A49,Equity!$B$2:$N$73,12,0)))</f>
        <v>-0.56494419159445375</v>
      </c>
      <c r="J49" s="452"/>
    </row>
    <row r="50" spans="1:10" outlineLevel="1" x14ac:dyDescent="0.4">
      <c r="A50" s="343" t="s">
        <v>117</v>
      </c>
      <c r="B50" s="565">
        <f>VLOOKUP(A50,Equity!$B$2:$H$73,7,0)</f>
        <v>25.0533374</v>
      </c>
      <c r="C50" s="359">
        <v>21.533284500000001</v>
      </c>
      <c r="D50" s="359">
        <f>SUMIFS(Transactions!L:L,Transactions!K:K,A50)</f>
        <v>0</v>
      </c>
      <c r="E50" s="359">
        <f>SUMIFS(Transactions!F:F,Transactions!E:E,'Attribution Analysis'!A50)</f>
        <v>0</v>
      </c>
      <c r="F50" s="396">
        <f t="shared" si="7"/>
        <v>0.16347031963470315</v>
      </c>
      <c r="G50" s="448">
        <f>'Month on Month Equity Change'!$Q$11</f>
        <v>2.1063078663627794E-2</v>
      </c>
      <c r="H50" s="396">
        <f t="shared" si="4"/>
        <v>0.14240724097107535</v>
      </c>
      <c r="I50" s="396">
        <f>IF((VLOOKUP(A50,Equity!$B$2:$O$73,14,0)="A"),(VLOOKUP(A50,Equity!$B$2:$N$73,9,0)-VLOOKUP(A50,Equity!$B$2:$N$73,10,0)),(VLOOKUP(A50,Equity!$B$2:$N$73,11,0)-VLOOKUP(A50,Equity!$B$2:$N$73,12,0)))</f>
        <v>-0.61792650911466662</v>
      </c>
      <c r="J50" s="452"/>
    </row>
    <row r="51" spans="1:10" outlineLevel="1" x14ac:dyDescent="0.4">
      <c r="A51" s="477" t="s">
        <v>545</v>
      </c>
      <c r="B51" s="358">
        <f>VLOOKUP(A51,Equity!$B$2:$H$73,7,0)</f>
        <v>0.92313710999999998</v>
      </c>
      <c r="C51" s="359">
        <v>0</v>
      </c>
      <c r="D51" s="359">
        <f>SUMIFS(Transactions!L:L,Transactions!K:K,A51)</f>
        <v>0.886061707507104</v>
      </c>
      <c r="E51" s="359">
        <f>SUMIFS(Transactions!F:F,Transactions!E:E,'Attribution Analysis'!A51)</f>
        <v>0</v>
      </c>
      <c r="F51" s="396"/>
      <c r="G51" s="448">
        <f>'Month on Month Equity Change'!$Q$11</f>
        <v>2.1063078663627794E-2</v>
      </c>
      <c r="H51" s="396"/>
      <c r="I51" s="396">
        <f>IF((VLOOKUP(A51,Equity!$B$2:$O$73,14,0)="A"),(VLOOKUP(A51,Equity!$B$2:$N$73,9,0)-VLOOKUP(A51,Equity!$B$2:$N$73,10,0)),(VLOOKUP(A51,Equity!$B$2:$N$73,11,0)-VLOOKUP(A51,Equity!$B$2:$N$73,12,0)))</f>
        <v>-2.2813226687652284</v>
      </c>
      <c r="J51" s="452"/>
    </row>
    <row r="52" spans="1:10" outlineLevel="1" x14ac:dyDescent="0.4">
      <c r="A52" s="477" t="s">
        <v>546</v>
      </c>
      <c r="B52" s="358">
        <f>VLOOKUP(A52,Equity!$B$2:$H$73,7,0)</f>
        <v>1.0311999999999999</v>
      </c>
      <c r="C52" s="359">
        <v>0</v>
      </c>
      <c r="D52" s="359">
        <f>SUMIFS(Transactions!L:L,Transactions!K:K,A52)</f>
        <v>1.0034018550079999</v>
      </c>
      <c r="E52" s="359">
        <f>SUMIFS(Transactions!F:F,Transactions!E:E,'Attribution Analysis'!A52)</f>
        <v>0</v>
      </c>
      <c r="F52" s="396"/>
      <c r="G52" s="448">
        <f>'Month on Month Equity Change'!$Q$11</f>
        <v>2.1063078663627794E-2</v>
      </c>
      <c r="H52" s="396"/>
      <c r="I52" s="396"/>
      <c r="J52" s="452"/>
    </row>
    <row r="53" spans="1:10" outlineLevel="1" x14ac:dyDescent="0.4">
      <c r="A53" s="343" t="s">
        <v>165</v>
      </c>
      <c r="B53" s="358">
        <f>VLOOKUP(A53,Equity!$B$2:$H$73,7,0)</f>
        <v>8.6164675000000006</v>
      </c>
      <c r="C53" s="359">
        <v>7.8939037499999998</v>
      </c>
      <c r="D53" s="359">
        <f>SUMIFS(Transactions!L:L,Transactions!K:K,A53)</f>
        <v>0</v>
      </c>
      <c r="E53" s="359">
        <f>SUMIFS(Transactions!F:F,Transactions!E:E,'Attribution Analysis'!A53)</f>
        <v>0</v>
      </c>
      <c r="F53" s="396">
        <f t="shared" si="7"/>
        <v>9.1534400834314855E-2</v>
      </c>
      <c r="G53" s="448">
        <f>'Month on Month Equity Change'!$Q$11</f>
        <v>2.1063078663627794E-2</v>
      </c>
      <c r="H53" s="396">
        <f t="shared" si="4"/>
        <v>7.0471322170687065E-2</v>
      </c>
      <c r="I53" s="396">
        <f>IF((VLOOKUP(A53,Equity!$B$2:$O$73,14,0)="A"),(VLOOKUP(A53,Equity!$B$2:$N$73,9,0)-VLOOKUP(A53,Equity!$B$2:$N$73,10,0)),(VLOOKUP(A53,Equity!$B$2:$N$73,11,0)-VLOOKUP(A53,Equity!$B$2:$N$73,12,0)))</f>
        <v>-0.49307429941937275</v>
      </c>
      <c r="J53" s="452"/>
    </row>
    <row r="54" spans="1:10" outlineLevel="1" x14ac:dyDescent="0.4">
      <c r="A54" s="347" t="s">
        <v>177</v>
      </c>
      <c r="B54" s="358">
        <f>VLOOKUP(A54,Equity!$B$2:$H$73,7,0)</f>
        <v>1.7165075000000001</v>
      </c>
      <c r="C54" s="359">
        <v>1.4768699999999999</v>
      </c>
      <c r="D54" s="359">
        <f>SUMIFS(Transactions!L:L,Transactions!K:K,A54)</f>
        <v>0</v>
      </c>
      <c r="E54" s="359">
        <f>SUMIFS(Transactions!F:F,Transactions!E:E,'Attribution Analysis'!A54)</f>
        <v>0</v>
      </c>
      <c r="F54" s="396">
        <f t="shared" si="7"/>
        <v>0.16226038852437941</v>
      </c>
      <c r="G54" s="448">
        <f>'Month on Month Equity Change'!$Q$11</f>
        <v>2.1063078663627794E-2</v>
      </c>
      <c r="H54" s="396">
        <f t="shared" si="4"/>
        <v>0.1411973098607516</v>
      </c>
      <c r="I54" s="396">
        <f>IF((VLOOKUP(A54,Equity!$B$2:$O$73,14,0)="A"),(VLOOKUP(A54,Equity!$B$2:$N$73,9,0)-VLOOKUP(A54,Equity!$B$2:$N$73,10,0)),(VLOOKUP(A54,Equity!$B$2:$N$73,11,0)-VLOOKUP(A54,Equity!$B$2:$N$73,12,0)))</f>
        <v>-0.28008880639792699</v>
      </c>
      <c r="J54" s="452"/>
    </row>
    <row r="55" spans="1:10" outlineLevel="1" x14ac:dyDescent="0.4">
      <c r="A55" s="385" t="s">
        <v>292</v>
      </c>
      <c r="B55" s="358">
        <f>VLOOKUP(A55,Equity!$B$2:$H$73,7,0)</f>
        <v>3.6830750000000001</v>
      </c>
      <c r="C55" s="359">
        <v>2.0331399999999999</v>
      </c>
      <c r="D55" s="359">
        <f>SUMIFS(Transactions!L:L,Transactions!K:K,A55)</f>
        <v>0</v>
      </c>
      <c r="E55" s="359">
        <f>SUMIFS(Transactions!F:F,Transactions!E:E,'Attribution Analysis'!A55)</f>
        <v>0</v>
      </c>
      <c r="F55" s="396">
        <f t="shared" si="7"/>
        <v>0.81152060359837508</v>
      </c>
      <c r="G55" s="448">
        <f>'Month on Month Equity Change'!$Q$11</f>
        <v>2.1063078663627794E-2</v>
      </c>
      <c r="H55" s="396">
        <f t="shared" si="4"/>
        <v>0.7904575249347473</v>
      </c>
      <c r="I55" s="396">
        <f>IF((VLOOKUP(A55,Equity!$B$2:$O$73,14,0)="A"),(VLOOKUP(A55,Equity!$B$2:$N$73,9,0)-VLOOKUP(A55,Equity!$B$2:$N$73,10,0)),(VLOOKUP(A55,Equity!$B$2:$N$73,11,0)-VLOOKUP(A55,Equity!$B$2:$N$73,12,0)))</f>
        <v>-1.7646812650816759</v>
      </c>
      <c r="J55" s="452" t="s">
        <v>285</v>
      </c>
    </row>
    <row r="56" spans="1:10" outlineLevel="1" x14ac:dyDescent="0.4">
      <c r="A56" s="386" t="s">
        <v>302</v>
      </c>
      <c r="B56" s="358">
        <f>VLOOKUP(A56,Equity!$B$2:$H$73,7,0)</f>
        <v>10.03806</v>
      </c>
      <c r="C56" s="359">
        <v>10.03806</v>
      </c>
      <c r="D56" s="359">
        <f>SUMIFS(Transactions!L:L,Transactions!K:K,A56)</f>
        <v>0</v>
      </c>
      <c r="E56" s="359">
        <f>SUMIFS(Transactions!F:F,Transactions!E:E,'Attribution Analysis'!A56)</f>
        <v>0</v>
      </c>
      <c r="F56" s="396">
        <f t="shared" ref="F56:F64" si="8">(B56+E56)/(C56+D56)-1</f>
        <v>0</v>
      </c>
      <c r="G56" s="448">
        <f>'Month on Month Equity Change'!$Q$11</f>
        <v>2.1063078663627794E-2</v>
      </c>
      <c r="H56" s="396">
        <f t="shared" ref="H56:H64" si="9">F56-G56</f>
        <v>-2.1063078663627794E-2</v>
      </c>
      <c r="I56" s="396">
        <f>IF((VLOOKUP(A56,Equity!$B$2:$O$73,14,0)="A"),(VLOOKUP(A56,Equity!$B$2:$N$73,9,0)-VLOOKUP(A56,Equity!$B$2:$N$73,10,0)),(VLOOKUP(A56,Equity!$B$2:$N$73,11,0)-VLOOKUP(A56,Equity!$B$2:$N$73,12,0)))</f>
        <v>0.14383958265695762</v>
      </c>
      <c r="J56" s="452"/>
    </row>
    <row r="57" spans="1:10" outlineLevel="1" x14ac:dyDescent="0.4">
      <c r="A57" s="343" t="s">
        <v>290</v>
      </c>
      <c r="B57" s="358">
        <f>VLOOKUP(A57,Equity!$B$2:$H$73,7,0)</f>
        <v>14.025560949999999</v>
      </c>
      <c r="C57" s="359">
        <v>12.524782595000001</v>
      </c>
      <c r="D57" s="359">
        <f>SUMIFS(Transactions!L:L,Transactions!K:K,A57)</f>
        <v>0</v>
      </c>
      <c r="E57" s="359">
        <f>SUMIFS(Transactions!F:F,Transactions!E:E,'Attribution Analysis'!A57)</f>
        <v>0</v>
      </c>
      <c r="F57" s="396">
        <f t="shared" si="8"/>
        <v>0.11982470303309856</v>
      </c>
      <c r="G57" s="448">
        <f>'Month on Month Equity Change'!$Q$11</f>
        <v>2.1063078663627794E-2</v>
      </c>
      <c r="H57" s="396">
        <f t="shared" si="9"/>
        <v>9.8761624369470766E-2</v>
      </c>
      <c r="I57" s="396">
        <f>IF((VLOOKUP(A57,Equity!$B$2:$O$73,14,0)="A"),(VLOOKUP(A57,Equity!$B$2:$N$73,9,0)-VLOOKUP(A57,Equity!$B$2:$N$73,10,0)),(VLOOKUP(A57,Equity!$B$2:$N$73,11,0)-VLOOKUP(A57,Equity!$B$2:$N$73,12,0)))</f>
        <v>-3.4821693464374137E-2</v>
      </c>
      <c r="J57" s="452" t="s">
        <v>285</v>
      </c>
    </row>
    <row r="58" spans="1:10" outlineLevel="1" x14ac:dyDescent="0.4">
      <c r="A58" s="343" t="s">
        <v>242</v>
      </c>
      <c r="B58" s="358">
        <f>VLOOKUP(A58,Equity!$B$2:$H$73,7,0)</f>
        <v>3.6594000000000002E-2</v>
      </c>
      <c r="C58" s="359">
        <v>3.6594000000000002E-2</v>
      </c>
      <c r="D58" s="359">
        <f>SUMIFS(Transactions!L:L,Transactions!K:K,A58)</f>
        <v>0</v>
      </c>
      <c r="E58" s="359">
        <f>SUMIFS(Transactions!F:F,Transactions!E:E,'Attribution Analysis'!A58)</f>
        <v>0</v>
      </c>
      <c r="F58" s="396">
        <f t="shared" si="8"/>
        <v>0</v>
      </c>
      <c r="G58" s="448">
        <f>'Month on Month Equity Change'!$Q$11</f>
        <v>2.1063078663627794E-2</v>
      </c>
      <c r="H58" s="396">
        <f t="shared" si="9"/>
        <v>-2.1063078663627794E-2</v>
      </c>
      <c r="I58" s="396">
        <f>IF((VLOOKUP(A58,Equity!$B$2:$O$73,14,0)="A"),(VLOOKUP(A58,Equity!$B$2:$N$73,9,0)-VLOOKUP(A58,Equity!$B$2:$N$73,10,0)),(VLOOKUP(A58,Equity!$B$2:$N$73,11,0)-VLOOKUP(A58,Equity!$B$2:$N$73,12,0)))</f>
        <v>0</v>
      </c>
      <c r="J58" s="452"/>
    </row>
    <row r="59" spans="1:10" outlineLevel="1" x14ac:dyDescent="0.4">
      <c r="A59" s="343" t="s">
        <v>208</v>
      </c>
      <c r="B59" s="358">
        <f>VLOOKUP(A59,Equity!$B$2:$H$73,7,0)</f>
        <v>5.586E-2</v>
      </c>
      <c r="C59" s="359">
        <v>5.586E-2</v>
      </c>
      <c r="D59" s="359">
        <f>SUMIFS(Transactions!L:L,Transactions!K:K,A59)</f>
        <v>0</v>
      </c>
      <c r="E59" s="359">
        <f>SUMIFS(Transactions!F:F,Transactions!E:E,'Attribution Analysis'!A59)</f>
        <v>0</v>
      </c>
      <c r="F59" s="396">
        <f t="shared" si="8"/>
        <v>0</v>
      </c>
      <c r="G59" s="448">
        <f>'Month on Month Equity Change'!$Q$11</f>
        <v>2.1063078663627794E-2</v>
      </c>
      <c r="H59" s="396">
        <f t="shared" si="9"/>
        <v>-2.1063078663627794E-2</v>
      </c>
      <c r="I59" s="396">
        <f>IF((VLOOKUP(A59,Equity!$B$2:$O$73,14,0)="A"),(VLOOKUP(A59,Equity!$B$2:$N$73,9,0)-VLOOKUP(A59,Equity!$B$2:$N$73,10,0)),(VLOOKUP(A59,Equity!$B$2:$N$73,11,0)-VLOOKUP(A59,Equity!$B$2:$N$73,12,0)))</f>
        <v>0</v>
      </c>
      <c r="J59" s="452"/>
    </row>
    <row r="60" spans="1:10" outlineLevel="1" x14ac:dyDescent="0.4">
      <c r="A60" s="343" t="s">
        <v>209</v>
      </c>
      <c r="B60" s="358">
        <f>VLOOKUP(A60,Equity!$B$2:$H$73,7,0)</f>
        <v>0.11361775</v>
      </c>
      <c r="C60" s="359">
        <v>9.9234000000000003E-2</v>
      </c>
      <c r="D60" s="359">
        <f>SUMIFS(Transactions!L:L,Transactions!K:K,A60)</f>
        <v>0</v>
      </c>
      <c r="E60" s="359">
        <f>SUMIFS(Transactions!F:F,Transactions!E:E,'Attribution Analysis'!A60)</f>
        <v>0</v>
      </c>
      <c r="F60" s="396">
        <f t="shared" si="8"/>
        <v>0.14494780014914244</v>
      </c>
      <c r="G60" s="448">
        <f>'Month on Month Equity Change'!$Q$11</f>
        <v>2.1063078663627794E-2</v>
      </c>
      <c r="H60" s="396">
        <f t="shared" si="9"/>
        <v>0.12388472148551465</v>
      </c>
      <c r="I60" s="396">
        <f>IF((VLOOKUP(A60,Equity!$B$2:$O$73,14,0)="A"),(VLOOKUP(A60,Equity!$B$2:$N$73,9,0)-VLOOKUP(A60,Equity!$B$2:$N$73,10,0)),(VLOOKUP(A60,Equity!$B$2:$N$73,11,0)-VLOOKUP(A60,Equity!$B$2:$N$73,12,0)))</f>
        <v>0</v>
      </c>
      <c r="J60" s="452"/>
    </row>
    <row r="61" spans="1:10" outlineLevel="1" x14ac:dyDescent="0.4">
      <c r="A61" s="343" t="s">
        <v>341</v>
      </c>
      <c r="B61" s="358">
        <f>VLOOKUP(A61,Equity!$B$2:$H$73,7,0)</f>
        <v>4.2475999999999998E-3</v>
      </c>
      <c r="C61" s="359">
        <v>4.2475999999999998E-3</v>
      </c>
      <c r="D61" s="359">
        <f>SUMIFS(Transactions!L:L,Transactions!K:K,A61)</f>
        <v>0</v>
      </c>
      <c r="E61" s="359">
        <f>SUMIFS(Transactions!F:F,Transactions!E:E,'Attribution Analysis'!A61)</f>
        <v>0</v>
      </c>
      <c r="F61" s="396">
        <f t="shared" si="8"/>
        <v>0</v>
      </c>
      <c r="G61" s="448">
        <f>'Month on Month Equity Change'!$Q$11</f>
        <v>2.1063078663627794E-2</v>
      </c>
      <c r="H61" s="396">
        <f t="shared" si="9"/>
        <v>-2.1063078663627794E-2</v>
      </c>
      <c r="I61" s="396">
        <f>IF((VLOOKUP(A61,Equity!$B$2:$O$73,14,0)="A"),(VLOOKUP(A61,Equity!$B$2:$N$73,9,0)-VLOOKUP(A61,Equity!$B$2:$N$73,10,0)),(VLOOKUP(A61,Equity!$B$2:$N$73,11,0)-VLOOKUP(A61,Equity!$B$2:$N$73,12,0)))</f>
        <v>0</v>
      </c>
      <c r="J61" s="452"/>
    </row>
    <row r="62" spans="1:10" outlineLevel="1" x14ac:dyDescent="0.4">
      <c r="A62" s="385" t="s">
        <v>301</v>
      </c>
      <c r="B62" s="358">
        <f>VLOOKUP(A62,Equity!$B$2:$H$73,7,0)</f>
        <v>2.53012455</v>
      </c>
      <c r="C62" s="359">
        <v>2.4006842000000002</v>
      </c>
      <c r="D62" s="359">
        <f>SUMIFS(Transactions!L:L,Transactions!K:K,A62)</f>
        <v>0</v>
      </c>
      <c r="E62" s="359">
        <f>SUMIFS(Transactions!F:F,Transactions!E:E,'Attribution Analysis'!A62)</f>
        <v>0</v>
      </c>
      <c r="F62" s="396">
        <f t="shared" si="8"/>
        <v>5.3918108012707355E-2</v>
      </c>
      <c r="G62" s="448">
        <f>'Month on Month Equity Change'!$Q$11</f>
        <v>2.1063078663627794E-2</v>
      </c>
      <c r="H62" s="396">
        <f t="shared" si="9"/>
        <v>3.2855029349079565E-2</v>
      </c>
      <c r="I62" s="396">
        <f>IF((VLOOKUP(A62,Equity!$B$2:$O$73,14,0)="A"),(VLOOKUP(A62,Equity!$B$2:$N$73,9,0)-VLOOKUP(A62,Equity!$B$2:$N$73,10,0)),(VLOOKUP(A62,Equity!$B$2:$N$73,11,0)-VLOOKUP(A62,Equity!$B$2:$N$73,12,0)))</f>
        <v>6.6167369160046619E-2</v>
      </c>
      <c r="J62" s="452"/>
    </row>
    <row r="63" spans="1:10" outlineLevel="1" x14ac:dyDescent="0.4">
      <c r="A63" s="343" t="s">
        <v>113</v>
      </c>
      <c r="B63" s="358">
        <f>VLOOKUP(A63,Equity!$B$2:$H$73,7,0)</f>
        <v>3.0563099999999999</v>
      </c>
      <c r="C63" s="359">
        <v>3.2259600000000002</v>
      </c>
      <c r="D63" s="359">
        <f>SUMIFS(Transactions!L:L,Transactions!K:K,A63)</f>
        <v>0</v>
      </c>
      <c r="E63" s="359">
        <f>SUMIFS(Transactions!F:F,Transactions!E:E,'Attribution Analysis'!A63)</f>
        <v>0</v>
      </c>
      <c r="F63" s="396">
        <f t="shared" si="8"/>
        <v>-5.258899676375417E-2</v>
      </c>
      <c r="G63" s="448">
        <f>'Month on Month Equity Change'!$Q$11</f>
        <v>2.1063078663627794E-2</v>
      </c>
      <c r="H63" s="396">
        <f t="shared" si="9"/>
        <v>-7.3652075427381961E-2</v>
      </c>
      <c r="I63" s="396">
        <f>IF((VLOOKUP(A63,Equity!$B$2:$O$73,14,0)="A"),(VLOOKUP(A63,Equity!$B$2:$N$73,9,0)-VLOOKUP(A63,Equity!$B$2:$N$73,10,0)),(VLOOKUP(A63,Equity!$B$2:$N$73,11,0)-VLOOKUP(A63,Equity!$B$2:$N$73,12,0)))</f>
        <v>0.53055897938598717</v>
      </c>
      <c r="J63" s="452"/>
    </row>
    <row r="64" spans="1:10" outlineLevel="1" x14ac:dyDescent="0.4">
      <c r="A64" s="343" t="s">
        <v>210</v>
      </c>
      <c r="B64" s="358">
        <f>VLOOKUP(A64,Equity!$B$2:$H$73,7,0)</f>
        <v>8.1993600000000004</v>
      </c>
      <c r="C64" s="359">
        <v>10.29738</v>
      </c>
      <c r="D64" s="359">
        <f>SUMIFS(Transactions!L:L,Transactions!K:K,A64)</f>
        <v>0</v>
      </c>
      <c r="E64" s="359">
        <f>SUMIFS(Transactions!F:F,Transactions!E:E,'Attribution Analysis'!A64)</f>
        <v>0</v>
      </c>
      <c r="F64" s="396">
        <f t="shared" si="8"/>
        <v>-0.2037430880476393</v>
      </c>
      <c r="G64" s="448">
        <f>'Month on Month Equity Change'!$Q$11</f>
        <v>2.1063078663627794E-2</v>
      </c>
      <c r="H64" s="396">
        <f t="shared" si="9"/>
        <v>-0.2248061667112671</v>
      </c>
      <c r="I64" s="396">
        <f>IF((VLOOKUP(A64,Equity!$B$2:$O$73,14,0)="A"),(VLOOKUP(A64,Equity!$B$2:$N$73,9,0)-VLOOKUP(A64,Equity!$B$2:$N$73,10,0)),(VLOOKUP(A64,Equity!$B$2:$N$73,11,0)-VLOOKUP(A64,Equity!$B$2:$N$73,12,0)))</f>
        <v>-0.20536962416280902</v>
      </c>
      <c r="J64" s="452"/>
    </row>
    <row r="65" spans="1:10" ht="13.5" customHeight="1" outlineLevel="1" x14ac:dyDescent="0.4">
      <c r="A65" s="477" t="s">
        <v>471</v>
      </c>
      <c r="B65" s="358">
        <f>VLOOKUP(A65,Equity!$B$2:$H$73,7,0)</f>
        <v>0.74289999999999989</v>
      </c>
      <c r="C65" s="359">
        <v>2.7958495463568296</v>
      </c>
      <c r="D65" s="359">
        <f>SUMIFS(Transactions!L:L,Transactions!K:K,A65)</f>
        <v>0</v>
      </c>
      <c r="E65" s="359">
        <f>SUMIFS(Transactions!F:F,Transactions!E:E,'Attribution Analysis'!A65)</f>
        <v>0</v>
      </c>
      <c r="F65" s="396"/>
      <c r="G65" s="448">
        <f>'Month on Month Equity Change'!$Q$11</f>
        <v>2.1063078663627794E-2</v>
      </c>
      <c r="H65" s="396"/>
      <c r="I65" s="396">
        <f>IF((VLOOKUP(A65,Equity!$B$2:$O$73,14,0)="A"),(VLOOKUP(A65,Equity!$B$2:$N$73,9,0)-VLOOKUP(A65,Equity!$B$2:$N$73,10,0)),(VLOOKUP(A65,Equity!$B$2:$N$73,11,0)-VLOOKUP(A65,Equity!$B$2:$N$73,12,0)))</f>
        <v>7.4920278936118079E-2</v>
      </c>
      <c r="J65" s="452"/>
    </row>
    <row r="66" spans="1:10" outlineLevel="1" x14ac:dyDescent="0.4">
      <c r="A66" s="477" t="s">
        <v>472</v>
      </c>
      <c r="B66" s="358">
        <f>VLOOKUP(A66,Equity!$B$2:$H$73,7,0)</f>
        <v>0.92689999999999995</v>
      </c>
      <c r="C66" s="359">
        <v>1.5938776213716301</v>
      </c>
      <c r="D66" s="359">
        <f>SUMIFS(Transactions!L:L,Transactions!K:K,A66)</f>
        <v>0</v>
      </c>
      <c r="E66" s="359">
        <f>SUMIFS(Transactions!F:F,Transactions!E:E,'Attribution Analysis'!A66)</f>
        <v>0</v>
      </c>
      <c r="F66" s="396"/>
      <c r="G66" s="448">
        <f>'Month on Month Equity Change'!$Q$11</f>
        <v>2.1063078663627794E-2</v>
      </c>
      <c r="H66" s="396"/>
      <c r="I66" s="396">
        <f>IF((VLOOKUP(A66,Equity!$B$2:$O$73,14,0)="A"),(VLOOKUP(A66,Equity!$B$2:$N$73,9,0)-VLOOKUP(A66,Equity!$B$2:$N$73,10,0)),(VLOOKUP(A66,Equity!$B$2:$N$73,11,0)-VLOOKUP(A66,Equity!$B$2:$N$73,12,0)))</f>
        <v>5.6023710371125857E-2</v>
      </c>
      <c r="J66" s="452"/>
    </row>
    <row r="67" spans="1:10" outlineLevel="1" x14ac:dyDescent="0.4">
      <c r="A67" s="477" t="s">
        <v>473</v>
      </c>
      <c r="B67" s="358">
        <f>VLOOKUP(A67,Equity!$B$2:$H$73,7,0)</f>
        <v>10.3592</v>
      </c>
      <c r="C67" s="359">
        <v>0.93182542868415008</v>
      </c>
      <c r="D67" s="359">
        <f>SUMIFS(Transactions!L:L,Transactions!K:K,A67)</f>
        <v>0</v>
      </c>
      <c r="E67" s="359">
        <f>SUMIFS(Transactions!F:F,Transactions!E:E,'Attribution Analysis'!A67)</f>
        <v>0</v>
      </c>
      <c r="F67" s="396"/>
      <c r="G67" s="448">
        <f>'Month on Month Equity Change'!$Q$11</f>
        <v>2.1063078663627794E-2</v>
      </c>
      <c r="H67" s="396"/>
      <c r="I67" s="396">
        <f>IF((VLOOKUP(A67,Equity!$B$2:$O$73,14,0)="A"),(VLOOKUP(A67,Equity!$B$2:$N$73,9,0)-VLOOKUP(A67,Equity!$B$2:$N$73,10,0)),(VLOOKUP(A67,Equity!$B$2:$N$73,11,0)-VLOOKUP(A67,Equity!$B$2:$N$73,12,0)))</f>
        <v>5.6023710371125857E-2</v>
      </c>
      <c r="J67" s="452"/>
    </row>
    <row r="68" spans="1:10" x14ac:dyDescent="0.4">
      <c r="A68" s="477" t="s">
        <v>474</v>
      </c>
      <c r="B68" s="358">
        <f>VLOOKUP(A68,Equity!$B$2:$H$73,7,0)</f>
        <v>0.81074999999999997</v>
      </c>
      <c r="C68" s="359">
        <v>0.88490834416299002</v>
      </c>
      <c r="D68" s="359">
        <f>SUMIFS(Transactions!L:L,Transactions!K:K,A68)</f>
        <v>0</v>
      </c>
      <c r="E68" s="359">
        <f>SUMIFS(Transactions!F:F,Transactions!E:E,'Attribution Analysis'!A68)</f>
        <v>0</v>
      </c>
      <c r="F68" s="396"/>
      <c r="G68" s="448">
        <f>'Month on Month Equity Change'!$Q$11</f>
        <v>2.1063078663627794E-2</v>
      </c>
      <c r="H68" s="396"/>
      <c r="I68" s="396">
        <f>IF((VLOOKUP(A68,Equity!$B$2:$O$73,14,0)="A"),(VLOOKUP(A68,Equity!$B$2:$N$73,9,0)-VLOOKUP(A68,Equity!$B$2:$N$73,10,0)),(VLOOKUP(A68,Equity!$B$2:$N$73,11,0)-VLOOKUP(A68,Equity!$B$2:$N$73,12,0)))</f>
        <v>5.6023710371125857E-2</v>
      </c>
      <c r="J68" s="452"/>
    </row>
    <row r="69" spans="1:10" x14ac:dyDescent="0.4">
      <c r="A69" s="343" t="s">
        <v>203</v>
      </c>
      <c r="B69" s="358">
        <f>VLOOKUP(A69,Equity!$B$2:$H$73,7,0)</f>
        <v>10.207311990000001</v>
      </c>
      <c r="C69" s="359">
        <v>10.01149491</v>
      </c>
      <c r="D69" s="359">
        <f>SUMIFS(Transactions!L:L,Transactions!K:K,A69)</f>
        <v>0</v>
      </c>
      <c r="E69" s="359">
        <f>SUMIFS(Transactions!F:F,Transactions!E:E,'Attribution Analysis'!A69)</f>
        <v>3.0000359999999997</v>
      </c>
      <c r="F69" s="396">
        <f>(B69+E69)/(C69+D69)-1</f>
        <v>0.31921836935738912</v>
      </c>
      <c r="G69" s="448">
        <f>'Month on Month Equity Change'!$Q$11</f>
        <v>2.1063078663627794E-2</v>
      </c>
      <c r="H69" s="396">
        <f>F69-G69</f>
        <v>0.29815529069376134</v>
      </c>
      <c r="I69" s="396">
        <f>IF((VLOOKUP(A69,Equity!$B$2:$O$73,14,0)="A"),(VLOOKUP(A69,Equity!$B$2:$N$73,9,0)-VLOOKUP(A69,Equity!$B$2:$N$73,10,0)),(VLOOKUP(A69,Equity!$B$2:$N$73,11,0)-VLOOKUP(A69,Equity!$B$2:$N$73,12,0)))</f>
        <v>-1.2066478900936768</v>
      </c>
      <c r="J69" s="452"/>
    </row>
    <row r="70" spans="1:10" x14ac:dyDescent="0.4">
      <c r="A70" s="397" t="s">
        <v>159</v>
      </c>
      <c r="B70" s="360">
        <f>VLOOKUP(A70,Equity!$B$2:$H$73,7,0)</f>
        <v>1.2837099999999999</v>
      </c>
      <c r="C70" s="359">
        <v>1.30386</v>
      </c>
      <c r="D70" s="361">
        <f>SUMIFS(Transactions!L:L,Transactions!K:K,A70)</f>
        <v>0</v>
      </c>
      <c r="E70" s="361">
        <f>SUMIFS(Transactions!F:F,Transactions!E:E,'Attribution Analysis'!A70)</f>
        <v>0</v>
      </c>
      <c r="F70" s="449">
        <f>(B70+E70)/(C70+D70)-1</f>
        <v>-1.5454113171659567E-2</v>
      </c>
      <c r="G70" s="450">
        <f>'Month on Month Equity Change'!$Q$11</f>
        <v>2.1063078663627794E-2</v>
      </c>
      <c r="H70" s="449">
        <f>F70-G70</f>
        <v>-3.6517191835287358E-2</v>
      </c>
      <c r="I70" s="449">
        <f>IF((VLOOKUP(A70,Equity!$B$2:$O$73,14,0)="A"),(VLOOKUP(A70,Equity!$B$2:$N$73,9,0)-VLOOKUP(A70,Equity!$B$2:$N$73,10,0)),(VLOOKUP(A70,Equity!$B$2:$N$73,11,0)-VLOOKUP(A70,Equity!$B$2:$N$73,12,0)))</f>
        <v>0.35647043470378731</v>
      </c>
      <c r="J70" s="455"/>
    </row>
    <row r="71" spans="1:10" x14ac:dyDescent="0.4">
      <c r="A71" s="485" t="s">
        <v>487</v>
      </c>
    </row>
    <row r="80" spans="1:10" x14ac:dyDescent="0.4">
      <c r="B80" s="239"/>
    </row>
  </sheetData>
  <autoFilter ref="A3:J79" xr:uid="{00000000-0001-0000-0800-000000000000}"/>
  <mergeCells count="1">
    <mergeCell ref="A1:J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F7293-C8B6-4C67-8DC9-68A30A4279D6}">
  <dimension ref="E7:E8"/>
  <sheetViews>
    <sheetView tabSelected="1" workbookViewId="0">
      <selection activeCell="J17" sqref="J17"/>
    </sheetView>
  </sheetViews>
  <sheetFormatPr defaultRowHeight="14.25" x14ac:dyDescent="0.45"/>
  <sheetData>
    <row r="7" spans="5:5" x14ac:dyDescent="0.45">
      <c r="E7">
        <f ca="1">13*42.5%</f>
        <v>5.5249999999999995</v>
      </c>
    </row>
    <row r="8" spans="5:5" x14ac:dyDescent="0.45">
      <c r="E8">
        <f ca="1">13-E7</f>
        <v>7.4750000000000005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L13"/>
  <sheetViews>
    <sheetView showGridLines="0" workbookViewId="0">
      <selection activeCell="B4" sqref="B4:B12"/>
    </sheetView>
  </sheetViews>
  <sheetFormatPr defaultColWidth="8.73046875" defaultRowHeight="11.65" x14ac:dyDescent="0.45"/>
  <cols>
    <col min="1" max="1" width="8.73046875" style="4"/>
    <col min="2" max="2" width="41.796875" style="4" bestFit="1" customWidth="1"/>
    <col min="3" max="3" width="15" style="4" customWidth="1"/>
    <col min="4" max="4" width="10" style="4" customWidth="1"/>
    <col min="5" max="5" width="9.19921875" style="4" customWidth="1"/>
    <col min="6" max="6" width="9" style="4" customWidth="1"/>
    <col min="7" max="7" width="17" style="4" bestFit="1" customWidth="1"/>
    <col min="8" max="8" width="7.73046875" style="4" bestFit="1" customWidth="1"/>
    <col min="9" max="9" width="10.33203125" style="4" hidden="1" customWidth="1"/>
    <col min="10" max="10" width="9.796875" style="4" hidden="1" customWidth="1"/>
    <col min="11" max="16384" width="8.73046875" style="4"/>
  </cols>
  <sheetData>
    <row r="1" spans="1:12" x14ac:dyDescent="0.45">
      <c r="B1" s="15" t="s">
        <v>181</v>
      </c>
    </row>
    <row r="2" spans="1:12" ht="23.25" x14ac:dyDescent="0.45">
      <c r="B2" s="55" t="s">
        <v>34</v>
      </c>
      <c r="C2" s="56" t="s">
        <v>1</v>
      </c>
      <c r="D2" s="55" t="s">
        <v>35</v>
      </c>
      <c r="E2" s="55" t="s">
        <v>2</v>
      </c>
      <c r="F2" s="55" t="s">
        <v>3</v>
      </c>
      <c r="G2" s="57" t="s">
        <v>252</v>
      </c>
      <c r="H2" s="57" t="s">
        <v>4</v>
      </c>
      <c r="I2" s="57" t="s">
        <v>37</v>
      </c>
      <c r="J2" s="57" t="s">
        <v>38</v>
      </c>
      <c r="K2" s="57" t="s">
        <v>39</v>
      </c>
      <c r="L2" s="55" t="s">
        <v>40</v>
      </c>
    </row>
    <row r="3" spans="1:12" x14ac:dyDescent="0.35">
      <c r="A3" s="126" t="s">
        <v>28</v>
      </c>
      <c r="B3" s="341" t="s">
        <v>28</v>
      </c>
      <c r="C3" s="58">
        <v>434002</v>
      </c>
      <c r="D3" s="59"/>
      <c r="E3" s="217">
        <f>SUM(E4:E12)</f>
        <v>5.1332383269549116</v>
      </c>
      <c r="F3" s="217">
        <f>SUM(F4:F12)</f>
        <v>5.4365435599546803</v>
      </c>
      <c r="G3" s="60"/>
      <c r="H3" s="61">
        <f>SUM(H4:H12)</f>
        <v>0.99999999999999978</v>
      </c>
      <c r="I3" s="62">
        <v>0</v>
      </c>
      <c r="J3" s="62">
        <v>2.1945572203773578E-2</v>
      </c>
      <c r="K3" s="62">
        <v>4.0795716643333438E-2</v>
      </c>
      <c r="L3" s="63">
        <v>5.2750632166862488E-2</v>
      </c>
    </row>
    <row r="4" spans="1:12" x14ac:dyDescent="0.45">
      <c r="B4" s="343" t="s">
        <v>466</v>
      </c>
      <c r="C4" s="64" t="s">
        <v>476</v>
      </c>
      <c r="D4" s="66">
        <v>7609.72</v>
      </c>
      <c r="E4" s="218">
        <v>0</v>
      </c>
      <c r="F4" s="218">
        <v>7.6245589539999992E-2</v>
      </c>
      <c r="G4" s="66" t="s">
        <v>387</v>
      </c>
      <c r="H4" s="67">
        <f t="shared" ref="H4:H12" si="0">F4/$F$13</f>
        <v>1.4024644279799643E-2</v>
      </c>
      <c r="I4" s="68">
        <v>0</v>
      </c>
      <c r="J4" s="68">
        <v>4.1839495417682393E-2</v>
      </c>
      <c r="K4" s="68">
        <v>7.5873285531997698E-3</v>
      </c>
      <c r="L4" s="69">
        <v>5.7610967755317682E-2</v>
      </c>
    </row>
    <row r="5" spans="1:12" x14ac:dyDescent="0.45">
      <c r="B5" s="343" t="s">
        <v>47</v>
      </c>
      <c r="C5" s="64" t="s">
        <v>470</v>
      </c>
      <c r="D5" s="66">
        <v>1752.5650000000003</v>
      </c>
      <c r="E5" s="218">
        <v>5.3714627569750012E-2</v>
      </c>
      <c r="F5" s="218">
        <v>7.9441247756400005E-2</v>
      </c>
      <c r="G5" s="66" t="s">
        <v>387</v>
      </c>
      <c r="H5" s="67">
        <f t="shared" si="0"/>
        <v>1.461245493213012E-2</v>
      </c>
      <c r="I5" s="68">
        <v>0</v>
      </c>
      <c r="J5" s="68">
        <v>0.41685334242491123</v>
      </c>
      <c r="K5" s="68">
        <v>5.7565376162528992E-2</v>
      </c>
      <c r="L5" s="69">
        <v>5.7437971234321594E-2</v>
      </c>
    </row>
    <row r="6" spans="1:12" x14ac:dyDescent="0.45">
      <c r="B6" s="343" t="s">
        <v>547</v>
      </c>
      <c r="C6" s="64" t="s">
        <v>477</v>
      </c>
      <c r="D6" s="66">
        <v>2282.1779999999999</v>
      </c>
      <c r="E6" s="66">
        <v>1.2499375938188999</v>
      </c>
      <c r="F6" s="66">
        <v>1.25710737551082</v>
      </c>
      <c r="G6" s="66" t="s">
        <v>387</v>
      </c>
      <c r="H6" s="67">
        <f t="shared" si="0"/>
        <v>0.23123283417990298</v>
      </c>
      <c r="I6" s="68">
        <v>0</v>
      </c>
      <c r="J6" s="68">
        <v>5.7361117285978924E-3</v>
      </c>
      <c r="K6" s="68">
        <v>8.7093862891197221E-2</v>
      </c>
      <c r="L6" s="69">
        <v>6.8809100985527047E-2</v>
      </c>
    </row>
    <row r="7" spans="1:12" x14ac:dyDescent="0.45">
      <c r="B7" s="343" t="s">
        <v>48</v>
      </c>
      <c r="C7" s="64" t="s">
        <v>477</v>
      </c>
      <c r="D7" s="66">
        <v>48.183000000000902</v>
      </c>
      <c r="E7" s="66">
        <v>1.4284306643010268E-2</v>
      </c>
      <c r="F7" s="66">
        <v>1.9483298116860368E-2</v>
      </c>
      <c r="G7" s="66" t="s">
        <v>387</v>
      </c>
      <c r="H7" s="67">
        <f t="shared" si="0"/>
        <v>3.5837656595586595E-3</v>
      </c>
      <c r="I7" s="68">
        <v>0</v>
      </c>
      <c r="J7" s="68">
        <v>1.554214055679437E-2</v>
      </c>
      <c r="K7" s="68">
        <v>3.0159518122673035E-2</v>
      </c>
      <c r="L7" s="69">
        <v>4.6286681294441231E-2</v>
      </c>
    </row>
    <row r="8" spans="1:12" x14ac:dyDescent="0.45">
      <c r="B8" s="343" t="s">
        <v>467</v>
      </c>
      <c r="C8" s="64" t="s">
        <v>477</v>
      </c>
      <c r="D8" s="66">
        <v>605.83799999999997</v>
      </c>
      <c r="E8" s="66">
        <v>5.4356288299299997E-2</v>
      </c>
      <c r="F8" s="66">
        <v>6.0679280068799996E-2</v>
      </c>
      <c r="G8" s="66" t="s">
        <v>387</v>
      </c>
      <c r="H8" s="67">
        <f t="shared" si="0"/>
        <v>1.1161371080655118E-2</v>
      </c>
      <c r="I8" s="68">
        <v>0</v>
      </c>
      <c r="J8" s="68">
        <v>0.11632493621867535</v>
      </c>
      <c r="K8" s="68">
        <v>1.5894654393196102E-2</v>
      </c>
      <c r="L8" s="69">
        <v>5.7519111037254336E-2</v>
      </c>
    </row>
    <row r="9" spans="1:12" x14ac:dyDescent="0.45">
      <c r="B9" s="343" t="s">
        <v>291</v>
      </c>
      <c r="C9" s="64" t="s">
        <v>576</v>
      </c>
      <c r="D9" s="66">
        <v>69235.277999999991</v>
      </c>
      <c r="E9" s="66">
        <v>2.7448860430002204</v>
      </c>
      <c r="F9" s="66">
        <v>2.8740048544746002</v>
      </c>
      <c r="G9" s="66" t="s">
        <v>387</v>
      </c>
      <c r="H9" s="67">
        <f t="shared" si="0"/>
        <v>0.528645604101176</v>
      </c>
      <c r="I9" s="68">
        <v>0</v>
      </c>
      <c r="J9" s="68">
        <v>2.0728395650406739E-2</v>
      </c>
      <c r="K9" s="68">
        <v>6.3692632317543019E-2</v>
      </c>
      <c r="L9" s="69">
        <v>5.9854713082313535E-2</v>
      </c>
    </row>
    <row r="10" spans="1:12" x14ac:dyDescent="0.45">
      <c r="B10" s="343" t="s">
        <v>468</v>
      </c>
      <c r="C10" s="64" t="s">
        <v>470</v>
      </c>
      <c r="D10" s="66">
        <v>632.5</v>
      </c>
      <c r="E10" s="66">
        <v>5.5192263035999993E-2</v>
      </c>
      <c r="F10" s="66">
        <v>7.7342732499999997E-2</v>
      </c>
      <c r="G10" s="66" t="s">
        <v>387</v>
      </c>
      <c r="H10" s="67">
        <f t="shared" si="0"/>
        <v>1.4226453195317493E-2</v>
      </c>
      <c r="I10" s="68">
        <v>0</v>
      </c>
      <c r="J10" s="68">
        <v>0.40133287249975647</v>
      </c>
      <c r="K10" s="68">
        <v>4.9542978405952454E-2</v>
      </c>
      <c r="L10" s="69">
        <v>5.7519111037254336E-2</v>
      </c>
    </row>
    <row r="11" spans="1:12" x14ac:dyDescent="0.45">
      <c r="B11" s="343" t="s">
        <v>469</v>
      </c>
      <c r="C11" s="64" t="s">
        <v>470</v>
      </c>
      <c r="D11" s="66">
        <v>316.19</v>
      </c>
      <c r="E11" s="66">
        <v>6.3572506886700006E-2</v>
      </c>
      <c r="F11" s="66">
        <v>9.3638681987200004E-2</v>
      </c>
      <c r="G11" s="66" t="s">
        <v>387</v>
      </c>
      <c r="H11" s="67">
        <f t="shared" si="0"/>
        <v>1.7223936671258933E-2</v>
      </c>
      <c r="I11" s="68">
        <v>0</v>
      </c>
      <c r="J11" s="68">
        <v>0.47294304681242849</v>
      </c>
      <c r="K11" s="68">
        <v>5.7088866829872145E-2</v>
      </c>
      <c r="L11" s="69">
        <v>5.7512018084526065E-2</v>
      </c>
    </row>
    <row r="12" spans="1:12" x14ac:dyDescent="0.45">
      <c r="B12" s="343" t="s">
        <v>46</v>
      </c>
      <c r="C12" s="64" t="s">
        <v>577</v>
      </c>
      <c r="D12" s="66">
        <v>8986.005000000001</v>
      </c>
      <c r="E12" s="218">
        <v>0.89729469770103121</v>
      </c>
      <c r="F12" s="218">
        <v>0.89860049999999991</v>
      </c>
      <c r="G12" s="66" t="s">
        <v>387</v>
      </c>
      <c r="H12" s="67">
        <f t="shared" si="0"/>
        <v>0.16528893590020105</v>
      </c>
      <c r="I12" s="68">
        <v>0</v>
      </c>
      <c r="J12" s="68">
        <v>6.4762169903325173E-3</v>
      </c>
      <c r="K12" s="68">
        <v>0</v>
      </c>
      <c r="L12" s="69">
        <v>0</v>
      </c>
    </row>
    <row r="13" spans="1:12" x14ac:dyDescent="0.45">
      <c r="B13" s="70" t="s">
        <v>45</v>
      </c>
      <c r="C13" s="71">
        <v>522816</v>
      </c>
      <c r="D13" s="72"/>
      <c r="E13" s="459">
        <f>E3</f>
        <v>5.1332383269549116</v>
      </c>
      <c r="F13" s="459">
        <f>F3</f>
        <v>5.4365435599546803</v>
      </c>
      <c r="G13" s="73"/>
      <c r="H13" s="314">
        <f>H3</f>
        <v>0.99999999999999978</v>
      </c>
      <c r="I13" s="75">
        <v>0</v>
      </c>
      <c r="J13" s="75">
        <v>2.1945572203773578E-2</v>
      </c>
      <c r="K13" s="75">
        <v>4.0795716643333438E-2</v>
      </c>
      <c r="L13" s="75">
        <v>5.2750632166862488E-2</v>
      </c>
    </row>
  </sheetData>
  <conditionalFormatting sqref="I4:J4">
    <cfRule type="top10" dxfId="53" priority="35" rank="1"/>
  </conditionalFormatting>
  <conditionalFormatting sqref="I5:J5">
    <cfRule type="top10" dxfId="52" priority="27" rank="1"/>
  </conditionalFormatting>
  <conditionalFormatting sqref="I6:J12">
    <cfRule type="top10" dxfId="51" priority="1071" rank="1"/>
  </conditionalFormatting>
  <conditionalFormatting sqref="K4:L4">
    <cfRule type="top10" dxfId="50" priority="34" rank="1"/>
  </conditionalFormatting>
  <conditionalFormatting sqref="K5:L5">
    <cfRule type="top10" dxfId="49" priority="6" rank="1"/>
  </conditionalFormatting>
  <conditionalFormatting sqref="K6:L8">
    <cfRule type="top10" dxfId="48" priority="1070" rank="1"/>
  </conditionalFormatting>
  <conditionalFormatting sqref="K9:L9">
    <cfRule type="top10" dxfId="47" priority="3" rank="1"/>
  </conditionalFormatting>
  <conditionalFormatting sqref="K10:L10">
    <cfRule type="top10" dxfId="46" priority="5" rank="1"/>
  </conditionalFormatting>
  <conditionalFormatting sqref="K11:L11">
    <cfRule type="top10" dxfId="45" priority="2" rank="1"/>
  </conditionalFormatting>
  <conditionalFormatting sqref="K12:L12">
    <cfRule type="top10" dxfId="44" priority="7" rank="1"/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18"/>
  <sheetViews>
    <sheetView showGridLines="0" workbookViewId="0">
      <selection activeCell="B5" sqref="B5"/>
    </sheetView>
  </sheetViews>
  <sheetFormatPr defaultColWidth="8.73046875" defaultRowHeight="11.65" x14ac:dyDescent="0.35"/>
  <cols>
    <col min="1" max="1" width="8.73046875" style="126"/>
    <col min="2" max="2" width="42.796875" style="126" bestFit="1" customWidth="1"/>
    <col min="3" max="3" width="14.796875" style="126" customWidth="1"/>
    <col min="4" max="4" width="13.265625" style="126" customWidth="1"/>
    <col min="5" max="5" width="8.796875" style="126" bestFit="1" customWidth="1"/>
    <col min="6" max="7" width="8.73046875" style="126"/>
    <col min="8" max="8" width="12.53125" style="126" bestFit="1" customWidth="1"/>
    <col min="9" max="9" width="9.265625" style="126" customWidth="1"/>
    <col min="10" max="10" width="12.265625" style="126" bestFit="1" customWidth="1"/>
    <col min="11" max="12" width="8.73046875" style="126" customWidth="1"/>
    <col min="13" max="16384" width="8.73046875" style="126"/>
  </cols>
  <sheetData>
    <row r="1" spans="1:14" x14ac:dyDescent="0.35">
      <c r="B1" s="15" t="s">
        <v>181</v>
      </c>
    </row>
    <row r="2" spans="1:14" ht="34.9" x14ac:dyDescent="0.35">
      <c r="A2" s="176" t="s">
        <v>211</v>
      </c>
      <c r="B2" s="55" t="s">
        <v>34</v>
      </c>
      <c r="C2" s="56" t="s">
        <v>1</v>
      </c>
      <c r="D2" s="55" t="s">
        <v>35</v>
      </c>
      <c r="E2" s="55" t="s">
        <v>2</v>
      </c>
      <c r="F2" s="55" t="s">
        <v>3</v>
      </c>
      <c r="G2" s="57" t="s">
        <v>36</v>
      </c>
      <c r="H2" s="57" t="s">
        <v>252</v>
      </c>
      <c r="I2" s="57" t="s">
        <v>4</v>
      </c>
      <c r="J2" s="57" t="s">
        <v>335</v>
      </c>
      <c r="K2" s="57" t="s">
        <v>37</v>
      </c>
      <c r="L2" s="57" t="s">
        <v>38</v>
      </c>
      <c r="M2" s="57" t="s">
        <v>39</v>
      </c>
      <c r="N2" s="55" t="s">
        <v>40</v>
      </c>
    </row>
    <row r="3" spans="1:14" x14ac:dyDescent="0.35">
      <c r="B3" s="341" t="s">
        <v>26</v>
      </c>
      <c r="C3" s="58">
        <v>219849</v>
      </c>
      <c r="D3" s="59"/>
      <c r="E3" s="110">
        <f>SUM(E4:E7)</f>
        <v>39.753986182072815</v>
      </c>
      <c r="F3" s="110">
        <f>SUM(F4:F7)</f>
        <v>41.077278272791752</v>
      </c>
      <c r="G3" s="110">
        <f>SUM(G4:G5)</f>
        <v>0</v>
      </c>
      <c r="H3" s="110"/>
      <c r="I3" s="271">
        <f>SUM(I4:I7)</f>
        <v>0.89514113931771055</v>
      </c>
      <c r="J3" s="271"/>
      <c r="K3" s="62">
        <v>3.540957734382788E-2</v>
      </c>
      <c r="L3" s="62">
        <v>3.6478848213897352E-2</v>
      </c>
      <c r="M3" s="62">
        <v>7.1258220076561005E-2</v>
      </c>
      <c r="N3" s="63">
        <v>7.3410102725029E-2</v>
      </c>
    </row>
    <row r="4" spans="1:14" x14ac:dyDescent="0.35">
      <c r="A4" s="126" t="s">
        <v>28</v>
      </c>
      <c r="B4" s="343" t="s">
        <v>269</v>
      </c>
      <c r="C4" s="64" t="s">
        <v>610</v>
      </c>
      <c r="D4" s="65">
        <v>1092470.9939999999</v>
      </c>
      <c r="E4" s="111">
        <v>3.7698115084156796</v>
      </c>
      <c r="F4" s="111">
        <v>4.0189932174371403</v>
      </c>
      <c r="G4" s="111">
        <v>0</v>
      </c>
      <c r="H4" s="111" t="s">
        <v>642</v>
      </c>
      <c r="I4" s="68">
        <f>F4/$F$12</f>
        <v>8.7580441519898453E-2</v>
      </c>
      <c r="J4" s="67"/>
      <c r="K4" s="68">
        <v>6.6099248852413695E-2</v>
      </c>
      <c r="L4" s="68">
        <v>7.0181568404794614E-2</v>
      </c>
      <c r="M4" s="68">
        <v>6.6286727786064134E-2</v>
      </c>
      <c r="N4" s="69">
        <v>7.0381006598472601E-2</v>
      </c>
    </row>
    <row r="5" spans="1:14" x14ac:dyDescent="0.35">
      <c r="A5" s="126" t="s">
        <v>28</v>
      </c>
      <c r="B5" s="343" t="s">
        <v>49</v>
      </c>
      <c r="C5" s="64" t="s">
        <v>643</v>
      </c>
      <c r="D5" s="65">
        <v>642940.09499999997</v>
      </c>
      <c r="E5" s="111">
        <v>2.3963148868763997</v>
      </c>
      <c r="F5" s="111">
        <v>2.5510448501390997</v>
      </c>
      <c r="G5" s="111">
        <v>0</v>
      </c>
      <c r="H5" s="111" t="s">
        <v>642</v>
      </c>
      <c r="I5" s="68">
        <f>F5/$F$12</f>
        <v>5.5591443484624387E-2</v>
      </c>
      <c r="J5" s="67"/>
      <c r="K5" s="68">
        <v>6.456996286677108E-2</v>
      </c>
      <c r="L5" s="68">
        <v>7.6142071179321924E-2</v>
      </c>
      <c r="M5" s="68">
        <v>5.9368208050727844E-2</v>
      </c>
      <c r="N5" s="68">
        <v>6.9977799057960519E-2</v>
      </c>
    </row>
    <row r="6" spans="1:14" x14ac:dyDescent="0.35">
      <c r="A6" s="126" t="s">
        <v>28</v>
      </c>
      <c r="B6" s="343" t="s">
        <v>323</v>
      </c>
      <c r="C6" s="64" t="s">
        <v>644</v>
      </c>
      <c r="D6" s="65">
        <v>799864.74800000002</v>
      </c>
      <c r="E6" s="111">
        <v>2.6026159143373606</v>
      </c>
      <c r="F6" s="111">
        <v>2.7030789266861599</v>
      </c>
      <c r="G6" s="111">
        <v>0</v>
      </c>
      <c r="H6" s="111" t="s">
        <v>642</v>
      </c>
      <c r="I6" s="68">
        <f>F6/$F$12</f>
        <v>5.8904514900692241E-2</v>
      </c>
      <c r="J6" s="67"/>
      <c r="K6" s="68">
        <v>3.8600783079580037E-2</v>
      </c>
      <c r="L6" s="68">
        <v>4.4972221899145959E-2</v>
      </c>
      <c r="M6" s="68">
        <v>5.9804758429527274E-2</v>
      </c>
      <c r="N6" s="68">
        <v>6.979187428951264E-2</v>
      </c>
    </row>
    <row r="7" spans="1:14" x14ac:dyDescent="0.35">
      <c r="A7" s="126" t="s">
        <v>28</v>
      </c>
      <c r="B7" s="343" t="s">
        <v>280</v>
      </c>
      <c r="C7" s="64" t="s">
        <v>571</v>
      </c>
      <c r="D7" s="65">
        <v>28614760.115999993</v>
      </c>
      <c r="E7" s="111">
        <v>30.985243872443377</v>
      </c>
      <c r="F7" s="111">
        <v>31.804161278529353</v>
      </c>
      <c r="G7" s="111">
        <v>0</v>
      </c>
      <c r="H7" s="111" t="s">
        <v>642</v>
      </c>
      <c r="I7" s="68">
        <f>F7/$F$12</f>
        <v>0.69306473941249547</v>
      </c>
      <c r="J7" s="67"/>
      <c r="K7" s="68">
        <v>3.3220446483898991E-2</v>
      </c>
      <c r="L7" s="68">
        <v>3.3721467419888462E-2</v>
      </c>
      <c r="M7" s="68">
        <v>7.2971853613853471E-2</v>
      </c>
      <c r="N7" s="69">
        <v>7.4066814780235302E-2</v>
      </c>
    </row>
    <row r="8" spans="1:14" x14ac:dyDescent="0.35">
      <c r="B8" s="341" t="s">
        <v>164</v>
      </c>
      <c r="C8" s="58">
        <v>44095</v>
      </c>
      <c r="D8" s="59"/>
      <c r="E8" s="110">
        <f>E9</f>
        <v>3.5</v>
      </c>
      <c r="F8" s="110">
        <f>F9</f>
        <v>3.7684269769999994</v>
      </c>
      <c r="G8" s="110">
        <f>G9</f>
        <v>0.35929379999999994</v>
      </c>
      <c r="H8" s="110"/>
      <c r="I8" s="219">
        <f>I9</f>
        <v>8.2120192950118659E-2</v>
      </c>
      <c r="J8" s="61"/>
      <c r="K8" s="62">
        <v>0.21981393628571411</v>
      </c>
      <c r="L8" s="62">
        <v>0.10395106813436672</v>
      </c>
      <c r="M8" s="62">
        <v>0.14966582655906677</v>
      </c>
      <c r="N8" s="63">
        <v>6.9996264576911923E-2</v>
      </c>
    </row>
    <row r="9" spans="1:14" x14ac:dyDescent="0.35">
      <c r="A9" s="126" t="s">
        <v>497</v>
      </c>
      <c r="B9" s="343" t="s">
        <v>166</v>
      </c>
      <c r="C9" s="64" t="s">
        <v>569</v>
      </c>
      <c r="D9" s="65"/>
      <c r="E9" s="111">
        <v>3.5</v>
      </c>
      <c r="F9" s="111">
        <v>3.7684269769999994</v>
      </c>
      <c r="G9" s="111">
        <v>0.35929379999999994</v>
      </c>
      <c r="H9" s="111" t="s">
        <v>641</v>
      </c>
      <c r="I9" s="68">
        <f>F9/$F$12</f>
        <v>8.2120192950118659E-2</v>
      </c>
      <c r="J9" s="284">
        <f>50000000/10^5</f>
        <v>500</v>
      </c>
      <c r="K9" s="68">
        <v>0.21981393628571411</v>
      </c>
      <c r="L9" s="68">
        <v>0.10395106813436672</v>
      </c>
      <c r="M9" s="68">
        <v>0.14966582655906677</v>
      </c>
      <c r="N9" s="69">
        <v>6.9996264576911923E-2</v>
      </c>
    </row>
    <row r="10" spans="1:14" x14ac:dyDescent="0.35">
      <c r="B10" s="341" t="s">
        <v>25</v>
      </c>
      <c r="C10" s="58">
        <v>44095</v>
      </c>
      <c r="D10" s="59"/>
      <c r="E10" s="110">
        <f>E11</f>
        <v>0.70001497999999995</v>
      </c>
      <c r="F10" s="110">
        <f>F11</f>
        <v>1.0434584457808218</v>
      </c>
      <c r="G10" s="110">
        <f>G11</f>
        <v>0</v>
      </c>
      <c r="H10" s="110"/>
      <c r="I10" s="219">
        <f>I11</f>
        <v>2.2738667732170845E-2</v>
      </c>
      <c r="J10" s="61"/>
      <c r="K10" s="62">
        <v>0.49062302321133444</v>
      </c>
      <c r="L10" s="62">
        <v>0.24620556584858755</v>
      </c>
      <c r="M10" s="62">
        <v>0.12367324233055116</v>
      </c>
      <c r="N10" s="63">
        <v>6.7806676030158997E-2</v>
      </c>
    </row>
    <row r="11" spans="1:14" x14ac:dyDescent="0.35">
      <c r="A11" s="126" t="s">
        <v>498</v>
      </c>
      <c r="B11" s="343" t="s">
        <v>50</v>
      </c>
      <c r="C11" s="174" t="s">
        <v>326</v>
      </c>
      <c r="D11" s="65"/>
      <c r="E11" s="111">
        <v>0.70001497999999995</v>
      </c>
      <c r="F11" s="111">
        <v>1.0434584457808218</v>
      </c>
      <c r="G11" s="111">
        <v>0</v>
      </c>
      <c r="H11" s="111" t="s">
        <v>641</v>
      </c>
      <c r="I11" s="68">
        <f>F11/$F$12</f>
        <v>2.2738667732170845E-2</v>
      </c>
      <c r="J11" s="67"/>
      <c r="K11" s="68">
        <v>0.49062302321133444</v>
      </c>
      <c r="L11" s="68">
        <v>0.24620556584858755</v>
      </c>
      <c r="M11" s="68">
        <v>0.12367324233055116</v>
      </c>
      <c r="N11" s="69">
        <v>6.7806676030158997E-2</v>
      </c>
    </row>
    <row r="12" spans="1:14" x14ac:dyDescent="0.35">
      <c r="B12" s="70" t="s">
        <v>45</v>
      </c>
      <c r="C12" s="71">
        <v>263944</v>
      </c>
      <c r="D12" s="72"/>
      <c r="E12" s="112">
        <f>E10+E8+E3</f>
        <v>43.954001162072814</v>
      </c>
      <c r="F12" s="112">
        <f>F10+F8+F3</f>
        <v>45.88916369557257</v>
      </c>
      <c r="G12" s="112">
        <f>G10+G8+G3</f>
        <v>0.35929379999999994</v>
      </c>
      <c r="H12" s="112"/>
      <c r="I12" s="314">
        <f>I10+I8+I3</f>
        <v>1</v>
      </c>
      <c r="J12" s="74"/>
      <c r="K12" s="75">
        <v>4.4904795208471127E-2</v>
      </c>
      <c r="L12" s="75">
        <v>4.0250697593698481E-2</v>
      </c>
      <c r="M12" s="75">
        <v>8.1715777516365065E-2</v>
      </c>
      <c r="N12" s="75">
        <v>7.2796812653541584E-2</v>
      </c>
    </row>
    <row r="13" spans="1:14" x14ac:dyDescent="0.35">
      <c r="C13" s="398" t="s">
        <v>422</v>
      </c>
    </row>
    <row r="14" spans="1:14" x14ac:dyDescent="0.35">
      <c r="B14" s="126" t="s">
        <v>337</v>
      </c>
    </row>
    <row r="16" spans="1:14" x14ac:dyDescent="0.35">
      <c r="B16" s="330" t="s">
        <v>330</v>
      </c>
      <c r="C16" s="330" t="s">
        <v>333</v>
      </c>
      <c r="D16" s="330"/>
    </row>
    <row r="17" spans="2:3" x14ac:dyDescent="0.35">
      <c r="B17" s="126" t="s">
        <v>331</v>
      </c>
      <c r="C17" s="126" t="s">
        <v>332</v>
      </c>
    </row>
    <row r="18" spans="2:3" x14ac:dyDescent="0.35">
      <c r="B18" s="126" t="s">
        <v>334</v>
      </c>
      <c r="C18" s="126" t="s">
        <v>329</v>
      </c>
    </row>
  </sheetData>
  <conditionalFormatting sqref="K4:L4">
    <cfRule type="top10" dxfId="43" priority="29" rank="1"/>
  </conditionalFormatting>
  <conditionalFormatting sqref="K5:L5">
    <cfRule type="top10" dxfId="42" priority="8" rank="1"/>
  </conditionalFormatting>
  <conditionalFormatting sqref="K6:L6">
    <cfRule type="top10" dxfId="41" priority="4" rank="1"/>
  </conditionalFormatting>
  <conditionalFormatting sqref="K7:L7">
    <cfRule type="top10" dxfId="40" priority="1" rank="1"/>
  </conditionalFormatting>
  <conditionalFormatting sqref="K9:L9">
    <cfRule type="top10" dxfId="39" priority="37" rank="1"/>
  </conditionalFormatting>
  <conditionalFormatting sqref="K11:L11">
    <cfRule type="top10" dxfId="38" priority="35" rank="1"/>
  </conditionalFormatting>
  <conditionalFormatting sqref="M4:N4">
    <cfRule type="top10" dxfId="37" priority="28" rank="1"/>
  </conditionalFormatting>
  <conditionalFormatting sqref="M5:N5">
    <cfRule type="top10" dxfId="36" priority="2" rank="1"/>
  </conditionalFormatting>
  <conditionalFormatting sqref="M6:N6">
    <cfRule type="top10" dxfId="35" priority="3" rank="1"/>
  </conditionalFormatting>
  <conditionalFormatting sqref="M7:N7">
    <cfRule type="top10" dxfId="34" priority="7" rank="1"/>
  </conditionalFormatting>
  <conditionalFormatting sqref="M9:N9">
    <cfRule type="top10" dxfId="33" priority="36" rank="1"/>
  </conditionalFormatting>
  <conditionalFormatting sqref="M11:N11">
    <cfRule type="top10" dxfId="32" priority="34" rank="1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L26"/>
  <sheetViews>
    <sheetView showGridLines="0" workbookViewId="0">
      <selection activeCell="D11" sqref="D11"/>
    </sheetView>
  </sheetViews>
  <sheetFormatPr defaultColWidth="8.73046875" defaultRowHeight="11.65" x14ac:dyDescent="0.45"/>
  <cols>
    <col min="1" max="1" width="8.73046875" style="4"/>
    <col min="2" max="2" width="34.796875" style="4" bestFit="1" customWidth="1"/>
    <col min="3" max="3" width="14.796875" style="4" bestFit="1" customWidth="1"/>
    <col min="4" max="4" width="21.265625" style="4" bestFit="1" customWidth="1"/>
    <col min="5" max="5" width="14" style="4" bestFit="1" customWidth="1"/>
    <col min="6" max="6" width="17.53125" style="4" customWidth="1"/>
    <col min="7" max="7" width="12.19921875" style="4" customWidth="1"/>
    <col min="8" max="8" width="11.06640625" style="4" customWidth="1"/>
    <col min="9" max="10" width="8.73046875" style="4" customWidth="1"/>
    <col min="11" max="16384" width="8.73046875" style="4"/>
  </cols>
  <sheetData>
    <row r="1" spans="1:12" s="400" customFormat="1" x14ac:dyDescent="0.45">
      <c r="B1" s="399" t="s">
        <v>181</v>
      </c>
    </row>
    <row r="2" spans="1:12" ht="34.9" x14ac:dyDescent="0.45">
      <c r="B2" s="55" t="s">
        <v>34</v>
      </c>
      <c r="C2" s="56" t="s">
        <v>1</v>
      </c>
      <c r="D2" s="55" t="s">
        <v>2</v>
      </c>
      <c r="E2" s="55" t="s">
        <v>3</v>
      </c>
      <c r="F2" s="57" t="s">
        <v>36</v>
      </c>
      <c r="G2" s="57" t="s">
        <v>252</v>
      </c>
      <c r="H2" s="57" t="s">
        <v>4</v>
      </c>
      <c r="I2" s="57" t="s">
        <v>37</v>
      </c>
      <c r="J2" s="57" t="s">
        <v>38</v>
      </c>
      <c r="K2" s="57" t="s">
        <v>39</v>
      </c>
      <c r="L2" s="55" t="s">
        <v>40</v>
      </c>
    </row>
    <row r="3" spans="1:12" hidden="1" x14ac:dyDescent="0.45">
      <c r="B3" s="341" t="s">
        <v>30</v>
      </c>
      <c r="C3" s="58">
        <v>43997</v>
      </c>
      <c r="D3" s="217">
        <f>D4</f>
        <v>0</v>
      </c>
      <c r="E3" s="217">
        <f t="shared" ref="E3:L3" si="0">E4</f>
        <v>0</v>
      </c>
      <c r="F3" s="217">
        <f t="shared" si="0"/>
        <v>0</v>
      </c>
      <c r="G3" s="217"/>
      <c r="H3" s="219">
        <f t="shared" si="0"/>
        <v>0</v>
      </c>
      <c r="I3" s="62">
        <f t="shared" si="0"/>
        <v>0</v>
      </c>
      <c r="J3" s="62">
        <f t="shared" si="0"/>
        <v>0</v>
      </c>
      <c r="K3" s="62">
        <f t="shared" si="0"/>
        <v>0</v>
      </c>
      <c r="L3" s="63">
        <f t="shared" si="0"/>
        <v>0</v>
      </c>
    </row>
    <row r="4" spans="1:12" hidden="1" x14ac:dyDescent="0.45">
      <c r="B4" s="343" t="s">
        <v>51</v>
      </c>
      <c r="C4" s="64" t="e">
        <v>#N/A</v>
      </c>
      <c r="D4" s="218">
        <v>0</v>
      </c>
      <c r="E4" s="218">
        <v>0</v>
      </c>
      <c r="F4" s="218">
        <v>0</v>
      </c>
      <c r="G4" s="218"/>
      <c r="H4" s="68">
        <f>E4/$E$18</f>
        <v>0</v>
      </c>
      <c r="I4" s="68">
        <v>0</v>
      </c>
      <c r="J4" s="68">
        <v>0</v>
      </c>
      <c r="K4" s="68">
        <v>0</v>
      </c>
      <c r="L4" s="69">
        <v>0</v>
      </c>
    </row>
    <row r="5" spans="1:12" x14ac:dyDescent="0.45">
      <c r="B5" s="341" t="s">
        <v>32</v>
      </c>
      <c r="C5" s="58">
        <v>43984</v>
      </c>
      <c r="D5" s="217">
        <f>D6</f>
        <v>136.15930288800004</v>
      </c>
      <c r="E5" s="217">
        <f>E6</f>
        <v>136.15930288800004</v>
      </c>
      <c r="F5" s="217">
        <f>F6</f>
        <v>0</v>
      </c>
      <c r="G5" s="217"/>
      <c r="H5" s="219">
        <f>H6</f>
        <v>0.60859995113741316</v>
      </c>
      <c r="I5" s="62"/>
      <c r="J5" s="62"/>
      <c r="K5" s="62"/>
      <c r="L5" s="63"/>
    </row>
    <row r="6" spans="1:12" x14ac:dyDescent="0.45">
      <c r="A6" s="4" t="s">
        <v>499</v>
      </c>
      <c r="B6" s="343" t="s">
        <v>32</v>
      </c>
      <c r="C6" s="174">
        <v>43983</v>
      </c>
      <c r="D6" s="218">
        <v>136.15930288800004</v>
      </c>
      <c r="E6" s="218">
        <f>D6</f>
        <v>136.15930288800004</v>
      </c>
      <c r="F6" s="218">
        <v>0</v>
      </c>
      <c r="G6" s="218"/>
      <c r="H6" s="68">
        <f>E6/$E$18</f>
        <v>0.60859995113741316</v>
      </c>
      <c r="I6" s="68"/>
      <c r="J6" s="68"/>
      <c r="K6" s="68"/>
      <c r="L6" s="69"/>
    </row>
    <row r="7" spans="1:12" x14ac:dyDescent="0.45">
      <c r="A7" s="4" t="s">
        <v>499</v>
      </c>
      <c r="B7" s="341" t="s">
        <v>31</v>
      </c>
      <c r="C7" s="58">
        <v>43984</v>
      </c>
      <c r="D7" s="217">
        <f>SUM(D8:D13)</f>
        <v>22.224236004000002</v>
      </c>
      <c r="E7" s="217">
        <f>SUM(E8:E13)</f>
        <v>32.713326725099996</v>
      </c>
      <c r="F7" s="217">
        <f>SUM(F8:F11)</f>
        <v>0.43476989999999999</v>
      </c>
      <c r="G7" s="217"/>
      <c r="H7" s="219">
        <f>SUM(H8:H11)</f>
        <v>0.11373450137248992</v>
      </c>
      <c r="I7" s="62">
        <v>0</v>
      </c>
      <c r="J7" s="62">
        <v>0.14384676431009469</v>
      </c>
      <c r="K7" s="62">
        <f>'Portfolio Allocation'!S25</f>
        <v>0.13349357247352603</v>
      </c>
      <c r="L7" s="63">
        <f>'Portfolio Allocation'!T25</f>
        <v>3.0562511086463927E-2</v>
      </c>
    </row>
    <row r="8" spans="1:12" x14ac:dyDescent="0.45">
      <c r="B8" s="343" t="s">
        <v>199</v>
      </c>
      <c r="C8" s="64" t="s">
        <v>645</v>
      </c>
      <c r="D8" s="218">
        <v>13.5</v>
      </c>
      <c r="E8" s="218">
        <v>15.93</v>
      </c>
      <c r="F8" s="218">
        <v>4.0587999999999999E-2</v>
      </c>
      <c r="G8" s="64" t="s">
        <v>298</v>
      </c>
      <c r="H8" s="68">
        <f t="shared" ref="H8:H13" si="1">E8/$E$18</f>
        <v>7.1203340616349683E-2</v>
      </c>
      <c r="I8" s="68">
        <v>0.18300651851851857</v>
      </c>
      <c r="J8" s="68">
        <v>-9.6401407213404511E-2</v>
      </c>
      <c r="K8" s="68">
        <v>0.22696287035942075</v>
      </c>
      <c r="L8" s="69">
        <v>-0.12429736312738209</v>
      </c>
    </row>
    <row r="9" spans="1:12" x14ac:dyDescent="0.45">
      <c r="B9" s="343" t="s">
        <v>247</v>
      </c>
      <c r="C9" s="48" t="s">
        <v>413</v>
      </c>
      <c r="D9" s="66">
        <v>2.0249999999999999</v>
      </c>
      <c r="E9" s="66">
        <v>1.8842208740999999</v>
      </c>
      <c r="F9" s="66">
        <v>1.4286699999999999E-2</v>
      </c>
      <c r="G9" s="64" t="s">
        <v>298</v>
      </c>
      <c r="H9" s="68">
        <f t="shared" si="1"/>
        <v>8.4220226424970759E-3</v>
      </c>
      <c r="I9" s="68">
        <v>0</v>
      </c>
      <c r="J9" s="68">
        <v>0</v>
      </c>
      <c r="K9" s="68">
        <v>0</v>
      </c>
      <c r="L9" s="68">
        <v>0</v>
      </c>
    </row>
    <row r="10" spans="1:12" ht="23.25" x14ac:dyDescent="0.45">
      <c r="B10" s="344" t="s">
        <v>114</v>
      </c>
      <c r="C10" s="64" t="s">
        <v>647</v>
      </c>
      <c r="D10" s="218">
        <v>1.984236004</v>
      </c>
      <c r="E10" s="218">
        <v>2.9160825510000001</v>
      </c>
      <c r="F10" s="218">
        <v>0.37989519999999999</v>
      </c>
      <c r="G10" s="64" t="s">
        <v>298</v>
      </c>
      <c r="H10" s="68">
        <f t="shared" si="1"/>
        <v>1.3034200825125354E-2</v>
      </c>
      <c r="I10" s="68">
        <v>0.65590366737156147</v>
      </c>
      <c r="J10" s="68">
        <v>0.99829500684935968</v>
      </c>
      <c r="K10" s="68">
        <v>0.10584796071052552</v>
      </c>
      <c r="L10" s="69">
        <v>0.1430230557918549</v>
      </c>
    </row>
    <row r="11" spans="1:12" x14ac:dyDescent="0.45">
      <c r="B11" s="343" t="s">
        <v>303</v>
      </c>
      <c r="C11" s="64" t="s">
        <v>648</v>
      </c>
      <c r="D11" s="218">
        <v>4.7149999999999999</v>
      </c>
      <c r="E11" s="218">
        <v>4.7149999999999999</v>
      </c>
      <c r="F11" s="218">
        <v>0</v>
      </c>
      <c r="G11" s="64" t="s">
        <v>649</v>
      </c>
      <c r="H11" s="68">
        <f t="shared" si="1"/>
        <v>2.1074937288517812E-2</v>
      </c>
      <c r="I11" s="68">
        <v>0</v>
      </c>
      <c r="J11" s="68">
        <v>0</v>
      </c>
      <c r="K11" s="68">
        <v>0</v>
      </c>
      <c r="L11" s="68">
        <v>0</v>
      </c>
    </row>
    <row r="12" spans="1:12" x14ac:dyDescent="0.45">
      <c r="B12" s="343" t="s">
        <v>364</v>
      </c>
      <c r="C12" s="64" t="s">
        <v>644</v>
      </c>
      <c r="D12" s="218">
        <v>0</v>
      </c>
      <c r="E12" s="218">
        <v>5.0032848000000003</v>
      </c>
      <c r="F12" s="218">
        <v>0</v>
      </c>
      <c r="G12" s="64" t="s">
        <v>649</v>
      </c>
      <c r="H12" s="68">
        <f t="shared" si="1"/>
        <v>2.2363502311048652E-2</v>
      </c>
      <c r="I12" s="68">
        <v>0</v>
      </c>
      <c r="J12" s="68">
        <v>4.8322712299062598E-2</v>
      </c>
      <c r="K12" s="68"/>
      <c r="L12" s="68"/>
    </row>
    <row r="13" spans="1:12" x14ac:dyDescent="0.45">
      <c r="B13" s="343" t="s">
        <v>360</v>
      </c>
      <c r="C13" s="64" t="s">
        <v>650</v>
      </c>
      <c r="D13" s="218">
        <v>0</v>
      </c>
      <c r="E13" s="218">
        <v>2.2647385</v>
      </c>
      <c r="F13" s="218">
        <v>0</v>
      </c>
      <c r="G13" s="64" t="s">
        <v>649</v>
      </c>
      <c r="H13" s="68">
        <f t="shared" si="1"/>
        <v>1.0122846630411856E-2</v>
      </c>
      <c r="I13" s="68">
        <v>0.29413628571428574</v>
      </c>
      <c r="J13" s="68">
        <v>3.0877524727456862E-2</v>
      </c>
      <c r="K13" s="68"/>
      <c r="L13" s="69"/>
    </row>
    <row r="14" spans="1:12" x14ac:dyDescent="0.45">
      <c r="B14" s="341" t="s">
        <v>324</v>
      </c>
      <c r="C14" s="58"/>
      <c r="D14" s="217">
        <f>D15</f>
        <v>4.2561917457059995</v>
      </c>
      <c r="E14" s="217">
        <f>E15</f>
        <v>6.5449619200000004</v>
      </c>
      <c r="F14" s="217">
        <f>F15</f>
        <v>0</v>
      </c>
      <c r="G14" s="217"/>
      <c r="H14" s="219">
        <f>H15</f>
        <v>2.9254435210972884E-2</v>
      </c>
      <c r="I14" s="62">
        <v>0.74830013820863428</v>
      </c>
      <c r="J14" s="62">
        <v>0.82390612134500274</v>
      </c>
      <c r="K14" s="62"/>
      <c r="L14" s="63"/>
    </row>
    <row r="15" spans="1:12" x14ac:dyDescent="0.45">
      <c r="A15" s="4" t="s">
        <v>498</v>
      </c>
      <c r="B15" s="343" t="s">
        <v>325</v>
      </c>
      <c r="C15" s="64" t="s">
        <v>611</v>
      </c>
      <c r="D15" s="273">
        <v>4.2561917457059995</v>
      </c>
      <c r="E15" s="273">
        <v>6.5449619200000004</v>
      </c>
      <c r="F15" s="273">
        <v>0</v>
      </c>
      <c r="G15" s="218" t="s">
        <v>651</v>
      </c>
      <c r="H15" s="274">
        <f>E15/$E$18</f>
        <v>2.9254435210972884E-2</v>
      </c>
      <c r="I15" s="68">
        <v>0.74830013820863428</v>
      </c>
      <c r="J15" s="68">
        <v>0.82390612134500274</v>
      </c>
      <c r="K15" s="274"/>
      <c r="L15" s="274"/>
    </row>
    <row r="16" spans="1:12" x14ac:dyDescent="0.45">
      <c r="B16" s="341" t="s">
        <v>30</v>
      </c>
      <c r="C16" s="58"/>
      <c r="D16" s="217">
        <f>D17</f>
        <v>53.585433569445598</v>
      </c>
      <c r="E16" s="217">
        <f>E17</f>
        <v>48.307866599999997</v>
      </c>
      <c r="F16" s="217">
        <f>F17</f>
        <v>0</v>
      </c>
      <c r="G16" s="217"/>
      <c r="H16" s="219">
        <f>H17</f>
        <v>0.21592476333766367</v>
      </c>
      <c r="I16" s="62">
        <v>0</v>
      </c>
      <c r="J16" s="62">
        <v>0</v>
      </c>
      <c r="K16" s="62"/>
      <c r="L16" s="63"/>
    </row>
    <row r="17" spans="1:12" x14ac:dyDescent="0.45">
      <c r="A17" s="4" t="s">
        <v>498</v>
      </c>
      <c r="B17" s="343" t="s">
        <v>375</v>
      </c>
      <c r="C17" s="64" t="s">
        <v>573</v>
      </c>
      <c r="D17" s="273">
        <v>53.585433569445598</v>
      </c>
      <c r="E17" s="273">
        <v>48.307866599999997</v>
      </c>
      <c r="F17" s="273">
        <v>0</v>
      </c>
      <c r="G17" s="218" t="s">
        <v>652</v>
      </c>
      <c r="H17" s="274">
        <f>E17/$E$18</f>
        <v>0.21592476333766367</v>
      </c>
      <c r="I17" s="68">
        <v>-9.8488835825243037E-2</v>
      </c>
      <c r="J17" s="68">
        <v>-9.1201257275774106E-2</v>
      </c>
      <c r="K17" s="274"/>
      <c r="L17" s="274"/>
    </row>
    <row r="18" spans="1:12" x14ac:dyDescent="0.45">
      <c r="B18" s="253" t="s">
        <v>45</v>
      </c>
      <c r="C18" s="254">
        <v>132206</v>
      </c>
      <c r="D18" s="255">
        <f>D3+D5+D7+D14+D16</f>
        <v>216.22516420715164</v>
      </c>
      <c r="E18" s="255">
        <f>E3+E5+E7+E14+E16</f>
        <v>223.72545813310001</v>
      </c>
      <c r="F18" s="255">
        <f>F3+F5+F7+F14+F16</f>
        <v>0.43476989999999999</v>
      </c>
      <c r="G18" s="255"/>
      <c r="H18" s="256">
        <f>H3+H5+H7+H14+H16</f>
        <v>0.9675136510585397</v>
      </c>
      <c r="I18" s="256">
        <v>5.5646166829749433E-2</v>
      </c>
      <c r="J18" s="256">
        <v>3.0887959977452306E-2</v>
      </c>
      <c r="K18" s="256">
        <v>9.1461166739463806E-2</v>
      </c>
      <c r="L18" s="256">
        <v>5.0356653332710263E-2</v>
      </c>
    </row>
    <row r="19" spans="1:12" x14ac:dyDescent="0.45">
      <c r="B19" s="169" t="s">
        <v>480</v>
      </c>
    </row>
    <row r="20" spans="1:12" x14ac:dyDescent="0.45">
      <c r="B20" s="169" t="s">
        <v>479</v>
      </c>
    </row>
    <row r="21" spans="1:12" x14ac:dyDescent="0.45">
      <c r="B21" s="169" t="s">
        <v>481</v>
      </c>
    </row>
    <row r="22" spans="1:12" x14ac:dyDescent="0.45">
      <c r="B22" s="169" t="s">
        <v>415</v>
      </c>
    </row>
    <row r="23" spans="1:12" x14ac:dyDescent="0.45">
      <c r="B23" s="169" t="s">
        <v>482</v>
      </c>
    </row>
    <row r="24" spans="1:12" x14ac:dyDescent="0.45">
      <c r="B24" s="169" t="s">
        <v>414</v>
      </c>
    </row>
    <row r="25" spans="1:12" x14ac:dyDescent="0.45">
      <c r="B25" s="401"/>
    </row>
    <row r="26" spans="1:12" x14ac:dyDescent="0.45">
      <c r="B26" s="479"/>
      <c r="C26" s="479"/>
      <c r="D26" s="480"/>
      <c r="E26" s="481"/>
      <c r="F26" s="479"/>
      <c r="G26" s="482"/>
      <c r="H26" s="481"/>
    </row>
  </sheetData>
  <conditionalFormatting sqref="I4:J4">
    <cfRule type="top10" dxfId="31" priority="39" rank="1"/>
  </conditionalFormatting>
  <conditionalFormatting sqref="I6:J6">
    <cfRule type="top10" dxfId="30" priority="37" rank="1"/>
  </conditionalFormatting>
  <conditionalFormatting sqref="I8:J8">
    <cfRule type="top10" dxfId="29" priority="29" rank="1"/>
  </conditionalFormatting>
  <conditionalFormatting sqref="I9:J9">
    <cfRule type="top10" dxfId="28" priority="7" rank="1"/>
  </conditionalFormatting>
  <conditionalFormatting sqref="I10:J10">
    <cfRule type="top10" dxfId="27" priority="11" rank="1"/>
  </conditionalFormatting>
  <conditionalFormatting sqref="I11:J11">
    <cfRule type="top10" dxfId="26" priority="5" rank="1"/>
  </conditionalFormatting>
  <conditionalFormatting sqref="I12:J12">
    <cfRule type="top10" dxfId="25" priority="2" rank="1"/>
  </conditionalFormatting>
  <conditionalFormatting sqref="I13:J13">
    <cfRule type="top10" dxfId="24" priority="1" rank="1"/>
  </conditionalFormatting>
  <conditionalFormatting sqref="I15:J15">
    <cfRule type="top10" dxfId="23" priority="9" rank="1"/>
  </conditionalFormatting>
  <conditionalFormatting sqref="I17:J17">
    <cfRule type="top10" dxfId="22" priority="8" rank="1"/>
  </conditionalFormatting>
  <conditionalFormatting sqref="K4:L4">
    <cfRule type="top10" dxfId="21" priority="38" rank="1"/>
  </conditionalFormatting>
  <conditionalFormatting sqref="K6:L6">
    <cfRule type="top10" dxfId="20" priority="36" rank="1"/>
  </conditionalFormatting>
  <conditionalFormatting sqref="K8:L8">
    <cfRule type="top10" dxfId="19" priority="26" rank="1"/>
  </conditionalFormatting>
  <conditionalFormatting sqref="K9:L9">
    <cfRule type="top10" dxfId="18" priority="6" rank="1"/>
  </conditionalFormatting>
  <conditionalFormatting sqref="K10:L10 K13:L13">
    <cfRule type="top10" dxfId="17" priority="10" rank="1"/>
  </conditionalFormatting>
  <conditionalFormatting sqref="K11:L11">
    <cfRule type="top10" dxfId="16" priority="4" rank="1"/>
  </conditionalFormatting>
  <conditionalFormatting sqref="K12:L12">
    <cfRule type="top10" dxfId="15" priority="3" rank="1"/>
  </conditionalFormatting>
  <conditionalFormatting sqref="K15:L15">
    <cfRule type="top10" dxfId="14" priority="32" rank="1"/>
  </conditionalFormatting>
  <conditionalFormatting sqref="K17:L17">
    <cfRule type="top10" dxfId="13" priority="21" rank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FF0000"/>
  </sheetPr>
  <dimension ref="B2:H95"/>
  <sheetViews>
    <sheetView showGridLines="0" topLeftCell="A13" workbookViewId="0">
      <selection activeCell="D92" sqref="D92"/>
    </sheetView>
  </sheetViews>
  <sheetFormatPr defaultColWidth="8.73046875" defaultRowHeight="11.65" x14ac:dyDescent="0.35"/>
  <cols>
    <col min="1" max="1" width="8.73046875" style="126"/>
    <col min="2" max="2" width="45.265625" style="126" bestFit="1" customWidth="1"/>
    <col min="3" max="3" width="14.796875" style="126" bestFit="1" customWidth="1"/>
    <col min="4" max="4" width="11.46484375" style="126" customWidth="1"/>
    <col min="5" max="5" width="8.73046875" style="126"/>
    <col min="6" max="6" width="10.53125" style="126" customWidth="1"/>
    <col min="7" max="7" width="15.265625" style="126" bestFit="1" customWidth="1"/>
    <col min="8" max="16384" width="8.73046875" style="126"/>
  </cols>
  <sheetData>
    <row r="2" spans="2:8" ht="23.25" x14ac:dyDescent="0.35">
      <c r="B2" s="84" t="s">
        <v>34</v>
      </c>
      <c r="C2" s="85" t="s">
        <v>52</v>
      </c>
      <c r="D2" s="86" t="s">
        <v>2</v>
      </c>
      <c r="E2" s="86" t="s">
        <v>3</v>
      </c>
      <c r="F2" s="243" t="s">
        <v>4</v>
      </c>
      <c r="G2" s="251" t="s">
        <v>170</v>
      </c>
    </row>
    <row r="3" spans="2:8" x14ac:dyDescent="0.35">
      <c r="B3" s="402" t="s">
        <v>32</v>
      </c>
      <c r="C3" s="87" t="s">
        <v>118</v>
      </c>
      <c r="D3" s="88">
        <v>136.15930288800004</v>
      </c>
      <c r="E3" s="88">
        <v>136.15930288800004</v>
      </c>
      <c r="F3" s="170"/>
      <c r="G3" s="171"/>
      <c r="H3" s="406"/>
    </row>
    <row r="4" spans="2:8" x14ac:dyDescent="0.35">
      <c r="B4" s="362" t="s">
        <v>126</v>
      </c>
      <c r="C4" s="91" t="s">
        <v>103</v>
      </c>
      <c r="D4" s="90">
        <v>4.7607824000000001</v>
      </c>
      <c r="E4" s="90">
        <v>4.7607824000000001</v>
      </c>
      <c r="F4" s="248">
        <f t="shared" ref="F4:F35" si="0">E4/$E$91</f>
        <v>3.4964797109133687E-2</v>
      </c>
      <c r="G4" s="245"/>
      <c r="H4" s="406">
        <f>D3-D91</f>
        <v>0</v>
      </c>
    </row>
    <row r="5" spans="2:8" x14ac:dyDescent="0.35">
      <c r="B5" s="362" t="s">
        <v>149</v>
      </c>
      <c r="C5" s="91" t="s">
        <v>104</v>
      </c>
      <c r="D5" s="90">
        <v>2.25</v>
      </c>
      <c r="E5" s="90">
        <v>2.25</v>
      </c>
      <c r="F5" s="248">
        <f t="shared" si="0"/>
        <v>1.6524761454241386E-2</v>
      </c>
      <c r="G5" s="245"/>
    </row>
    <row r="6" spans="2:8" x14ac:dyDescent="0.35">
      <c r="B6" s="362" t="s">
        <v>153</v>
      </c>
      <c r="C6" s="89" t="s">
        <v>154</v>
      </c>
      <c r="D6" s="90">
        <v>8.1001151999999994</v>
      </c>
      <c r="E6" s="90">
        <v>8.1001151999999994</v>
      </c>
      <c r="F6" s="248">
        <f t="shared" si="0"/>
        <v>5.9489987303055443E-2</v>
      </c>
      <c r="G6" s="245"/>
    </row>
    <row r="7" spans="2:8" x14ac:dyDescent="0.35">
      <c r="B7" s="403" t="s">
        <v>282</v>
      </c>
      <c r="C7" s="285">
        <v>45631</v>
      </c>
      <c r="D7" s="286">
        <v>15.99974628</v>
      </c>
      <c r="E7" s="286">
        <v>15.99974628</v>
      </c>
      <c r="F7" s="287">
        <f t="shared" si="0"/>
        <v>0.11750755138017156</v>
      </c>
      <c r="G7" s="245"/>
    </row>
    <row r="8" spans="2:8" x14ac:dyDescent="0.35">
      <c r="B8" s="403" t="s">
        <v>256</v>
      </c>
      <c r="C8" s="285">
        <v>45681</v>
      </c>
      <c r="D8" s="286">
        <v>7.9999960000000003</v>
      </c>
      <c r="E8" s="286">
        <v>7.9999960000000003</v>
      </c>
      <c r="F8" s="287">
        <f t="shared" si="0"/>
        <v>5.8754678015504568E-2</v>
      </c>
      <c r="G8" s="245"/>
    </row>
    <row r="9" spans="2:8" x14ac:dyDescent="0.35">
      <c r="B9" s="403" t="s">
        <v>294</v>
      </c>
      <c r="C9" s="285">
        <v>45741</v>
      </c>
      <c r="D9" s="286">
        <v>2.9958399999999998</v>
      </c>
      <c r="E9" s="286">
        <v>2.9958399999999998</v>
      </c>
      <c r="F9" s="287">
        <f t="shared" si="0"/>
        <v>2.200246282447756E-2</v>
      </c>
      <c r="G9" s="245"/>
    </row>
    <row r="10" spans="2:8" x14ac:dyDescent="0.35">
      <c r="B10" s="362" t="s">
        <v>53</v>
      </c>
      <c r="C10" s="89" t="s">
        <v>147</v>
      </c>
      <c r="D10" s="90">
        <v>5.7557</v>
      </c>
      <c r="E10" s="90">
        <v>5.7557</v>
      </c>
      <c r="F10" s="248">
        <f t="shared" si="0"/>
        <v>4.2271808667634289E-2</v>
      </c>
      <c r="G10" s="245"/>
    </row>
    <row r="11" spans="2:8" x14ac:dyDescent="0.35">
      <c r="B11" s="362" t="s">
        <v>128</v>
      </c>
      <c r="C11" s="89" t="s">
        <v>54</v>
      </c>
      <c r="D11" s="90">
        <v>0.49999999999999994</v>
      </c>
      <c r="E11" s="90">
        <v>0.49999999999999994</v>
      </c>
      <c r="F11" s="248">
        <f t="shared" si="0"/>
        <v>3.672169212053641E-3</v>
      </c>
      <c r="G11" s="245"/>
    </row>
    <row r="12" spans="2:8" x14ac:dyDescent="0.35">
      <c r="B12" s="362" t="s">
        <v>138</v>
      </c>
      <c r="C12" s="89" t="s">
        <v>139</v>
      </c>
      <c r="D12" s="90">
        <v>4.0127999999999995</v>
      </c>
      <c r="E12" s="90">
        <v>4.0127999999999995</v>
      </c>
      <c r="F12" s="248">
        <f t="shared" si="0"/>
        <v>2.9471361228257699E-2</v>
      </c>
      <c r="G12" s="245"/>
    </row>
    <row r="13" spans="2:8" x14ac:dyDescent="0.35">
      <c r="B13" s="403" t="s">
        <v>195</v>
      </c>
      <c r="C13" s="285">
        <v>45420</v>
      </c>
      <c r="D13" s="286">
        <v>4.7517442000000001</v>
      </c>
      <c r="E13" s="286">
        <v>4.7517442000000001</v>
      </c>
      <c r="F13" s="287">
        <f t="shared" si="0"/>
        <v>3.4898417509588921E-2</v>
      </c>
      <c r="G13" s="246"/>
    </row>
    <row r="14" spans="2:8" x14ac:dyDescent="0.35">
      <c r="B14" s="404" t="s">
        <v>173</v>
      </c>
      <c r="C14" s="288">
        <v>45352</v>
      </c>
      <c r="D14" s="286">
        <v>4.5</v>
      </c>
      <c r="E14" s="286">
        <v>4.5</v>
      </c>
      <c r="F14" s="287">
        <f t="shared" si="0"/>
        <v>3.3049522908482773E-2</v>
      </c>
      <c r="G14" s="245"/>
    </row>
    <row r="15" spans="2:8" x14ac:dyDescent="0.35">
      <c r="B15" s="404" t="s">
        <v>293</v>
      </c>
      <c r="C15" s="285">
        <v>45650</v>
      </c>
      <c r="D15" s="286">
        <v>4</v>
      </c>
      <c r="E15" s="286">
        <v>4</v>
      </c>
      <c r="F15" s="287">
        <f t="shared" si="0"/>
        <v>2.9377353696429132E-2</v>
      </c>
      <c r="G15" s="245"/>
    </row>
    <row r="16" spans="2:8" x14ac:dyDescent="0.35">
      <c r="B16" s="403" t="s">
        <v>196</v>
      </c>
      <c r="C16" s="285">
        <v>45544</v>
      </c>
      <c r="D16" s="286">
        <v>5.0000024000000014</v>
      </c>
      <c r="E16" s="286">
        <v>5.0000024000000014</v>
      </c>
      <c r="F16" s="287">
        <f t="shared" si="0"/>
        <v>3.672170974694864E-2</v>
      </c>
      <c r="G16" s="246"/>
    </row>
    <row r="17" spans="2:7" x14ac:dyDescent="0.35">
      <c r="B17" s="403" t="s">
        <v>132</v>
      </c>
      <c r="C17" s="285">
        <v>44554</v>
      </c>
      <c r="D17" s="286">
        <v>1.999997384</v>
      </c>
      <c r="E17" s="286">
        <v>1.999997384</v>
      </c>
      <c r="F17" s="287">
        <f t="shared" si="0"/>
        <v>1.4688657635425248E-2</v>
      </c>
      <c r="G17" s="245"/>
    </row>
    <row r="18" spans="2:7" x14ac:dyDescent="0.35">
      <c r="B18" s="403" t="s">
        <v>283</v>
      </c>
      <c r="C18" s="285">
        <v>45700</v>
      </c>
      <c r="D18" s="286">
        <v>3.8759999999999999</v>
      </c>
      <c r="E18" s="286">
        <v>3.8759999999999999</v>
      </c>
      <c r="F18" s="287">
        <f t="shared" si="0"/>
        <v>2.8466655731839829E-2</v>
      </c>
      <c r="G18" s="245"/>
    </row>
    <row r="19" spans="2:7" x14ac:dyDescent="0.35">
      <c r="B19" s="362" t="s">
        <v>284</v>
      </c>
      <c r="C19" s="172">
        <v>45700</v>
      </c>
      <c r="D19" s="90">
        <v>3.7499885000000002</v>
      </c>
      <c r="E19" s="90">
        <v>3.7499885000000002</v>
      </c>
      <c r="F19" s="248">
        <f t="shared" si="0"/>
        <v>2.7541184630510435E-2</v>
      </c>
      <c r="G19" s="245"/>
    </row>
    <row r="20" spans="2:7" x14ac:dyDescent="0.35">
      <c r="B20" s="403" t="s">
        <v>197</v>
      </c>
      <c r="C20" s="285">
        <v>45544</v>
      </c>
      <c r="D20" s="286">
        <v>4.032</v>
      </c>
      <c r="E20" s="286">
        <v>4.032</v>
      </c>
      <c r="F20" s="287">
        <f t="shared" si="0"/>
        <v>2.9612372526000564E-2</v>
      </c>
      <c r="G20" s="246"/>
    </row>
    <row r="21" spans="2:7" x14ac:dyDescent="0.35">
      <c r="B21" s="403" t="s">
        <v>198</v>
      </c>
      <c r="C21" s="285">
        <v>45462</v>
      </c>
      <c r="D21" s="286">
        <v>2.0059999999999998</v>
      </c>
      <c r="E21" s="286">
        <v>2.0059999999999998</v>
      </c>
      <c r="F21" s="287">
        <f t="shared" si="0"/>
        <v>1.4732742878759208E-2</v>
      </c>
      <c r="G21" s="246"/>
    </row>
    <row r="22" spans="2:7" x14ac:dyDescent="0.35">
      <c r="B22" s="307" t="s">
        <v>137</v>
      </c>
      <c r="C22" s="89" t="s">
        <v>105</v>
      </c>
      <c r="D22" s="90">
        <v>1.6</v>
      </c>
      <c r="E22" s="90">
        <v>1.6</v>
      </c>
      <c r="F22" s="248">
        <f t="shared" si="0"/>
        <v>1.1750941478571654E-2</v>
      </c>
      <c r="G22" s="245"/>
    </row>
    <row r="23" spans="2:7" x14ac:dyDescent="0.35">
      <c r="B23" s="362" t="s">
        <v>142</v>
      </c>
      <c r="C23" s="89">
        <v>44236</v>
      </c>
      <c r="D23" s="90">
        <v>0.4773404</v>
      </c>
      <c r="E23" s="90">
        <v>0.4773404</v>
      </c>
      <c r="F23" s="248">
        <f t="shared" si="0"/>
        <v>3.5057494410987398E-3</v>
      </c>
      <c r="G23" s="245"/>
    </row>
    <row r="24" spans="2:7" x14ac:dyDescent="0.35">
      <c r="B24" s="307" t="s">
        <v>174</v>
      </c>
      <c r="C24" s="89" t="s">
        <v>171</v>
      </c>
      <c r="D24" s="90">
        <v>0</v>
      </c>
      <c r="E24" s="90">
        <v>0</v>
      </c>
      <c r="F24" s="248">
        <f t="shared" si="0"/>
        <v>0</v>
      </c>
      <c r="G24" s="245"/>
    </row>
    <row r="25" spans="2:7" x14ac:dyDescent="0.35">
      <c r="B25" s="362" t="s">
        <v>163</v>
      </c>
      <c r="C25" s="89">
        <v>45260</v>
      </c>
      <c r="D25" s="90">
        <v>1.5029264</v>
      </c>
      <c r="E25" s="90">
        <v>1.5029264</v>
      </c>
      <c r="F25" s="248">
        <f t="shared" si="0"/>
        <v>1.1038000108125232E-2</v>
      </c>
      <c r="G25" s="245"/>
    </row>
    <row r="26" spans="2:7" x14ac:dyDescent="0.35">
      <c r="B26" s="403" t="s">
        <v>162</v>
      </c>
      <c r="C26" s="285" t="s">
        <v>172</v>
      </c>
      <c r="D26" s="286">
        <v>1.5000018000000002</v>
      </c>
      <c r="E26" s="286">
        <v>1.5000018000000002</v>
      </c>
      <c r="F26" s="287">
        <f t="shared" si="0"/>
        <v>1.1016520855970088E-2</v>
      </c>
      <c r="G26" s="245"/>
    </row>
    <row r="27" spans="2:7" x14ac:dyDescent="0.35">
      <c r="B27" s="362" t="s">
        <v>145</v>
      </c>
      <c r="C27" s="89" t="s">
        <v>106</v>
      </c>
      <c r="D27" s="90">
        <v>1.3</v>
      </c>
      <c r="E27" s="90">
        <v>1.3</v>
      </c>
      <c r="F27" s="248">
        <f t="shared" si="0"/>
        <v>9.5476399513394674E-3</v>
      </c>
      <c r="G27" s="245"/>
    </row>
    <row r="28" spans="2:7" x14ac:dyDescent="0.35">
      <c r="B28" s="403" t="s">
        <v>200</v>
      </c>
      <c r="C28" s="285">
        <v>45485</v>
      </c>
      <c r="D28" s="286">
        <v>2.0000400000000003</v>
      </c>
      <c r="E28" s="286">
        <v>2.0000400000000003</v>
      </c>
      <c r="F28" s="287">
        <f t="shared" si="0"/>
        <v>1.4688970621751531E-2</v>
      </c>
      <c r="G28" s="246"/>
    </row>
    <row r="29" spans="2:7" x14ac:dyDescent="0.35">
      <c r="B29" s="403" t="s">
        <v>201</v>
      </c>
      <c r="C29" s="285">
        <v>45544</v>
      </c>
      <c r="D29" s="286">
        <v>1.0106085</v>
      </c>
      <c r="E29" s="286">
        <v>1.0106085</v>
      </c>
      <c r="F29" s="287">
        <f t="shared" si="0"/>
        <v>7.4222508382794251E-3</v>
      </c>
      <c r="G29" s="246"/>
    </row>
    <row r="30" spans="2:7" x14ac:dyDescent="0.35">
      <c r="B30" s="403" t="s">
        <v>202</v>
      </c>
      <c r="C30" s="285">
        <v>45491</v>
      </c>
      <c r="D30" s="286">
        <v>1.0001255</v>
      </c>
      <c r="E30" s="286">
        <v>1.0001255</v>
      </c>
      <c r="F30" s="287">
        <f t="shared" si="0"/>
        <v>7.3452601385795083E-3</v>
      </c>
      <c r="G30" s="246"/>
    </row>
    <row r="31" spans="2:7" x14ac:dyDescent="0.35">
      <c r="B31" s="403" t="s">
        <v>204</v>
      </c>
      <c r="C31" s="285">
        <v>45491</v>
      </c>
      <c r="D31" s="286">
        <v>0.99960000000000004</v>
      </c>
      <c r="E31" s="286">
        <v>0.99960000000000004</v>
      </c>
      <c r="F31" s="287">
        <f t="shared" si="0"/>
        <v>7.3414006887376404E-3</v>
      </c>
      <c r="G31" s="246"/>
    </row>
    <row r="32" spans="2:7" x14ac:dyDescent="0.35">
      <c r="B32" s="362" t="s">
        <v>152</v>
      </c>
      <c r="C32" s="89">
        <v>45085</v>
      </c>
      <c r="D32" s="90">
        <v>0.79080300000000003</v>
      </c>
      <c r="E32" s="90">
        <v>0.79080300000000003</v>
      </c>
      <c r="F32" s="248">
        <f t="shared" si="0"/>
        <v>5.8079248587993119E-3</v>
      </c>
      <c r="G32" s="245"/>
    </row>
    <row r="33" spans="2:7" x14ac:dyDescent="0.35">
      <c r="B33" s="362" t="s">
        <v>146</v>
      </c>
      <c r="C33" s="89">
        <v>44690</v>
      </c>
      <c r="D33" s="90">
        <v>0.25</v>
      </c>
      <c r="E33" s="90">
        <v>0.25</v>
      </c>
      <c r="F33" s="248">
        <f t="shared" si="0"/>
        <v>1.8360846060268207E-3</v>
      </c>
      <c r="G33" s="245"/>
    </row>
    <row r="34" spans="2:7" x14ac:dyDescent="0.35">
      <c r="B34" s="362" t="s">
        <v>130</v>
      </c>
      <c r="C34" s="89" t="s">
        <v>57</v>
      </c>
      <c r="D34" s="90">
        <v>2.5608347680000003</v>
      </c>
      <c r="E34" s="90">
        <v>2.5608347680000003</v>
      </c>
      <c r="F34" s="248">
        <f t="shared" si="0"/>
        <v>1.8807637184412262E-2</v>
      </c>
      <c r="G34" s="245"/>
    </row>
    <row r="35" spans="2:7" x14ac:dyDescent="0.35">
      <c r="B35" s="362" t="s">
        <v>131</v>
      </c>
      <c r="C35" s="89" t="s">
        <v>107</v>
      </c>
      <c r="D35" s="90">
        <v>0.79500000000000026</v>
      </c>
      <c r="E35" s="90">
        <v>0.79500000000000026</v>
      </c>
      <c r="F35" s="248">
        <f t="shared" si="0"/>
        <v>5.8387490471652915E-3</v>
      </c>
      <c r="G35" s="245"/>
    </row>
    <row r="36" spans="2:7" x14ac:dyDescent="0.35">
      <c r="B36" s="362" t="s">
        <v>143</v>
      </c>
      <c r="C36" s="89">
        <v>45160</v>
      </c>
      <c r="D36" s="90">
        <v>0.50202999999999998</v>
      </c>
      <c r="E36" s="90">
        <v>0.50202999999999998</v>
      </c>
      <c r="F36" s="248">
        <f t="shared" ref="F36:F66" si="1">E36/$E$91</f>
        <v>3.687078219054579E-3</v>
      </c>
      <c r="G36" s="245"/>
    </row>
    <row r="37" spans="2:7" x14ac:dyDescent="0.35">
      <c r="B37" s="307" t="s">
        <v>119</v>
      </c>
      <c r="C37" s="89">
        <v>43891</v>
      </c>
      <c r="D37" s="90">
        <v>0.5</v>
      </c>
      <c r="E37" s="90">
        <v>0.5</v>
      </c>
      <c r="F37" s="248">
        <f t="shared" si="1"/>
        <v>3.6721692120536414E-3</v>
      </c>
      <c r="G37" s="245"/>
    </row>
    <row r="38" spans="2:7" x14ac:dyDescent="0.35">
      <c r="B38" s="362" t="s">
        <v>175</v>
      </c>
      <c r="C38" s="91">
        <v>45337</v>
      </c>
      <c r="D38" s="90">
        <v>0.8</v>
      </c>
      <c r="E38" s="90">
        <v>0.8</v>
      </c>
      <c r="F38" s="248">
        <f t="shared" si="1"/>
        <v>5.8754707392858268E-3</v>
      </c>
      <c r="G38" s="245"/>
    </row>
    <row r="39" spans="2:7" x14ac:dyDescent="0.35">
      <c r="B39" s="362" t="s">
        <v>140</v>
      </c>
      <c r="C39" s="91">
        <v>45006</v>
      </c>
      <c r="D39" s="90">
        <v>0.49990709999999999</v>
      </c>
      <c r="E39" s="90">
        <v>0.49990709999999999</v>
      </c>
      <c r="F39" s="248">
        <f t="shared" si="1"/>
        <v>3.6714869230140418E-3</v>
      </c>
      <c r="G39" s="245"/>
    </row>
    <row r="40" spans="2:7" x14ac:dyDescent="0.35">
      <c r="B40" s="362" t="s">
        <v>205</v>
      </c>
      <c r="C40" s="89">
        <v>45534</v>
      </c>
      <c r="D40" s="90">
        <v>0.46428720000000001</v>
      </c>
      <c r="E40" s="90">
        <v>0.46428720000000001</v>
      </c>
      <c r="F40" s="248">
        <f t="shared" si="1"/>
        <v>3.4098823227811828E-3</v>
      </c>
      <c r="G40" s="246"/>
    </row>
    <row r="41" spans="2:7" x14ac:dyDescent="0.35">
      <c r="B41" s="362" t="s">
        <v>141</v>
      </c>
      <c r="C41" s="91">
        <v>44963</v>
      </c>
      <c r="D41" s="90">
        <v>0.4212804</v>
      </c>
      <c r="E41" s="90">
        <v>0.4212804</v>
      </c>
      <c r="F41" s="248">
        <f t="shared" si="1"/>
        <v>3.0940258290432857E-3</v>
      </c>
      <c r="G41" s="245"/>
    </row>
    <row r="42" spans="2:7" x14ac:dyDescent="0.35">
      <c r="B42" s="362" t="s">
        <v>120</v>
      </c>
      <c r="C42" s="89">
        <v>45085</v>
      </c>
      <c r="D42" s="90">
        <v>0.40982069999999998</v>
      </c>
      <c r="E42" s="90">
        <v>0.40982069999999998</v>
      </c>
      <c r="F42" s="248">
        <f t="shared" si="1"/>
        <v>3.0098619140045435E-3</v>
      </c>
      <c r="G42" s="245"/>
    </row>
    <row r="43" spans="2:7" x14ac:dyDescent="0.35">
      <c r="B43" s="362" t="s">
        <v>129</v>
      </c>
      <c r="C43" s="91">
        <v>43922</v>
      </c>
      <c r="D43" s="90">
        <v>0.25000240000000001</v>
      </c>
      <c r="E43" s="90">
        <v>0.25000240000000001</v>
      </c>
      <c r="F43" s="248">
        <f t="shared" si="1"/>
        <v>1.8361022324390385E-3</v>
      </c>
      <c r="G43" s="245"/>
    </row>
    <row r="44" spans="2:7" x14ac:dyDescent="0.35">
      <c r="B44" s="362" t="s">
        <v>169</v>
      </c>
      <c r="C44" s="89">
        <v>44602</v>
      </c>
      <c r="D44" s="90">
        <v>2.25</v>
      </c>
      <c r="E44" s="90">
        <v>2.25</v>
      </c>
      <c r="F44" s="248">
        <f t="shared" si="1"/>
        <v>1.6524761454241386E-2</v>
      </c>
      <c r="G44" s="245"/>
    </row>
    <row r="45" spans="2:7" x14ac:dyDescent="0.35">
      <c r="B45" s="307" t="s">
        <v>168</v>
      </c>
      <c r="C45" s="89">
        <v>45295</v>
      </c>
      <c r="D45" s="90">
        <v>0.25</v>
      </c>
      <c r="E45" s="90">
        <v>0.25</v>
      </c>
      <c r="F45" s="248">
        <f t="shared" si="1"/>
        <v>1.8360846060268207E-3</v>
      </c>
      <c r="G45" s="245"/>
    </row>
    <row r="46" spans="2:7" x14ac:dyDescent="0.35">
      <c r="B46" s="362" t="s">
        <v>62</v>
      </c>
      <c r="C46" s="89" t="s">
        <v>109</v>
      </c>
      <c r="D46" s="90">
        <v>0.2000046</v>
      </c>
      <c r="E46" s="90">
        <v>0.2000046</v>
      </c>
      <c r="F46" s="248">
        <f t="shared" si="1"/>
        <v>1.4689014687782075E-3</v>
      </c>
      <c r="G46" s="245"/>
    </row>
    <row r="47" spans="2:7" x14ac:dyDescent="0.35">
      <c r="B47" s="362" t="s">
        <v>58</v>
      </c>
      <c r="C47" s="89">
        <v>44375</v>
      </c>
      <c r="D47" s="90">
        <v>0.2</v>
      </c>
      <c r="E47" s="90">
        <v>0.2</v>
      </c>
      <c r="F47" s="248">
        <f t="shared" si="1"/>
        <v>1.4688676848214567E-3</v>
      </c>
      <c r="G47" s="245"/>
    </row>
    <row r="48" spans="2:7" x14ac:dyDescent="0.35">
      <c r="B48" s="362" t="s">
        <v>69</v>
      </c>
      <c r="C48" s="89">
        <v>44531</v>
      </c>
      <c r="D48" s="90">
        <v>0.15407690199999999</v>
      </c>
      <c r="E48" s="90">
        <v>0.15407690199999999</v>
      </c>
      <c r="F48" s="248">
        <f t="shared" si="1"/>
        <v>1.1315929116260122E-3</v>
      </c>
      <c r="G48" s="245"/>
    </row>
    <row r="49" spans="2:7" x14ac:dyDescent="0.35">
      <c r="B49" s="362" t="s">
        <v>122</v>
      </c>
      <c r="C49" s="89">
        <v>44971</v>
      </c>
      <c r="D49" s="90">
        <v>0.153</v>
      </c>
      <c r="E49" s="90">
        <v>0.153</v>
      </c>
      <c r="F49" s="248">
        <f t="shared" si="1"/>
        <v>1.1236837788884142E-3</v>
      </c>
      <c r="G49" s="245"/>
    </row>
    <row r="50" spans="2:7" x14ac:dyDescent="0.35">
      <c r="B50" s="362" t="s">
        <v>121</v>
      </c>
      <c r="C50" s="89">
        <v>45061</v>
      </c>
      <c r="D50" s="90">
        <v>0.15001500000000001</v>
      </c>
      <c r="E50" s="90">
        <v>0.15001500000000001</v>
      </c>
      <c r="F50" s="248">
        <f t="shared" si="1"/>
        <v>1.1017609286924541E-3</v>
      </c>
      <c r="G50" s="245"/>
    </row>
    <row r="51" spans="2:7" x14ac:dyDescent="0.35">
      <c r="B51" s="362" t="s">
        <v>167</v>
      </c>
      <c r="C51" s="89">
        <v>45272</v>
      </c>
      <c r="D51" s="90">
        <v>0.10199999999999999</v>
      </c>
      <c r="E51" s="90">
        <v>0.10199999999999999</v>
      </c>
      <c r="F51" s="248">
        <f t="shared" si="1"/>
        <v>7.4912251925894277E-4</v>
      </c>
      <c r="G51" s="245"/>
    </row>
    <row r="52" spans="2:7" x14ac:dyDescent="0.35">
      <c r="B52" s="362" t="s">
        <v>156</v>
      </c>
      <c r="C52" s="89">
        <v>44602</v>
      </c>
      <c r="D52" s="90">
        <v>0.10150000000000001</v>
      </c>
      <c r="E52" s="90">
        <v>0.10150000000000001</v>
      </c>
      <c r="F52" s="248">
        <f t="shared" si="1"/>
        <v>7.454503500468893E-4</v>
      </c>
      <c r="G52" s="245"/>
    </row>
    <row r="53" spans="2:7" x14ac:dyDescent="0.35">
      <c r="B53" s="307" t="s">
        <v>133</v>
      </c>
      <c r="C53" s="89">
        <v>44610</v>
      </c>
      <c r="D53" s="90">
        <v>0.10100000000000001</v>
      </c>
      <c r="E53" s="90">
        <v>0.10100000000000001</v>
      </c>
      <c r="F53" s="248">
        <f t="shared" si="1"/>
        <v>7.4177818083483562E-4</v>
      </c>
      <c r="G53" s="245"/>
    </row>
    <row r="54" spans="2:7" x14ac:dyDescent="0.35">
      <c r="B54" s="362" t="s">
        <v>60</v>
      </c>
      <c r="C54" s="89">
        <v>44061</v>
      </c>
      <c r="D54" s="90">
        <v>0.100122</v>
      </c>
      <c r="E54" s="90">
        <v>0.100122</v>
      </c>
      <c r="F54" s="248">
        <f t="shared" si="1"/>
        <v>7.3532985169846941E-4</v>
      </c>
      <c r="G54" s="245"/>
    </row>
    <row r="55" spans="2:7" x14ac:dyDescent="0.35">
      <c r="B55" s="362" t="s">
        <v>150</v>
      </c>
      <c r="C55" s="89">
        <v>44610</v>
      </c>
      <c r="D55" s="90">
        <v>0.1</v>
      </c>
      <c r="E55" s="90">
        <v>0.1</v>
      </c>
      <c r="F55" s="248">
        <f t="shared" si="1"/>
        <v>7.3443384241072835E-4</v>
      </c>
      <c r="G55" s="245"/>
    </row>
    <row r="56" spans="2:7" x14ac:dyDescent="0.35">
      <c r="B56" s="362" t="s">
        <v>357</v>
      </c>
      <c r="C56" s="172">
        <v>45524</v>
      </c>
      <c r="D56" s="90">
        <v>3.0015000000000001</v>
      </c>
      <c r="E56" s="90">
        <v>3.0015000000000001</v>
      </c>
      <c r="F56" s="248">
        <f t="shared" si="1"/>
        <v>2.204403177995801E-2</v>
      </c>
      <c r="G56" s="245"/>
    </row>
    <row r="57" spans="2:7" x14ac:dyDescent="0.35">
      <c r="B57" s="362" t="s">
        <v>363</v>
      </c>
      <c r="C57" s="172">
        <v>45743</v>
      </c>
      <c r="D57" s="90">
        <v>4.4092619869999998</v>
      </c>
      <c r="E57" s="90">
        <v>4.4092619869999998</v>
      </c>
      <c r="F57" s="248">
        <f t="shared" si="1"/>
        <v>3.2383112233079728E-2</v>
      </c>
      <c r="G57" s="245"/>
    </row>
    <row r="58" spans="2:7" x14ac:dyDescent="0.35">
      <c r="B58" s="362" t="s">
        <v>292</v>
      </c>
      <c r="C58" s="172">
        <v>45763</v>
      </c>
      <c r="D58" s="90">
        <v>0</v>
      </c>
      <c r="E58" s="90">
        <v>0</v>
      </c>
      <c r="F58" s="248">
        <f t="shared" si="1"/>
        <v>0</v>
      </c>
      <c r="G58" s="245" t="s">
        <v>336</v>
      </c>
    </row>
    <row r="59" spans="2:7" x14ac:dyDescent="0.35">
      <c r="B59" s="362" t="s">
        <v>308</v>
      </c>
      <c r="C59" s="172">
        <v>45845</v>
      </c>
      <c r="D59" s="90">
        <v>0</v>
      </c>
      <c r="E59" s="90">
        <v>0</v>
      </c>
      <c r="F59" s="248">
        <f t="shared" si="1"/>
        <v>0</v>
      </c>
      <c r="G59" s="245"/>
    </row>
    <row r="60" spans="2:7" x14ac:dyDescent="0.35">
      <c r="B60" s="362" t="s">
        <v>304</v>
      </c>
      <c r="C60" s="172">
        <v>45889</v>
      </c>
      <c r="D60" s="90">
        <v>3.7408000000000001</v>
      </c>
      <c r="E60" s="90">
        <v>3.7408000000000001</v>
      </c>
      <c r="F60" s="248">
        <f t="shared" si="1"/>
        <v>2.7473701176900525E-2</v>
      </c>
      <c r="G60" s="245"/>
    </row>
    <row r="61" spans="2:7" x14ac:dyDescent="0.35">
      <c r="B61" s="362" t="s">
        <v>305</v>
      </c>
      <c r="C61" s="172">
        <v>45875</v>
      </c>
      <c r="D61" s="90">
        <v>5.0000016</v>
      </c>
      <c r="E61" s="90">
        <v>5.0000016</v>
      </c>
      <c r="F61" s="248">
        <f t="shared" si="1"/>
        <v>3.6721703871477891E-2</v>
      </c>
      <c r="G61" s="245"/>
    </row>
    <row r="62" spans="2:7" x14ac:dyDescent="0.35">
      <c r="B62" s="362" t="s">
        <v>306</v>
      </c>
      <c r="C62" s="172">
        <v>45900</v>
      </c>
      <c r="D62" s="90">
        <v>2.7001750000000002</v>
      </c>
      <c r="E62" s="90">
        <v>2.7001750000000002</v>
      </c>
      <c r="F62" s="248">
        <f t="shared" si="1"/>
        <v>1.9830999004313885E-2</v>
      </c>
      <c r="G62" s="245"/>
    </row>
    <row r="63" spans="2:7" x14ac:dyDescent="0.35">
      <c r="B63" s="362" t="s">
        <v>311</v>
      </c>
      <c r="C63" s="172">
        <v>45854</v>
      </c>
      <c r="D63" s="90">
        <f>E63</f>
        <v>0.25829999999999997</v>
      </c>
      <c r="E63" s="90">
        <v>0.25829999999999997</v>
      </c>
      <c r="F63" s="248">
        <f t="shared" si="1"/>
        <v>1.8970426149469109E-3</v>
      </c>
      <c r="G63" s="245"/>
    </row>
    <row r="64" spans="2:7" x14ac:dyDescent="0.35">
      <c r="B64" s="362" t="s">
        <v>312</v>
      </c>
      <c r="C64" s="172">
        <v>45860</v>
      </c>
      <c r="D64" s="90">
        <f>E64</f>
        <v>4.5100000000000001E-2</v>
      </c>
      <c r="E64" s="90">
        <v>4.5100000000000001E-2</v>
      </c>
      <c r="F64" s="248">
        <f t="shared" si="1"/>
        <v>3.3122966292723844E-4</v>
      </c>
      <c r="G64" s="245"/>
    </row>
    <row r="65" spans="2:7" x14ac:dyDescent="0.35">
      <c r="B65" s="362" t="s">
        <v>307</v>
      </c>
      <c r="C65" s="172">
        <v>45889</v>
      </c>
      <c r="D65" s="90">
        <v>0.02</v>
      </c>
      <c r="E65" s="90">
        <v>0.02</v>
      </c>
      <c r="F65" s="248">
        <f t="shared" si="1"/>
        <v>1.4688676848214567E-4</v>
      </c>
      <c r="G65" s="245"/>
    </row>
    <row r="66" spans="2:7" x14ac:dyDescent="0.35">
      <c r="B66" s="362" t="s">
        <v>386</v>
      </c>
      <c r="C66" s="172">
        <v>45889</v>
      </c>
      <c r="D66" s="90">
        <v>2.1971252670000001</v>
      </c>
      <c r="E66" s="90">
        <v>2.1971252670000001</v>
      </c>
      <c r="F66" s="248">
        <f t="shared" si="1"/>
        <v>1.6136431521005072E-2</v>
      </c>
      <c r="G66" s="245"/>
    </row>
    <row r="67" spans="2:7" x14ac:dyDescent="0.35">
      <c r="B67" s="362" t="s">
        <v>372</v>
      </c>
      <c r="C67" s="172">
        <v>45689</v>
      </c>
      <c r="D67" s="90">
        <v>5</v>
      </c>
      <c r="E67" s="90">
        <v>5</v>
      </c>
      <c r="F67" s="248">
        <f t="shared" ref="F67:F78" si="2">E67/$E$91</f>
        <v>3.6721692120536414E-2</v>
      </c>
      <c r="G67" s="289"/>
    </row>
    <row r="68" spans="2:7" x14ac:dyDescent="0.35">
      <c r="B68" s="362" t="s">
        <v>377</v>
      </c>
      <c r="C68" s="172">
        <v>46060</v>
      </c>
      <c r="D68" s="90">
        <v>0</v>
      </c>
      <c r="E68" s="90">
        <v>0</v>
      </c>
      <c r="F68" s="248">
        <f>E68/$E$91</f>
        <v>0</v>
      </c>
      <c r="G68" s="289"/>
    </row>
    <row r="69" spans="2:7" x14ac:dyDescent="0.35">
      <c r="B69" s="405" t="s">
        <v>151</v>
      </c>
      <c r="C69" s="93">
        <v>45001</v>
      </c>
      <c r="D69" s="92">
        <v>0</v>
      </c>
      <c r="E69" s="92">
        <v>0</v>
      </c>
      <c r="F69" s="249">
        <f t="shared" si="2"/>
        <v>0</v>
      </c>
      <c r="G69" s="247" t="s">
        <v>72</v>
      </c>
    </row>
    <row r="70" spans="2:7" x14ac:dyDescent="0.35">
      <c r="B70" s="405" t="s">
        <v>123</v>
      </c>
      <c r="C70" s="93" t="s">
        <v>67</v>
      </c>
      <c r="D70" s="92">
        <v>0</v>
      </c>
      <c r="E70" s="92">
        <v>0</v>
      </c>
      <c r="F70" s="249">
        <f t="shared" si="2"/>
        <v>0</v>
      </c>
      <c r="G70" s="247" t="s">
        <v>72</v>
      </c>
    </row>
    <row r="71" spans="2:7" x14ac:dyDescent="0.35">
      <c r="B71" s="405" t="s">
        <v>59</v>
      </c>
      <c r="C71" s="93" t="s">
        <v>108</v>
      </c>
      <c r="D71" s="92">
        <v>0</v>
      </c>
      <c r="E71" s="92">
        <v>0</v>
      </c>
      <c r="F71" s="249">
        <f t="shared" si="2"/>
        <v>0</v>
      </c>
      <c r="G71" s="247" t="s">
        <v>72</v>
      </c>
    </row>
    <row r="72" spans="2:7" x14ac:dyDescent="0.35">
      <c r="B72" s="405" t="s">
        <v>124</v>
      </c>
      <c r="C72" s="93">
        <v>44780</v>
      </c>
      <c r="D72" s="92">
        <v>0</v>
      </c>
      <c r="E72" s="92">
        <v>0</v>
      </c>
      <c r="F72" s="249">
        <f t="shared" si="2"/>
        <v>0</v>
      </c>
      <c r="G72" s="247" t="s">
        <v>72</v>
      </c>
    </row>
    <row r="73" spans="2:7" x14ac:dyDescent="0.35">
      <c r="B73" s="405" t="s">
        <v>55</v>
      </c>
      <c r="C73" s="93" t="s">
        <v>125</v>
      </c>
      <c r="D73" s="92">
        <v>0</v>
      </c>
      <c r="E73" s="92">
        <v>0</v>
      </c>
      <c r="F73" s="249">
        <f t="shared" si="2"/>
        <v>0</v>
      </c>
      <c r="G73" s="247" t="s">
        <v>72</v>
      </c>
    </row>
    <row r="74" spans="2:7" x14ac:dyDescent="0.35">
      <c r="B74" s="405" t="s">
        <v>63</v>
      </c>
      <c r="C74" s="93">
        <v>44256</v>
      </c>
      <c r="D74" s="92">
        <v>0</v>
      </c>
      <c r="E74" s="92">
        <v>0</v>
      </c>
      <c r="F74" s="249">
        <f t="shared" si="2"/>
        <v>0</v>
      </c>
      <c r="G74" s="247" t="s">
        <v>72</v>
      </c>
    </row>
    <row r="75" spans="2:7" x14ac:dyDescent="0.35">
      <c r="B75" s="405" t="s">
        <v>65</v>
      </c>
      <c r="C75" s="93" t="s">
        <v>66</v>
      </c>
      <c r="D75" s="92">
        <v>0</v>
      </c>
      <c r="E75" s="92">
        <v>0</v>
      </c>
      <c r="F75" s="249">
        <f t="shared" si="2"/>
        <v>0</v>
      </c>
      <c r="G75" s="247" t="s">
        <v>72</v>
      </c>
    </row>
    <row r="76" spans="2:7" x14ac:dyDescent="0.35">
      <c r="B76" s="305" t="s">
        <v>127</v>
      </c>
      <c r="C76" s="93">
        <v>43860</v>
      </c>
      <c r="D76" s="92">
        <v>0</v>
      </c>
      <c r="E76" s="92">
        <v>0</v>
      </c>
      <c r="F76" s="250">
        <f t="shared" si="2"/>
        <v>0</v>
      </c>
      <c r="G76" s="247" t="s">
        <v>72</v>
      </c>
    </row>
    <row r="77" spans="2:7" x14ac:dyDescent="0.35">
      <c r="B77" s="305" t="s">
        <v>134</v>
      </c>
      <c r="C77" s="93">
        <v>44064</v>
      </c>
      <c r="D77" s="92">
        <v>0</v>
      </c>
      <c r="E77" s="92">
        <v>0</v>
      </c>
      <c r="F77" s="250">
        <f t="shared" si="2"/>
        <v>0</v>
      </c>
      <c r="G77" s="247" t="s">
        <v>72</v>
      </c>
    </row>
    <row r="78" spans="2:7" x14ac:dyDescent="0.35">
      <c r="B78" s="305" t="s">
        <v>64</v>
      </c>
      <c r="C78" s="93" t="s">
        <v>135</v>
      </c>
      <c r="D78" s="92">
        <v>0</v>
      </c>
      <c r="E78" s="92">
        <v>0</v>
      </c>
      <c r="F78" s="249">
        <f t="shared" si="2"/>
        <v>0</v>
      </c>
      <c r="G78" s="247" t="s">
        <v>72</v>
      </c>
    </row>
    <row r="79" spans="2:7" x14ac:dyDescent="0.35">
      <c r="B79" s="405" t="s">
        <v>136</v>
      </c>
      <c r="C79" s="93">
        <v>44131</v>
      </c>
      <c r="D79" s="92">
        <v>0</v>
      </c>
      <c r="E79" s="92">
        <v>0</v>
      </c>
      <c r="F79" s="249">
        <f t="shared" ref="F79:F90" si="3">E79/$E$91</f>
        <v>0</v>
      </c>
      <c r="G79" s="247" t="s">
        <v>72</v>
      </c>
    </row>
    <row r="80" spans="2:7" x14ac:dyDescent="0.35">
      <c r="B80" s="405" t="s">
        <v>61</v>
      </c>
      <c r="C80" s="93">
        <v>44757</v>
      </c>
      <c r="D80" s="92">
        <v>0</v>
      </c>
      <c r="E80" s="92">
        <v>0</v>
      </c>
      <c r="F80" s="249">
        <f t="shared" si="3"/>
        <v>0</v>
      </c>
      <c r="G80" s="247" t="s">
        <v>72</v>
      </c>
    </row>
    <row r="81" spans="2:7" x14ac:dyDescent="0.35">
      <c r="B81" s="405" t="s">
        <v>144</v>
      </c>
      <c r="C81" s="93">
        <v>44063</v>
      </c>
      <c r="D81" s="92">
        <v>0</v>
      </c>
      <c r="E81" s="92">
        <v>0</v>
      </c>
      <c r="F81" s="249">
        <f t="shared" si="3"/>
        <v>0</v>
      </c>
      <c r="G81" s="247" t="s">
        <v>72</v>
      </c>
    </row>
    <row r="82" spans="2:7" x14ac:dyDescent="0.35">
      <c r="B82" s="405" t="s">
        <v>148</v>
      </c>
      <c r="C82" s="93">
        <v>44560</v>
      </c>
      <c r="D82" s="92">
        <v>0</v>
      </c>
      <c r="E82" s="92">
        <v>0</v>
      </c>
      <c r="F82" s="249">
        <f t="shared" si="3"/>
        <v>0</v>
      </c>
      <c r="G82" s="247" t="s">
        <v>72</v>
      </c>
    </row>
    <row r="83" spans="2:7" x14ac:dyDescent="0.35">
      <c r="B83" s="405" t="s">
        <v>68</v>
      </c>
      <c r="C83" s="93">
        <v>44285</v>
      </c>
      <c r="D83" s="92">
        <v>0</v>
      </c>
      <c r="E83" s="92">
        <v>0</v>
      </c>
      <c r="F83" s="249">
        <f t="shared" si="3"/>
        <v>0</v>
      </c>
      <c r="G83" s="247" t="s">
        <v>72</v>
      </c>
    </row>
    <row r="84" spans="2:7" x14ac:dyDescent="0.35">
      <c r="B84" s="405" t="s">
        <v>155</v>
      </c>
      <c r="C84" s="93">
        <v>44868</v>
      </c>
      <c r="D84" s="92">
        <v>0</v>
      </c>
      <c r="E84" s="92">
        <v>0</v>
      </c>
      <c r="F84" s="249">
        <f t="shared" si="3"/>
        <v>0</v>
      </c>
      <c r="G84" s="247" t="s">
        <v>72</v>
      </c>
    </row>
    <row r="85" spans="2:7" x14ac:dyDescent="0.35">
      <c r="B85" s="405" t="s">
        <v>157</v>
      </c>
      <c r="C85" s="93">
        <v>43752</v>
      </c>
      <c r="D85" s="92">
        <v>0</v>
      </c>
      <c r="E85" s="92">
        <v>0</v>
      </c>
      <c r="F85" s="249">
        <f t="shared" si="3"/>
        <v>0</v>
      </c>
      <c r="G85" s="247" t="s">
        <v>72</v>
      </c>
    </row>
    <row r="86" spans="2:7" x14ac:dyDescent="0.35">
      <c r="B86" s="405" t="s">
        <v>70</v>
      </c>
      <c r="C86" s="93" t="s">
        <v>71</v>
      </c>
      <c r="D86" s="92">
        <v>0</v>
      </c>
      <c r="E86" s="92">
        <v>0</v>
      </c>
      <c r="F86" s="249">
        <f t="shared" si="3"/>
        <v>0</v>
      </c>
      <c r="G86" s="247" t="s">
        <v>72</v>
      </c>
    </row>
    <row r="87" spans="2:7" x14ac:dyDescent="0.35">
      <c r="B87" s="405" t="s">
        <v>74</v>
      </c>
      <c r="C87" s="93">
        <v>44287</v>
      </c>
      <c r="D87" s="92">
        <v>0</v>
      </c>
      <c r="E87" s="92">
        <v>0</v>
      </c>
      <c r="F87" s="249">
        <f t="shared" si="3"/>
        <v>0</v>
      </c>
      <c r="G87" s="247" t="s">
        <v>72</v>
      </c>
    </row>
    <row r="88" spans="2:7" x14ac:dyDescent="0.35">
      <c r="B88" s="405" t="s">
        <v>73</v>
      </c>
      <c r="C88" s="93">
        <v>43699</v>
      </c>
      <c r="D88" s="92">
        <v>0</v>
      </c>
      <c r="E88" s="92">
        <v>0</v>
      </c>
      <c r="F88" s="249">
        <f t="shared" si="3"/>
        <v>0</v>
      </c>
      <c r="G88" s="247" t="s">
        <v>72</v>
      </c>
    </row>
    <row r="89" spans="2:7" x14ac:dyDescent="0.35">
      <c r="B89" s="405" t="s">
        <v>158</v>
      </c>
      <c r="C89" s="93" t="s">
        <v>56</v>
      </c>
      <c r="D89" s="92">
        <v>0</v>
      </c>
      <c r="E89" s="92">
        <v>0</v>
      </c>
      <c r="F89" s="249">
        <f t="shared" si="3"/>
        <v>0</v>
      </c>
      <c r="G89" s="247" t="s">
        <v>72</v>
      </c>
    </row>
    <row r="90" spans="2:7" x14ac:dyDescent="0.35">
      <c r="B90" s="405" t="s">
        <v>75</v>
      </c>
      <c r="C90" s="93" t="s">
        <v>110</v>
      </c>
      <c r="D90" s="92">
        <v>0</v>
      </c>
      <c r="E90" s="92">
        <v>0</v>
      </c>
      <c r="F90" s="249">
        <f t="shared" si="3"/>
        <v>0</v>
      </c>
      <c r="G90" s="247" t="s">
        <v>72</v>
      </c>
    </row>
    <row r="91" spans="2:7" x14ac:dyDescent="0.35">
      <c r="B91" s="94" t="s">
        <v>45</v>
      </c>
      <c r="C91" s="95">
        <v>921871</v>
      </c>
      <c r="D91" s="96">
        <f>SUM(D4:D90)</f>
        <v>136.15930288799998</v>
      </c>
      <c r="E91" s="96">
        <f>SUM(E4:E90)</f>
        <v>136.15930288799998</v>
      </c>
      <c r="F91" s="173">
        <f>SUM(F4:F90)</f>
        <v>1.0000000000000002</v>
      </c>
      <c r="G91" s="252"/>
    </row>
    <row r="92" spans="2:7" x14ac:dyDescent="0.35">
      <c r="D92" s="406">
        <f>'Private Equity Excl Pre IPO'!D86+'Pre IPO '!E5</f>
        <v>136.15930287300003</v>
      </c>
    </row>
    <row r="95" spans="2:7" x14ac:dyDescent="0.35">
      <c r="E95" s="406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B1:R45"/>
  <sheetViews>
    <sheetView showGridLines="0" topLeftCell="A25" workbookViewId="0">
      <selection activeCell="B23" sqref="B23"/>
    </sheetView>
  </sheetViews>
  <sheetFormatPr defaultColWidth="8.73046875" defaultRowHeight="11.65" x14ac:dyDescent="0.35"/>
  <cols>
    <col min="1" max="1" width="8.73046875" style="126"/>
    <col min="2" max="2" width="26.265625" style="126" bestFit="1" customWidth="1"/>
    <col min="3" max="3" width="11.19921875" style="126" customWidth="1"/>
    <col min="4" max="4" width="9.53125" style="126" customWidth="1"/>
    <col min="5" max="5" width="13.265625" style="126" customWidth="1"/>
    <col min="6" max="6" width="8.53125" style="126" customWidth="1"/>
    <col min="7" max="7" width="10.796875" style="126" customWidth="1"/>
    <col min="8" max="8" width="9.53125" style="126" customWidth="1"/>
    <col min="9" max="9" width="11.46484375" style="126" customWidth="1"/>
    <col min="10" max="10" width="9" style="126" customWidth="1"/>
    <col min="11" max="11" width="10.46484375" style="126" customWidth="1"/>
    <col min="12" max="12" width="8.53125" style="126" customWidth="1"/>
    <col min="13" max="13" width="10.46484375" style="126" customWidth="1"/>
    <col min="14" max="14" width="8.53125" style="126" customWidth="1"/>
    <col min="15" max="15" width="10.46484375" style="126" customWidth="1"/>
    <col min="16" max="16" width="8.53125" style="126" customWidth="1"/>
    <col min="17" max="17" width="13.796875" style="126" customWidth="1"/>
    <col min="18" max="18" width="9.53125" style="126" customWidth="1"/>
    <col min="19" max="16384" width="8.73046875" style="126"/>
  </cols>
  <sheetData>
    <row r="1" spans="2:18" s="370" customFormat="1" x14ac:dyDescent="0.35">
      <c r="B1" s="399" t="s">
        <v>181</v>
      </c>
    </row>
    <row r="2" spans="2:18" x14ac:dyDescent="0.35">
      <c r="B2" s="401" t="s">
        <v>189</v>
      </c>
    </row>
    <row r="3" spans="2:18" ht="12" customHeight="1" x14ac:dyDescent="0.35">
      <c r="B3" s="594" t="s">
        <v>0</v>
      </c>
      <c r="C3" s="594" t="s">
        <v>76</v>
      </c>
      <c r="D3" s="594" t="s">
        <v>4</v>
      </c>
      <c r="E3" s="594" t="s">
        <v>77</v>
      </c>
      <c r="F3" s="594" t="s">
        <v>4</v>
      </c>
      <c r="G3" s="594" t="s">
        <v>78</v>
      </c>
      <c r="H3" s="594" t="s">
        <v>4</v>
      </c>
      <c r="I3" s="594" t="s">
        <v>79</v>
      </c>
      <c r="J3" s="594" t="s">
        <v>4</v>
      </c>
      <c r="K3" s="594" t="s">
        <v>80</v>
      </c>
      <c r="L3" s="594" t="s">
        <v>4</v>
      </c>
      <c r="M3" s="594" t="s">
        <v>81</v>
      </c>
      <c r="N3" s="594" t="s">
        <v>4</v>
      </c>
      <c r="O3" s="594" t="s">
        <v>309</v>
      </c>
      <c r="P3" s="594" t="s">
        <v>4</v>
      </c>
      <c r="Q3" s="594" t="s">
        <v>310</v>
      </c>
      <c r="R3" s="596" t="s">
        <v>4</v>
      </c>
    </row>
    <row r="4" spans="2:18" ht="38.200000000000003" customHeight="1" x14ac:dyDescent="0.35">
      <c r="B4" s="595"/>
      <c r="C4" s="595"/>
      <c r="D4" s="595"/>
      <c r="E4" s="595"/>
      <c r="F4" s="595"/>
      <c r="G4" s="595"/>
      <c r="H4" s="595"/>
      <c r="I4" s="595"/>
      <c r="J4" s="595"/>
      <c r="K4" s="595"/>
      <c r="L4" s="595"/>
      <c r="M4" s="595"/>
      <c r="N4" s="595"/>
      <c r="O4" s="595"/>
      <c r="P4" s="595"/>
      <c r="Q4" s="595"/>
      <c r="R4" s="597"/>
    </row>
    <row r="5" spans="2:18" x14ac:dyDescent="0.35">
      <c r="B5" s="80"/>
      <c r="C5" s="4"/>
      <c r="D5" s="4"/>
      <c r="E5" s="4"/>
      <c r="F5" s="4"/>
      <c r="G5" s="259"/>
      <c r="H5" s="259"/>
      <c r="I5" s="4"/>
      <c r="J5" s="4"/>
      <c r="K5" s="259"/>
      <c r="L5" s="4"/>
      <c r="M5" s="259"/>
      <c r="N5" s="4"/>
      <c r="O5" s="259"/>
      <c r="P5" s="4"/>
      <c r="Q5" s="4"/>
      <c r="R5" s="407"/>
    </row>
    <row r="6" spans="2:18" x14ac:dyDescent="0.35">
      <c r="B6" s="368" t="s">
        <v>13</v>
      </c>
      <c r="C6" s="113">
        <f>SUM(C7:C17)</f>
        <v>463.86683759760194</v>
      </c>
      <c r="D6" s="114">
        <f t="shared" ref="D6:N6" si="0">SUM(D7:D17)</f>
        <v>0.56049664813228117</v>
      </c>
      <c r="E6" s="113">
        <f t="shared" si="0"/>
        <v>103.83746255889331</v>
      </c>
      <c r="F6" s="114">
        <f t="shared" si="0"/>
        <v>0.78908909178376307</v>
      </c>
      <c r="G6" s="113">
        <f t="shared" si="0"/>
        <v>51.170916947016352</v>
      </c>
      <c r="H6" s="114">
        <f t="shared" si="0"/>
        <v>0.48506700604616121</v>
      </c>
      <c r="I6" s="113">
        <f t="shared" si="0"/>
        <v>172.80743759990469</v>
      </c>
      <c r="J6" s="114">
        <f t="shared" si="0"/>
        <v>0.81214428540253958</v>
      </c>
      <c r="K6" s="113">
        <f t="shared" si="0"/>
        <v>0</v>
      </c>
      <c r="L6" s="114">
        <f t="shared" si="0"/>
        <v>0</v>
      </c>
      <c r="M6" s="113">
        <f t="shared" si="0"/>
        <v>0</v>
      </c>
      <c r="N6" s="114">
        <f t="shared" si="0"/>
        <v>0</v>
      </c>
      <c r="O6" s="113">
        <f>SUM(O7:O17)</f>
        <v>5.0538874328759995</v>
      </c>
      <c r="P6" s="114">
        <f>SUM(P7:P17)</f>
        <v>0.62224281132796544</v>
      </c>
      <c r="Q6" s="113">
        <f>SUM(Q7:Q17)</f>
        <v>5.0538874328759995</v>
      </c>
      <c r="R6" s="115">
        <f>SUM(R7:R17)</f>
        <v>0.62224281132796544</v>
      </c>
    </row>
    <row r="7" spans="2:18" x14ac:dyDescent="0.35">
      <c r="B7" s="367" t="s">
        <v>14</v>
      </c>
      <c r="C7" s="116">
        <v>12.1907695</v>
      </c>
      <c r="D7" s="117">
        <f t="shared" ref="D7:D17" si="1">C7/C$40</f>
        <v>1.4730273623980591E-2</v>
      </c>
      <c r="E7" s="116">
        <v>0</v>
      </c>
      <c r="F7" s="117">
        <f t="shared" ref="F7:F17" si="2">E7/E$40</f>
        <v>0</v>
      </c>
      <c r="G7" s="116">
        <v>7.9274399999999998</v>
      </c>
      <c r="H7" s="117">
        <f t="shared" ref="H7:H17" si="3">G7/G$40</f>
        <v>7.5146974411112094E-2</v>
      </c>
      <c r="I7" s="116">
        <v>1.522048125</v>
      </c>
      <c r="J7" s="117">
        <f t="shared" ref="J7:J17" si="4">I7/I$40</f>
        <v>7.1531798862057901E-3</v>
      </c>
      <c r="K7" s="116">
        <v>0</v>
      </c>
      <c r="L7" s="117">
        <f t="shared" ref="L7:L17" si="5">K7/K$40</f>
        <v>0</v>
      </c>
      <c r="M7" s="116">
        <v>0</v>
      </c>
      <c r="N7" s="117">
        <f t="shared" ref="N7:N17" si="6">M7/M$40</f>
        <v>0</v>
      </c>
      <c r="O7" s="116">
        <v>0</v>
      </c>
      <c r="P7" s="117">
        <f t="shared" ref="P7:P17" si="7">O7/O$40</f>
        <v>0</v>
      </c>
      <c r="Q7" s="116">
        <v>0</v>
      </c>
      <c r="R7" s="118">
        <f t="shared" ref="R7:R17" si="8">Q7/Q$40</f>
        <v>0</v>
      </c>
    </row>
    <row r="8" spans="2:18" x14ac:dyDescent="0.35">
      <c r="B8" s="367" t="s">
        <v>15</v>
      </c>
      <c r="C8" s="116">
        <v>48.76601565217392</v>
      </c>
      <c r="D8" s="117">
        <f t="shared" si="1"/>
        <v>5.8924644101247432E-2</v>
      </c>
      <c r="E8" s="116">
        <v>0</v>
      </c>
      <c r="F8" s="117">
        <f t="shared" si="2"/>
        <v>0</v>
      </c>
      <c r="G8" s="116">
        <v>0</v>
      </c>
      <c r="H8" s="117">
        <f t="shared" si="3"/>
        <v>0</v>
      </c>
      <c r="I8" s="116">
        <v>15.5625</v>
      </c>
      <c r="J8" s="117">
        <f t="shared" si="4"/>
        <v>7.3139186698894701E-2</v>
      </c>
      <c r="K8" s="116">
        <v>0</v>
      </c>
      <c r="L8" s="117">
        <f t="shared" si="5"/>
        <v>0</v>
      </c>
      <c r="M8" s="116">
        <v>0</v>
      </c>
      <c r="N8" s="117">
        <f t="shared" si="6"/>
        <v>0</v>
      </c>
      <c r="O8" s="116">
        <v>0</v>
      </c>
      <c r="P8" s="117">
        <f t="shared" si="7"/>
        <v>0</v>
      </c>
      <c r="Q8" s="116">
        <v>0</v>
      </c>
      <c r="R8" s="118">
        <f t="shared" si="8"/>
        <v>0</v>
      </c>
    </row>
    <row r="9" spans="2:18" x14ac:dyDescent="0.35">
      <c r="B9" s="367" t="s">
        <v>16</v>
      </c>
      <c r="C9" s="116">
        <v>0</v>
      </c>
      <c r="D9" s="117">
        <f t="shared" si="1"/>
        <v>0</v>
      </c>
      <c r="E9" s="116">
        <v>0</v>
      </c>
      <c r="F9" s="117">
        <f t="shared" si="2"/>
        <v>0</v>
      </c>
      <c r="G9" s="116">
        <v>0</v>
      </c>
      <c r="H9" s="117">
        <f t="shared" si="3"/>
        <v>0</v>
      </c>
      <c r="I9" s="116">
        <v>0</v>
      </c>
      <c r="J9" s="117">
        <f t="shared" si="4"/>
        <v>0</v>
      </c>
      <c r="K9" s="116">
        <v>0</v>
      </c>
      <c r="L9" s="117">
        <f t="shared" si="5"/>
        <v>0</v>
      </c>
      <c r="M9" s="116">
        <v>0</v>
      </c>
      <c r="N9" s="117">
        <f t="shared" si="6"/>
        <v>0</v>
      </c>
      <c r="O9" s="116">
        <v>0</v>
      </c>
      <c r="P9" s="117">
        <f t="shared" si="7"/>
        <v>0</v>
      </c>
      <c r="Q9" s="116">
        <v>0</v>
      </c>
      <c r="R9" s="118">
        <f t="shared" si="8"/>
        <v>0</v>
      </c>
    </row>
    <row r="10" spans="2:18" x14ac:dyDescent="0.35">
      <c r="B10" s="367" t="s">
        <v>17</v>
      </c>
      <c r="C10" s="116">
        <v>0</v>
      </c>
      <c r="D10" s="117">
        <f t="shared" si="1"/>
        <v>0</v>
      </c>
      <c r="E10" s="116">
        <v>0</v>
      </c>
      <c r="F10" s="117">
        <f t="shared" si="2"/>
        <v>0</v>
      </c>
      <c r="G10" s="116">
        <v>0</v>
      </c>
      <c r="H10" s="117">
        <f t="shared" si="3"/>
        <v>0</v>
      </c>
      <c r="I10" s="116">
        <v>0</v>
      </c>
      <c r="J10" s="117">
        <f t="shared" si="4"/>
        <v>0</v>
      </c>
      <c r="K10" s="116">
        <v>0</v>
      </c>
      <c r="L10" s="117">
        <f t="shared" si="5"/>
        <v>0</v>
      </c>
      <c r="M10" s="116">
        <v>0</v>
      </c>
      <c r="N10" s="117">
        <f t="shared" si="6"/>
        <v>0</v>
      </c>
      <c r="O10" s="116">
        <v>5.0538874328759995</v>
      </c>
      <c r="P10" s="117">
        <f t="shared" si="7"/>
        <v>0.62224281132796544</v>
      </c>
      <c r="Q10" s="413">
        <v>5.0538874328759995</v>
      </c>
      <c r="R10" s="118">
        <f t="shared" si="8"/>
        <v>0.62224281132796544</v>
      </c>
    </row>
    <row r="11" spans="2:18" x14ac:dyDescent="0.35">
      <c r="B11" s="367" t="s">
        <v>18</v>
      </c>
      <c r="C11" s="116">
        <v>240.23011135804109</v>
      </c>
      <c r="D11" s="117">
        <f t="shared" si="1"/>
        <v>0.29027333123009774</v>
      </c>
      <c r="E11" s="116">
        <v>3.4742772078958</v>
      </c>
      <c r="F11" s="117">
        <f t="shared" si="2"/>
        <v>2.6401976502734986E-2</v>
      </c>
      <c r="G11" s="116">
        <v>6.1968931039169997</v>
      </c>
      <c r="H11" s="117">
        <f t="shared" si="3"/>
        <v>5.8742515554636526E-2</v>
      </c>
      <c r="I11" s="116">
        <v>101.69887672358476</v>
      </c>
      <c r="J11" s="117">
        <f t="shared" si="4"/>
        <v>0.47795490003239466</v>
      </c>
      <c r="K11" s="116">
        <v>0</v>
      </c>
      <c r="L11" s="117">
        <f t="shared" si="5"/>
        <v>0</v>
      </c>
      <c r="M11" s="116">
        <v>0</v>
      </c>
      <c r="N11" s="117">
        <f t="shared" si="6"/>
        <v>0</v>
      </c>
      <c r="O11" s="116">
        <v>0</v>
      </c>
      <c r="P11" s="117">
        <f t="shared" si="7"/>
        <v>0</v>
      </c>
      <c r="Q11" s="116">
        <v>0</v>
      </c>
      <c r="R11" s="118">
        <f t="shared" si="8"/>
        <v>0</v>
      </c>
    </row>
    <row r="12" spans="2:18" x14ac:dyDescent="0.35">
      <c r="B12" s="367" t="s">
        <v>19</v>
      </c>
      <c r="C12" s="116">
        <v>78.254967760208388</v>
      </c>
      <c r="D12" s="117">
        <f t="shared" si="1"/>
        <v>9.4556548505297322E-2</v>
      </c>
      <c r="E12" s="116">
        <v>2.6808356571980001</v>
      </c>
      <c r="F12" s="117">
        <f t="shared" si="2"/>
        <v>2.0372398572048114E-2</v>
      </c>
      <c r="G12" s="116">
        <v>7.0887255640196001</v>
      </c>
      <c r="H12" s="117">
        <f t="shared" si="3"/>
        <v>6.7196507140612483E-2</v>
      </c>
      <c r="I12" s="116">
        <v>17.9617507163879</v>
      </c>
      <c r="J12" s="117">
        <f t="shared" si="4"/>
        <v>8.4414961547624109E-2</v>
      </c>
      <c r="K12" s="116">
        <v>0</v>
      </c>
      <c r="L12" s="117">
        <f t="shared" si="5"/>
        <v>0</v>
      </c>
      <c r="M12" s="116">
        <v>0</v>
      </c>
      <c r="N12" s="117">
        <f t="shared" si="6"/>
        <v>0</v>
      </c>
      <c r="O12" s="116">
        <v>0</v>
      </c>
      <c r="P12" s="117">
        <f t="shared" si="7"/>
        <v>0</v>
      </c>
      <c r="Q12" s="116">
        <v>0</v>
      </c>
      <c r="R12" s="118">
        <f t="shared" si="8"/>
        <v>0</v>
      </c>
    </row>
    <row r="13" spans="2:18" x14ac:dyDescent="0.35">
      <c r="B13" s="367" t="s">
        <v>20</v>
      </c>
      <c r="C13" s="116">
        <v>83.130730598178573</v>
      </c>
      <c r="D13" s="117">
        <f t="shared" si="1"/>
        <v>0.10044799946981084</v>
      </c>
      <c r="E13" s="116">
        <v>97.682349693799509</v>
      </c>
      <c r="F13" s="117">
        <f t="shared" si="2"/>
        <v>0.74231471670897997</v>
      </c>
      <c r="G13" s="116">
        <v>29.957858279079751</v>
      </c>
      <c r="H13" s="117">
        <f t="shared" si="3"/>
        <v>0.28398100893980011</v>
      </c>
      <c r="I13" s="116">
        <v>35.986893909932</v>
      </c>
      <c r="J13" s="117">
        <f t="shared" si="4"/>
        <v>0.16912784914967602</v>
      </c>
      <c r="K13" s="116">
        <v>0</v>
      </c>
      <c r="L13" s="117">
        <f t="shared" si="5"/>
        <v>0</v>
      </c>
      <c r="M13" s="116">
        <v>0</v>
      </c>
      <c r="N13" s="117">
        <f t="shared" si="6"/>
        <v>0</v>
      </c>
      <c r="O13" s="116">
        <v>0</v>
      </c>
      <c r="P13" s="117">
        <f t="shared" si="7"/>
        <v>0</v>
      </c>
      <c r="Q13" s="116">
        <v>0</v>
      </c>
      <c r="R13" s="118">
        <f t="shared" si="8"/>
        <v>0</v>
      </c>
    </row>
    <row r="14" spans="2:18" ht="13.15" x14ac:dyDescent="0.35">
      <c r="B14" s="366" t="s">
        <v>263</v>
      </c>
      <c r="C14" s="116">
        <v>0</v>
      </c>
      <c r="D14" s="117">
        <f t="shared" si="1"/>
        <v>0</v>
      </c>
      <c r="E14" s="116">
        <v>0</v>
      </c>
      <c r="F14" s="117">
        <f t="shared" si="2"/>
        <v>0</v>
      </c>
      <c r="G14" s="116">
        <v>0</v>
      </c>
      <c r="H14" s="117">
        <f t="shared" si="3"/>
        <v>0</v>
      </c>
      <c r="I14" s="116">
        <v>0</v>
      </c>
      <c r="J14" s="117">
        <f t="shared" si="4"/>
        <v>0</v>
      </c>
      <c r="K14" s="116">
        <v>0</v>
      </c>
      <c r="L14" s="117">
        <f t="shared" si="5"/>
        <v>0</v>
      </c>
      <c r="M14" s="116">
        <v>0</v>
      </c>
      <c r="N14" s="117">
        <f t="shared" si="6"/>
        <v>0</v>
      </c>
      <c r="O14" s="116">
        <v>0</v>
      </c>
      <c r="P14" s="117">
        <f t="shared" si="7"/>
        <v>0</v>
      </c>
      <c r="Q14" s="116">
        <v>0</v>
      </c>
      <c r="R14" s="118">
        <f t="shared" si="8"/>
        <v>0</v>
      </c>
    </row>
    <row r="15" spans="2:18" x14ac:dyDescent="0.35">
      <c r="B15" s="367" t="s">
        <v>245</v>
      </c>
      <c r="C15" s="116">
        <v>0</v>
      </c>
      <c r="D15" s="117">
        <f t="shared" si="1"/>
        <v>0</v>
      </c>
      <c r="E15" s="116">
        <v>0</v>
      </c>
      <c r="F15" s="117">
        <f t="shared" si="2"/>
        <v>0</v>
      </c>
      <c r="G15" s="116">
        <v>0</v>
      </c>
      <c r="H15" s="117">
        <f t="shared" si="3"/>
        <v>0</v>
      </c>
      <c r="I15" s="116">
        <v>0</v>
      </c>
      <c r="J15" s="117">
        <f t="shared" si="4"/>
        <v>0</v>
      </c>
      <c r="K15" s="116">
        <v>0</v>
      </c>
      <c r="L15" s="117">
        <f t="shared" si="5"/>
        <v>0</v>
      </c>
      <c r="M15" s="116">
        <v>0</v>
      </c>
      <c r="N15" s="117">
        <f t="shared" si="6"/>
        <v>0</v>
      </c>
      <c r="O15" s="116">
        <v>0</v>
      </c>
      <c r="P15" s="117">
        <f t="shared" si="7"/>
        <v>0</v>
      </c>
      <c r="Q15" s="116">
        <v>0</v>
      </c>
      <c r="R15" s="118">
        <f t="shared" si="8"/>
        <v>0</v>
      </c>
    </row>
    <row r="16" spans="2:18" x14ac:dyDescent="0.35">
      <c r="B16" s="367" t="s">
        <v>21</v>
      </c>
      <c r="C16" s="116">
        <v>0.16941782899999999</v>
      </c>
      <c r="D16" s="117">
        <f t="shared" si="1"/>
        <v>2.0470988135332671E-4</v>
      </c>
      <c r="E16" s="116">
        <v>0</v>
      </c>
      <c r="F16" s="117">
        <f t="shared" si="2"/>
        <v>0</v>
      </c>
      <c r="G16" s="116">
        <v>0</v>
      </c>
      <c r="H16" s="117">
        <f t="shared" si="3"/>
        <v>0</v>
      </c>
      <c r="I16" s="116">
        <v>7.5368124999999994E-2</v>
      </c>
      <c r="J16" s="117">
        <f t="shared" si="4"/>
        <v>3.5420808774429768E-4</v>
      </c>
      <c r="K16" s="116">
        <v>0</v>
      </c>
      <c r="L16" s="117">
        <f t="shared" si="5"/>
        <v>0</v>
      </c>
      <c r="M16" s="116">
        <v>0</v>
      </c>
      <c r="N16" s="117">
        <f t="shared" si="6"/>
        <v>0</v>
      </c>
      <c r="O16" s="116">
        <v>0</v>
      </c>
      <c r="P16" s="117">
        <f t="shared" si="7"/>
        <v>0</v>
      </c>
      <c r="Q16" s="116">
        <v>0</v>
      </c>
      <c r="R16" s="118">
        <f t="shared" si="8"/>
        <v>0</v>
      </c>
    </row>
    <row r="17" spans="2:18" x14ac:dyDescent="0.35">
      <c r="B17" s="367" t="s">
        <v>22</v>
      </c>
      <c r="C17" s="116">
        <v>1.1248248999999999</v>
      </c>
      <c r="D17" s="117">
        <f t="shared" si="1"/>
        <v>1.3591413204938872E-3</v>
      </c>
      <c r="E17" s="116">
        <v>0</v>
      </c>
      <c r="F17" s="117">
        <f t="shared" si="2"/>
        <v>0</v>
      </c>
      <c r="G17" s="116">
        <v>0</v>
      </c>
      <c r="H17" s="117">
        <f t="shared" si="3"/>
        <v>0</v>
      </c>
      <c r="I17" s="116">
        <v>0</v>
      </c>
      <c r="J17" s="117">
        <f t="shared" si="4"/>
        <v>0</v>
      </c>
      <c r="K17" s="116">
        <v>0</v>
      </c>
      <c r="L17" s="117">
        <f t="shared" si="5"/>
        <v>0</v>
      </c>
      <c r="M17" s="116">
        <v>0</v>
      </c>
      <c r="N17" s="117">
        <f t="shared" si="6"/>
        <v>0</v>
      </c>
      <c r="O17" s="116">
        <v>0</v>
      </c>
      <c r="P17" s="117">
        <f t="shared" si="7"/>
        <v>0</v>
      </c>
      <c r="Q17" s="116">
        <v>0</v>
      </c>
      <c r="R17" s="118">
        <f t="shared" si="8"/>
        <v>0</v>
      </c>
    </row>
    <row r="18" spans="2:18" x14ac:dyDescent="0.35">
      <c r="B18" s="367"/>
      <c r="C18" s="4"/>
      <c r="D18" s="117"/>
      <c r="E18" s="4"/>
      <c r="F18" s="117"/>
      <c r="G18" s="4"/>
      <c r="H18" s="117"/>
      <c r="I18" s="4"/>
      <c r="J18" s="117"/>
      <c r="K18" s="4"/>
      <c r="L18" s="117"/>
      <c r="M18" s="4"/>
      <c r="N18" s="117"/>
      <c r="O18" s="4"/>
      <c r="P18" s="117"/>
      <c r="Q18" s="4"/>
      <c r="R18" s="118"/>
    </row>
    <row r="19" spans="2:18" x14ac:dyDescent="0.35">
      <c r="B19" s="368" t="s">
        <v>190</v>
      </c>
      <c r="C19" s="113">
        <f>SUM(C20:C21)</f>
        <v>192.66040578499999</v>
      </c>
      <c r="D19" s="114">
        <f t="shared" ref="D19:N19" si="9">SUM(D20:D21)</f>
        <v>0.23279420496960287</v>
      </c>
      <c r="E19" s="113">
        <f t="shared" si="9"/>
        <v>10.03806</v>
      </c>
      <c r="F19" s="114">
        <f t="shared" si="9"/>
        <v>7.6281945393055273E-2</v>
      </c>
      <c r="G19" s="113">
        <f t="shared" si="9"/>
        <v>6.21434175</v>
      </c>
      <c r="H19" s="114">
        <f t="shared" si="9"/>
        <v>5.8907917369182938E-2</v>
      </c>
      <c r="I19" s="113">
        <f t="shared" si="9"/>
        <v>13.445841984999998</v>
      </c>
      <c r="J19" s="114">
        <f t="shared" si="9"/>
        <v>6.3191514683678826E-2</v>
      </c>
      <c r="K19" s="113">
        <f t="shared" si="9"/>
        <v>0</v>
      </c>
      <c r="L19" s="114">
        <f t="shared" si="9"/>
        <v>0</v>
      </c>
      <c r="M19" s="113">
        <f t="shared" si="9"/>
        <v>0</v>
      </c>
      <c r="N19" s="114">
        <f t="shared" si="9"/>
        <v>0</v>
      </c>
      <c r="O19" s="113">
        <f>SUM(O20:O21)</f>
        <v>0</v>
      </c>
      <c r="P19" s="114">
        <f>SUM(P20:P21)</f>
        <v>0</v>
      </c>
      <c r="Q19" s="113">
        <f>SUM(Q20:Q21)</f>
        <v>0</v>
      </c>
      <c r="R19" s="115">
        <f>SUM(R20:R21)</f>
        <v>0</v>
      </c>
    </row>
    <row r="20" spans="2:18" x14ac:dyDescent="0.35">
      <c r="B20" s="367" t="s">
        <v>255</v>
      </c>
      <c r="C20" s="116">
        <v>192.66040578499999</v>
      </c>
      <c r="D20" s="117">
        <f>C20/C$40</f>
        <v>0.23279420496960287</v>
      </c>
      <c r="E20" s="116">
        <v>10.03806</v>
      </c>
      <c r="F20" s="117">
        <f>E20/E$40</f>
        <v>7.6281945393055273E-2</v>
      </c>
      <c r="G20" s="116">
        <v>6.21434175</v>
      </c>
      <c r="H20" s="117">
        <f>G20/G$40</f>
        <v>5.8907917369182938E-2</v>
      </c>
      <c r="I20" s="116">
        <v>13.445841984999998</v>
      </c>
      <c r="J20" s="117">
        <f>I20/I$40</f>
        <v>6.3191514683678826E-2</v>
      </c>
      <c r="K20" s="116">
        <v>0</v>
      </c>
      <c r="L20" s="117">
        <f>K20/K$40</f>
        <v>0</v>
      </c>
      <c r="M20" s="116">
        <v>0</v>
      </c>
      <c r="N20" s="117">
        <f>M20/M$40</f>
        <v>0</v>
      </c>
      <c r="O20" s="116">
        <v>0</v>
      </c>
      <c r="P20" s="117">
        <f>O20/O$40</f>
        <v>0</v>
      </c>
      <c r="Q20" s="116">
        <v>0</v>
      </c>
      <c r="R20" s="118">
        <f>Q20/Q$40</f>
        <v>0</v>
      </c>
    </row>
    <row r="21" spans="2:18" x14ac:dyDescent="0.35">
      <c r="B21" s="367" t="s">
        <v>191</v>
      </c>
      <c r="C21" s="116">
        <v>0</v>
      </c>
      <c r="D21" s="117">
        <f>C21/C$40</f>
        <v>0</v>
      </c>
      <c r="E21" s="116">
        <v>0</v>
      </c>
      <c r="F21" s="117">
        <f>E21/E$40</f>
        <v>0</v>
      </c>
      <c r="G21" s="116">
        <v>0</v>
      </c>
      <c r="H21" s="117">
        <f>G21/G$40</f>
        <v>0</v>
      </c>
      <c r="I21" s="116">
        <v>0</v>
      </c>
      <c r="J21" s="117">
        <f>I21/I$40</f>
        <v>0</v>
      </c>
      <c r="K21" s="116">
        <v>0</v>
      </c>
      <c r="L21" s="117">
        <f>K21/K$40</f>
        <v>0</v>
      </c>
      <c r="M21" s="116">
        <v>0</v>
      </c>
      <c r="N21" s="117">
        <f>M21/M$40</f>
        <v>0</v>
      </c>
      <c r="O21" s="116">
        <v>0</v>
      </c>
      <c r="P21" s="117">
        <f>O21/O$40</f>
        <v>0</v>
      </c>
      <c r="Q21" s="116">
        <v>0</v>
      </c>
      <c r="R21" s="118">
        <f>Q21/Q$40</f>
        <v>0</v>
      </c>
    </row>
    <row r="22" spans="2:18" x14ac:dyDescent="0.35">
      <c r="B22" s="367"/>
      <c r="C22" s="4"/>
      <c r="D22" s="117"/>
      <c r="E22" s="4"/>
      <c r="F22" s="117"/>
      <c r="G22" s="4"/>
      <c r="H22" s="117"/>
      <c r="I22" s="4"/>
      <c r="J22" s="117"/>
      <c r="K22" s="4"/>
      <c r="L22" s="117"/>
      <c r="M22" s="4"/>
      <c r="N22" s="117"/>
      <c r="O22" s="4"/>
      <c r="P22" s="117"/>
      <c r="Q22" s="4"/>
      <c r="R22" s="118"/>
    </row>
    <row r="23" spans="2:18" x14ac:dyDescent="0.35">
      <c r="B23" s="341" t="s">
        <v>486</v>
      </c>
      <c r="C23" s="113">
        <v>0</v>
      </c>
      <c r="D23" s="114">
        <f>C23/C$40</f>
        <v>0</v>
      </c>
      <c r="E23" s="113">
        <v>0</v>
      </c>
      <c r="F23" s="114">
        <f>E23/E$40</f>
        <v>0</v>
      </c>
      <c r="G23" s="113">
        <v>0.84977725000000004</v>
      </c>
      <c r="H23" s="114">
        <f>G23/G$40</f>
        <v>8.0553355510600156E-3</v>
      </c>
      <c r="I23" s="113">
        <v>0</v>
      </c>
      <c r="J23" s="114">
        <f>I23/I$40</f>
        <v>0</v>
      </c>
      <c r="K23" s="113">
        <v>0</v>
      </c>
      <c r="L23" s="114">
        <f>K23/K$40</f>
        <v>0</v>
      </c>
      <c r="M23" s="113">
        <v>0</v>
      </c>
      <c r="N23" s="114">
        <f>M23/M$40</f>
        <v>0</v>
      </c>
      <c r="O23" s="113">
        <v>0</v>
      </c>
      <c r="P23" s="114">
        <f>O23/O$40</f>
        <v>0</v>
      </c>
      <c r="Q23" s="113">
        <v>0</v>
      </c>
      <c r="R23" s="115">
        <f>Q23/Q$40</f>
        <v>0</v>
      </c>
    </row>
    <row r="24" spans="2:18" x14ac:dyDescent="0.35">
      <c r="B24" s="367"/>
      <c r="C24" s="4"/>
      <c r="D24" s="117"/>
      <c r="E24" s="4"/>
      <c r="F24" s="117"/>
      <c r="G24" s="4"/>
      <c r="H24" s="117"/>
      <c r="I24" s="4"/>
      <c r="J24" s="117"/>
      <c r="K24" s="4"/>
      <c r="L24" s="117"/>
      <c r="M24" s="4"/>
      <c r="N24" s="117"/>
      <c r="O24" s="4"/>
      <c r="P24" s="117"/>
      <c r="Q24" s="4"/>
      <c r="R24" s="118"/>
    </row>
    <row r="25" spans="2:18" x14ac:dyDescent="0.35">
      <c r="B25" s="368" t="s">
        <v>23</v>
      </c>
      <c r="C25" s="113">
        <f t="shared" ref="C25:N25" si="10">SUM(C26:C29)</f>
        <v>40.826712032354607</v>
      </c>
      <c r="D25" s="114">
        <f t="shared" si="10"/>
        <v>4.933147488384914E-2</v>
      </c>
      <c r="E25" s="113">
        <f t="shared" si="10"/>
        <v>0</v>
      </c>
      <c r="F25" s="114">
        <f t="shared" si="10"/>
        <v>0</v>
      </c>
      <c r="G25" s="113">
        <f>SUM(G26:G30)</f>
        <v>1.0434584457808218</v>
      </c>
      <c r="H25" s="114">
        <f>SUM(H26:H30)</f>
        <v>9.8913072977089983E-3</v>
      </c>
      <c r="I25" s="113">
        <f>SUM(I26:I30)</f>
        <v>0</v>
      </c>
      <c r="J25" s="114">
        <f t="shared" si="10"/>
        <v>0</v>
      </c>
      <c r="K25" s="113">
        <f t="shared" si="10"/>
        <v>0</v>
      </c>
      <c r="L25" s="114">
        <f t="shared" si="10"/>
        <v>0</v>
      </c>
      <c r="M25" s="113">
        <f t="shared" si="10"/>
        <v>4.0189932174371403</v>
      </c>
      <c r="N25" s="114">
        <f t="shared" si="10"/>
        <v>0.67482035051361478</v>
      </c>
      <c r="O25" s="113">
        <f>SUM(O26:O29)</f>
        <v>0</v>
      </c>
      <c r="P25" s="114">
        <f>SUM(P26:P29)</f>
        <v>0</v>
      </c>
      <c r="Q25" s="113">
        <f>SUM(Q26:Q29)</f>
        <v>0</v>
      </c>
      <c r="R25" s="115">
        <f>SUM(R26:R29)</f>
        <v>0</v>
      </c>
    </row>
    <row r="26" spans="2:18" x14ac:dyDescent="0.35">
      <c r="B26" s="367" t="s">
        <v>24</v>
      </c>
      <c r="C26" s="116">
        <v>0</v>
      </c>
      <c r="D26" s="117">
        <f>C26/C$40</f>
        <v>0</v>
      </c>
      <c r="E26" s="116">
        <v>0</v>
      </c>
      <c r="F26" s="117">
        <f>E26/E$40</f>
        <v>0</v>
      </c>
      <c r="G26" s="116">
        <v>0</v>
      </c>
      <c r="H26" s="117">
        <f>G26/G$40</f>
        <v>0</v>
      </c>
      <c r="I26" s="116">
        <v>0</v>
      </c>
      <c r="J26" s="117">
        <f>I26/I$40</f>
        <v>0</v>
      </c>
      <c r="K26" s="116">
        <v>0</v>
      </c>
      <c r="L26" s="117">
        <f>K26/K$40</f>
        <v>0</v>
      </c>
      <c r="M26" s="116">
        <v>0</v>
      </c>
      <c r="N26" s="117">
        <f>M26/M$40</f>
        <v>0</v>
      </c>
      <c r="O26" s="116">
        <v>0</v>
      </c>
      <c r="P26" s="117">
        <f>O26/O$40</f>
        <v>0</v>
      </c>
      <c r="Q26" s="116">
        <v>0</v>
      </c>
      <c r="R26" s="118">
        <f>Q26/Q$40</f>
        <v>0</v>
      </c>
    </row>
    <row r="27" spans="2:18" x14ac:dyDescent="0.35">
      <c r="B27" s="367" t="s">
        <v>164</v>
      </c>
      <c r="C27" s="116">
        <v>3.7684269769999994</v>
      </c>
      <c r="D27" s="117">
        <f>C27/C$40</f>
        <v>4.5534418892261069E-3</v>
      </c>
      <c r="E27" s="116">
        <v>0</v>
      </c>
      <c r="F27" s="117">
        <f>E27/E$40</f>
        <v>0</v>
      </c>
      <c r="G27" s="116">
        <v>0</v>
      </c>
      <c r="H27" s="117">
        <f>G27/G$40</f>
        <v>0</v>
      </c>
      <c r="I27" s="116">
        <v>0</v>
      </c>
      <c r="J27" s="117">
        <f>I27/I$40</f>
        <v>0</v>
      </c>
      <c r="K27" s="116">
        <v>0</v>
      </c>
      <c r="L27" s="117">
        <f>K27/K$40</f>
        <v>0</v>
      </c>
      <c r="M27" s="116">
        <v>0</v>
      </c>
      <c r="N27" s="117">
        <f>M27/M$40</f>
        <v>0</v>
      </c>
      <c r="O27" s="116">
        <v>0</v>
      </c>
      <c r="P27" s="117">
        <f>O27/O$40</f>
        <v>0</v>
      </c>
      <c r="Q27" s="116">
        <v>0</v>
      </c>
      <c r="R27" s="118">
        <f>Q27/Q$40</f>
        <v>0</v>
      </c>
    </row>
    <row r="28" spans="2:18" x14ac:dyDescent="0.35">
      <c r="B28" s="367" t="s">
        <v>362</v>
      </c>
      <c r="C28" s="116">
        <v>0</v>
      </c>
      <c r="D28" s="117">
        <f>C28/C$40</f>
        <v>0</v>
      </c>
      <c r="E28" s="116">
        <v>0</v>
      </c>
      <c r="F28" s="117">
        <f>E28/E$40</f>
        <v>0</v>
      </c>
      <c r="G28" s="116">
        <v>0</v>
      </c>
      <c r="H28" s="117">
        <f>G28/G$40</f>
        <v>0</v>
      </c>
      <c r="I28" s="116">
        <v>0</v>
      </c>
      <c r="J28" s="117">
        <f>I28/I$40</f>
        <v>0</v>
      </c>
      <c r="K28" s="116">
        <v>0</v>
      </c>
      <c r="L28" s="117">
        <f>K28/K$40</f>
        <v>0</v>
      </c>
      <c r="M28" s="116">
        <v>0</v>
      </c>
      <c r="N28" s="117">
        <f>M28/M$40</f>
        <v>0</v>
      </c>
      <c r="O28" s="116">
        <v>0</v>
      </c>
      <c r="P28" s="117">
        <f>O28/O$40</f>
        <v>0</v>
      </c>
      <c r="Q28" s="116">
        <v>0</v>
      </c>
      <c r="R28" s="118">
        <f>Q28/Q$40</f>
        <v>0</v>
      </c>
    </row>
    <row r="29" spans="2:18" x14ac:dyDescent="0.35">
      <c r="B29" s="367" t="s">
        <v>26</v>
      </c>
      <c r="C29" s="116">
        <v>37.058285055354609</v>
      </c>
      <c r="D29" s="117">
        <f>C29/C$40</f>
        <v>4.4778032994623032E-2</v>
      </c>
      <c r="E29" s="116">
        <v>0</v>
      </c>
      <c r="F29" s="117">
        <f>E29/E$40</f>
        <v>0</v>
      </c>
      <c r="G29" s="116">
        <v>0</v>
      </c>
      <c r="H29" s="117">
        <f>G29/G$40</f>
        <v>0</v>
      </c>
      <c r="I29" s="116">
        <v>0</v>
      </c>
      <c r="J29" s="117">
        <f>I29/I$40</f>
        <v>0</v>
      </c>
      <c r="K29" s="116">
        <v>0</v>
      </c>
      <c r="L29" s="117">
        <f>K29/K$40</f>
        <v>0</v>
      </c>
      <c r="M29" s="116">
        <v>4.0189932174371403</v>
      </c>
      <c r="N29" s="117">
        <f>M29/M$40</f>
        <v>0.67482035051361478</v>
      </c>
      <c r="O29" s="116">
        <v>0</v>
      </c>
      <c r="P29" s="117">
        <f>O29/O$40</f>
        <v>0</v>
      </c>
      <c r="Q29" s="116">
        <v>0</v>
      </c>
      <c r="R29" s="118">
        <f>Q29/Q$40</f>
        <v>0</v>
      </c>
    </row>
    <row r="30" spans="2:18" x14ac:dyDescent="0.35">
      <c r="B30" s="367" t="s">
        <v>25</v>
      </c>
      <c r="C30" s="116">
        <v>0</v>
      </c>
      <c r="D30" s="117">
        <f>C30/C$40</f>
        <v>0</v>
      </c>
      <c r="E30" s="116">
        <v>0</v>
      </c>
      <c r="F30" s="117">
        <f>E30/E$40</f>
        <v>0</v>
      </c>
      <c r="G30" s="116">
        <v>1.0434584457808218</v>
      </c>
      <c r="H30" s="117">
        <f>G30/G$40</f>
        <v>9.8913072977089983E-3</v>
      </c>
      <c r="I30" s="116">
        <v>0</v>
      </c>
      <c r="J30" s="117">
        <f>I30/I$40</f>
        <v>0</v>
      </c>
      <c r="K30" s="116">
        <v>0</v>
      </c>
      <c r="L30" s="117">
        <f>K30/K$40</f>
        <v>0</v>
      </c>
      <c r="M30" s="116">
        <v>0</v>
      </c>
      <c r="N30" s="117">
        <f>M30/M$40</f>
        <v>0</v>
      </c>
      <c r="O30" s="116">
        <v>0</v>
      </c>
      <c r="P30" s="117">
        <f>O30/O$40</f>
        <v>0</v>
      </c>
      <c r="Q30" s="116">
        <v>0</v>
      </c>
      <c r="R30" s="118">
        <f>Q30/Q$40</f>
        <v>0</v>
      </c>
    </row>
    <row r="31" spans="2:18" x14ac:dyDescent="0.35">
      <c r="B31" s="368" t="s">
        <v>27</v>
      </c>
      <c r="C31" s="113">
        <f>SUM(C32:C33)</f>
        <v>1.25710737551082</v>
      </c>
      <c r="D31" s="114">
        <f t="shared" ref="D31:R31" si="11">SUM(D32:D32)</f>
        <v>1.5189800460092774E-3</v>
      </c>
      <c r="E31" s="113">
        <f>SUM(E32:E33)</f>
        <v>1.4087183465077606</v>
      </c>
      <c r="F31" s="114">
        <f t="shared" si="11"/>
        <v>1.0705233479626552E-2</v>
      </c>
      <c r="G31" s="113">
        <f>SUM(G32:G33)</f>
        <v>0.38162509999999999</v>
      </c>
      <c r="H31" s="114">
        <f t="shared" si="11"/>
        <v>3.6175577013939047E-3</v>
      </c>
      <c r="I31" s="113">
        <f>SUM(I32:I33)</f>
        <v>6.5089317239099956E-2</v>
      </c>
      <c r="J31" s="114">
        <f t="shared" si="11"/>
        <v>3.0590070526291513E-4</v>
      </c>
      <c r="K31" s="113">
        <f>SUM(K32:K33)</f>
        <v>0.38734753185239995</v>
      </c>
      <c r="L31" s="114">
        <f t="shared" si="11"/>
        <v>1</v>
      </c>
      <c r="M31" s="113">
        <f>SUM(M32:M33)</f>
        <v>1.9366558888445999</v>
      </c>
      <c r="N31" s="114">
        <f t="shared" si="11"/>
        <v>0.32517964948638528</v>
      </c>
      <c r="O31" s="113">
        <f>SUM(O32:O33)</f>
        <v>0</v>
      </c>
      <c r="P31" s="114">
        <f t="shared" si="11"/>
        <v>0</v>
      </c>
      <c r="Q31" s="113">
        <f>SUM(Q32:Q33)</f>
        <v>0</v>
      </c>
      <c r="R31" s="115">
        <f t="shared" si="11"/>
        <v>0</v>
      </c>
    </row>
    <row r="32" spans="2:18" x14ac:dyDescent="0.35">
      <c r="B32" s="367" t="s">
        <v>28</v>
      </c>
      <c r="C32" s="116">
        <v>1.25710737551082</v>
      </c>
      <c r="D32" s="117">
        <f>C32/C$40</f>
        <v>1.5189800460092774E-3</v>
      </c>
      <c r="E32" s="116">
        <v>1.4087183465077606</v>
      </c>
      <c r="F32" s="117">
        <f>E32/E$40</f>
        <v>1.0705233479626552E-2</v>
      </c>
      <c r="G32" s="116">
        <v>0.38162509999999999</v>
      </c>
      <c r="H32" s="117">
        <f>G32/G$40</f>
        <v>3.6175577013939047E-3</v>
      </c>
      <c r="I32" s="116">
        <v>6.5089317239099956E-2</v>
      </c>
      <c r="J32" s="117">
        <f>I32/I$40</f>
        <v>3.0590070526291513E-4</v>
      </c>
      <c r="K32" s="116">
        <v>0.38734753185239995</v>
      </c>
      <c r="L32" s="117">
        <f>K32/K$40</f>
        <v>1</v>
      </c>
      <c r="M32" s="116">
        <v>1.9366558888445999</v>
      </c>
      <c r="N32" s="117">
        <f>M32/M$40</f>
        <v>0.32517964948638528</v>
      </c>
      <c r="O32" s="116">
        <v>0</v>
      </c>
      <c r="P32" s="117">
        <f>O32/O$40</f>
        <v>0</v>
      </c>
      <c r="Q32" s="116">
        <v>0</v>
      </c>
      <c r="R32" s="118">
        <f>Q32/Q$40</f>
        <v>0</v>
      </c>
    </row>
    <row r="33" spans="2:18" x14ac:dyDescent="0.35">
      <c r="B33" s="367" t="s">
        <v>322</v>
      </c>
      <c r="C33" s="116">
        <v>0</v>
      </c>
      <c r="D33" s="117">
        <f>C33/C$40</f>
        <v>0</v>
      </c>
      <c r="E33" s="116">
        <v>0</v>
      </c>
      <c r="F33" s="117">
        <f>E33/E$40</f>
        <v>0</v>
      </c>
      <c r="G33" s="116">
        <v>0</v>
      </c>
      <c r="H33" s="117">
        <f>G33/G$40</f>
        <v>0</v>
      </c>
      <c r="I33" s="116">
        <v>0</v>
      </c>
      <c r="J33" s="117">
        <f>I33/I$40</f>
        <v>0</v>
      </c>
      <c r="K33" s="116">
        <v>0</v>
      </c>
      <c r="L33" s="117">
        <f>K33/K$40</f>
        <v>0</v>
      </c>
      <c r="M33" s="116">
        <v>0</v>
      </c>
      <c r="N33" s="117">
        <f>M33/M$40</f>
        <v>0</v>
      </c>
      <c r="O33" s="116">
        <v>0</v>
      </c>
      <c r="P33" s="117">
        <f>O33/O$40</f>
        <v>0</v>
      </c>
      <c r="Q33" s="116">
        <v>0</v>
      </c>
      <c r="R33" s="118">
        <f>Q33/Q$40</f>
        <v>0</v>
      </c>
    </row>
    <row r="34" spans="2:18" x14ac:dyDescent="0.35">
      <c r="B34" s="368" t="s">
        <v>29</v>
      </c>
      <c r="C34" s="113">
        <f t="shared" ref="C34:N34" si="12">SUM(C35:C38)</f>
        <v>128.98860108500003</v>
      </c>
      <c r="D34" s="114">
        <f t="shared" si="12"/>
        <v>0.15585869196825761</v>
      </c>
      <c r="E34" s="113">
        <f t="shared" si="12"/>
        <v>16.307316549999999</v>
      </c>
      <c r="F34" s="114">
        <f t="shared" si="12"/>
        <v>0.12392372934355507</v>
      </c>
      <c r="G34" s="113">
        <f t="shared" si="12"/>
        <v>45.832351256999999</v>
      </c>
      <c r="H34" s="114">
        <f t="shared" si="12"/>
        <v>0.43446087603449285</v>
      </c>
      <c r="I34" s="113">
        <f t="shared" si="12"/>
        <v>26.460863441099999</v>
      </c>
      <c r="J34" s="114">
        <f t="shared" si="12"/>
        <v>0.12435829920851856</v>
      </c>
      <c r="K34" s="113">
        <f t="shared" si="12"/>
        <v>0</v>
      </c>
      <c r="L34" s="114">
        <f t="shared" si="12"/>
        <v>0</v>
      </c>
      <c r="M34" s="113">
        <f t="shared" si="12"/>
        <v>0</v>
      </c>
      <c r="N34" s="114">
        <f t="shared" si="12"/>
        <v>0</v>
      </c>
      <c r="O34" s="113">
        <f>SUM(O35:O38)</f>
        <v>3.0681628999999999</v>
      </c>
      <c r="P34" s="114">
        <f>SUM(P35:P38)</f>
        <v>0.37775718867203456</v>
      </c>
      <c r="Q34" s="113">
        <f>SUM(Q35:Q38)</f>
        <v>3.0681628999999999</v>
      </c>
      <c r="R34" s="115">
        <f>SUM(R35:R38)</f>
        <v>0.37775718867203456</v>
      </c>
    </row>
    <row r="35" spans="2:18" x14ac:dyDescent="0.35">
      <c r="B35" s="367" t="s">
        <v>324</v>
      </c>
      <c r="C35" s="116">
        <v>3.8968358800000003</v>
      </c>
      <c r="D35" s="117">
        <f>C35/C$40</f>
        <v>4.7086001240647848E-3</v>
      </c>
      <c r="E35" s="116">
        <v>0</v>
      </c>
      <c r="F35" s="117">
        <f>E35/E$40</f>
        <v>0</v>
      </c>
      <c r="G35" s="116">
        <v>0</v>
      </c>
      <c r="H35" s="117">
        <f>G35/G$40</f>
        <v>0</v>
      </c>
      <c r="I35" s="116">
        <v>2.6481260400000002</v>
      </c>
      <c r="J35" s="117">
        <f>I35/I$40</f>
        <v>1.2445415893446728E-2</v>
      </c>
      <c r="K35" s="116">
        <v>0</v>
      </c>
      <c r="L35" s="117">
        <f>K35/K$40</f>
        <v>0</v>
      </c>
      <c r="M35" s="116">
        <v>0</v>
      </c>
      <c r="N35" s="117">
        <f>M35/M$40</f>
        <v>0</v>
      </c>
      <c r="O35" s="116">
        <v>0</v>
      </c>
      <c r="P35" s="117">
        <f>O35/O$40</f>
        <v>0</v>
      </c>
      <c r="Q35" s="116">
        <v>0</v>
      </c>
      <c r="R35" s="118">
        <f>Q35/Q$40</f>
        <v>0</v>
      </c>
    </row>
    <row r="36" spans="2:18" x14ac:dyDescent="0.35">
      <c r="B36" s="367" t="s">
        <v>30</v>
      </c>
      <c r="C36" s="116">
        <v>29.203060600000001</v>
      </c>
      <c r="D36" s="117">
        <f>C36/C$40</f>
        <v>3.5286457782315282E-2</v>
      </c>
      <c r="E36" s="116">
        <v>16.307316549999999</v>
      </c>
      <c r="F36" s="117">
        <f>E36/E$40</f>
        <v>0.12392372934355507</v>
      </c>
      <c r="G36" s="116">
        <v>0</v>
      </c>
      <c r="H36" s="117">
        <f>G36/G$40</f>
        <v>0</v>
      </c>
      <c r="I36" s="116">
        <v>2.7974894499999996</v>
      </c>
      <c r="J36" s="117">
        <f>I36/I$40</f>
        <v>1.3147380123485186E-2</v>
      </c>
      <c r="K36" s="116">
        <v>0</v>
      </c>
      <c r="L36" s="117">
        <f>K36/K$40</f>
        <v>0</v>
      </c>
      <c r="M36" s="116">
        <v>0</v>
      </c>
      <c r="N36" s="117">
        <f>M36/M$40</f>
        <v>0</v>
      </c>
      <c r="O36" s="116">
        <v>0</v>
      </c>
      <c r="P36" s="117">
        <f>O36/O$40</f>
        <v>0</v>
      </c>
      <c r="Q36" s="116">
        <v>0</v>
      </c>
      <c r="R36" s="118">
        <f>Q36/Q$40</f>
        <v>0</v>
      </c>
    </row>
    <row r="37" spans="2:18" x14ac:dyDescent="0.35">
      <c r="B37" s="367" t="s">
        <v>31</v>
      </c>
      <c r="C37" s="116">
        <v>17.519326100000001</v>
      </c>
      <c r="D37" s="117">
        <f>C37/C$40</f>
        <v>2.1168841487876934E-2</v>
      </c>
      <c r="E37" s="116">
        <v>0</v>
      </c>
      <c r="F37" s="117">
        <f>E37/E$40</f>
        <v>0</v>
      </c>
      <c r="G37" s="116">
        <v>6.3590412509999998</v>
      </c>
      <c r="H37" s="117">
        <f>G37/G$40</f>
        <v>6.027957451183525E-2</v>
      </c>
      <c r="I37" s="116">
        <v>5.3988085741000003</v>
      </c>
      <c r="J37" s="117">
        <f>I37/I$40</f>
        <v>2.537281723712086E-2</v>
      </c>
      <c r="K37" s="116">
        <v>0</v>
      </c>
      <c r="L37" s="117">
        <f>K37/K$40</f>
        <v>0</v>
      </c>
      <c r="M37" s="116">
        <v>0</v>
      </c>
      <c r="N37" s="117">
        <f>M37/M$40</f>
        <v>0</v>
      </c>
      <c r="O37" s="116">
        <v>1.7180754</v>
      </c>
      <c r="P37" s="117">
        <f>O37/O$40</f>
        <v>0.211532227650162</v>
      </c>
      <c r="Q37" s="116">
        <v>1.7180754</v>
      </c>
      <c r="R37" s="118">
        <f>Q37/Q$40</f>
        <v>0.211532227650162</v>
      </c>
    </row>
    <row r="38" spans="2:18" x14ac:dyDescent="0.35">
      <c r="B38" s="408" t="s">
        <v>176</v>
      </c>
      <c r="C38" s="119">
        <v>78.369378505000014</v>
      </c>
      <c r="D38" s="120">
        <f>C38/C$40</f>
        <v>9.4694792574000611E-2</v>
      </c>
      <c r="E38" s="119">
        <v>0</v>
      </c>
      <c r="F38" s="120">
        <f>E38/E$40</f>
        <v>0</v>
      </c>
      <c r="G38" s="119">
        <v>39.473310005999998</v>
      </c>
      <c r="H38" s="120">
        <f>G38/G$40</f>
        <v>0.37418130152265761</v>
      </c>
      <c r="I38" s="119">
        <v>15.616439376999999</v>
      </c>
      <c r="J38" s="120">
        <f>I38/I$40</f>
        <v>7.3392685954465783E-2</v>
      </c>
      <c r="K38" s="119">
        <v>0</v>
      </c>
      <c r="L38" s="120">
        <f>K38/K$40</f>
        <v>0</v>
      </c>
      <c r="M38" s="119">
        <v>0</v>
      </c>
      <c r="N38" s="120">
        <f>M38/M$40</f>
        <v>0</v>
      </c>
      <c r="O38" s="119">
        <v>1.3500875000000001</v>
      </c>
      <c r="P38" s="120">
        <f>O38/O$40</f>
        <v>0.16622496102187254</v>
      </c>
      <c r="Q38" s="119">
        <v>1.3500875000000001</v>
      </c>
      <c r="R38" s="121">
        <f>Q38/Q$40</f>
        <v>0.16622496102187254</v>
      </c>
    </row>
    <row r="39" spans="2:18" x14ac:dyDescent="0.35">
      <c r="B39" s="367"/>
      <c r="C39" s="4"/>
      <c r="D39" s="117"/>
      <c r="E39" s="4"/>
      <c r="F39" s="117"/>
      <c r="G39" s="4"/>
      <c r="H39" s="117"/>
      <c r="I39" s="4"/>
      <c r="J39" s="4"/>
      <c r="K39" s="4"/>
      <c r="L39" s="117"/>
      <c r="M39" s="4"/>
      <c r="N39" s="117"/>
      <c r="O39" s="4"/>
      <c r="P39" s="117"/>
      <c r="Q39" s="4"/>
      <c r="R39" s="118"/>
    </row>
    <row r="40" spans="2:18" x14ac:dyDescent="0.35">
      <c r="B40" s="82" t="s">
        <v>45</v>
      </c>
      <c r="C40" s="122">
        <f t="shared" ref="C40:R40" si="13">C34+C31+C25+C19+C6</f>
        <v>827.5996638754674</v>
      </c>
      <c r="D40" s="123">
        <f t="shared" si="13"/>
        <v>1</v>
      </c>
      <c r="E40" s="122">
        <f t="shared" si="13"/>
        <v>131.59155745540107</v>
      </c>
      <c r="F40" s="123">
        <f t="shared" si="13"/>
        <v>1</v>
      </c>
      <c r="G40" s="122">
        <f>G34+G31+G25+G19+G6+G23</f>
        <v>105.49247074979718</v>
      </c>
      <c r="H40" s="123">
        <f t="shared" si="13"/>
        <v>0.99194466444893981</v>
      </c>
      <c r="I40" s="122">
        <f t="shared" si="13"/>
        <v>212.77923234324379</v>
      </c>
      <c r="J40" s="123">
        <f t="shared" si="13"/>
        <v>0.99999999999999989</v>
      </c>
      <c r="K40" s="122">
        <f t="shared" si="13"/>
        <v>0.38734753185239995</v>
      </c>
      <c r="L40" s="123">
        <f t="shared" si="13"/>
        <v>1</v>
      </c>
      <c r="M40" s="122">
        <f t="shared" si="13"/>
        <v>5.95564910628174</v>
      </c>
      <c r="N40" s="123">
        <f t="shared" si="13"/>
        <v>1</v>
      </c>
      <c r="O40" s="122">
        <f t="shared" si="13"/>
        <v>8.1220503328760003</v>
      </c>
      <c r="P40" s="123">
        <f t="shared" si="13"/>
        <v>1</v>
      </c>
      <c r="Q40" s="122">
        <f t="shared" si="13"/>
        <v>8.1220503328760003</v>
      </c>
      <c r="R40" s="124">
        <f t="shared" si="13"/>
        <v>1</v>
      </c>
    </row>
    <row r="41" spans="2:18" x14ac:dyDescent="0.35">
      <c r="B41" s="398" t="s">
        <v>212</v>
      </c>
      <c r="C41" s="409">
        <f>C40+E40+G40+O40+Q40+I40+K40+M40-('Portfolio Allocation'!F28-'Portfolio Allocation'!F26+'Portfolio Allocation'!E26)</f>
        <v>0</v>
      </c>
    </row>
    <row r="43" spans="2:18" ht="15" customHeight="1" x14ac:dyDescent="0.35">
      <c r="B43" s="126" t="s">
        <v>259</v>
      </c>
      <c r="C43" s="410">
        <f>C40+E40</f>
        <v>959.19122133086853</v>
      </c>
    </row>
    <row r="44" spans="2:18" x14ac:dyDescent="0.35">
      <c r="B44" s="126" t="s">
        <v>260</v>
      </c>
      <c r="C44" s="410">
        <f>G40+I40+K40+M40+O40+Q40</f>
        <v>340.85880039692711</v>
      </c>
      <c r="D44" s="411"/>
    </row>
    <row r="45" spans="2:18" x14ac:dyDescent="0.35">
      <c r="C45" s="412"/>
      <c r="D45" s="411"/>
    </row>
  </sheetData>
  <mergeCells count="17">
    <mergeCell ref="O3:O4"/>
    <mergeCell ref="P3:P4"/>
    <mergeCell ref="Q3:Q4"/>
    <mergeCell ref="R3:R4"/>
    <mergeCell ref="M3:M4"/>
    <mergeCell ref="N3:N4"/>
    <mergeCell ref="L3:L4"/>
    <mergeCell ref="K3:K4"/>
    <mergeCell ref="B3:B4"/>
    <mergeCell ref="C3:C4"/>
    <mergeCell ref="E3:E4"/>
    <mergeCell ref="G3:G4"/>
    <mergeCell ref="I3:I4"/>
    <mergeCell ref="D3:D4"/>
    <mergeCell ref="F3:F4"/>
    <mergeCell ref="H3:H4"/>
    <mergeCell ref="J3:J4"/>
  </mergeCells>
  <pageMargins left="0.7" right="0.7" top="0.75" bottom="0.75" header="0.3" footer="0.3"/>
  <pageSetup orientation="portrait" r:id="rId1"/>
  <ignoredErrors>
    <ignoredError sqref="O18:O19 P38 O25 O34 O22" 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B1:N87"/>
  <sheetViews>
    <sheetView topLeftCell="D7" workbookViewId="0">
      <selection activeCell="E25" sqref="E25"/>
    </sheetView>
  </sheetViews>
  <sheetFormatPr defaultColWidth="9.19921875" defaultRowHeight="13.15" x14ac:dyDescent="0.4"/>
  <cols>
    <col min="1" max="1" width="9.19921875" style="207"/>
    <col min="2" max="2" width="15.73046875" style="207" bestFit="1" customWidth="1"/>
    <col min="3" max="3" width="9.19921875" style="215" bestFit="1" customWidth="1"/>
    <col min="4" max="4" width="21.53125" style="215" customWidth="1"/>
    <col min="5" max="5" width="34.53125" style="215" bestFit="1" customWidth="1"/>
    <col min="6" max="6" width="10.46484375" style="215" bestFit="1" customWidth="1"/>
    <col min="7" max="7" width="9.19921875" style="207"/>
    <col min="8" max="8" width="15.73046875" style="207" bestFit="1" customWidth="1"/>
    <col min="9" max="9" width="9.19921875" style="207" bestFit="1" customWidth="1"/>
    <col min="10" max="10" width="18.53125" style="207" bestFit="1" customWidth="1"/>
    <col min="11" max="11" width="31.46484375" style="207" bestFit="1" customWidth="1"/>
    <col min="12" max="12" width="9.796875" style="207" bestFit="1" customWidth="1"/>
    <col min="13" max="16384" width="9.19921875" style="207"/>
  </cols>
  <sheetData>
    <row r="1" spans="2:13" s="263" customFormat="1" x14ac:dyDescent="0.4">
      <c r="B1" s="216" t="s">
        <v>559</v>
      </c>
      <c r="C1" s="215"/>
      <c r="D1" s="215"/>
      <c r="E1" s="215"/>
      <c r="F1" s="215"/>
      <c r="G1" s="316"/>
      <c r="H1" s="216" t="s">
        <v>561</v>
      </c>
      <c r="I1" s="207"/>
      <c r="J1" s="207"/>
      <c r="K1" s="207"/>
      <c r="L1" s="207"/>
      <c r="M1" s="207"/>
    </row>
    <row r="2" spans="2:13" x14ac:dyDescent="0.4">
      <c r="B2" s="276" t="s">
        <v>237</v>
      </c>
      <c r="C2" s="276" t="s">
        <v>236</v>
      </c>
      <c r="D2" s="276" t="s">
        <v>0</v>
      </c>
      <c r="E2" s="276" t="s">
        <v>235</v>
      </c>
      <c r="F2" s="276" t="s">
        <v>225</v>
      </c>
      <c r="G2" s="280"/>
      <c r="H2" s="276" t="s">
        <v>237</v>
      </c>
      <c r="I2" s="276" t="s">
        <v>236</v>
      </c>
      <c r="J2" s="276" t="s">
        <v>0</v>
      </c>
      <c r="K2" s="276" t="s">
        <v>235</v>
      </c>
      <c r="L2" s="276" t="s">
        <v>224</v>
      </c>
    </row>
    <row r="3" spans="2:13" x14ac:dyDescent="0.4">
      <c r="B3" s="275" t="s">
        <v>78</v>
      </c>
      <c r="C3" s="263">
        <v>46188</v>
      </c>
      <c r="D3" s="339" t="s">
        <v>486</v>
      </c>
      <c r="E3" s="1" t="s">
        <v>532</v>
      </c>
      <c r="F3" s="484">
        <v>7.6062000000000005E-2</v>
      </c>
      <c r="G3" s="280"/>
      <c r="H3" s="275" t="s">
        <v>76</v>
      </c>
      <c r="I3" s="528">
        <v>46190</v>
      </c>
      <c r="J3" s="437" t="s">
        <v>255</v>
      </c>
      <c r="K3" s="1" t="s">
        <v>545</v>
      </c>
      <c r="L3" s="529">
        <v>0.51789154552852001</v>
      </c>
    </row>
    <row r="4" spans="2:13" x14ac:dyDescent="0.4">
      <c r="B4" s="275" t="s">
        <v>78</v>
      </c>
      <c r="C4" s="263">
        <v>46192</v>
      </c>
      <c r="D4" s="339" t="s">
        <v>486</v>
      </c>
      <c r="E4" s="1" t="s">
        <v>532</v>
      </c>
      <c r="F4" s="484">
        <v>7.8592499999999996E-2</v>
      </c>
      <c r="G4" s="327"/>
      <c r="H4" s="275" t="s">
        <v>76</v>
      </c>
      <c r="I4" s="528">
        <v>46191</v>
      </c>
      <c r="J4" s="437" t="s">
        <v>255</v>
      </c>
      <c r="K4" s="1" t="s">
        <v>545</v>
      </c>
      <c r="L4" s="529">
        <v>0.36817016197858399</v>
      </c>
      <c r="M4" s="214"/>
    </row>
    <row r="5" spans="2:13" x14ac:dyDescent="0.4">
      <c r="B5" s="275" t="s">
        <v>76</v>
      </c>
      <c r="C5" s="263">
        <v>46197</v>
      </c>
      <c r="D5" s="126" t="s">
        <v>255</v>
      </c>
      <c r="E5" s="79" t="s">
        <v>203</v>
      </c>
      <c r="F5" s="484">
        <v>1.0000119999999999</v>
      </c>
      <c r="G5" s="328"/>
      <c r="H5" s="275" t="s">
        <v>76</v>
      </c>
      <c r="I5" s="528">
        <v>46190</v>
      </c>
      <c r="J5" s="437" t="s">
        <v>255</v>
      </c>
      <c r="K5" s="1" t="s">
        <v>546</v>
      </c>
      <c r="L5" s="529">
        <v>1.0034018550079999</v>
      </c>
      <c r="M5" s="214"/>
    </row>
    <row r="6" spans="2:13" x14ac:dyDescent="0.4">
      <c r="B6" s="275" t="s">
        <v>76</v>
      </c>
      <c r="C6" s="263">
        <v>46198</v>
      </c>
      <c r="D6" s="339" t="s">
        <v>255</v>
      </c>
      <c r="E6" s="9" t="s">
        <v>203</v>
      </c>
      <c r="F6" s="484">
        <v>1.0000119999999999</v>
      </c>
      <c r="G6" s="211"/>
      <c r="H6" s="238" t="s">
        <v>76</v>
      </c>
      <c r="I6" s="263">
        <v>46177</v>
      </c>
      <c r="J6" s="437" t="s">
        <v>18</v>
      </c>
      <c r="K6" s="1" t="s">
        <v>419</v>
      </c>
      <c r="L6" s="529">
        <v>1.8749062541685</v>
      </c>
      <c r="M6" s="214"/>
    </row>
    <row r="7" spans="2:13" x14ac:dyDescent="0.4">
      <c r="B7" s="275" t="s">
        <v>76</v>
      </c>
      <c r="C7" s="263">
        <v>46203</v>
      </c>
      <c r="D7" s="339" t="s">
        <v>255</v>
      </c>
      <c r="E7" s="9" t="s">
        <v>203</v>
      </c>
      <c r="F7" s="484">
        <v>1.0000119999999999</v>
      </c>
      <c r="G7" s="214"/>
      <c r="H7" s="238" t="s">
        <v>76</v>
      </c>
      <c r="I7" s="212">
        <v>46184</v>
      </c>
      <c r="J7" s="437" t="s">
        <v>18</v>
      </c>
      <c r="K7" s="1" t="s">
        <v>419</v>
      </c>
      <c r="L7" s="530">
        <v>1.8749062532988001</v>
      </c>
      <c r="M7" s="214"/>
    </row>
    <row r="8" spans="2:13" x14ac:dyDescent="0.4">
      <c r="B8" s="275" t="s">
        <v>79</v>
      </c>
      <c r="C8" s="263">
        <v>46195</v>
      </c>
      <c r="D8" s="339" t="s">
        <v>19</v>
      </c>
      <c r="E8" s="9" t="s">
        <v>278</v>
      </c>
      <c r="F8" s="484">
        <v>3.3040293625899997</v>
      </c>
      <c r="G8" s="214"/>
      <c r="H8" s="238" t="s">
        <v>76</v>
      </c>
      <c r="I8" s="212">
        <v>46191</v>
      </c>
      <c r="J8" s="437" t="s">
        <v>18</v>
      </c>
      <c r="K8" s="1" t="s">
        <v>419</v>
      </c>
      <c r="L8" s="530">
        <v>1.8749062539330001</v>
      </c>
      <c r="M8" s="214"/>
    </row>
    <row r="9" spans="2:13" x14ac:dyDescent="0.4">
      <c r="B9" s="275" t="s">
        <v>78</v>
      </c>
      <c r="C9" s="263">
        <v>46195</v>
      </c>
      <c r="D9" s="126" t="s">
        <v>19</v>
      </c>
      <c r="E9" s="9" t="s">
        <v>279</v>
      </c>
      <c r="F9" s="484">
        <v>1.00358505651</v>
      </c>
      <c r="G9" s="214"/>
      <c r="H9" s="238" t="s">
        <v>76</v>
      </c>
      <c r="I9" s="212">
        <v>46198</v>
      </c>
      <c r="J9" s="437" t="s">
        <v>18</v>
      </c>
      <c r="K9" s="1" t="s">
        <v>419</v>
      </c>
      <c r="L9" s="530">
        <v>1.8749062506839997</v>
      </c>
      <c r="M9" s="211"/>
    </row>
    <row r="10" spans="2:13" x14ac:dyDescent="0.4">
      <c r="B10" s="275" t="s">
        <v>79</v>
      </c>
      <c r="C10" s="263">
        <v>46195</v>
      </c>
      <c r="D10" s="339" t="s">
        <v>19</v>
      </c>
      <c r="E10" s="1" t="s">
        <v>279</v>
      </c>
      <c r="F10" s="484">
        <v>4.7241341334759994</v>
      </c>
      <c r="G10" s="214"/>
      <c r="H10" s="275" t="s">
        <v>76</v>
      </c>
      <c r="I10" s="263">
        <v>46174</v>
      </c>
      <c r="J10" s="437" t="s">
        <v>18</v>
      </c>
      <c r="K10" s="1" t="s">
        <v>548</v>
      </c>
      <c r="L10" s="436">
        <v>25</v>
      </c>
      <c r="M10" s="211"/>
    </row>
    <row r="11" spans="2:13" x14ac:dyDescent="0.4">
      <c r="B11" s="275" t="s">
        <v>79</v>
      </c>
      <c r="C11" s="212">
        <v>46202</v>
      </c>
      <c r="D11" s="126" t="s">
        <v>18</v>
      </c>
      <c r="E11" s="315" t="s">
        <v>264</v>
      </c>
      <c r="F11" s="484">
        <v>3.3278911127447999</v>
      </c>
      <c r="G11" s="213"/>
      <c r="H11" s="210"/>
      <c r="I11" s="212"/>
      <c r="J11" s="212"/>
      <c r="K11" s="212"/>
      <c r="L11" s="212"/>
      <c r="M11" s="211"/>
    </row>
    <row r="12" spans="2:13" x14ac:dyDescent="0.4">
      <c r="B12" s="275" t="s">
        <v>79</v>
      </c>
      <c r="C12" s="263">
        <v>46202</v>
      </c>
      <c r="D12" s="126" t="s">
        <v>18</v>
      </c>
      <c r="E12" s="79" t="s">
        <v>264</v>
      </c>
      <c r="F12" s="484">
        <v>0.5073839036651</v>
      </c>
      <c r="G12" s="214"/>
      <c r="H12" s="210"/>
      <c r="I12" s="212"/>
      <c r="J12" s="212"/>
      <c r="K12" s="212"/>
      <c r="L12" s="212"/>
      <c r="M12" s="211"/>
    </row>
    <row r="13" spans="2:13" x14ac:dyDescent="0.4">
      <c r="B13" s="275" t="s">
        <v>78</v>
      </c>
      <c r="C13" s="212">
        <v>46203</v>
      </c>
      <c r="D13" s="126" t="s">
        <v>18</v>
      </c>
      <c r="E13" s="1" t="s">
        <v>264</v>
      </c>
      <c r="F13" s="484">
        <v>0.96253226027280003</v>
      </c>
      <c r="G13" s="213"/>
      <c r="H13" s="210"/>
      <c r="I13" s="212"/>
      <c r="J13" s="212"/>
      <c r="K13" s="212"/>
      <c r="L13" s="212"/>
      <c r="M13" s="211"/>
    </row>
    <row r="14" spans="2:13" x14ac:dyDescent="0.4">
      <c r="B14" s="275" t="s">
        <v>76</v>
      </c>
      <c r="C14" s="263">
        <v>46202</v>
      </c>
      <c r="D14" s="126" t="s">
        <v>18</v>
      </c>
      <c r="E14" s="79" t="s">
        <v>264</v>
      </c>
      <c r="F14" s="484">
        <v>3.9526520669327998</v>
      </c>
      <c r="G14" s="214"/>
      <c r="H14" s="210"/>
      <c r="I14" s="212"/>
      <c r="J14" s="212"/>
      <c r="K14" s="212"/>
      <c r="L14" s="212"/>
      <c r="M14" s="211"/>
    </row>
    <row r="15" spans="2:13" x14ac:dyDescent="0.4">
      <c r="B15" s="275" t="s">
        <v>76</v>
      </c>
      <c r="C15" s="263">
        <v>46202</v>
      </c>
      <c r="D15" s="339" t="s">
        <v>18</v>
      </c>
      <c r="E15" s="79" t="s">
        <v>264</v>
      </c>
      <c r="F15" s="484">
        <v>0.8517010204505</v>
      </c>
      <c r="G15" s="214"/>
      <c r="H15" s="210"/>
      <c r="I15" s="212"/>
      <c r="J15" s="212"/>
      <c r="K15" s="212"/>
      <c r="L15" s="212"/>
      <c r="M15" s="211"/>
    </row>
    <row r="16" spans="2:13" x14ac:dyDescent="0.4">
      <c r="B16" s="275" t="s">
        <v>76</v>
      </c>
      <c r="C16" s="263">
        <v>46202</v>
      </c>
      <c r="D16" s="339" t="s">
        <v>18</v>
      </c>
      <c r="E16" s="1" t="s">
        <v>268</v>
      </c>
      <c r="F16" s="484">
        <v>3.6962218379999996</v>
      </c>
      <c r="G16" s="214"/>
      <c r="H16" s="209"/>
      <c r="I16" s="212"/>
      <c r="J16" s="212"/>
      <c r="K16" s="212"/>
      <c r="L16" s="212"/>
      <c r="M16" s="211"/>
    </row>
    <row r="17" spans="2:14" x14ac:dyDescent="0.4">
      <c r="B17" s="339" t="s">
        <v>76</v>
      </c>
      <c r="C17" s="338">
        <v>46202</v>
      </c>
      <c r="D17" s="126" t="s">
        <v>18</v>
      </c>
      <c r="E17" s="437" t="s">
        <v>268</v>
      </c>
      <c r="F17" s="321">
        <v>1.0250607620000001</v>
      </c>
      <c r="G17" s="214"/>
      <c r="H17" s="209"/>
      <c r="I17" s="212"/>
      <c r="J17" s="212"/>
      <c r="K17" s="212"/>
      <c r="L17" s="212"/>
      <c r="M17" s="211"/>
      <c r="N17" s="238"/>
    </row>
    <row r="18" spans="2:14" x14ac:dyDescent="0.4">
      <c r="B18" s="221" t="s">
        <v>79</v>
      </c>
      <c r="C18" s="338">
        <v>46202</v>
      </c>
      <c r="D18" s="126" t="s">
        <v>18</v>
      </c>
      <c r="E18" s="437" t="s">
        <v>268</v>
      </c>
      <c r="F18" s="321">
        <v>0.92550868600000014</v>
      </c>
      <c r="G18" s="214"/>
      <c r="H18" s="9"/>
      <c r="I18" s="212"/>
      <c r="J18" s="212"/>
      <c r="K18" s="212"/>
      <c r="L18" s="212"/>
      <c r="M18" s="211"/>
      <c r="N18" s="238"/>
    </row>
    <row r="19" spans="2:14" x14ac:dyDescent="0.4">
      <c r="B19" s="221" t="s">
        <v>78</v>
      </c>
      <c r="C19" s="338">
        <v>46202</v>
      </c>
      <c r="D19" s="126" t="s">
        <v>18</v>
      </c>
      <c r="E19" s="437" t="s">
        <v>268</v>
      </c>
      <c r="F19" s="321">
        <v>0.29093860081</v>
      </c>
      <c r="G19" s="213"/>
      <c r="H19" s="9"/>
      <c r="I19" s="212"/>
      <c r="J19" s="212"/>
      <c r="K19" s="212"/>
      <c r="L19" s="212"/>
      <c r="M19" s="213"/>
    </row>
    <row r="20" spans="2:14" x14ac:dyDescent="0.4">
      <c r="B20" s="221" t="s">
        <v>78</v>
      </c>
      <c r="C20" s="338">
        <v>46198</v>
      </c>
      <c r="D20" s="339" t="s">
        <v>486</v>
      </c>
      <c r="E20" s="437" t="s">
        <v>531</v>
      </c>
      <c r="F20" s="321">
        <v>0.15089759999999999</v>
      </c>
      <c r="G20" s="214"/>
      <c r="H20" s="9"/>
      <c r="I20" s="212"/>
      <c r="J20" s="212"/>
      <c r="K20" s="212"/>
      <c r="L20" s="212"/>
      <c r="M20" s="211"/>
    </row>
    <row r="21" spans="2:14" x14ac:dyDescent="0.4">
      <c r="B21" s="221" t="s">
        <v>76</v>
      </c>
      <c r="C21" s="338">
        <v>46197</v>
      </c>
      <c r="D21" s="339" t="s">
        <v>19</v>
      </c>
      <c r="E21" s="1" t="s">
        <v>368</v>
      </c>
      <c r="F21" s="321">
        <v>4.3103739447359999</v>
      </c>
      <c r="G21" s="211"/>
      <c r="H21" s="210"/>
      <c r="I21" s="212"/>
      <c r="J21" s="212"/>
      <c r="K21" s="212"/>
      <c r="L21" s="212"/>
      <c r="M21" s="211"/>
    </row>
    <row r="22" spans="2:14" x14ac:dyDescent="0.4">
      <c r="B22" s="221"/>
      <c r="C22" s="338"/>
      <c r="D22" s="339"/>
      <c r="E22" s="1"/>
      <c r="F22" s="321"/>
      <c r="G22" s="214"/>
      <c r="H22" s="210"/>
      <c r="I22" s="212"/>
      <c r="J22" s="212"/>
      <c r="K22" s="212"/>
      <c r="L22" s="212"/>
      <c r="M22" s="211"/>
    </row>
    <row r="23" spans="2:14" x14ac:dyDescent="0.4">
      <c r="B23" s="339"/>
      <c r="C23" s="338"/>
      <c r="D23" s="126"/>
      <c r="E23" s="1"/>
      <c r="F23" s="321"/>
      <c r="G23" s="213"/>
      <c r="H23" s="210"/>
      <c r="I23" s="212"/>
      <c r="J23" s="212"/>
      <c r="K23" s="212"/>
      <c r="L23" s="212"/>
      <c r="M23" s="211"/>
    </row>
    <row r="24" spans="2:14" x14ac:dyDescent="0.4">
      <c r="B24" s="221"/>
      <c r="C24" s="338"/>
      <c r="D24" s="126"/>
      <c r="E24" s="1"/>
      <c r="F24" s="321"/>
      <c r="G24" s="214"/>
      <c r="H24" s="210"/>
      <c r="I24" s="212"/>
      <c r="J24" s="212"/>
      <c r="K24" s="212"/>
      <c r="L24" s="212"/>
      <c r="M24" s="211"/>
    </row>
    <row r="25" spans="2:14" x14ac:dyDescent="0.4">
      <c r="B25" s="339"/>
      <c r="C25" s="338"/>
      <c r="D25" s="126"/>
      <c r="E25" s="1"/>
      <c r="F25" s="321"/>
      <c r="G25" s="213"/>
      <c r="H25" s="210"/>
      <c r="I25" s="212"/>
      <c r="J25" s="212"/>
      <c r="K25" s="212"/>
      <c r="L25" s="212"/>
      <c r="M25" s="211"/>
    </row>
    <row r="26" spans="2:14" x14ac:dyDescent="0.4">
      <c r="B26" s="221"/>
      <c r="C26" s="338"/>
      <c r="D26" s="339"/>
      <c r="E26" s="339"/>
      <c r="F26" s="321"/>
      <c r="G26" s="214"/>
      <c r="H26" s="210"/>
      <c r="I26" s="212"/>
      <c r="J26" s="212"/>
      <c r="K26" s="212"/>
      <c r="L26" s="212"/>
      <c r="M26" s="211"/>
    </row>
    <row r="27" spans="2:14" x14ac:dyDescent="0.4">
      <c r="B27" s="221"/>
      <c r="C27" s="338"/>
      <c r="D27" s="126"/>
      <c r="E27" s="126"/>
      <c r="F27" s="321"/>
      <c r="G27" s="214"/>
      <c r="H27" s="210"/>
      <c r="I27" s="212"/>
      <c r="J27" s="212"/>
      <c r="K27" s="212"/>
      <c r="L27" s="212"/>
      <c r="M27" s="211"/>
    </row>
    <row r="28" spans="2:14" x14ac:dyDescent="0.4">
      <c r="B28" s="221"/>
      <c r="C28" s="338"/>
      <c r="D28" s="126"/>
      <c r="E28" s="126"/>
      <c r="F28" s="321"/>
      <c r="G28" s="214"/>
      <c r="H28" s="210"/>
      <c r="I28" s="212"/>
      <c r="J28" s="212"/>
      <c r="K28" s="212"/>
      <c r="L28" s="212"/>
      <c r="M28" s="211"/>
    </row>
    <row r="29" spans="2:14" x14ac:dyDescent="0.4">
      <c r="B29" s="221"/>
      <c r="C29" s="338"/>
      <c r="D29" s="126"/>
      <c r="E29" s="126"/>
      <c r="F29" s="321"/>
      <c r="G29" s="214"/>
      <c r="H29" s="210"/>
      <c r="I29" s="212"/>
      <c r="J29" s="212"/>
      <c r="K29" s="212"/>
      <c r="L29" s="212"/>
      <c r="M29" s="211"/>
    </row>
    <row r="30" spans="2:14" x14ac:dyDescent="0.4">
      <c r="B30" s="221"/>
      <c r="C30" s="338"/>
      <c r="D30" s="126"/>
      <c r="E30" s="126"/>
      <c r="F30" s="321"/>
      <c r="G30" s="214"/>
      <c r="H30" s="210"/>
      <c r="I30" s="212"/>
      <c r="J30" s="212"/>
      <c r="K30" s="212"/>
      <c r="L30" s="212"/>
      <c r="M30" s="211"/>
    </row>
    <row r="31" spans="2:14" x14ac:dyDescent="0.4">
      <c r="B31" s="220"/>
      <c r="C31" s="278"/>
      <c r="D31" s="277"/>
      <c r="E31" s="12"/>
      <c r="F31" s="220"/>
      <c r="G31" s="214"/>
      <c r="H31" s="210"/>
      <c r="I31" s="212"/>
      <c r="J31" s="212"/>
      <c r="K31" s="212"/>
      <c r="L31" s="212"/>
      <c r="M31" s="211"/>
    </row>
    <row r="32" spans="2:14" x14ac:dyDescent="0.4">
      <c r="B32" s="220"/>
      <c r="C32" s="278"/>
      <c r="D32" s="277"/>
      <c r="E32" s="12"/>
      <c r="F32" s="220"/>
      <c r="G32" s="214"/>
      <c r="H32" s="210"/>
      <c r="I32" s="212"/>
      <c r="J32" s="212"/>
      <c r="K32" s="212"/>
      <c r="L32" s="212"/>
      <c r="M32" s="211"/>
    </row>
    <row r="33" spans="2:13" x14ac:dyDescent="0.4">
      <c r="B33" s="220"/>
      <c r="C33" s="278"/>
      <c r="D33" s="277"/>
      <c r="E33" s="12"/>
      <c r="F33" s="220"/>
      <c r="G33" s="214"/>
      <c r="H33" s="210"/>
      <c r="I33" s="212"/>
      <c r="J33" s="212"/>
      <c r="K33" s="212"/>
      <c r="L33" s="212"/>
      <c r="M33" s="211"/>
    </row>
    <row r="34" spans="2:13" x14ac:dyDescent="0.4">
      <c r="B34" s="220"/>
      <c r="C34" s="278"/>
      <c r="D34" s="277"/>
      <c r="E34" s="12"/>
      <c r="F34" s="220"/>
      <c r="G34" s="213"/>
      <c r="H34" s="210"/>
      <c r="I34" s="212"/>
      <c r="J34" s="212"/>
      <c r="K34" s="212"/>
      <c r="L34" s="212"/>
      <c r="M34" s="211"/>
    </row>
    <row r="35" spans="2:13" x14ac:dyDescent="0.4">
      <c r="B35" s="220"/>
      <c r="C35" s="278"/>
      <c r="D35" s="277"/>
      <c r="E35" s="12"/>
      <c r="F35" s="220"/>
      <c r="G35" s="213"/>
      <c r="H35" s="210"/>
      <c r="I35" s="212"/>
      <c r="J35" s="212"/>
      <c r="K35" s="212"/>
      <c r="L35" s="212"/>
      <c r="M35" s="211"/>
    </row>
    <row r="36" spans="2:13" x14ac:dyDescent="0.4">
      <c r="B36" s="220"/>
      <c r="C36" s="278"/>
      <c r="D36" s="277"/>
      <c r="E36" s="279"/>
      <c r="F36" s="220"/>
      <c r="G36" s="213"/>
      <c r="H36" s="210"/>
      <c r="I36" s="212"/>
      <c r="J36" s="212"/>
      <c r="K36" s="212"/>
      <c r="L36" s="212"/>
      <c r="M36" s="211"/>
    </row>
    <row r="37" spans="2:13" x14ac:dyDescent="0.4">
      <c r="B37" s="220"/>
      <c r="C37" s="278"/>
      <c r="D37" s="277"/>
      <c r="E37" s="279"/>
      <c r="F37" s="220"/>
      <c r="G37" s="213"/>
      <c r="H37" s="210"/>
      <c r="I37" s="212"/>
      <c r="J37" s="212"/>
      <c r="K37" s="212"/>
      <c r="L37" s="212"/>
      <c r="M37" s="211"/>
    </row>
    <row r="38" spans="2:13" x14ac:dyDescent="0.4">
      <c r="B38" s="220"/>
      <c r="C38" s="278"/>
      <c r="D38" s="277"/>
      <c r="E38" s="279"/>
      <c r="F38" s="220"/>
      <c r="G38" s="214"/>
      <c r="H38" s="210"/>
      <c r="I38" s="212"/>
      <c r="J38" s="212"/>
      <c r="K38" s="212"/>
      <c r="L38" s="212"/>
      <c r="M38" s="211"/>
    </row>
    <row r="39" spans="2:13" x14ac:dyDescent="0.4">
      <c r="B39" s="220"/>
      <c r="C39" s="278"/>
      <c r="D39" s="277"/>
      <c r="E39" s="279"/>
      <c r="F39" s="220"/>
      <c r="G39" s="214"/>
      <c r="H39" s="9"/>
      <c r="I39" s="212"/>
      <c r="J39" s="212"/>
      <c r="K39" s="212"/>
      <c r="L39" s="212"/>
      <c r="M39" s="214"/>
    </row>
    <row r="40" spans="2:13" x14ac:dyDescent="0.4">
      <c r="B40" s="220"/>
      <c r="C40" s="278"/>
      <c r="D40" s="277"/>
      <c r="E40" s="279"/>
      <c r="F40" s="220"/>
      <c r="G40" s="213"/>
      <c r="H40" s="210"/>
      <c r="I40" s="212"/>
      <c r="J40" s="212"/>
      <c r="K40" s="212"/>
      <c r="L40" s="212"/>
      <c r="M40" s="211"/>
    </row>
    <row r="41" spans="2:13" x14ac:dyDescent="0.4">
      <c r="B41" s="220"/>
      <c r="C41" s="278"/>
      <c r="D41" s="277"/>
      <c r="E41" s="279"/>
      <c r="F41" s="220"/>
      <c r="G41" s="211"/>
      <c r="H41" s="210"/>
      <c r="I41" s="212"/>
      <c r="J41" s="212"/>
      <c r="K41" s="212"/>
      <c r="L41" s="212"/>
      <c r="M41" s="211"/>
    </row>
    <row r="42" spans="2:13" x14ac:dyDescent="0.4">
      <c r="B42" s="220"/>
      <c r="C42" s="278"/>
      <c r="D42" s="277"/>
      <c r="E42" s="279"/>
      <c r="F42" s="220"/>
      <c r="G42" s="211"/>
      <c r="H42" s="210"/>
      <c r="I42" s="212"/>
      <c r="J42" s="212"/>
      <c r="K42" s="212"/>
      <c r="L42" s="212"/>
      <c r="M42" s="211"/>
    </row>
    <row r="43" spans="2:13" x14ac:dyDescent="0.4">
      <c r="B43" s="220"/>
      <c r="C43" s="278"/>
      <c r="D43" s="277"/>
      <c r="E43" s="279"/>
      <c r="F43" s="220"/>
      <c r="G43" s="213"/>
      <c r="H43" s="210"/>
      <c r="I43" s="212"/>
      <c r="J43" s="212"/>
      <c r="K43" s="212"/>
      <c r="L43" s="212"/>
      <c r="M43" s="211"/>
    </row>
    <row r="44" spans="2:13" x14ac:dyDescent="0.4">
      <c r="B44" s="220"/>
      <c r="C44" s="278"/>
      <c r="D44" s="277"/>
      <c r="E44" s="279"/>
      <c r="F44" s="220"/>
      <c r="G44" s="211"/>
      <c r="H44" s="210"/>
      <c r="I44" s="212"/>
      <c r="J44" s="212"/>
      <c r="K44" s="212"/>
      <c r="L44" s="212"/>
      <c r="M44" s="214"/>
    </row>
    <row r="45" spans="2:13" x14ac:dyDescent="0.4">
      <c r="B45" s="220"/>
      <c r="C45" s="278"/>
      <c r="D45" s="277"/>
      <c r="E45" s="279"/>
      <c r="F45" s="220"/>
      <c r="G45" s="211"/>
      <c r="H45" s="9"/>
      <c r="I45" s="212"/>
      <c r="J45" s="212"/>
      <c r="K45" s="212"/>
      <c r="L45" s="212"/>
      <c r="M45" s="214"/>
    </row>
    <row r="46" spans="2:13" x14ac:dyDescent="0.4">
      <c r="B46" s="220"/>
      <c r="C46" s="278"/>
      <c r="D46" s="277"/>
      <c r="E46" s="279"/>
      <c r="F46" s="220"/>
      <c r="G46" s="211"/>
      <c r="H46" s="210"/>
      <c r="I46" s="212"/>
      <c r="J46" s="212"/>
      <c r="K46" s="212"/>
      <c r="L46" s="212"/>
      <c r="M46" s="213"/>
    </row>
    <row r="47" spans="2:13" x14ac:dyDescent="0.4">
      <c r="B47" s="220"/>
      <c r="C47" s="281"/>
      <c r="D47" s="280"/>
      <c r="E47" s="280"/>
      <c r="G47" s="214"/>
      <c r="H47" s="9"/>
      <c r="I47" s="212"/>
      <c r="J47" s="212"/>
      <c r="K47" s="212"/>
      <c r="L47" s="212"/>
      <c r="M47" s="213"/>
    </row>
    <row r="48" spans="2:13" x14ac:dyDescent="0.4">
      <c r="B48" s="220"/>
      <c r="C48" s="281"/>
      <c r="D48" s="280"/>
      <c r="E48" s="280"/>
      <c r="G48" s="213"/>
      <c r="H48" s="209"/>
      <c r="I48" s="212"/>
      <c r="J48" s="212"/>
      <c r="K48" s="212"/>
      <c r="L48" s="212"/>
      <c r="M48" s="213"/>
    </row>
    <row r="49" spans="2:13" x14ac:dyDescent="0.4">
      <c r="B49" s="220"/>
      <c r="G49" s="214"/>
      <c r="H49" s="9"/>
      <c r="I49" s="212"/>
      <c r="J49" s="212"/>
      <c r="K49" s="212"/>
      <c r="L49" s="212"/>
      <c r="M49" s="213"/>
    </row>
    <row r="50" spans="2:13" x14ac:dyDescent="0.4">
      <c r="B50" s="220"/>
      <c r="G50" s="214"/>
      <c r="H50" s="210"/>
      <c r="I50" s="212"/>
      <c r="J50" s="212"/>
      <c r="K50" s="212"/>
      <c r="L50" s="212"/>
      <c r="M50" s="213"/>
    </row>
    <row r="51" spans="2:13" x14ac:dyDescent="0.4">
      <c r="B51" s="220"/>
      <c r="G51" s="213"/>
      <c r="H51" s="9"/>
      <c r="I51" s="212"/>
      <c r="J51" s="212"/>
      <c r="K51" s="212"/>
      <c r="L51" s="212"/>
      <c r="M51" s="214"/>
    </row>
    <row r="52" spans="2:13" x14ac:dyDescent="0.4">
      <c r="B52" s="220"/>
      <c r="G52" s="213"/>
      <c r="H52" s="9"/>
      <c r="I52" s="212"/>
      <c r="J52" s="212"/>
      <c r="K52" s="212"/>
      <c r="L52" s="212"/>
      <c r="M52" s="213"/>
    </row>
    <row r="53" spans="2:13" x14ac:dyDescent="0.4">
      <c r="B53" s="220"/>
      <c r="G53" s="213"/>
      <c r="H53" s="9"/>
      <c r="I53" s="212"/>
      <c r="J53" s="212"/>
      <c r="K53" s="212"/>
      <c r="L53" s="212"/>
      <c r="M53" s="213"/>
    </row>
    <row r="54" spans="2:13" x14ac:dyDescent="0.4">
      <c r="B54" s="220"/>
      <c r="C54" s="221"/>
      <c r="D54" s="221"/>
      <c r="E54" s="221"/>
      <c r="F54" s="221"/>
      <c r="G54" s="214"/>
      <c r="H54" s="9"/>
      <c r="I54" s="212"/>
      <c r="J54" s="212"/>
      <c r="K54" s="212"/>
      <c r="L54" s="212"/>
      <c r="M54" s="213"/>
    </row>
    <row r="55" spans="2:13" x14ac:dyDescent="0.4">
      <c r="B55" s="220"/>
      <c r="C55" s="221"/>
      <c r="D55" s="221"/>
      <c r="E55" s="221"/>
      <c r="F55" s="221"/>
      <c r="G55" s="213"/>
      <c r="H55" s="9"/>
      <c r="I55" s="212"/>
      <c r="J55" s="212"/>
      <c r="K55" s="212"/>
      <c r="L55" s="212"/>
      <c r="M55" s="213"/>
    </row>
    <row r="56" spans="2:13" x14ac:dyDescent="0.4">
      <c r="B56" s="220"/>
      <c r="C56" s="221"/>
      <c r="D56" s="221"/>
      <c r="E56" s="221"/>
      <c r="F56" s="221"/>
      <c r="G56" s="214"/>
      <c r="H56" s="209"/>
      <c r="I56" s="212"/>
      <c r="J56" s="212"/>
      <c r="K56" s="212"/>
      <c r="L56" s="212"/>
      <c r="M56" s="214"/>
    </row>
    <row r="57" spans="2:13" x14ac:dyDescent="0.4">
      <c r="B57" s="220"/>
      <c r="C57" s="221"/>
      <c r="D57" s="221"/>
      <c r="E57" s="221"/>
      <c r="F57" s="221"/>
      <c r="G57" s="213"/>
      <c r="H57" s="9"/>
      <c r="I57" s="212"/>
      <c r="J57" s="212"/>
      <c r="K57" s="212"/>
      <c r="L57" s="212"/>
      <c r="M57" s="213"/>
    </row>
    <row r="58" spans="2:13" x14ac:dyDescent="0.4">
      <c r="B58" s="220"/>
      <c r="C58" s="221"/>
      <c r="D58" s="221"/>
      <c r="E58" s="221"/>
      <c r="F58" s="221"/>
      <c r="G58" s="214"/>
      <c r="H58" s="210"/>
      <c r="I58" s="212"/>
      <c r="J58" s="212"/>
      <c r="K58" s="212"/>
      <c r="L58" s="212"/>
      <c r="M58" s="213"/>
    </row>
    <row r="59" spans="2:13" x14ac:dyDescent="0.4">
      <c r="C59" s="221"/>
      <c r="D59" s="221"/>
      <c r="E59" s="221"/>
      <c r="F59" s="221"/>
      <c r="G59" s="213"/>
      <c r="H59" s="210"/>
      <c r="I59" s="212"/>
      <c r="J59" s="212"/>
      <c r="K59" s="212"/>
      <c r="L59" s="212"/>
      <c r="M59" s="213"/>
    </row>
    <row r="60" spans="2:13" x14ac:dyDescent="0.4">
      <c r="C60" s="221"/>
      <c r="D60" s="221"/>
      <c r="E60" s="221"/>
      <c r="F60" s="221"/>
      <c r="G60" s="214"/>
      <c r="H60" s="210"/>
      <c r="I60" s="212"/>
      <c r="J60" s="212"/>
      <c r="K60" s="212"/>
      <c r="L60" s="212"/>
      <c r="M60" s="213"/>
    </row>
    <row r="61" spans="2:13" x14ac:dyDescent="0.4">
      <c r="C61" s="221"/>
      <c r="D61" s="221"/>
      <c r="E61" s="221"/>
      <c r="F61" s="221"/>
      <c r="G61" s="213"/>
      <c r="H61" s="210"/>
      <c r="I61" s="212"/>
      <c r="J61" s="212"/>
      <c r="K61" s="212"/>
      <c r="L61" s="212"/>
      <c r="M61" s="213"/>
    </row>
    <row r="62" spans="2:13" x14ac:dyDescent="0.4">
      <c r="C62" s="221"/>
      <c r="D62" s="221"/>
      <c r="E62" s="221"/>
      <c r="F62" s="221"/>
      <c r="M62" s="211"/>
    </row>
    <row r="63" spans="2:13" x14ac:dyDescent="0.4">
      <c r="C63" s="221"/>
      <c r="D63" s="221"/>
      <c r="E63" s="221"/>
      <c r="F63" s="221"/>
      <c r="M63" s="211"/>
    </row>
    <row r="64" spans="2:13" x14ac:dyDescent="0.4">
      <c r="C64" s="221"/>
      <c r="D64" s="221"/>
      <c r="E64" s="221"/>
      <c r="F64" s="221"/>
      <c r="M64" s="211"/>
    </row>
    <row r="65" spans="2:6" x14ac:dyDescent="0.4">
      <c r="C65" s="221"/>
      <c r="D65" s="221"/>
      <c r="E65" s="221"/>
      <c r="F65" s="221"/>
    </row>
    <row r="66" spans="2:6" x14ac:dyDescent="0.4">
      <c r="B66" s="210"/>
      <c r="C66" s="221"/>
      <c r="D66" s="221"/>
      <c r="E66" s="221"/>
      <c r="F66" s="221"/>
    </row>
    <row r="67" spans="2:6" x14ac:dyDescent="0.4">
      <c r="B67" s="210"/>
      <c r="C67" s="221"/>
      <c r="D67" s="221"/>
      <c r="E67" s="221"/>
      <c r="F67" s="221"/>
    </row>
    <row r="68" spans="2:6" x14ac:dyDescent="0.4">
      <c r="B68" s="210"/>
      <c r="C68" s="221"/>
      <c r="D68" s="221"/>
      <c r="E68" s="221"/>
      <c r="F68" s="221"/>
    </row>
    <row r="69" spans="2:6" x14ac:dyDescent="0.4">
      <c r="B69" s="210"/>
      <c r="C69" s="221"/>
      <c r="D69" s="221"/>
      <c r="E69" s="221"/>
      <c r="F69" s="221"/>
    </row>
    <row r="70" spans="2:6" x14ac:dyDescent="0.4">
      <c r="B70" s="210"/>
      <c r="C70" s="221"/>
      <c r="D70" s="221"/>
      <c r="E70" s="221"/>
      <c r="F70" s="221"/>
    </row>
    <row r="71" spans="2:6" x14ac:dyDescent="0.4">
      <c r="B71" s="210"/>
      <c r="C71" s="221"/>
      <c r="D71" s="221"/>
      <c r="E71" s="221"/>
      <c r="F71" s="221"/>
    </row>
    <row r="72" spans="2:6" x14ac:dyDescent="0.4">
      <c r="B72" s="210"/>
      <c r="C72" s="221"/>
      <c r="D72" s="221"/>
      <c r="E72" s="221"/>
      <c r="F72" s="221"/>
    </row>
    <row r="73" spans="2:6" x14ac:dyDescent="0.4">
      <c r="B73" s="210"/>
      <c r="C73" s="221"/>
      <c r="D73" s="221"/>
      <c r="E73" s="221"/>
      <c r="F73" s="221"/>
    </row>
    <row r="74" spans="2:6" x14ac:dyDescent="0.4">
      <c r="B74" s="210"/>
      <c r="C74" s="221"/>
      <c r="D74" s="221"/>
      <c r="E74" s="221"/>
      <c r="F74" s="221"/>
    </row>
    <row r="75" spans="2:6" x14ac:dyDescent="0.4">
      <c r="B75" s="210"/>
      <c r="C75" s="15"/>
      <c r="D75" s="15"/>
      <c r="E75" s="15"/>
      <c r="F75" s="15"/>
    </row>
    <row r="76" spans="2:6" x14ac:dyDescent="0.4">
      <c r="B76" s="210"/>
    </row>
    <row r="77" spans="2:6" x14ac:dyDescent="0.4">
      <c r="B77" s="210"/>
    </row>
    <row r="78" spans="2:6" x14ac:dyDescent="0.4">
      <c r="B78" s="210"/>
    </row>
    <row r="79" spans="2:6" x14ac:dyDescent="0.4">
      <c r="B79" s="210"/>
    </row>
    <row r="80" spans="2:6" x14ac:dyDescent="0.4">
      <c r="B80" s="210"/>
    </row>
    <row r="81" spans="2:2" x14ac:dyDescent="0.4">
      <c r="B81" s="210"/>
    </row>
    <row r="82" spans="2:2" x14ac:dyDescent="0.4">
      <c r="B82" s="210"/>
    </row>
    <row r="83" spans="2:2" x14ac:dyDescent="0.4">
      <c r="B83" s="210"/>
    </row>
    <row r="84" spans="2:2" x14ac:dyDescent="0.4">
      <c r="B84" s="210"/>
    </row>
    <row r="85" spans="2:2" x14ac:dyDescent="0.4">
      <c r="B85" s="210"/>
    </row>
    <row r="86" spans="2:2" x14ac:dyDescent="0.4">
      <c r="B86" s="210"/>
    </row>
    <row r="87" spans="2:2" x14ac:dyDescent="0.4">
      <c r="B87" s="9"/>
    </row>
  </sheetData>
  <autoFilter ref="B2:F35" xr:uid="{00000000-0001-0000-0E00-000000000000}"/>
  <sortState xmlns:xlrd2="http://schemas.microsoft.com/office/spreadsheetml/2017/richdata2" ref="H3:L5">
    <sortCondition ref="I3:I5"/>
  </sortState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4EBE-B877-4E22-8170-0A5FE3E36F5C}">
  <dimension ref="B1:H88"/>
  <sheetViews>
    <sheetView showGridLines="0" topLeftCell="A10" workbookViewId="0">
      <selection activeCell="A66" sqref="A66"/>
    </sheetView>
  </sheetViews>
  <sheetFormatPr defaultColWidth="8.73046875" defaultRowHeight="14.25" x14ac:dyDescent="0.45"/>
  <cols>
    <col min="1" max="1" width="8.73046875" style="415"/>
    <col min="2" max="2" width="48" style="415" customWidth="1"/>
    <col min="3" max="3" width="14.46484375" style="415" bestFit="1" customWidth="1"/>
    <col min="4" max="5" width="11.06640625" style="415" bestFit="1" customWidth="1"/>
    <col min="6" max="6" width="8.73046875" style="415"/>
    <col min="7" max="7" width="35.73046875" style="415" bestFit="1" customWidth="1"/>
    <col min="8" max="8" width="12.59765625" style="415" bestFit="1" customWidth="1"/>
    <col min="9" max="16384" width="8.73046875" style="415"/>
  </cols>
  <sheetData>
    <row r="1" spans="2:8" s="414" customFormat="1" x14ac:dyDescent="0.45">
      <c r="B1" s="414" t="s">
        <v>366</v>
      </c>
      <c r="D1" s="460"/>
      <c r="E1" s="460"/>
    </row>
    <row r="2" spans="2:8" ht="23.25" x14ac:dyDescent="0.45">
      <c r="B2" s="84" t="s">
        <v>34</v>
      </c>
      <c r="C2" s="85" t="s">
        <v>52</v>
      </c>
      <c r="D2" s="86" t="s">
        <v>2</v>
      </c>
      <c r="E2" s="86" t="s">
        <v>3</v>
      </c>
      <c r="F2" s="294" t="s">
        <v>4</v>
      </c>
      <c r="G2" s="295" t="s">
        <v>170</v>
      </c>
      <c r="H2" s="295" t="s">
        <v>345</v>
      </c>
    </row>
    <row r="3" spans="2:8" x14ac:dyDescent="0.45">
      <c r="B3" s="402" t="s">
        <v>32</v>
      </c>
      <c r="C3" s="87" t="s">
        <v>118</v>
      </c>
      <c r="D3" s="461">
        <v>112.96242894100003</v>
      </c>
      <c r="E3" s="461">
        <v>112.96242894100003</v>
      </c>
      <c r="F3" s="296">
        <v>0.99999999999999967</v>
      </c>
      <c r="G3" s="297"/>
      <c r="H3" s="297"/>
    </row>
    <row r="4" spans="2:8" x14ac:dyDescent="0.45">
      <c r="B4" s="417" t="s">
        <v>126</v>
      </c>
      <c r="C4" s="91" t="s">
        <v>103</v>
      </c>
      <c r="D4" s="462">
        <v>4.7607824000000001</v>
      </c>
      <c r="E4" s="462">
        <v>4.7607824000000001</v>
      </c>
      <c r="F4" s="306">
        <v>4.2144830317755864E-2</v>
      </c>
      <c r="G4" s="307" t="s">
        <v>346</v>
      </c>
      <c r="H4" s="307" t="s">
        <v>345</v>
      </c>
    </row>
    <row r="5" spans="2:8" x14ac:dyDescent="0.45">
      <c r="B5" s="417" t="s">
        <v>149</v>
      </c>
      <c r="C5" s="91" t="s">
        <v>104</v>
      </c>
      <c r="D5" s="462">
        <v>2.25</v>
      </c>
      <c r="E5" s="462">
        <v>2.25</v>
      </c>
      <c r="F5" s="306">
        <v>1.9918126947988776E-2</v>
      </c>
      <c r="G5" s="307" t="s">
        <v>347</v>
      </c>
      <c r="H5" s="307" t="s">
        <v>345</v>
      </c>
    </row>
    <row r="6" spans="2:8" x14ac:dyDescent="0.45">
      <c r="B6" s="417" t="s">
        <v>153</v>
      </c>
      <c r="C6" s="89" t="s">
        <v>154</v>
      </c>
      <c r="D6" s="462">
        <v>8.1001151999999994</v>
      </c>
      <c r="E6" s="462">
        <v>8.1001151999999994</v>
      </c>
      <c r="F6" s="306">
        <v>7.1706276820859324E-2</v>
      </c>
      <c r="G6" s="307" t="s">
        <v>348</v>
      </c>
      <c r="H6" s="307" t="s">
        <v>345</v>
      </c>
    </row>
    <row r="7" spans="2:8" x14ac:dyDescent="0.45">
      <c r="B7" s="417" t="s">
        <v>256</v>
      </c>
      <c r="C7" s="172">
        <v>45681</v>
      </c>
      <c r="D7" s="462">
        <v>7.9999960000000003</v>
      </c>
      <c r="E7" s="462">
        <v>7.9999960000000003</v>
      </c>
      <c r="F7" s="306">
        <v>7.0819971516178859E-2</v>
      </c>
      <c r="G7" s="307"/>
      <c r="H7" s="307" t="s">
        <v>345</v>
      </c>
    </row>
    <row r="8" spans="2:8" x14ac:dyDescent="0.45">
      <c r="B8" s="417" t="s">
        <v>294</v>
      </c>
      <c r="C8" s="172">
        <v>45741</v>
      </c>
      <c r="D8" s="462">
        <v>2.9958399999999998</v>
      </c>
      <c r="E8" s="462">
        <v>2.9958399999999998</v>
      </c>
      <c r="F8" s="306">
        <v>2.6520676193716754E-2</v>
      </c>
      <c r="G8" s="307"/>
      <c r="H8" s="307" t="s">
        <v>345</v>
      </c>
    </row>
    <row r="9" spans="2:8" x14ac:dyDescent="0.45">
      <c r="B9" s="417" t="s">
        <v>53</v>
      </c>
      <c r="C9" s="89" t="s">
        <v>147</v>
      </c>
      <c r="D9" s="462">
        <v>5.7557</v>
      </c>
      <c r="E9" s="462">
        <v>5.7557</v>
      </c>
      <c r="F9" s="306">
        <v>5.0952339233128446E-2</v>
      </c>
      <c r="G9" s="307" t="s">
        <v>349</v>
      </c>
      <c r="H9" s="307" t="s">
        <v>345</v>
      </c>
    </row>
    <row r="10" spans="2:8" x14ac:dyDescent="0.45">
      <c r="B10" s="417" t="s">
        <v>128</v>
      </c>
      <c r="C10" s="89" t="s">
        <v>54</v>
      </c>
      <c r="D10" s="462">
        <v>0.49999999999999994</v>
      </c>
      <c r="E10" s="462">
        <v>0.49999999999999994</v>
      </c>
      <c r="F10" s="306">
        <v>4.4262504328863948E-3</v>
      </c>
      <c r="G10" s="307" t="s">
        <v>350</v>
      </c>
      <c r="H10" s="307" t="s">
        <v>345</v>
      </c>
    </row>
    <row r="11" spans="2:8" x14ac:dyDescent="0.45">
      <c r="B11" s="417" t="s">
        <v>138</v>
      </c>
      <c r="C11" s="89" t="s">
        <v>139</v>
      </c>
      <c r="D11" s="462">
        <v>4.0127999999999995</v>
      </c>
      <c r="E11" s="462">
        <v>4.0127999999999995</v>
      </c>
      <c r="F11" s="306">
        <v>3.5523315474173048E-2</v>
      </c>
      <c r="G11" s="307" t="s">
        <v>351</v>
      </c>
      <c r="H11" s="307" t="s">
        <v>345</v>
      </c>
    </row>
    <row r="12" spans="2:8" x14ac:dyDescent="0.45">
      <c r="B12" s="417" t="s">
        <v>352</v>
      </c>
      <c r="C12" s="172">
        <v>45637</v>
      </c>
      <c r="D12" s="462">
        <v>0</v>
      </c>
      <c r="E12" s="462">
        <v>0</v>
      </c>
      <c r="F12" s="306">
        <v>0</v>
      </c>
      <c r="G12" s="307"/>
      <c r="H12" s="307" t="s">
        <v>345</v>
      </c>
    </row>
    <row r="13" spans="2:8" x14ac:dyDescent="0.45">
      <c r="B13" s="417" t="s">
        <v>195</v>
      </c>
      <c r="C13" s="89">
        <v>45420</v>
      </c>
      <c r="D13" s="462">
        <v>4.7517442000000001</v>
      </c>
      <c r="E13" s="462">
        <v>4.7517442000000001</v>
      </c>
      <c r="F13" s="306">
        <v>4.2064819644430831E-2</v>
      </c>
      <c r="G13" s="309"/>
      <c r="H13" s="307" t="s">
        <v>345</v>
      </c>
    </row>
    <row r="14" spans="2:8" x14ac:dyDescent="0.45">
      <c r="B14" s="310" t="s">
        <v>173</v>
      </c>
      <c r="C14" s="308">
        <v>45352</v>
      </c>
      <c r="D14" s="462">
        <v>4.5</v>
      </c>
      <c r="E14" s="462">
        <v>4.5</v>
      </c>
      <c r="F14" s="306">
        <v>3.9836253895977551E-2</v>
      </c>
      <c r="G14" s="307"/>
      <c r="H14" s="307" t="s">
        <v>345</v>
      </c>
    </row>
    <row r="15" spans="2:8" x14ac:dyDescent="0.45">
      <c r="B15" s="310" t="s">
        <v>293</v>
      </c>
      <c r="C15" s="172">
        <v>45650</v>
      </c>
      <c r="D15" s="462">
        <v>4</v>
      </c>
      <c r="E15" s="462">
        <v>4</v>
      </c>
      <c r="F15" s="306">
        <v>3.5410003463091158E-2</v>
      </c>
      <c r="G15" s="307"/>
      <c r="H15" s="307" t="s">
        <v>345</v>
      </c>
    </row>
    <row r="16" spans="2:8" x14ac:dyDescent="0.45">
      <c r="B16" s="417" t="s">
        <v>132</v>
      </c>
      <c r="C16" s="89">
        <v>44554</v>
      </c>
      <c r="D16" s="462">
        <v>1.999997384</v>
      </c>
      <c r="E16" s="462">
        <v>1.999997384</v>
      </c>
      <c r="F16" s="306">
        <v>1.7704978573403314E-2</v>
      </c>
      <c r="G16" s="307" t="s">
        <v>353</v>
      </c>
      <c r="H16" s="307" t="s">
        <v>345</v>
      </c>
    </row>
    <row r="17" spans="2:8" x14ac:dyDescent="0.45">
      <c r="B17" s="417" t="s">
        <v>283</v>
      </c>
      <c r="C17" s="172">
        <v>45700</v>
      </c>
      <c r="D17" s="462">
        <v>3.8759999999999999</v>
      </c>
      <c r="E17" s="462">
        <v>3.8759999999999999</v>
      </c>
      <c r="F17" s="306">
        <v>3.4312293355735331E-2</v>
      </c>
      <c r="G17" s="307"/>
      <c r="H17" s="307" t="s">
        <v>345</v>
      </c>
    </row>
    <row r="18" spans="2:8" x14ac:dyDescent="0.45">
      <c r="B18" s="420" t="s">
        <v>284</v>
      </c>
      <c r="C18" s="172">
        <v>45700</v>
      </c>
      <c r="D18" s="462">
        <v>3.7499885000000002</v>
      </c>
      <c r="E18" s="462">
        <v>3.7499885000000002</v>
      </c>
      <c r="F18" s="306">
        <v>3.3196776442888008E-2</v>
      </c>
      <c r="G18" s="307"/>
      <c r="H18" s="307" t="s">
        <v>345</v>
      </c>
    </row>
    <row r="19" spans="2:8" x14ac:dyDescent="0.45">
      <c r="B19" s="417" t="s">
        <v>197</v>
      </c>
      <c r="C19" s="172">
        <v>45544</v>
      </c>
      <c r="D19" s="462">
        <v>4.032</v>
      </c>
      <c r="E19" s="462">
        <v>4.032</v>
      </c>
      <c r="F19" s="306">
        <v>3.5693283490795889E-2</v>
      </c>
      <c r="G19" s="309"/>
      <c r="H19" s="307" t="s">
        <v>345</v>
      </c>
    </row>
    <row r="20" spans="2:8" x14ac:dyDescent="0.45">
      <c r="B20" s="310" t="s">
        <v>137</v>
      </c>
      <c r="C20" s="89" t="s">
        <v>105</v>
      </c>
      <c r="D20" s="462">
        <v>1.6</v>
      </c>
      <c r="E20" s="462">
        <v>1.6</v>
      </c>
      <c r="F20" s="306">
        <v>1.4164001385236465E-2</v>
      </c>
      <c r="G20" s="307" t="s">
        <v>354</v>
      </c>
      <c r="H20" s="307" t="s">
        <v>345</v>
      </c>
    </row>
    <row r="21" spans="2:8" x14ac:dyDescent="0.45">
      <c r="B21" s="417" t="s">
        <v>142</v>
      </c>
      <c r="C21" s="89">
        <v>44236</v>
      </c>
      <c r="D21" s="462">
        <v>0.4773404</v>
      </c>
      <c r="E21" s="462">
        <v>0.4773404</v>
      </c>
      <c r="F21" s="306">
        <v>4.2256563042683297E-3</v>
      </c>
      <c r="G21" s="307" t="s">
        <v>354</v>
      </c>
      <c r="H21" s="307" t="s">
        <v>345</v>
      </c>
    </row>
    <row r="22" spans="2:8" x14ac:dyDescent="0.45">
      <c r="B22" s="421" t="s">
        <v>174</v>
      </c>
      <c r="C22" s="89" t="s">
        <v>171</v>
      </c>
      <c r="D22" s="462">
        <v>0</v>
      </c>
      <c r="E22" s="462">
        <v>0</v>
      </c>
      <c r="F22" s="306">
        <v>0</v>
      </c>
      <c r="G22" s="307"/>
      <c r="H22" s="307" t="s">
        <v>345</v>
      </c>
    </row>
    <row r="23" spans="2:8" x14ac:dyDescent="0.45">
      <c r="B23" s="417" t="s">
        <v>163</v>
      </c>
      <c r="C23" s="89">
        <v>45260</v>
      </c>
      <c r="D23" s="462">
        <v>1.5029264</v>
      </c>
      <c r="E23" s="462">
        <v>1.5029264</v>
      </c>
      <c r="F23" s="306">
        <v>1.3304657257192782E-2</v>
      </c>
      <c r="G23" s="307"/>
      <c r="H23" s="307" t="s">
        <v>345</v>
      </c>
    </row>
    <row r="24" spans="2:8" x14ac:dyDescent="0.45">
      <c r="B24" s="417" t="s">
        <v>162</v>
      </c>
      <c r="C24" s="89" t="s">
        <v>172</v>
      </c>
      <c r="D24" s="462">
        <v>1.5000018000000002</v>
      </c>
      <c r="E24" s="462">
        <v>1.5000018000000002</v>
      </c>
      <c r="F24" s="306">
        <v>1.3278767233160745E-2</v>
      </c>
      <c r="G24" s="307"/>
      <c r="H24" s="307" t="s">
        <v>345</v>
      </c>
    </row>
    <row r="25" spans="2:8" x14ac:dyDescent="0.45">
      <c r="B25" s="420" t="s">
        <v>145</v>
      </c>
      <c r="C25" s="89" t="s">
        <v>106</v>
      </c>
      <c r="D25" s="462">
        <v>1.3</v>
      </c>
      <c r="E25" s="462">
        <v>1.3</v>
      </c>
      <c r="F25" s="306">
        <v>1.1508251125504628E-2</v>
      </c>
      <c r="G25" s="307" t="s">
        <v>365</v>
      </c>
      <c r="H25" s="307" t="s">
        <v>345</v>
      </c>
    </row>
    <row r="26" spans="2:8" x14ac:dyDescent="0.45">
      <c r="B26" s="417" t="s">
        <v>200</v>
      </c>
      <c r="C26" s="89">
        <v>45485</v>
      </c>
      <c r="D26" s="462">
        <v>2.0000400000000003</v>
      </c>
      <c r="E26" s="462">
        <v>2.0000400000000003</v>
      </c>
      <c r="F26" s="306">
        <v>1.7705355831580213E-2</v>
      </c>
      <c r="G26" s="309"/>
      <c r="H26" s="307" t="s">
        <v>345</v>
      </c>
    </row>
    <row r="27" spans="2:8" x14ac:dyDescent="0.45">
      <c r="B27" s="417" t="s">
        <v>201</v>
      </c>
      <c r="C27" s="172">
        <v>45544</v>
      </c>
      <c r="D27" s="462">
        <v>1.0106085</v>
      </c>
      <c r="E27" s="462">
        <v>1.0106085</v>
      </c>
      <c r="F27" s="306">
        <v>8.9464126212073416E-3</v>
      </c>
      <c r="G27" s="309"/>
      <c r="H27" s="307" t="s">
        <v>345</v>
      </c>
    </row>
    <row r="28" spans="2:8" x14ac:dyDescent="0.45">
      <c r="B28" s="417" t="s">
        <v>202</v>
      </c>
      <c r="C28" s="89">
        <v>45491</v>
      </c>
      <c r="D28" s="462">
        <v>1.0001255</v>
      </c>
      <c r="E28" s="462">
        <v>1.0001255</v>
      </c>
      <c r="F28" s="306">
        <v>8.8536118546314446E-3</v>
      </c>
      <c r="G28" s="309"/>
      <c r="H28" s="307" t="s">
        <v>345</v>
      </c>
    </row>
    <row r="29" spans="2:8" x14ac:dyDescent="0.45">
      <c r="B29" s="417" t="s">
        <v>204</v>
      </c>
      <c r="C29" s="89">
        <v>45491</v>
      </c>
      <c r="D29" s="462">
        <v>0.99960000000000004</v>
      </c>
      <c r="E29" s="462">
        <v>0.99960000000000004</v>
      </c>
      <c r="F29" s="306">
        <v>8.8489598654264805E-3</v>
      </c>
      <c r="G29" s="309"/>
      <c r="H29" s="307" t="s">
        <v>345</v>
      </c>
    </row>
    <row r="30" spans="2:8" x14ac:dyDescent="0.45">
      <c r="B30" s="417" t="s">
        <v>152</v>
      </c>
      <c r="C30" s="89">
        <v>45085</v>
      </c>
      <c r="D30" s="462">
        <v>0.79080300000000003</v>
      </c>
      <c r="E30" s="462">
        <v>0.79080300000000003</v>
      </c>
      <c r="F30" s="306">
        <v>7.0005842421557198E-3</v>
      </c>
      <c r="G30" s="307" t="s">
        <v>355</v>
      </c>
      <c r="H30" s="307" t="s">
        <v>345</v>
      </c>
    </row>
    <row r="31" spans="2:8" ht="23.25" x14ac:dyDescent="0.45">
      <c r="B31" s="417" t="s">
        <v>146</v>
      </c>
      <c r="C31" s="89">
        <v>44690</v>
      </c>
      <c r="D31" s="462">
        <v>0.25</v>
      </c>
      <c r="E31" s="462">
        <v>0.25</v>
      </c>
      <c r="F31" s="306">
        <v>2.2131252164431974E-3</v>
      </c>
      <c r="G31" s="307" t="s">
        <v>356</v>
      </c>
      <c r="H31" s="307" t="s">
        <v>345</v>
      </c>
    </row>
    <row r="32" spans="2:8" x14ac:dyDescent="0.45">
      <c r="B32" s="417" t="s">
        <v>130</v>
      </c>
      <c r="C32" s="89" t="s">
        <v>57</v>
      </c>
      <c r="D32" s="462">
        <v>2.5608347680000003</v>
      </c>
      <c r="E32" s="462">
        <v>2.5608347680000003</v>
      </c>
      <c r="F32" s="306">
        <v>2.2669792000821063E-2</v>
      </c>
      <c r="G32" s="307"/>
      <c r="H32" s="307" t="s">
        <v>345</v>
      </c>
    </row>
    <row r="33" spans="2:8" x14ac:dyDescent="0.45">
      <c r="B33" s="417" t="s">
        <v>131</v>
      </c>
      <c r="C33" s="89" t="s">
        <v>107</v>
      </c>
      <c r="D33" s="462">
        <v>0.79500000000000026</v>
      </c>
      <c r="E33" s="462">
        <v>0.79500000000000026</v>
      </c>
      <c r="F33" s="306">
        <v>7.0377381882893702E-3</v>
      </c>
      <c r="G33" s="307"/>
      <c r="H33" s="307" t="s">
        <v>345</v>
      </c>
    </row>
    <row r="34" spans="2:8" ht="23.25" x14ac:dyDescent="0.45">
      <c r="B34" s="417" t="s">
        <v>143</v>
      </c>
      <c r="C34" s="89">
        <v>45160</v>
      </c>
      <c r="D34" s="462">
        <v>0.50202999999999998</v>
      </c>
      <c r="E34" s="462">
        <v>0.50202999999999998</v>
      </c>
      <c r="F34" s="306">
        <v>4.4442210096439132E-3</v>
      </c>
      <c r="G34" s="307"/>
      <c r="H34" s="307" t="s">
        <v>345</v>
      </c>
    </row>
    <row r="35" spans="2:8" x14ac:dyDescent="0.45">
      <c r="B35" s="310" t="s">
        <v>119</v>
      </c>
      <c r="C35" s="89">
        <v>43891</v>
      </c>
      <c r="D35" s="462">
        <v>0.5</v>
      </c>
      <c r="E35" s="462">
        <v>0.5</v>
      </c>
      <c r="F35" s="306">
        <v>4.4262504328863948E-3</v>
      </c>
      <c r="G35" s="307"/>
      <c r="H35" s="307" t="s">
        <v>345</v>
      </c>
    </row>
    <row r="36" spans="2:8" x14ac:dyDescent="0.45">
      <c r="B36" s="417" t="s">
        <v>175</v>
      </c>
      <c r="C36" s="91">
        <v>45337</v>
      </c>
      <c r="D36" s="462">
        <v>0.8</v>
      </c>
      <c r="E36" s="462">
        <v>0.8</v>
      </c>
      <c r="F36" s="306">
        <v>7.0820006926182325E-3</v>
      </c>
      <c r="G36" s="307"/>
      <c r="H36" s="307" t="s">
        <v>345</v>
      </c>
    </row>
    <row r="37" spans="2:8" x14ac:dyDescent="0.45">
      <c r="B37" s="417" t="s">
        <v>140</v>
      </c>
      <c r="C37" s="91">
        <v>45006</v>
      </c>
      <c r="D37" s="462">
        <v>0.49990709999999999</v>
      </c>
      <c r="E37" s="462">
        <v>0.49990709999999999</v>
      </c>
      <c r="F37" s="306">
        <v>4.4254280355559648E-3</v>
      </c>
      <c r="G37" s="307"/>
      <c r="H37" s="307" t="s">
        <v>345</v>
      </c>
    </row>
    <row r="38" spans="2:8" x14ac:dyDescent="0.45">
      <c r="B38" s="417" t="s">
        <v>205</v>
      </c>
      <c r="C38" s="89">
        <v>45534</v>
      </c>
      <c r="D38" s="462">
        <v>0.46428720000000001</v>
      </c>
      <c r="E38" s="462">
        <v>0.46428720000000001</v>
      </c>
      <c r="F38" s="306">
        <v>4.1101028399672243E-3</v>
      </c>
      <c r="G38" s="309"/>
      <c r="H38" s="307" t="s">
        <v>345</v>
      </c>
    </row>
    <row r="39" spans="2:8" x14ac:dyDescent="0.45">
      <c r="B39" s="417" t="s">
        <v>141</v>
      </c>
      <c r="C39" s="91">
        <v>44963</v>
      </c>
      <c r="D39" s="462">
        <v>0.4212804</v>
      </c>
      <c r="E39" s="462">
        <v>0.4212804</v>
      </c>
      <c r="F39" s="306">
        <v>3.7293851057331072E-3</v>
      </c>
      <c r="G39" s="307"/>
      <c r="H39" s="307" t="s">
        <v>345</v>
      </c>
    </row>
    <row r="40" spans="2:8" x14ac:dyDescent="0.45">
      <c r="B40" s="417" t="s">
        <v>120</v>
      </c>
      <c r="C40" s="89">
        <v>45085</v>
      </c>
      <c r="D40" s="462">
        <v>0.40982069999999998</v>
      </c>
      <c r="E40" s="462">
        <v>0.40982069999999998</v>
      </c>
      <c r="F40" s="306">
        <v>3.6279381015616105E-3</v>
      </c>
      <c r="G40" s="307"/>
      <c r="H40" s="307" t="s">
        <v>345</v>
      </c>
    </row>
    <row r="41" spans="2:8" x14ac:dyDescent="0.45">
      <c r="B41" s="417" t="s">
        <v>129</v>
      </c>
      <c r="C41" s="91">
        <v>43922</v>
      </c>
      <c r="D41" s="462">
        <v>0.25000240000000001</v>
      </c>
      <c r="E41" s="462">
        <v>0.25000240000000001</v>
      </c>
      <c r="F41" s="306">
        <v>2.2131464624452753E-3</v>
      </c>
      <c r="G41" s="307"/>
      <c r="H41" s="307" t="s">
        <v>345</v>
      </c>
    </row>
    <row r="42" spans="2:8" x14ac:dyDescent="0.45">
      <c r="B42" s="417" t="s">
        <v>169</v>
      </c>
      <c r="C42" s="89">
        <v>44602</v>
      </c>
      <c r="D42" s="462">
        <v>2.25</v>
      </c>
      <c r="E42" s="462">
        <v>2.25</v>
      </c>
      <c r="F42" s="306">
        <v>1.9918126947988776E-2</v>
      </c>
      <c r="G42" s="307"/>
      <c r="H42" s="307" t="s">
        <v>345</v>
      </c>
    </row>
    <row r="43" spans="2:8" x14ac:dyDescent="0.45">
      <c r="B43" s="310" t="s">
        <v>168</v>
      </c>
      <c r="C43" s="89">
        <v>45295</v>
      </c>
      <c r="D43" s="462">
        <v>0.25</v>
      </c>
      <c r="E43" s="462">
        <v>0.25</v>
      </c>
      <c r="F43" s="306">
        <v>2.2131252164431974E-3</v>
      </c>
      <c r="G43" s="307"/>
      <c r="H43" s="307" t="s">
        <v>345</v>
      </c>
    </row>
    <row r="44" spans="2:8" x14ac:dyDescent="0.45">
      <c r="B44" s="417" t="s">
        <v>62</v>
      </c>
      <c r="C44" s="89" t="s">
        <v>109</v>
      </c>
      <c r="D44" s="462">
        <v>0.2000046</v>
      </c>
      <c r="E44" s="462">
        <v>0.2000046</v>
      </c>
      <c r="F44" s="306">
        <v>1.7705408946585405E-3</v>
      </c>
      <c r="G44" s="307" t="s">
        <v>354</v>
      </c>
      <c r="H44" s="307" t="s">
        <v>345</v>
      </c>
    </row>
    <row r="45" spans="2:8" x14ac:dyDescent="0.45">
      <c r="B45" s="417" t="s">
        <v>58</v>
      </c>
      <c r="C45" s="89">
        <v>44375</v>
      </c>
      <c r="D45" s="462">
        <v>0.2</v>
      </c>
      <c r="E45" s="462">
        <v>0.2</v>
      </c>
      <c r="F45" s="306">
        <v>1.7705001731545581E-3</v>
      </c>
      <c r="G45" s="307"/>
      <c r="H45" s="307" t="s">
        <v>345</v>
      </c>
    </row>
    <row r="46" spans="2:8" x14ac:dyDescent="0.45">
      <c r="B46" s="417" t="s">
        <v>69</v>
      </c>
      <c r="C46" s="89">
        <v>44531</v>
      </c>
      <c r="D46" s="462">
        <v>0.15407690199999999</v>
      </c>
      <c r="E46" s="462">
        <v>0.15407690199999999</v>
      </c>
      <c r="F46" s="306">
        <v>1.3639659083505892E-3</v>
      </c>
      <c r="G46" s="307"/>
      <c r="H46" s="307" t="s">
        <v>345</v>
      </c>
    </row>
    <row r="47" spans="2:8" x14ac:dyDescent="0.45">
      <c r="B47" s="417" t="s">
        <v>122</v>
      </c>
      <c r="C47" s="89">
        <v>44971</v>
      </c>
      <c r="D47" s="462">
        <v>0.153</v>
      </c>
      <c r="E47" s="462">
        <v>0.153</v>
      </c>
      <c r="F47" s="306">
        <v>1.3544326324632368E-3</v>
      </c>
      <c r="G47" s="307"/>
      <c r="H47" s="307" t="s">
        <v>345</v>
      </c>
    </row>
    <row r="48" spans="2:8" x14ac:dyDescent="0.45">
      <c r="B48" s="417" t="s">
        <v>121</v>
      </c>
      <c r="C48" s="89">
        <v>45061</v>
      </c>
      <c r="D48" s="462">
        <v>0.15001500000000001</v>
      </c>
      <c r="E48" s="462">
        <v>0.15001500000000001</v>
      </c>
      <c r="F48" s="306">
        <v>1.3280079173789052E-3</v>
      </c>
      <c r="G48" s="307"/>
      <c r="H48" s="307" t="s">
        <v>345</v>
      </c>
    </row>
    <row r="49" spans="2:8" x14ac:dyDescent="0.45">
      <c r="B49" s="417" t="s">
        <v>167</v>
      </c>
      <c r="C49" s="89">
        <v>45272</v>
      </c>
      <c r="D49" s="462">
        <v>0.10199999999999999</v>
      </c>
      <c r="E49" s="462">
        <v>0.10199999999999999</v>
      </c>
      <c r="F49" s="306">
        <v>9.0295508830882454E-4</v>
      </c>
      <c r="G49" s="307"/>
      <c r="H49" s="307" t="s">
        <v>345</v>
      </c>
    </row>
    <row r="50" spans="2:8" x14ac:dyDescent="0.45">
      <c r="B50" s="417" t="s">
        <v>156</v>
      </c>
      <c r="C50" s="89">
        <v>44602</v>
      </c>
      <c r="D50" s="462">
        <v>0.10150000000000001</v>
      </c>
      <c r="E50" s="462">
        <v>0.10150000000000001</v>
      </c>
      <c r="F50" s="306">
        <v>8.9852883787593823E-4</v>
      </c>
      <c r="G50" s="307"/>
      <c r="H50" s="307" t="s">
        <v>345</v>
      </c>
    </row>
    <row r="51" spans="2:8" x14ac:dyDescent="0.45">
      <c r="B51" s="310" t="s">
        <v>133</v>
      </c>
      <c r="C51" s="89">
        <v>44610</v>
      </c>
      <c r="D51" s="462">
        <v>0.10100000000000001</v>
      </c>
      <c r="E51" s="462">
        <v>0.10100000000000001</v>
      </c>
      <c r="F51" s="306">
        <v>8.941025874430518E-4</v>
      </c>
      <c r="G51" s="307"/>
      <c r="H51" s="307" t="s">
        <v>345</v>
      </c>
    </row>
    <row r="52" spans="2:8" x14ac:dyDescent="0.45">
      <c r="B52" s="417" t="s">
        <v>60</v>
      </c>
      <c r="C52" s="89">
        <v>44061</v>
      </c>
      <c r="D52" s="462">
        <v>0.100122</v>
      </c>
      <c r="E52" s="462">
        <v>0.100122</v>
      </c>
      <c r="F52" s="306">
        <v>8.863300916829033E-4</v>
      </c>
      <c r="G52" s="307"/>
      <c r="H52" s="307" t="s">
        <v>345</v>
      </c>
    </row>
    <row r="53" spans="2:8" x14ac:dyDescent="0.45">
      <c r="B53" s="417" t="s">
        <v>150</v>
      </c>
      <c r="C53" s="89">
        <v>44610</v>
      </c>
      <c r="D53" s="462">
        <v>0.1</v>
      </c>
      <c r="E53" s="462">
        <v>0.1</v>
      </c>
      <c r="F53" s="306">
        <v>8.8525008657727906E-4</v>
      </c>
      <c r="G53" s="307"/>
      <c r="H53" s="307" t="s">
        <v>345</v>
      </c>
    </row>
    <row r="54" spans="2:8" x14ac:dyDescent="0.45">
      <c r="B54" s="417" t="s">
        <v>357</v>
      </c>
      <c r="C54" s="172">
        <v>45524</v>
      </c>
      <c r="D54" s="462">
        <v>3.0015000000000001</v>
      </c>
      <c r="E54" s="462">
        <v>3.0015000000000001</v>
      </c>
      <c r="F54" s="306">
        <v>2.6570781348617029E-2</v>
      </c>
      <c r="G54" s="307"/>
      <c r="H54" s="307" t="s">
        <v>345</v>
      </c>
    </row>
    <row r="55" spans="2:8" x14ac:dyDescent="0.45">
      <c r="B55" s="417" t="s">
        <v>363</v>
      </c>
      <c r="C55" s="172">
        <v>45743</v>
      </c>
      <c r="D55" s="462">
        <v>4.4092619869999998</v>
      </c>
      <c r="E55" s="462">
        <v>4.4092619869999998</v>
      </c>
      <c r="F55" s="306">
        <v>3.9032995557336553E-2</v>
      </c>
      <c r="G55" s="307"/>
      <c r="H55" s="307" t="s">
        <v>345</v>
      </c>
    </row>
    <row r="56" spans="2:8" x14ac:dyDescent="0.45">
      <c r="B56" s="417" t="s">
        <v>311</v>
      </c>
      <c r="C56" s="172">
        <v>45854</v>
      </c>
      <c r="D56" s="462">
        <v>0.25829999999999997</v>
      </c>
      <c r="E56" s="462">
        <v>0.25829999999999997</v>
      </c>
      <c r="F56" s="306">
        <v>2.2866009736291115E-3</v>
      </c>
      <c r="G56" s="310" t="s">
        <v>358</v>
      </c>
      <c r="H56" s="307" t="s">
        <v>345</v>
      </c>
    </row>
    <row r="57" spans="2:8" x14ac:dyDescent="0.45">
      <c r="B57" s="417" t="s">
        <v>312</v>
      </c>
      <c r="C57" s="172">
        <v>45860</v>
      </c>
      <c r="D57" s="462">
        <v>4.5100000000000001E-2</v>
      </c>
      <c r="E57" s="462">
        <v>4.5100000000000001E-2</v>
      </c>
      <c r="F57" s="306">
        <v>3.9924778904635281E-4</v>
      </c>
      <c r="G57" s="310" t="s">
        <v>358</v>
      </c>
      <c r="H57" s="307" t="s">
        <v>345</v>
      </c>
    </row>
    <row r="58" spans="2:8" x14ac:dyDescent="0.45">
      <c r="B58" s="417" t="s">
        <v>198</v>
      </c>
      <c r="C58" s="172">
        <v>45863</v>
      </c>
      <c r="D58" s="462">
        <v>2.0059999999999998</v>
      </c>
      <c r="E58" s="462">
        <v>2.0059999999999998</v>
      </c>
      <c r="F58" s="306">
        <v>1.7758116736740215E-2</v>
      </c>
      <c r="G58" s="310" t="s">
        <v>359</v>
      </c>
      <c r="H58" s="307" t="s">
        <v>345</v>
      </c>
    </row>
    <row r="59" spans="2:8" x14ac:dyDescent="0.45">
      <c r="B59" s="417" t="s">
        <v>307</v>
      </c>
      <c r="C59" s="172">
        <v>45889</v>
      </c>
      <c r="D59" s="462">
        <v>0.02</v>
      </c>
      <c r="E59" s="462">
        <v>0.02</v>
      </c>
      <c r="F59" s="306">
        <v>1.7705001731545581E-4</v>
      </c>
      <c r="G59" s="310"/>
      <c r="H59" s="307" t="s">
        <v>345</v>
      </c>
    </row>
    <row r="60" spans="2:8" x14ac:dyDescent="0.45">
      <c r="B60" s="417" t="s">
        <v>304</v>
      </c>
      <c r="C60" s="172">
        <v>45889</v>
      </c>
      <c r="D60" s="462">
        <v>3.7408000000000001</v>
      </c>
      <c r="E60" s="462">
        <v>3.7408000000000001</v>
      </c>
      <c r="F60" s="306">
        <v>3.3115435238682857E-2</v>
      </c>
      <c r="G60" s="307"/>
      <c r="H60" s="307" t="s">
        <v>345</v>
      </c>
    </row>
    <row r="61" spans="2:8" x14ac:dyDescent="0.45">
      <c r="B61" s="417" t="s">
        <v>305</v>
      </c>
      <c r="C61" s="172">
        <v>45875</v>
      </c>
      <c r="D61" s="462">
        <v>5.0000016</v>
      </c>
      <c r="E61" s="462">
        <v>5.0000016</v>
      </c>
      <c r="F61" s="306">
        <v>4.4262518492865333E-2</v>
      </c>
      <c r="G61" s="307"/>
      <c r="H61" s="307" t="s">
        <v>345</v>
      </c>
    </row>
    <row r="62" spans="2:8" x14ac:dyDescent="0.45">
      <c r="B62" s="417" t="s">
        <v>306</v>
      </c>
      <c r="C62" s="172">
        <v>45900</v>
      </c>
      <c r="D62" s="462">
        <v>2.7001750000000002</v>
      </c>
      <c r="E62" s="462">
        <v>2.7001750000000002</v>
      </c>
      <c r="F62" s="306">
        <v>2.3903301525238046E-2</v>
      </c>
      <c r="G62" s="307"/>
      <c r="H62" s="307" t="s">
        <v>345</v>
      </c>
    </row>
    <row r="63" spans="2:8" x14ac:dyDescent="0.45">
      <c r="B63" s="417" t="s">
        <v>372</v>
      </c>
      <c r="C63" s="172">
        <v>45947</v>
      </c>
      <c r="D63" s="462">
        <v>5</v>
      </c>
      <c r="E63" s="462">
        <v>5</v>
      </c>
      <c r="F63" s="306">
        <v>4.4262504328863951E-2</v>
      </c>
      <c r="G63" s="307" t="s">
        <v>361</v>
      </c>
      <c r="H63" s="307" t="s">
        <v>345</v>
      </c>
    </row>
    <row r="64" spans="2:8" x14ac:dyDescent="0.45">
      <c r="B64" s="417" t="s">
        <v>386</v>
      </c>
      <c r="C64" s="172">
        <v>45889</v>
      </c>
      <c r="D64" s="462">
        <v>2.1971252670000001</v>
      </c>
      <c r="E64" s="462">
        <v>2.1971252670000001</v>
      </c>
      <c r="F64" s="306">
        <v>1.9450053328328772E-2</v>
      </c>
      <c r="G64" s="422" t="s">
        <v>361</v>
      </c>
      <c r="H64" s="307" t="s">
        <v>345</v>
      </c>
    </row>
    <row r="65" spans="2:8" x14ac:dyDescent="0.45">
      <c r="B65" s="362" t="s">
        <v>123</v>
      </c>
      <c r="C65" s="172" t="s">
        <v>67</v>
      </c>
      <c r="D65" s="462">
        <v>0</v>
      </c>
      <c r="E65" s="462">
        <v>0</v>
      </c>
      <c r="F65" s="306">
        <v>0</v>
      </c>
      <c r="G65" s="422" t="s">
        <v>72</v>
      </c>
      <c r="H65" s="307"/>
    </row>
    <row r="66" spans="2:8" x14ac:dyDescent="0.45">
      <c r="B66" s="362" t="s">
        <v>59</v>
      </c>
      <c r="C66" s="172" t="s">
        <v>108</v>
      </c>
      <c r="D66" s="462">
        <v>0</v>
      </c>
      <c r="E66" s="462">
        <v>0</v>
      </c>
      <c r="F66" s="306">
        <v>0</v>
      </c>
      <c r="G66" s="371" t="s">
        <v>72</v>
      </c>
      <c r="H66" s="126"/>
    </row>
    <row r="67" spans="2:8" x14ac:dyDescent="0.45">
      <c r="B67" s="418" t="s">
        <v>124</v>
      </c>
      <c r="C67" s="93">
        <v>44780</v>
      </c>
      <c r="D67" s="463">
        <v>0</v>
      </c>
      <c r="E67" s="463">
        <v>0</v>
      </c>
      <c r="F67" s="304">
        <v>0</v>
      </c>
      <c r="G67" s="424" t="s">
        <v>72</v>
      </c>
      <c r="H67" s="126"/>
    </row>
    <row r="68" spans="2:8" x14ac:dyDescent="0.45">
      <c r="B68" s="418" t="s">
        <v>55</v>
      </c>
      <c r="C68" s="93" t="s">
        <v>125</v>
      </c>
      <c r="D68" s="463">
        <v>0</v>
      </c>
      <c r="E68" s="463">
        <v>0</v>
      </c>
      <c r="F68" s="304">
        <v>0</v>
      </c>
      <c r="G68" s="247" t="s">
        <v>72</v>
      </c>
      <c r="H68" s="126"/>
    </row>
    <row r="69" spans="2:8" x14ac:dyDescent="0.45">
      <c r="B69" s="418" t="s">
        <v>63</v>
      </c>
      <c r="C69" s="93">
        <v>44256</v>
      </c>
      <c r="D69" s="463">
        <v>0</v>
      </c>
      <c r="E69" s="463">
        <v>0</v>
      </c>
      <c r="F69" s="304">
        <v>0</v>
      </c>
      <c r="G69" s="247" t="s">
        <v>72</v>
      </c>
      <c r="H69" s="126"/>
    </row>
    <row r="70" spans="2:8" x14ac:dyDescent="0.45">
      <c r="B70" s="418" t="s">
        <v>65</v>
      </c>
      <c r="C70" s="93" t="s">
        <v>66</v>
      </c>
      <c r="D70" s="463">
        <v>0</v>
      </c>
      <c r="E70" s="463">
        <v>0</v>
      </c>
      <c r="F70" s="304">
        <v>0</v>
      </c>
      <c r="G70" s="247" t="s">
        <v>72</v>
      </c>
      <c r="H70" s="126"/>
    </row>
    <row r="71" spans="2:8" x14ac:dyDescent="0.45">
      <c r="B71" s="418" t="s">
        <v>127</v>
      </c>
      <c r="C71" s="93">
        <v>43860</v>
      </c>
      <c r="D71" s="463">
        <v>0</v>
      </c>
      <c r="E71" s="463">
        <v>0</v>
      </c>
      <c r="F71" s="304">
        <v>0</v>
      </c>
      <c r="G71" s="247" t="s">
        <v>72</v>
      </c>
      <c r="H71" s="126"/>
    </row>
    <row r="72" spans="2:8" x14ac:dyDescent="0.45">
      <c r="B72" s="418" t="s">
        <v>134</v>
      </c>
      <c r="C72" s="93">
        <v>44064</v>
      </c>
      <c r="D72" s="463">
        <v>0</v>
      </c>
      <c r="E72" s="463">
        <v>0</v>
      </c>
      <c r="F72" s="304">
        <v>0</v>
      </c>
      <c r="G72" s="247" t="s">
        <v>72</v>
      </c>
      <c r="H72" s="126"/>
    </row>
    <row r="73" spans="2:8" x14ac:dyDescent="0.45">
      <c r="B73" s="419" t="s">
        <v>64</v>
      </c>
      <c r="C73" s="93" t="s">
        <v>135</v>
      </c>
      <c r="D73" s="463">
        <v>0</v>
      </c>
      <c r="E73" s="463">
        <v>0</v>
      </c>
      <c r="F73" s="311">
        <v>0</v>
      </c>
      <c r="G73" s="247" t="s">
        <v>72</v>
      </c>
      <c r="H73" s="126"/>
    </row>
    <row r="74" spans="2:8" x14ac:dyDescent="0.45">
      <c r="B74" s="419" t="s">
        <v>136</v>
      </c>
      <c r="C74" s="93">
        <v>44131</v>
      </c>
      <c r="D74" s="463">
        <v>0</v>
      </c>
      <c r="E74" s="463">
        <v>0</v>
      </c>
      <c r="F74" s="311">
        <v>0</v>
      </c>
      <c r="G74" s="247" t="s">
        <v>72</v>
      </c>
      <c r="H74" s="126"/>
    </row>
    <row r="75" spans="2:8" x14ac:dyDescent="0.45">
      <c r="B75" s="419" t="s">
        <v>61</v>
      </c>
      <c r="C75" s="93">
        <v>44757</v>
      </c>
      <c r="D75" s="463">
        <v>0</v>
      </c>
      <c r="E75" s="463">
        <v>0</v>
      </c>
      <c r="F75" s="304">
        <v>0</v>
      </c>
      <c r="G75" s="247" t="s">
        <v>72</v>
      </c>
      <c r="H75" s="126"/>
    </row>
    <row r="76" spans="2:8" x14ac:dyDescent="0.45">
      <c r="B76" s="418" t="s">
        <v>144</v>
      </c>
      <c r="C76" s="93">
        <v>44063</v>
      </c>
      <c r="D76" s="463">
        <v>0</v>
      </c>
      <c r="E76" s="463">
        <v>0</v>
      </c>
      <c r="F76" s="304">
        <v>0</v>
      </c>
      <c r="G76" s="247" t="s">
        <v>72</v>
      </c>
      <c r="H76" s="126"/>
    </row>
    <row r="77" spans="2:8" x14ac:dyDescent="0.45">
      <c r="B77" s="418" t="s">
        <v>148</v>
      </c>
      <c r="C77" s="93">
        <v>44560</v>
      </c>
      <c r="D77" s="463">
        <v>0</v>
      </c>
      <c r="E77" s="463">
        <v>0</v>
      </c>
      <c r="F77" s="304">
        <v>0</v>
      </c>
      <c r="G77" s="247" t="s">
        <v>72</v>
      </c>
      <c r="H77" s="126"/>
    </row>
    <row r="78" spans="2:8" x14ac:dyDescent="0.45">
      <c r="B78" s="418" t="s">
        <v>68</v>
      </c>
      <c r="C78" s="93">
        <v>44285</v>
      </c>
      <c r="D78" s="463">
        <v>0</v>
      </c>
      <c r="E78" s="463">
        <v>0</v>
      </c>
      <c r="F78" s="304">
        <v>0</v>
      </c>
      <c r="G78" s="247" t="s">
        <v>72</v>
      </c>
      <c r="H78" s="126"/>
    </row>
    <row r="79" spans="2:8" x14ac:dyDescent="0.45">
      <c r="B79" s="405" t="s">
        <v>155</v>
      </c>
      <c r="C79" s="93">
        <v>44868</v>
      </c>
      <c r="D79" s="463">
        <v>0</v>
      </c>
      <c r="E79" s="463">
        <v>0</v>
      </c>
      <c r="F79" s="304">
        <v>0</v>
      </c>
      <c r="G79" s="247" t="s">
        <v>72</v>
      </c>
      <c r="H79" s="126"/>
    </row>
    <row r="80" spans="2:8" x14ac:dyDescent="0.45">
      <c r="B80" s="405" t="s">
        <v>157</v>
      </c>
      <c r="C80" s="93">
        <v>43752</v>
      </c>
      <c r="D80" s="463">
        <v>0</v>
      </c>
      <c r="E80" s="463">
        <v>0</v>
      </c>
      <c r="F80" s="304">
        <v>0</v>
      </c>
      <c r="G80" s="247" t="s">
        <v>72</v>
      </c>
      <c r="H80" s="126"/>
    </row>
    <row r="81" spans="2:8" x14ac:dyDescent="0.45">
      <c r="B81" s="405" t="s">
        <v>70</v>
      </c>
      <c r="C81" s="93" t="s">
        <v>71</v>
      </c>
      <c r="D81" s="463">
        <v>0</v>
      </c>
      <c r="E81" s="463">
        <v>0</v>
      </c>
      <c r="F81" s="304">
        <v>0</v>
      </c>
      <c r="G81" s="247" t="s">
        <v>72</v>
      </c>
      <c r="H81" s="126"/>
    </row>
    <row r="82" spans="2:8" x14ac:dyDescent="0.45">
      <c r="B82" s="405" t="s">
        <v>74</v>
      </c>
      <c r="C82" s="93">
        <v>44287</v>
      </c>
      <c r="D82" s="463">
        <v>0</v>
      </c>
      <c r="E82" s="463">
        <v>0</v>
      </c>
      <c r="F82" s="304">
        <v>0</v>
      </c>
      <c r="G82" s="247" t="s">
        <v>72</v>
      </c>
      <c r="H82" s="126"/>
    </row>
    <row r="83" spans="2:8" x14ac:dyDescent="0.45">
      <c r="B83" s="405" t="s">
        <v>73</v>
      </c>
      <c r="C83" s="93">
        <v>43699</v>
      </c>
      <c r="D83" s="463">
        <v>0</v>
      </c>
      <c r="E83" s="463">
        <v>0</v>
      </c>
      <c r="F83" s="304">
        <v>0</v>
      </c>
      <c r="G83" s="247" t="s">
        <v>72</v>
      </c>
      <c r="H83" s="126"/>
    </row>
    <row r="84" spans="2:8" x14ac:dyDescent="0.45">
      <c r="B84" s="405" t="s">
        <v>158</v>
      </c>
      <c r="C84" s="93" t="s">
        <v>56</v>
      </c>
      <c r="D84" s="463">
        <v>0</v>
      </c>
      <c r="E84" s="463">
        <v>0</v>
      </c>
      <c r="F84" s="304">
        <v>0</v>
      </c>
      <c r="G84" s="247" t="s">
        <v>72</v>
      </c>
      <c r="H84" s="126"/>
    </row>
    <row r="85" spans="2:8" x14ac:dyDescent="0.45">
      <c r="B85" s="405" t="s">
        <v>75</v>
      </c>
      <c r="C85" s="93" t="s">
        <v>110</v>
      </c>
      <c r="D85" s="463">
        <v>0</v>
      </c>
      <c r="E85" s="463">
        <v>0</v>
      </c>
      <c r="F85" s="304">
        <v>0</v>
      </c>
      <c r="G85" s="247" t="s">
        <v>72</v>
      </c>
      <c r="H85" s="126"/>
    </row>
    <row r="86" spans="2:8" x14ac:dyDescent="0.45">
      <c r="B86" s="94" t="s">
        <v>45</v>
      </c>
      <c r="C86" s="95">
        <v>921871</v>
      </c>
      <c r="D86" s="464">
        <f>SUM(D4:D85)</f>
        <v>115.15955420800003</v>
      </c>
      <c r="E86" s="464">
        <f>SUM(E4:E85)</f>
        <v>115.15955420800003</v>
      </c>
      <c r="F86" s="312">
        <f>SUM(F4:F85)</f>
        <v>1.0194500533283284</v>
      </c>
      <c r="G86" s="423"/>
      <c r="H86" s="312"/>
    </row>
    <row r="87" spans="2:8" x14ac:dyDescent="0.45">
      <c r="D87" s="465"/>
      <c r="E87" s="465"/>
    </row>
    <row r="88" spans="2:8" x14ac:dyDescent="0.45">
      <c r="E88" s="41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88D6C-42A8-4C70-B333-0B2754BE6349}">
  <sheetPr codeName="Sheet16"/>
  <dimension ref="C4:I15"/>
  <sheetViews>
    <sheetView showGridLines="0" workbookViewId="0">
      <selection activeCell="L8" sqref="L8"/>
    </sheetView>
  </sheetViews>
  <sheetFormatPr defaultRowHeight="14.25" x14ac:dyDescent="0.45"/>
  <cols>
    <col min="3" max="3" width="15.796875" bestFit="1" customWidth="1"/>
    <col min="4" max="4" width="15.33203125" customWidth="1"/>
    <col min="8" max="8" width="11.46484375" bestFit="1" customWidth="1"/>
  </cols>
  <sheetData>
    <row r="4" spans="3:9" ht="23.25" x14ac:dyDescent="0.45">
      <c r="C4" s="298" t="s">
        <v>34</v>
      </c>
      <c r="D4" s="299" t="s">
        <v>52</v>
      </c>
      <c r="E4" s="298" t="s">
        <v>2</v>
      </c>
      <c r="F4" s="298" t="s">
        <v>3</v>
      </c>
      <c r="G4" s="300" t="s">
        <v>4</v>
      </c>
      <c r="H4" s="300" t="s">
        <v>170</v>
      </c>
      <c r="I4" s="300" t="s">
        <v>342</v>
      </c>
    </row>
    <row r="5" spans="3:9" x14ac:dyDescent="0.45">
      <c r="C5" s="350" t="s">
        <v>32</v>
      </c>
      <c r="D5" s="301" t="s">
        <v>118</v>
      </c>
      <c r="E5" s="364">
        <f>SUM(E6:E9)</f>
        <v>20.999748665000002</v>
      </c>
      <c r="F5" s="364">
        <f>SUM(F6:F9)</f>
        <v>20.999748665000002</v>
      </c>
      <c r="G5" s="302">
        <f>SUM(G6:G8)</f>
        <v>0.51604502163988386</v>
      </c>
      <c r="H5" s="303"/>
      <c r="I5" s="303"/>
    </row>
    <row r="6" spans="3:9" x14ac:dyDescent="0.45">
      <c r="C6" s="18" t="s">
        <v>282</v>
      </c>
      <c r="D6" s="363">
        <v>45631</v>
      </c>
      <c r="E6" s="98">
        <f>1599.9746265/(10^2)</f>
        <v>15.999746265000001</v>
      </c>
      <c r="F6" s="98">
        <f>1599.9746265/(10^2)</f>
        <v>15.999746265000001</v>
      </c>
      <c r="G6" s="99">
        <v>0.39317562982626181</v>
      </c>
      <c r="H6" s="18" t="s">
        <v>343</v>
      </c>
      <c r="I6" s="18" t="s">
        <v>344</v>
      </c>
    </row>
    <row r="7" spans="3:9" x14ac:dyDescent="0.45">
      <c r="C7" s="18" t="s">
        <v>196</v>
      </c>
      <c r="D7" s="363">
        <v>45544</v>
      </c>
      <c r="E7" s="98">
        <f>500.00024/(10^2)</f>
        <v>5.0000024000000005</v>
      </c>
      <c r="F7" s="98">
        <f>500.00024/(10^2)</f>
        <v>5.0000024000000005</v>
      </c>
      <c r="G7" s="99">
        <v>0.12286939181362207</v>
      </c>
      <c r="H7" s="18" t="s">
        <v>343</v>
      </c>
      <c r="I7" s="18" t="s">
        <v>344</v>
      </c>
    </row>
    <row r="15" spans="3:9" x14ac:dyDescent="0.45">
      <c r="F15" s="320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F0079-8112-44BE-A7E3-EF2F3F33B92B}">
  <dimension ref="B2:K725"/>
  <sheetViews>
    <sheetView showGridLines="0" topLeftCell="A19" workbookViewId="0">
      <selection activeCell="B2" sqref="B2"/>
    </sheetView>
  </sheetViews>
  <sheetFormatPr defaultRowHeight="14.25" x14ac:dyDescent="0.45"/>
  <cols>
    <col min="2" max="2" width="23.06640625" bestFit="1" customWidth="1"/>
    <col min="6" max="6" width="49.265625" bestFit="1" customWidth="1"/>
    <col min="11" max="11" width="9.796875" bestFit="1" customWidth="1"/>
  </cols>
  <sheetData>
    <row r="2" spans="2:11" x14ac:dyDescent="0.45">
      <c r="B2" s="523" t="s">
        <v>665</v>
      </c>
    </row>
    <row r="3" spans="2:11" x14ac:dyDescent="0.45">
      <c r="B3" s="524" t="s">
        <v>544</v>
      </c>
    </row>
    <row r="4" spans="2:11" x14ac:dyDescent="0.45">
      <c r="B4" s="509" t="s">
        <v>237</v>
      </c>
      <c r="C4" s="509" t="s">
        <v>227</v>
      </c>
      <c r="D4" s="509" t="s">
        <v>85</v>
      </c>
      <c r="E4" s="509" t="s">
        <v>0</v>
      </c>
      <c r="F4" s="510" t="s">
        <v>34</v>
      </c>
      <c r="G4" s="510" t="s">
        <v>514</v>
      </c>
      <c r="H4" s="510" t="s">
        <v>236</v>
      </c>
      <c r="I4" s="511" t="s">
        <v>161</v>
      </c>
      <c r="J4" s="512" t="s">
        <v>515</v>
      </c>
      <c r="K4" s="513" t="s">
        <v>440</v>
      </c>
    </row>
    <row r="5" spans="2:11" x14ac:dyDescent="0.45">
      <c r="B5" s="514" t="s">
        <v>77</v>
      </c>
      <c r="C5" s="514" t="s">
        <v>516</v>
      </c>
      <c r="D5" s="534" t="s">
        <v>29</v>
      </c>
      <c r="E5" s="534" t="s">
        <v>30</v>
      </c>
      <c r="F5" s="535" t="s">
        <v>375</v>
      </c>
      <c r="G5" s="536" t="s">
        <v>224</v>
      </c>
      <c r="H5" s="537">
        <v>46051</v>
      </c>
      <c r="I5" s="519">
        <v>1056498</v>
      </c>
      <c r="J5" s="522">
        <v>170.99053688000001</v>
      </c>
      <c r="K5" s="538">
        <v>-180651160.23264626</v>
      </c>
    </row>
    <row r="6" spans="2:11" x14ac:dyDescent="0.45">
      <c r="B6" s="514" t="s">
        <v>77</v>
      </c>
      <c r="C6" s="514" t="s">
        <v>516</v>
      </c>
      <c r="D6" s="534" t="s">
        <v>29</v>
      </c>
      <c r="E6" s="534" t="s">
        <v>30</v>
      </c>
      <c r="F6" s="535" t="s">
        <v>375</v>
      </c>
      <c r="G6" s="536" t="s">
        <v>224</v>
      </c>
      <c r="H6" s="537">
        <v>46052</v>
      </c>
      <c r="I6" s="519">
        <v>138502</v>
      </c>
      <c r="J6" s="522">
        <v>166.29106734999999</v>
      </c>
      <c r="K6" s="538">
        <v>-23031645.410109699</v>
      </c>
    </row>
    <row r="7" spans="2:11" x14ac:dyDescent="0.45">
      <c r="B7" s="514" t="s">
        <v>77</v>
      </c>
      <c r="C7" s="514" t="s">
        <v>516</v>
      </c>
      <c r="D7" s="534" t="s">
        <v>29</v>
      </c>
      <c r="E7" s="534" t="s">
        <v>30</v>
      </c>
      <c r="F7" s="535" t="s">
        <v>375</v>
      </c>
      <c r="G7" s="536" t="s">
        <v>517</v>
      </c>
      <c r="H7" s="537">
        <v>46203</v>
      </c>
      <c r="I7" s="519">
        <v>1195000</v>
      </c>
      <c r="J7" s="522">
        <v>136.46289999999999</v>
      </c>
      <c r="K7" s="538">
        <v>163073165.5</v>
      </c>
    </row>
    <row r="8" spans="2:11" x14ac:dyDescent="0.45">
      <c r="B8" s="515" t="s">
        <v>76</v>
      </c>
      <c r="C8" s="514" t="s">
        <v>516</v>
      </c>
      <c r="D8" s="539" t="s">
        <v>29</v>
      </c>
      <c r="E8" s="539" t="s">
        <v>30</v>
      </c>
      <c r="F8" s="535" t="s">
        <v>375</v>
      </c>
      <c r="G8" s="540" t="s">
        <v>224</v>
      </c>
      <c r="H8" s="537">
        <v>46041</v>
      </c>
      <c r="I8" s="519">
        <v>1800000</v>
      </c>
      <c r="J8" s="522">
        <v>139.94444444444446</v>
      </c>
      <c r="K8" s="541">
        <v>-251900000</v>
      </c>
    </row>
    <row r="9" spans="2:11" x14ac:dyDescent="0.45">
      <c r="B9" s="515" t="s">
        <v>76</v>
      </c>
      <c r="C9" s="514" t="s">
        <v>516</v>
      </c>
      <c r="D9" s="539" t="s">
        <v>29</v>
      </c>
      <c r="E9" s="539" t="s">
        <v>30</v>
      </c>
      <c r="F9" s="535" t="s">
        <v>375</v>
      </c>
      <c r="G9" s="540" t="s">
        <v>224</v>
      </c>
      <c r="H9" s="537">
        <v>46044</v>
      </c>
      <c r="I9" s="519">
        <v>340000</v>
      </c>
      <c r="J9" s="522">
        <v>147.28773867999999</v>
      </c>
      <c r="K9" s="541">
        <v>-50077831.151199996</v>
      </c>
    </row>
    <row r="10" spans="2:11" x14ac:dyDescent="0.45">
      <c r="B10" s="515" t="s">
        <v>76</v>
      </c>
      <c r="C10" s="514" t="s">
        <v>516</v>
      </c>
      <c r="D10" s="539" t="s">
        <v>29</v>
      </c>
      <c r="E10" s="539" t="s">
        <v>30</v>
      </c>
      <c r="F10" s="535" t="s">
        <v>375</v>
      </c>
      <c r="G10" s="540" t="s">
        <v>517</v>
      </c>
      <c r="H10" s="537">
        <v>46203</v>
      </c>
      <c r="I10" s="519">
        <v>2140000</v>
      </c>
      <c r="J10" s="522">
        <v>136.46289999999999</v>
      </c>
      <c r="K10" s="541">
        <v>292030606</v>
      </c>
    </row>
    <row r="11" spans="2:11" x14ac:dyDescent="0.45">
      <c r="B11" s="514" t="s">
        <v>79</v>
      </c>
      <c r="C11" s="514" t="s">
        <v>516</v>
      </c>
      <c r="D11" s="534" t="s">
        <v>29</v>
      </c>
      <c r="E11" s="534" t="s">
        <v>30</v>
      </c>
      <c r="F11" s="535" t="s">
        <v>375</v>
      </c>
      <c r="G11" s="536" t="s">
        <v>224</v>
      </c>
      <c r="H11" s="537">
        <v>46044</v>
      </c>
      <c r="I11" s="519">
        <v>205000</v>
      </c>
      <c r="J11" s="522">
        <v>147.2863361</v>
      </c>
      <c r="K11" s="538">
        <v>-30193698.9005</v>
      </c>
    </row>
    <row r="12" spans="2:11" x14ac:dyDescent="0.45">
      <c r="B12" s="514" t="s">
        <v>79</v>
      </c>
      <c r="C12" s="514" t="s">
        <v>516</v>
      </c>
      <c r="D12" s="534" t="s">
        <v>29</v>
      </c>
      <c r="E12" s="534" t="s">
        <v>30</v>
      </c>
      <c r="F12" s="535" t="s">
        <v>375</v>
      </c>
      <c r="G12" s="536" t="s">
        <v>517</v>
      </c>
      <c r="H12" s="537">
        <v>46203</v>
      </c>
      <c r="I12" s="519">
        <v>205000</v>
      </c>
      <c r="J12" s="522">
        <v>136.46289999999999</v>
      </c>
      <c r="K12" s="538">
        <v>27974894.499999996</v>
      </c>
    </row>
    <row r="13" spans="2:11" x14ac:dyDescent="0.45">
      <c r="B13" s="514" t="s">
        <v>76</v>
      </c>
      <c r="C13" s="514" t="s">
        <v>518</v>
      </c>
      <c r="D13" s="534" t="s">
        <v>29</v>
      </c>
      <c r="E13" s="534" t="s">
        <v>31</v>
      </c>
      <c r="F13" s="264" t="s">
        <v>114</v>
      </c>
      <c r="G13" s="542" t="s">
        <v>224</v>
      </c>
      <c r="H13" s="537">
        <v>44308</v>
      </c>
      <c r="I13" s="519">
        <v>999950.00199999998</v>
      </c>
      <c r="J13" s="522">
        <v>10</v>
      </c>
      <c r="K13" s="543">
        <v>-9999500.0199999996</v>
      </c>
    </row>
    <row r="14" spans="2:11" x14ac:dyDescent="0.45">
      <c r="B14" s="514" t="s">
        <v>76</v>
      </c>
      <c r="C14" s="514" t="s">
        <v>518</v>
      </c>
      <c r="D14" s="534" t="s">
        <v>29</v>
      </c>
      <c r="E14" s="534" t="s">
        <v>31</v>
      </c>
      <c r="F14" s="264" t="s">
        <v>114</v>
      </c>
      <c r="G14" s="536" t="s">
        <v>519</v>
      </c>
      <c r="H14" s="537">
        <v>44651</v>
      </c>
      <c r="I14" s="519"/>
      <c r="J14" s="522"/>
      <c r="K14" s="543">
        <v>18908</v>
      </c>
    </row>
    <row r="15" spans="2:11" x14ac:dyDescent="0.45">
      <c r="B15" s="514" t="s">
        <v>76</v>
      </c>
      <c r="C15" s="514" t="s">
        <v>518</v>
      </c>
      <c r="D15" s="534" t="s">
        <v>29</v>
      </c>
      <c r="E15" s="534" t="s">
        <v>31</v>
      </c>
      <c r="F15" s="264" t="s">
        <v>114</v>
      </c>
      <c r="G15" s="536" t="s">
        <v>519</v>
      </c>
      <c r="H15" s="537">
        <v>45016</v>
      </c>
      <c r="I15" s="519"/>
      <c r="J15" s="522"/>
      <c r="K15" s="543">
        <v>14547</v>
      </c>
    </row>
    <row r="16" spans="2:11" x14ac:dyDescent="0.45">
      <c r="B16" s="514" t="s">
        <v>76</v>
      </c>
      <c r="C16" s="514" t="s">
        <v>518</v>
      </c>
      <c r="D16" s="534" t="s">
        <v>29</v>
      </c>
      <c r="E16" s="534" t="s">
        <v>31</v>
      </c>
      <c r="F16" s="264" t="s">
        <v>114</v>
      </c>
      <c r="G16" s="536" t="s">
        <v>225</v>
      </c>
      <c r="H16" s="537">
        <v>45412</v>
      </c>
      <c r="I16" s="519">
        <v>5751.2960977544089</v>
      </c>
      <c r="J16" s="522">
        <v>13.617800000000001</v>
      </c>
      <c r="K16" s="543">
        <v>78320</v>
      </c>
    </row>
    <row r="17" spans="2:11" x14ac:dyDescent="0.45">
      <c r="B17" s="514" t="s">
        <v>76</v>
      </c>
      <c r="C17" s="514" t="s">
        <v>518</v>
      </c>
      <c r="D17" s="534" t="s">
        <v>29</v>
      </c>
      <c r="E17" s="534" t="s">
        <v>31</v>
      </c>
      <c r="F17" s="264" t="s">
        <v>114</v>
      </c>
      <c r="G17" s="536" t="s">
        <v>519</v>
      </c>
      <c r="H17" s="537">
        <v>45470</v>
      </c>
      <c r="I17" s="519"/>
      <c r="J17" s="522"/>
      <c r="K17" s="543">
        <v>1150402</v>
      </c>
    </row>
    <row r="18" spans="2:11" x14ac:dyDescent="0.45">
      <c r="B18" s="514" t="s">
        <v>76</v>
      </c>
      <c r="C18" s="514" t="s">
        <v>518</v>
      </c>
      <c r="D18" s="534" t="s">
        <v>29</v>
      </c>
      <c r="E18" s="534" t="s">
        <v>31</v>
      </c>
      <c r="F18" s="264" t="s">
        <v>114</v>
      </c>
      <c r="G18" s="536" t="s">
        <v>519</v>
      </c>
      <c r="H18" s="537">
        <v>46160</v>
      </c>
      <c r="I18" s="519"/>
      <c r="J18" s="522"/>
      <c r="K18" s="543">
        <v>715619</v>
      </c>
    </row>
    <row r="19" spans="2:11" x14ac:dyDescent="0.45">
      <c r="B19" s="514" t="s">
        <v>76</v>
      </c>
      <c r="C19" s="514" t="s">
        <v>518</v>
      </c>
      <c r="D19" s="534" t="s">
        <v>29</v>
      </c>
      <c r="E19" s="534" t="s">
        <v>31</v>
      </c>
      <c r="F19" s="264" t="s">
        <v>114</v>
      </c>
      <c r="G19" s="542" t="s">
        <v>517</v>
      </c>
      <c r="H19" s="537">
        <v>46203</v>
      </c>
      <c r="I19" s="519">
        <v>990429.68</v>
      </c>
      <c r="J19" s="522">
        <v>15.06</v>
      </c>
      <c r="K19" s="544">
        <v>14580413</v>
      </c>
    </row>
    <row r="20" spans="2:11" x14ac:dyDescent="0.45">
      <c r="B20" s="514" t="s">
        <v>78</v>
      </c>
      <c r="C20" s="514" t="s">
        <v>518</v>
      </c>
      <c r="D20" s="534" t="s">
        <v>29</v>
      </c>
      <c r="E20" s="534" t="s">
        <v>31</v>
      </c>
      <c r="F20" s="97" t="s">
        <v>114</v>
      </c>
      <c r="G20" s="536" t="s">
        <v>224</v>
      </c>
      <c r="H20" s="537">
        <v>44308</v>
      </c>
      <c r="I20" s="519">
        <v>999950.00199999998</v>
      </c>
      <c r="J20" s="522">
        <v>10</v>
      </c>
      <c r="K20" s="538">
        <v>-9999500.0199999996</v>
      </c>
    </row>
    <row r="21" spans="2:11" x14ac:dyDescent="0.45">
      <c r="B21" s="514" t="s">
        <v>78</v>
      </c>
      <c r="C21" s="514" t="s">
        <v>518</v>
      </c>
      <c r="D21" s="534" t="s">
        <v>29</v>
      </c>
      <c r="E21" s="534" t="s">
        <v>31</v>
      </c>
      <c r="F21" s="97" t="s">
        <v>114</v>
      </c>
      <c r="G21" s="536" t="s">
        <v>519</v>
      </c>
      <c r="H21" s="537">
        <v>44651</v>
      </c>
      <c r="I21" s="519"/>
      <c r="J21" s="522"/>
      <c r="K21" s="543">
        <v>18908</v>
      </c>
    </row>
    <row r="22" spans="2:11" x14ac:dyDescent="0.45">
      <c r="B22" s="514" t="s">
        <v>78</v>
      </c>
      <c r="C22" s="514" t="s">
        <v>518</v>
      </c>
      <c r="D22" s="534" t="s">
        <v>29</v>
      </c>
      <c r="E22" s="534" t="s">
        <v>31</v>
      </c>
      <c r="F22" s="97" t="s">
        <v>114</v>
      </c>
      <c r="G22" s="536" t="s">
        <v>519</v>
      </c>
      <c r="H22" s="537">
        <v>45016</v>
      </c>
      <c r="I22" s="519"/>
      <c r="J22" s="522"/>
      <c r="K22" s="543">
        <v>14547</v>
      </c>
    </row>
    <row r="23" spans="2:11" x14ac:dyDescent="0.45">
      <c r="B23" s="514" t="s">
        <v>78</v>
      </c>
      <c r="C23" s="514" t="s">
        <v>518</v>
      </c>
      <c r="D23" s="534" t="s">
        <v>29</v>
      </c>
      <c r="E23" s="534" t="s">
        <v>31</v>
      </c>
      <c r="F23" s="97" t="s">
        <v>114</v>
      </c>
      <c r="G23" s="536" t="s">
        <v>225</v>
      </c>
      <c r="H23" s="537">
        <v>45412</v>
      </c>
      <c r="I23" s="519">
        <v>5751.2960977544089</v>
      </c>
      <c r="J23" s="522">
        <v>13.617800000000001</v>
      </c>
      <c r="K23" s="538">
        <v>78320</v>
      </c>
    </row>
    <row r="24" spans="2:11" x14ac:dyDescent="0.45">
      <c r="B24" s="514" t="s">
        <v>78</v>
      </c>
      <c r="C24" s="514" t="s">
        <v>518</v>
      </c>
      <c r="D24" s="534" t="s">
        <v>29</v>
      </c>
      <c r="E24" s="534" t="s">
        <v>31</v>
      </c>
      <c r="F24" s="97" t="s">
        <v>114</v>
      </c>
      <c r="G24" s="536" t="s">
        <v>519</v>
      </c>
      <c r="H24" s="537">
        <v>45470</v>
      </c>
      <c r="I24" s="519"/>
      <c r="J24" s="522"/>
      <c r="K24" s="543">
        <v>1150402</v>
      </c>
    </row>
    <row r="25" spans="2:11" x14ac:dyDescent="0.45">
      <c r="B25" s="514" t="s">
        <v>78</v>
      </c>
      <c r="C25" s="514" t="s">
        <v>518</v>
      </c>
      <c r="D25" s="534" t="s">
        <v>29</v>
      </c>
      <c r="E25" s="534" t="s">
        <v>31</v>
      </c>
      <c r="F25" s="97" t="s">
        <v>114</v>
      </c>
      <c r="G25" s="536" t="s">
        <v>519</v>
      </c>
      <c r="H25" s="537">
        <v>46160</v>
      </c>
      <c r="I25" s="519"/>
      <c r="J25" s="522"/>
      <c r="K25" s="543">
        <v>715619</v>
      </c>
    </row>
    <row r="26" spans="2:11" x14ac:dyDescent="0.45">
      <c r="B26" s="514" t="s">
        <v>78</v>
      </c>
      <c r="C26" s="514" t="s">
        <v>518</v>
      </c>
      <c r="D26" s="534" t="s">
        <v>29</v>
      </c>
      <c r="E26" s="534" t="s">
        <v>31</v>
      </c>
      <c r="F26" s="264" t="s">
        <v>114</v>
      </c>
      <c r="G26" s="536" t="s">
        <v>517</v>
      </c>
      <c r="H26" s="537">
        <v>46203</v>
      </c>
      <c r="I26" s="519">
        <v>990429.68</v>
      </c>
      <c r="J26" s="522">
        <v>15.06</v>
      </c>
      <c r="K26" s="544">
        <v>14580412.51</v>
      </c>
    </row>
    <row r="27" spans="2:11" x14ac:dyDescent="0.45">
      <c r="B27" s="515" t="s">
        <v>76</v>
      </c>
      <c r="C27" s="514" t="s">
        <v>520</v>
      </c>
      <c r="D27" s="539" t="s">
        <v>29</v>
      </c>
      <c r="E27" s="539" t="s">
        <v>31</v>
      </c>
      <c r="F27" s="535" t="s">
        <v>364</v>
      </c>
      <c r="G27" s="540" t="s">
        <v>224</v>
      </c>
      <c r="H27" s="537">
        <v>45987</v>
      </c>
      <c r="I27" s="519">
        <v>636</v>
      </c>
      <c r="J27" s="522">
        <v>78668</v>
      </c>
      <c r="K27" s="545">
        <v>-50032848</v>
      </c>
    </row>
    <row r="28" spans="2:11" x14ac:dyDescent="0.45">
      <c r="B28" s="515" t="s">
        <v>76</v>
      </c>
      <c r="C28" s="514" t="s">
        <v>520</v>
      </c>
      <c r="D28" s="539" t="s">
        <v>29</v>
      </c>
      <c r="E28" s="539" t="s">
        <v>31</v>
      </c>
      <c r="F28" s="535" t="s">
        <v>364</v>
      </c>
      <c r="G28" s="546" t="s">
        <v>517</v>
      </c>
      <c r="H28" s="537">
        <v>46203</v>
      </c>
      <c r="I28" s="519">
        <v>0</v>
      </c>
      <c r="J28" s="522">
        <v>78668</v>
      </c>
      <c r="K28" s="545">
        <v>50032848</v>
      </c>
    </row>
    <row r="29" spans="2:11" x14ac:dyDescent="0.45">
      <c r="B29" s="516" t="s">
        <v>79</v>
      </c>
      <c r="C29" s="514" t="s">
        <v>516</v>
      </c>
      <c r="D29" s="534" t="s">
        <v>29</v>
      </c>
      <c r="E29" s="534" t="s">
        <v>31</v>
      </c>
      <c r="F29" s="547" t="s">
        <v>247</v>
      </c>
      <c r="G29" s="536" t="s">
        <v>224</v>
      </c>
      <c r="H29" s="537">
        <v>45568</v>
      </c>
      <c r="I29" s="519">
        <v>65</v>
      </c>
      <c r="J29" s="522">
        <v>100000</v>
      </c>
      <c r="K29" s="541">
        <v>-6500000</v>
      </c>
    </row>
    <row r="30" spans="2:11" x14ac:dyDescent="0.45">
      <c r="B30" s="516" t="s">
        <v>79</v>
      </c>
      <c r="C30" s="514" t="s">
        <v>516</v>
      </c>
      <c r="D30" s="534" t="s">
        <v>29</v>
      </c>
      <c r="E30" s="534" t="s">
        <v>31</v>
      </c>
      <c r="F30" s="547" t="s">
        <v>247</v>
      </c>
      <c r="G30" s="536" t="s">
        <v>224</v>
      </c>
      <c r="H30" s="537">
        <v>45631</v>
      </c>
      <c r="I30" s="519">
        <v>50</v>
      </c>
      <c r="J30" s="522">
        <v>100000</v>
      </c>
      <c r="K30" s="541">
        <v>-5000000</v>
      </c>
    </row>
    <row r="31" spans="2:11" x14ac:dyDescent="0.45">
      <c r="B31" s="516" t="s">
        <v>79</v>
      </c>
      <c r="C31" s="514" t="s">
        <v>516</v>
      </c>
      <c r="D31" s="534" t="s">
        <v>29</v>
      </c>
      <c r="E31" s="534" t="s">
        <v>31</v>
      </c>
      <c r="F31" s="547" t="s">
        <v>247</v>
      </c>
      <c r="G31" s="536" t="s">
        <v>224</v>
      </c>
      <c r="H31" s="537">
        <v>45860</v>
      </c>
      <c r="I31" s="519">
        <v>25</v>
      </c>
      <c r="J31" s="522">
        <v>100000</v>
      </c>
      <c r="K31" s="541">
        <v>-2500000</v>
      </c>
    </row>
    <row r="32" spans="2:11" x14ac:dyDescent="0.45">
      <c r="B32" s="516" t="s">
        <v>79</v>
      </c>
      <c r="C32" s="514" t="s">
        <v>516</v>
      </c>
      <c r="D32" s="534" t="s">
        <v>29</v>
      </c>
      <c r="E32" s="534" t="s">
        <v>31</v>
      </c>
      <c r="F32" s="547" t="s">
        <v>247</v>
      </c>
      <c r="G32" s="536" t="s">
        <v>224</v>
      </c>
      <c r="H32" s="537">
        <v>45925</v>
      </c>
      <c r="I32" s="519">
        <v>62.5</v>
      </c>
      <c r="J32" s="522">
        <v>100000</v>
      </c>
      <c r="K32" s="541">
        <v>-6250000</v>
      </c>
    </row>
    <row r="33" spans="2:11" x14ac:dyDescent="0.45">
      <c r="B33" s="516" t="s">
        <v>79</v>
      </c>
      <c r="C33" s="514" t="s">
        <v>516</v>
      </c>
      <c r="D33" s="534" t="s">
        <v>29</v>
      </c>
      <c r="E33" s="534" t="s">
        <v>31</v>
      </c>
      <c r="F33" s="547" t="s">
        <v>247</v>
      </c>
      <c r="G33" s="536" t="s">
        <v>519</v>
      </c>
      <c r="H33" s="537">
        <v>45930</v>
      </c>
      <c r="I33" s="519">
        <v>62.5</v>
      </c>
      <c r="J33" s="522"/>
      <c r="K33" s="541">
        <v>2046</v>
      </c>
    </row>
    <row r="34" spans="2:11" x14ac:dyDescent="0.45">
      <c r="B34" s="516" t="s">
        <v>79</v>
      </c>
      <c r="C34" s="514" t="s">
        <v>516</v>
      </c>
      <c r="D34" s="534" t="s">
        <v>29</v>
      </c>
      <c r="E34" s="534" t="s">
        <v>31</v>
      </c>
      <c r="F34" s="547" t="s">
        <v>247</v>
      </c>
      <c r="G34" s="536" t="s">
        <v>519</v>
      </c>
      <c r="H34" s="537">
        <v>45930</v>
      </c>
      <c r="I34" s="519">
        <v>62.5</v>
      </c>
      <c r="J34" s="522"/>
      <c r="K34" s="541">
        <v>18909</v>
      </c>
    </row>
    <row r="35" spans="2:11" x14ac:dyDescent="0.45">
      <c r="B35" s="516" t="s">
        <v>79</v>
      </c>
      <c r="C35" s="514" t="s">
        <v>516</v>
      </c>
      <c r="D35" s="534" t="s">
        <v>29</v>
      </c>
      <c r="E35" s="534" t="s">
        <v>31</v>
      </c>
      <c r="F35" s="547" t="s">
        <v>247</v>
      </c>
      <c r="G35" s="536" t="s">
        <v>519</v>
      </c>
      <c r="H35" s="537">
        <v>46022</v>
      </c>
      <c r="I35" s="519">
        <v>62.5</v>
      </c>
      <c r="J35" s="522"/>
      <c r="K35" s="541">
        <v>83</v>
      </c>
    </row>
    <row r="36" spans="2:11" x14ac:dyDescent="0.45">
      <c r="B36" s="516" t="s">
        <v>79</v>
      </c>
      <c r="C36" s="514" t="s">
        <v>516</v>
      </c>
      <c r="D36" s="534" t="s">
        <v>29</v>
      </c>
      <c r="E36" s="534" t="s">
        <v>31</v>
      </c>
      <c r="F36" s="547" t="s">
        <v>247</v>
      </c>
      <c r="G36" s="536" t="s">
        <v>519</v>
      </c>
      <c r="H36" s="537">
        <v>46112</v>
      </c>
      <c r="I36" s="519">
        <v>62.5</v>
      </c>
      <c r="J36" s="522"/>
      <c r="K36" s="541">
        <v>121829</v>
      </c>
    </row>
    <row r="37" spans="2:11" x14ac:dyDescent="0.45">
      <c r="B37" s="516" t="s">
        <v>79</v>
      </c>
      <c r="C37" s="514" t="s">
        <v>516</v>
      </c>
      <c r="D37" s="534" t="s">
        <v>29</v>
      </c>
      <c r="E37" s="534" t="s">
        <v>31</v>
      </c>
      <c r="F37" s="547" t="s">
        <v>247</v>
      </c>
      <c r="G37" s="536" t="s">
        <v>517</v>
      </c>
      <c r="H37" s="537">
        <v>46112</v>
      </c>
      <c r="I37" s="519">
        <v>202.5</v>
      </c>
      <c r="J37" s="522">
        <v>93047.944399999993</v>
      </c>
      <c r="K37" s="541">
        <v>18842208.741</v>
      </c>
    </row>
    <row r="38" spans="2:11" x14ac:dyDescent="0.45">
      <c r="B38" s="514" t="s">
        <v>76</v>
      </c>
      <c r="C38" s="515" t="s">
        <v>520</v>
      </c>
      <c r="D38" s="534" t="s">
        <v>29</v>
      </c>
      <c r="E38" s="534" t="s">
        <v>31</v>
      </c>
      <c r="F38" s="535" t="s">
        <v>199</v>
      </c>
      <c r="G38" s="535" t="s">
        <v>224</v>
      </c>
      <c r="H38" s="537">
        <v>45546</v>
      </c>
      <c r="I38" s="519">
        <v>15000</v>
      </c>
      <c r="J38" s="522">
        <v>1000</v>
      </c>
      <c r="K38" s="545">
        <v>-15000000</v>
      </c>
    </row>
    <row r="39" spans="2:11" x14ac:dyDescent="0.45">
      <c r="B39" s="514" t="s">
        <v>76</v>
      </c>
      <c r="C39" s="515" t="s">
        <v>520</v>
      </c>
      <c r="D39" s="534" t="s">
        <v>29</v>
      </c>
      <c r="E39" s="534" t="s">
        <v>31</v>
      </c>
      <c r="F39" s="535" t="s">
        <v>199</v>
      </c>
      <c r="G39" s="535" t="s">
        <v>224</v>
      </c>
      <c r="H39" s="537">
        <v>45582</v>
      </c>
      <c r="I39" s="519">
        <v>7500</v>
      </c>
      <c r="J39" s="522">
        <v>1000</v>
      </c>
      <c r="K39" s="545">
        <v>-7500000</v>
      </c>
    </row>
    <row r="40" spans="2:11" x14ac:dyDescent="0.45">
      <c r="B40" s="514" t="s">
        <v>76</v>
      </c>
      <c r="C40" s="515" t="s">
        <v>520</v>
      </c>
      <c r="D40" s="534" t="s">
        <v>29</v>
      </c>
      <c r="E40" s="534" t="s">
        <v>31</v>
      </c>
      <c r="F40" s="535" t="s">
        <v>199</v>
      </c>
      <c r="G40" s="535" t="s">
        <v>224</v>
      </c>
      <c r="H40" s="537">
        <v>45625</v>
      </c>
      <c r="I40" s="519">
        <v>7500</v>
      </c>
      <c r="J40" s="522">
        <v>1000</v>
      </c>
      <c r="K40" s="545">
        <v>-7500000</v>
      </c>
    </row>
    <row r="41" spans="2:11" x14ac:dyDescent="0.45">
      <c r="B41" s="514" t="s">
        <v>76</v>
      </c>
      <c r="C41" s="515" t="s">
        <v>520</v>
      </c>
      <c r="D41" s="534" t="s">
        <v>29</v>
      </c>
      <c r="E41" s="534" t="s">
        <v>31</v>
      </c>
      <c r="F41" s="535" t="s">
        <v>199</v>
      </c>
      <c r="G41" s="535" t="s">
        <v>519</v>
      </c>
      <c r="H41" s="537">
        <v>45746</v>
      </c>
      <c r="I41" s="519"/>
      <c r="J41" s="522"/>
      <c r="K41" s="545">
        <v>121437</v>
      </c>
    </row>
    <row r="42" spans="2:11" x14ac:dyDescent="0.45">
      <c r="B42" s="514" t="s">
        <v>76</v>
      </c>
      <c r="C42" s="515" t="s">
        <v>520</v>
      </c>
      <c r="D42" s="534" t="s">
        <v>29</v>
      </c>
      <c r="E42" s="534" t="s">
        <v>31</v>
      </c>
      <c r="F42" s="535" t="s">
        <v>199</v>
      </c>
      <c r="G42" s="535" t="s">
        <v>519</v>
      </c>
      <c r="H42" s="537">
        <v>45746</v>
      </c>
      <c r="I42" s="519"/>
      <c r="J42" s="522"/>
      <c r="K42" s="545">
        <v>40479</v>
      </c>
    </row>
    <row r="43" spans="2:11" x14ac:dyDescent="0.45">
      <c r="B43" s="514" t="s">
        <v>76</v>
      </c>
      <c r="C43" s="515" t="s">
        <v>520</v>
      </c>
      <c r="D43" s="534" t="s">
        <v>29</v>
      </c>
      <c r="E43" s="534" t="s">
        <v>31</v>
      </c>
      <c r="F43" s="535" t="s">
        <v>199</v>
      </c>
      <c r="G43" s="535" t="s">
        <v>224</v>
      </c>
      <c r="H43" s="537">
        <v>45852</v>
      </c>
      <c r="I43" s="519">
        <v>15000</v>
      </c>
      <c r="J43" s="522">
        <v>1000</v>
      </c>
      <c r="K43" s="545">
        <v>-15000000</v>
      </c>
    </row>
    <row r="44" spans="2:11" x14ac:dyDescent="0.45">
      <c r="B44" s="514" t="s">
        <v>76</v>
      </c>
      <c r="C44" s="515" t="s">
        <v>520</v>
      </c>
      <c r="D44" s="534" t="s">
        <v>29</v>
      </c>
      <c r="E44" s="534" t="s">
        <v>31</v>
      </c>
      <c r="F44" s="535" t="s">
        <v>199</v>
      </c>
      <c r="G44" s="535" t="s">
        <v>224</v>
      </c>
      <c r="H44" s="537">
        <v>45924</v>
      </c>
      <c r="I44" s="519">
        <v>9000</v>
      </c>
      <c r="J44" s="522">
        <v>1000</v>
      </c>
      <c r="K44" s="545">
        <v>-9000000</v>
      </c>
    </row>
    <row r="45" spans="2:11" x14ac:dyDescent="0.45">
      <c r="B45" s="514" t="s">
        <v>76</v>
      </c>
      <c r="C45" s="515" t="s">
        <v>520</v>
      </c>
      <c r="D45" s="534" t="s">
        <v>29</v>
      </c>
      <c r="E45" s="534" t="s">
        <v>31</v>
      </c>
      <c r="F45" s="535" t="s">
        <v>199</v>
      </c>
      <c r="G45" s="535" t="s">
        <v>224</v>
      </c>
      <c r="H45" s="537">
        <v>46022</v>
      </c>
      <c r="I45" s="519"/>
      <c r="J45" s="522"/>
      <c r="K45" s="545">
        <v>-6000000</v>
      </c>
    </row>
    <row r="46" spans="2:11" x14ac:dyDescent="0.45">
      <c r="B46" s="514" t="s">
        <v>76</v>
      </c>
      <c r="C46" s="515" t="s">
        <v>520</v>
      </c>
      <c r="D46" s="534" t="s">
        <v>29</v>
      </c>
      <c r="E46" s="534" t="s">
        <v>31</v>
      </c>
      <c r="F46" s="535" t="s">
        <v>199</v>
      </c>
      <c r="G46" s="535" t="s">
        <v>224</v>
      </c>
      <c r="H46" s="537">
        <v>46066</v>
      </c>
      <c r="I46" s="519"/>
      <c r="J46" s="522"/>
      <c r="K46" s="545">
        <v>-7500000</v>
      </c>
    </row>
    <row r="47" spans="2:11" x14ac:dyDescent="0.45">
      <c r="B47" s="514" t="s">
        <v>76</v>
      </c>
      <c r="C47" s="515" t="s">
        <v>520</v>
      </c>
      <c r="D47" s="534" t="s">
        <v>29</v>
      </c>
      <c r="E47" s="534" t="s">
        <v>31</v>
      </c>
      <c r="F47" s="535" t="s">
        <v>199</v>
      </c>
      <c r="G47" s="535" t="s">
        <v>224</v>
      </c>
      <c r="H47" s="537">
        <v>46104</v>
      </c>
      <c r="I47" s="519"/>
      <c r="J47" s="522"/>
      <c r="K47" s="545">
        <v>-13500000</v>
      </c>
    </row>
    <row r="48" spans="2:11" x14ac:dyDescent="0.45">
      <c r="B48" s="514" t="s">
        <v>76</v>
      </c>
      <c r="C48" s="515" t="s">
        <v>520</v>
      </c>
      <c r="D48" s="534" t="s">
        <v>29</v>
      </c>
      <c r="E48" s="534" t="s">
        <v>31</v>
      </c>
      <c r="F48" s="535" t="s">
        <v>199</v>
      </c>
      <c r="G48" s="535" t="s">
        <v>519</v>
      </c>
      <c r="H48" s="537">
        <v>46112</v>
      </c>
      <c r="I48" s="519"/>
      <c r="J48" s="522"/>
      <c r="K48" s="545">
        <v>122091</v>
      </c>
    </row>
    <row r="49" spans="2:11" x14ac:dyDescent="0.45">
      <c r="B49" s="514" t="s">
        <v>76</v>
      </c>
      <c r="C49" s="515" t="s">
        <v>520</v>
      </c>
      <c r="D49" s="534" t="s">
        <v>29</v>
      </c>
      <c r="E49" s="534" t="s">
        <v>31</v>
      </c>
      <c r="F49" s="535" t="s">
        <v>199</v>
      </c>
      <c r="G49" s="536" t="s">
        <v>517</v>
      </c>
      <c r="H49" s="537">
        <v>46112</v>
      </c>
      <c r="I49" s="519">
        <v>54000</v>
      </c>
      <c r="J49" s="522">
        <v>1000</v>
      </c>
      <c r="K49" s="548">
        <v>95580000</v>
      </c>
    </row>
    <row r="50" spans="2:11" ht="23.25" x14ac:dyDescent="0.45">
      <c r="B50" s="514" t="s">
        <v>79</v>
      </c>
      <c r="C50" s="515" t="s">
        <v>521</v>
      </c>
      <c r="D50" s="534" t="s">
        <v>29</v>
      </c>
      <c r="E50" s="534" t="s">
        <v>31</v>
      </c>
      <c r="F50" s="535" t="s">
        <v>199</v>
      </c>
      <c r="G50" s="535" t="s">
        <v>224</v>
      </c>
      <c r="H50" s="537">
        <v>45582</v>
      </c>
      <c r="I50" s="519">
        <v>7500</v>
      </c>
      <c r="J50" s="522">
        <v>1000</v>
      </c>
      <c r="K50" s="545">
        <v>-7500000</v>
      </c>
    </row>
    <row r="51" spans="2:11" ht="23.25" x14ac:dyDescent="0.45">
      <c r="B51" s="514" t="s">
        <v>79</v>
      </c>
      <c r="C51" s="515" t="s">
        <v>521</v>
      </c>
      <c r="D51" s="534" t="s">
        <v>29</v>
      </c>
      <c r="E51" s="534" t="s">
        <v>31</v>
      </c>
      <c r="F51" s="535" t="s">
        <v>199</v>
      </c>
      <c r="G51" s="535" t="s">
        <v>224</v>
      </c>
      <c r="H51" s="537">
        <v>45625</v>
      </c>
      <c r="I51" s="519">
        <v>2500</v>
      </c>
      <c r="J51" s="522">
        <v>1000</v>
      </c>
      <c r="K51" s="545">
        <v>-2500000</v>
      </c>
    </row>
    <row r="52" spans="2:11" ht="23.25" x14ac:dyDescent="0.45">
      <c r="B52" s="514" t="s">
        <v>79</v>
      </c>
      <c r="C52" s="515" t="s">
        <v>521</v>
      </c>
      <c r="D52" s="534" t="s">
        <v>29</v>
      </c>
      <c r="E52" s="534" t="s">
        <v>31</v>
      </c>
      <c r="F52" s="535" t="s">
        <v>199</v>
      </c>
      <c r="G52" s="535" t="s">
        <v>224</v>
      </c>
      <c r="H52" s="537">
        <v>45625</v>
      </c>
      <c r="I52" s="519">
        <v>5000</v>
      </c>
      <c r="J52" s="522">
        <v>1000</v>
      </c>
      <c r="K52" s="545">
        <v>-5000000</v>
      </c>
    </row>
    <row r="53" spans="2:11" ht="23.25" x14ac:dyDescent="0.45">
      <c r="B53" s="514" t="s">
        <v>79</v>
      </c>
      <c r="C53" s="515" t="s">
        <v>521</v>
      </c>
      <c r="D53" s="534" t="s">
        <v>29</v>
      </c>
      <c r="E53" s="534" t="s">
        <v>31</v>
      </c>
      <c r="F53" s="535" t="s">
        <v>199</v>
      </c>
      <c r="G53" s="535" t="s">
        <v>224</v>
      </c>
      <c r="H53" s="537">
        <v>45924</v>
      </c>
      <c r="I53" s="519">
        <v>3000</v>
      </c>
      <c r="J53" s="522">
        <v>1000</v>
      </c>
      <c r="K53" s="545">
        <v>-3000000</v>
      </c>
    </row>
    <row r="54" spans="2:11" ht="23.25" x14ac:dyDescent="0.45">
      <c r="B54" s="514" t="s">
        <v>79</v>
      </c>
      <c r="C54" s="515" t="s">
        <v>521</v>
      </c>
      <c r="D54" s="534" t="s">
        <v>29</v>
      </c>
      <c r="E54" s="534" t="s">
        <v>31</v>
      </c>
      <c r="F54" s="535" t="s">
        <v>199</v>
      </c>
      <c r="G54" s="535" t="s">
        <v>224</v>
      </c>
      <c r="H54" s="537">
        <v>46022</v>
      </c>
      <c r="I54" s="519"/>
      <c r="J54" s="522"/>
      <c r="K54" s="545">
        <v>-2000000</v>
      </c>
    </row>
    <row r="55" spans="2:11" ht="23.25" x14ac:dyDescent="0.45">
      <c r="B55" s="514" t="s">
        <v>79</v>
      </c>
      <c r="C55" s="515" t="s">
        <v>521</v>
      </c>
      <c r="D55" s="534" t="s">
        <v>29</v>
      </c>
      <c r="E55" s="534" t="s">
        <v>31</v>
      </c>
      <c r="F55" s="535" t="s">
        <v>199</v>
      </c>
      <c r="G55" s="535" t="s">
        <v>224</v>
      </c>
      <c r="H55" s="537">
        <v>46066</v>
      </c>
      <c r="I55" s="519"/>
      <c r="J55" s="522"/>
      <c r="K55" s="545">
        <v>-2500000</v>
      </c>
    </row>
    <row r="56" spans="2:11" ht="23.25" x14ac:dyDescent="0.45">
      <c r="B56" s="514" t="s">
        <v>79</v>
      </c>
      <c r="C56" s="515" t="s">
        <v>521</v>
      </c>
      <c r="D56" s="534" t="s">
        <v>29</v>
      </c>
      <c r="E56" s="534" t="s">
        <v>31</v>
      </c>
      <c r="F56" s="535" t="s">
        <v>199</v>
      </c>
      <c r="G56" s="535" t="s">
        <v>224</v>
      </c>
      <c r="H56" s="537">
        <v>46105</v>
      </c>
      <c r="I56" s="519"/>
      <c r="J56" s="522"/>
      <c r="K56" s="545">
        <v>-4500000</v>
      </c>
    </row>
    <row r="57" spans="2:11" ht="23.25" x14ac:dyDescent="0.45">
      <c r="B57" s="514" t="s">
        <v>79</v>
      </c>
      <c r="C57" s="515" t="s">
        <v>521</v>
      </c>
      <c r="D57" s="534" t="s">
        <v>29</v>
      </c>
      <c r="E57" s="534" t="s">
        <v>31</v>
      </c>
      <c r="F57" s="535" t="s">
        <v>199</v>
      </c>
      <c r="G57" s="535" t="s">
        <v>519</v>
      </c>
      <c r="H57" s="537">
        <v>46112</v>
      </c>
      <c r="I57" s="519"/>
      <c r="J57" s="522"/>
      <c r="K57" s="545">
        <v>40697</v>
      </c>
    </row>
    <row r="58" spans="2:11" ht="23.25" x14ac:dyDescent="0.45">
      <c r="B58" s="514" t="s">
        <v>79</v>
      </c>
      <c r="C58" s="515" t="s">
        <v>521</v>
      </c>
      <c r="D58" s="534" t="s">
        <v>29</v>
      </c>
      <c r="E58" s="534" t="s">
        <v>31</v>
      </c>
      <c r="F58" s="535" t="s">
        <v>199</v>
      </c>
      <c r="G58" s="536" t="s">
        <v>517</v>
      </c>
      <c r="H58" s="537">
        <v>46112</v>
      </c>
      <c r="I58" s="519">
        <v>18000</v>
      </c>
      <c r="J58" s="522">
        <v>1000</v>
      </c>
      <c r="K58" s="548">
        <v>31860000</v>
      </c>
    </row>
    <row r="59" spans="2:11" ht="23.25" x14ac:dyDescent="0.45">
      <c r="B59" s="514" t="s">
        <v>78</v>
      </c>
      <c r="C59" s="515" t="s">
        <v>521</v>
      </c>
      <c r="D59" s="534" t="s">
        <v>29</v>
      </c>
      <c r="E59" s="534" t="s">
        <v>31</v>
      </c>
      <c r="F59" s="535" t="s">
        <v>199</v>
      </c>
      <c r="G59" s="535" t="s">
        <v>224</v>
      </c>
      <c r="H59" s="537">
        <v>45546</v>
      </c>
      <c r="I59" s="519">
        <v>5000</v>
      </c>
      <c r="J59" s="522">
        <v>1000</v>
      </c>
      <c r="K59" s="545">
        <v>-5000000</v>
      </c>
    </row>
    <row r="60" spans="2:11" ht="23.25" x14ac:dyDescent="0.45">
      <c r="B60" s="514" t="s">
        <v>78</v>
      </c>
      <c r="C60" s="515" t="s">
        <v>521</v>
      </c>
      <c r="D60" s="534" t="s">
        <v>29</v>
      </c>
      <c r="E60" s="534" t="s">
        <v>31</v>
      </c>
      <c r="F60" s="535" t="s">
        <v>199</v>
      </c>
      <c r="G60" s="535" t="s">
        <v>224</v>
      </c>
      <c r="H60" s="537">
        <v>45579</v>
      </c>
      <c r="I60" s="519">
        <v>2500</v>
      </c>
      <c r="J60" s="522">
        <v>1000</v>
      </c>
      <c r="K60" s="545">
        <v>-2500000</v>
      </c>
    </row>
    <row r="61" spans="2:11" ht="23.25" x14ac:dyDescent="0.45">
      <c r="B61" s="514" t="s">
        <v>78</v>
      </c>
      <c r="C61" s="515" t="s">
        <v>521</v>
      </c>
      <c r="D61" s="534" t="s">
        <v>29</v>
      </c>
      <c r="E61" s="534" t="s">
        <v>31</v>
      </c>
      <c r="F61" s="535" t="s">
        <v>199</v>
      </c>
      <c r="G61" s="535" t="s">
        <v>224</v>
      </c>
      <c r="H61" s="537">
        <v>45625</v>
      </c>
      <c r="I61" s="519">
        <v>2500</v>
      </c>
      <c r="J61" s="522">
        <v>1000</v>
      </c>
      <c r="K61" s="545">
        <v>-2500000</v>
      </c>
    </row>
    <row r="62" spans="2:11" ht="23.25" x14ac:dyDescent="0.45">
      <c r="B62" s="514" t="s">
        <v>78</v>
      </c>
      <c r="C62" s="515" t="s">
        <v>521</v>
      </c>
      <c r="D62" s="534" t="s">
        <v>29</v>
      </c>
      <c r="E62" s="534" t="s">
        <v>31</v>
      </c>
      <c r="F62" s="535" t="s">
        <v>199</v>
      </c>
      <c r="G62" s="535" t="s">
        <v>519</v>
      </c>
      <c r="H62" s="537">
        <v>45746</v>
      </c>
      <c r="I62" s="519"/>
      <c r="J62" s="522"/>
      <c r="K62" s="545">
        <v>40479</v>
      </c>
    </row>
    <row r="63" spans="2:11" ht="23.25" x14ac:dyDescent="0.45">
      <c r="B63" s="514" t="s">
        <v>78</v>
      </c>
      <c r="C63" s="515" t="s">
        <v>521</v>
      </c>
      <c r="D63" s="534" t="s">
        <v>29</v>
      </c>
      <c r="E63" s="534" t="s">
        <v>31</v>
      </c>
      <c r="F63" s="535" t="s">
        <v>199</v>
      </c>
      <c r="G63" s="535" t="s">
        <v>224</v>
      </c>
      <c r="H63" s="537">
        <v>45852</v>
      </c>
      <c r="I63" s="519">
        <v>5000</v>
      </c>
      <c r="J63" s="522">
        <v>1000</v>
      </c>
      <c r="K63" s="545">
        <v>-5000000</v>
      </c>
    </row>
    <row r="64" spans="2:11" ht="23.25" x14ac:dyDescent="0.45">
      <c r="B64" s="514" t="s">
        <v>78</v>
      </c>
      <c r="C64" s="515" t="s">
        <v>521</v>
      </c>
      <c r="D64" s="534" t="s">
        <v>29</v>
      </c>
      <c r="E64" s="534" t="s">
        <v>31</v>
      </c>
      <c r="F64" s="535" t="s">
        <v>199</v>
      </c>
      <c r="G64" s="535" t="s">
        <v>224</v>
      </c>
      <c r="H64" s="537">
        <v>45924</v>
      </c>
      <c r="I64" s="519">
        <v>3000</v>
      </c>
      <c r="J64" s="522">
        <v>1000</v>
      </c>
      <c r="K64" s="545">
        <v>-3000000</v>
      </c>
    </row>
    <row r="65" spans="2:11" ht="23.25" x14ac:dyDescent="0.45">
      <c r="B65" s="514" t="s">
        <v>78</v>
      </c>
      <c r="C65" s="515" t="s">
        <v>521</v>
      </c>
      <c r="D65" s="534" t="s">
        <v>29</v>
      </c>
      <c r="E65" s="534" t="s">
        <v>31</v>
      </c>
      <c r="F65" s="535" t="s">
        <v>199</v>
      </c>
      <c r="G65" s="535" t="s">
        <v>224</v>
      </c>
      <c r="H65" s="537">
        <v>46022</v>
      </c>
      <c r="I65" s="519"/>
      <c r="J65" s="522"/>
      <c r="K65" s="545">
        <v>-2000000</v>
      </c>
    </row>
    <row r="66" spans="2:11" ht="23.25" x14ac:dyDescent="0.45">
      <c r="B66" s="514" t="s">
        <v>78</v>
      </c>
      <c r="C66" s="515" t="s">
        <v>521</v>
      </c>
      <c r="D66" s="534" t="s">
        <v>29</v>
      </c>
      <c r="E66" s="534" t="s">
        <v>31</v>
      </c>
      <c r="F66" s="535" t="s">
        <v>199</v>
      </c>
      <c r="G66" s="535" t="s">
        <v>224</v>
      </c>
      <c r="H66" s="537">
        <v>46066</v>
      </c>
      <c r="I66" s="519"/>
      <c r="J66" s="522"/>
      <c r="K66" s="545">
        <v>-2500000</v>
      </c>
    </row>
    <row r="67" spans="2:11" ht="23.25" x14ac:dyDescent="0.45">
      <c r="B67" s="514" t="s">
        <v>78</v>
      </c>
      <c r="C67" s="515" t="s">
        <v>521</v>
      </c>
      <c r="D67" s="534" t="s">
        <v>29</v>
      </c>
      <c r="E67" s="534" t="s">
        <v>31</v>
      </c>
      <c r="F67" s="535" t="s">
        <v>199</v>
      </c>
      <c r="G67" s="535" t="s">
        <v>224</v>
      </c>
      <c r="H67" s="537">
        <v>46107</v>
      </c>
      <c r="I67" s="519"/>
      <c r="J67" s="522"/>
      <c r="K67" s="545">
        <v>-4500000</v>
      </c>
    </row>
    <row r="68" spans="2:11" ht="23.25" x14ac:dyDescent="0.45">
      <c r="B68" s="514" t="s">
        <v>78</v>
      </c>
      <c r="C68" s="515" t="s">
        <v>521</v>
      </c>
      <c r="D68" s="534" t="s">
        <v>29</v>
      </c>
      <c r="E68" s="534" t="s">
        <v>31</v>
      </c>
      <c r="F68" s="535" t="s">
        <v>199</v>
      </c>
      <c r="G68" s="535" t="s">
        <v>519</v>
      </c>
      <c r="H68" s="537">
        <v>46112</v>
      </c>
      <c r="I68" s="519"/>
      <c r="J68" s="522"/>
      <c r="K68" s="545">
        <v>40697</v>
      </c>
    </row>
    <row r="69" spans="2:11" ht="23.25" x14ac:dyDescent="0.45">
      <c r="B69" s="514" t="s">
        <v>78</v>
      </c>
      <c r="C69" s="515" t="s">
        <v>521</v>
      </c>
      <c r="D69" s="534" t="s">
        <v>29</v>
      </c>
      <c r="E69" s="534" t="s">
        <v>31</v>
      </c>
      <c r="F69" s="535" t="s">
        <v>199</v>
      </c>
      <c r="G69" s="536" t="s">
        <v>517</v>
      </c>
      <c r="H69" s="537">
        <v>46112</v>
      </c>
      <c r="I69" s="519">
        <v>18000</v>
      </c>
      <c r="J69" s="522">
        <v>1000</v>
      </c>
      <c r="K69" s="548">
        <v>31860000</v>
      </c>
    </row>
    <row r="70" spans="2:11" x14ac:dyDescent="0.45">
      <c r="B70" s="514" t="s">
        <v>76</v>
      </c>
      <c r="C70" s="514" t="s">
        <v>522</v>
      </c>
      <c r="D70" s="534" t="s">
        <v>29</v>
      </c>
      <c r="E70" s="534" t="s">
        <v>31</v>
      </c>
      <c r="F70" s="97" t="s">
        <v>303</v>
      </c>
      <c r="G70" s="536" t="s">
        <v>224</v>
      </c>
      <c r="H70" s="537">
        <v>46056</v>
      </c>
      <c r="I70" s="519"/>
      <c r="J70" s="522"/>
      <c r="K70" s="538">
        <v>-15000000</v>
      </c>
    </row>
    <row r="71" spans="2:11" x14ac:dyDescent="0.45">
      <c r="B71" s="514" t="s">
        <v>76</v>
      </c>
      <c r="C71" s="514" t="s">
        <v>522</v>
      </c>
      <c r="D71" s="534" t="s">
        <v>29</v>
      </c>
      <c r="E71" s="534" t="s">
        <v>31</v>
      </c>
      <c r="F71" s="97" t="s">
        <v>303</v>
      </c>
      <c r="G71" s="536" t="s">
        <v>517</v>
      </c>
      <c r="H71" s="537">
        <v>46112</v>
      </c>
      <c r="I71" s="519">
        <v>15000</v>
      </c>
      <c r="J71" s="522">
        <v>1000</v>
      </c>
      <c r="K71" s="538">
        <v>15000000</v>
      </c>
    </row>
    <row r="72" spans="2:11" x14ac:dyDescent="0.45">
      <c r="B72" s="514" t="s">
        <v>78</v>
      </c>
      <c r="C72" s="514" t="s">
        <v>522</v>
      </c>
      <c r="D72" s="534" t="s">
        <v>29</v>
      </c>
      <c r="E72" s="534" t="s">
        <v>31</v>
      </c>
      <c r="F72" s="535" t="s">
        <v>303</v>
      </c>
      <c r="G72" s="542" t="s">
        <v>224</v>
      </c>
      <c r="H72" s="537">
        <v>45786</v>
      </c>
      <c r="I72" s="519"/>
      <c r="J72" s="522"/>
      <c r="K72" s="538">
        <v>-5000000</v>
      </c>
    </row>
    <row r="73" spans="2:11" x14ac:dyDescent="0.45">
      <c r="B73" s="514" t="s">
        <v>78</v>
      </c>
      <c r="C73" s="514" t="s">
        <v>522</v>
      </c>
      <c r="D73" s="534" t="s">
        <v>29</v>
      </c>
      <c r="E73" s="534" t="s">
        <v>31</v>
      </c>
      <c r="F73" s="535" t="s">
        <v>303</v>
      </c>
      <c r="G73" s="542" t="s">
        <v>224</v>
      </c>
      <c r="H73" s="537">
        <v>45791</v>
      </c>
      <c r="I73" s="519"/>
      <c r="J73" s="522"/>
      <c r="K73" s="538">
        <v>-5000000</v>
      </c>
    </row>
    <row r="74" spans="2:11" x14ac:dyDescent="0.45">
      <c r="B74" s="514" t="s">
        <v>78</v>
      </c>
      <c r="C74" s="514" t="s">
        <v>522</v>
      </c>
      <c r="D74" s="534" t="s">
        <v>29</v>
      </c>
      <c r="E74" s="534" t="s">
        <v>31</v>
      </c>
      <c r="F74" s="535" t="s">
        <v>303</v>
      </c>
      <c r="G74" s="542" t="s">
        <v>224</v>
      </c>
      <c r="H74" s="537">
        <v>45812</v>
      </c>
      <c r="I74" s="519"/>
      <c r="J74" s="522"/>
      <c r="K74" s="538">
        <v>-3000000</v>
      </c>
    </row>
    <row r="75" spans="2:11" x14ac:dyDescent="0.45">
      <c r="B75" s="514" t="s">
        <v>78</v>
      </c>
      <c r="C75" s="514" t="s">
        <v>522</v>
      </c>
      <c r="D75" s="534" t="s">
        <v>29</v>
      </c>
      <c r="E75" s="534" t="s">
        <v>31</v>
      </c>
      <c r="F75" s="535" t="s">
        <v>303</v>
      </c>
      <c r="G75" s="542" t="s">
        <v>224</v>
      </c>
      <c r="H75" s="537">
        <v>45862</v>
      </c>
      <c r="I75" s="519"/>
      <c r="J75" s="522"/>
      <c r="K75" s="549">
        <v>-4000000</v>
      </c>
    </row>
    <row r="76" spans="2:11" x14ac:dyDescent="0.45">
      <c r="B76" s="514" t="s">
        <v>78</v>
      </c>
      <c r="C76" s="514" t="s">
        <v>522</v>
      </c>
      <c r="D76" s="534" t="s">
        <v>29</v>
      </c>
      <c r="E76" s="534" t="s">
        <v>31</v>
      </c>
      <c r="F76" s="535" t="s">
        <v>303</v>
      </c>
      <c r="G76" s="542" t="s">
        <v>224</v>
      </c>
      <c r="H76" s="537">
        <v>45925</v>
      </c>
      <c r="I76" s="519"/>
      <c r="J76" s="522"/>
      <c r="K76" s="549">
        <v>-150000</v>
      </c>
    </row>
    <row r="77" spans="2:11" x14ac:dyDescent="0.45">
      <c r="B77" s="514" t="s">
        <v>78</v>
      </c>
      <c r="C77" s="514" t="s">
        <v>522</v>
      </c>
      <c r="D77" s="534" t="s">
        <v>29</v>
      </c>
      <c r="E77" s="534" t="s">
        <v>31</v>
      </c>
      <c r="F77" s="535" t="s">
        <v>303</v>
      </c>
      <c r="G77" s="542" t="s">
        <v>517</v>
      </c>
      <c r="H77" s="537">
        <v>46112</v>
      </c>
      <c r="I77" s="519">
        <v>17000</v>
      </c>
      <c r="J77" s="522">
        <v>1000</v>
      </c>
      <c r="K77" s="538">
        <v>17150000</v>
      </c>
    </row>
    <row r="78" spans="2:11" x14ac:dyDescent="0.45">
      <c r="B78" s="514" t="s">
        <v>309</v>
      </c>
      <c r="C78" s="514" t="s">
        <v>522</v>
      </c>
      <c r="D78" s="534" t="s">
        <v>29</v>
      </c>
      <c r="E78" s="534" t="s">
        <v>31</v>
      </c>
      <c r="F78" s="97" t="s">
        <v>303</v>
      </c>
      <c r="G78" s="536" t="s">
        <v>224</v>
      </c>
      <c r="H78" s="537">
        <v>46056</v>
      </c>
      <c r="I78" s="519">
        <v>7500</v>
      </c>
      <c r="J78" s="522">
        <v>1000</v>
      </c>
      <c r="K78" s="538">
        <v>-7500000</v>
      </c>
    </row>
    <row r="79" spans="2:11" x14ac:dyDescent="0.45">
      <c r="B79" s="514" t="s">
        <v>309</v>
      </c>
      <c r="C79" s="514" t="s">
        <v>522</v>
      </c>
      <c r="D79" s="534" t="s">
        <v>29</v>
      </c>
      <c r="E79" s="534" t="s">
        <v>31</v>
      </c>
      <c r="F79" s="97" t="s">
        <v>303</v>
      </c>
      <c r="G79" s="536" t="s">
        <v>517</v>
      </c>
      <c r="H79" s="537">
        <v>46112</v>
      </c>
      <c r="I79" s="519">
        <v>7500</v>
      </c>
      <c r="J79" s="522">
        <v>1000</v>
      </c>
      <c r="K79" s="538">
        <v>7500000</v>
      </c>
    </row>
    <row r="80" spans="2:11" x14ac:dyDescent="0.45">
      <c r="B80" s="514" t="s">
        <v>310</v>
      </c>
      <c r="C80" s="514" t="s">
        <v>522</v>
      </c>
      <c r="D80" s="534" t="s">
        <v>29</v>
      </c>
      <c r="E80" s="534" t="s">
        <v>31</v>
      </c>
      <c r="F80" s="97" t="s">
        <v>303</v>
      </c>
      <c r="G80" s="536" t="s">
        <v>224</v>
      </c>
      <c r="H80" s="537">
        <v>46056</v>
      </c>
      <c r="I80" s="519">
        <v>7500</v>
      </c>
      <c r="J80" s="522">
        <v>1000</v>
      </c>
      <c r="K80" s="538">
        <v>-7500000</v>
      </c>
    </row>
    <row r="81" spans="2:11" x14ac:dyDescent="0.45">
      <c r="B81" s="514" t="s">
        <v>310</v>
      </c>
      <c r="C81" s="514" t="s">
        <v>522</v>
      </c>
      <c r="D81" s="534" t="s">
        <v>29</v>
      </c>
      <c r="E81" s="534" t="s">
        <v>31</v>
      </c>
      <c r="F81" s="97" t="s">
        <v>303</v>
      </c>
      <c r="G81" s="536" t="s">
        <v>517</v>
      </c>
      <c r="H81" s="537">
        <v>46112</v>
      </c>
      <c r="I81" s="519">
        <v>7500</v>
      </c>
      <c r="J81" s="522">
        <v>1000</v>
      </c>
      <c r="K81" s="538">
        <v>7500000</v>
      </c>
    </row>
    <row r="82" spans="2:11" ht="23.25" x14ac:dyDescent="0.45">
      <c r="B82" s="515" t="s">
        <v>79</v>
      </c>
      <c r="C82" s="515" t="s">
        <v>521</v>
      </c>
      <c r="D82" s="539" t="s">
        <v>29</v>
      </c>
      <c r="E82" s="539" t="s">
        <v>31</v>
      </c>
      <c r="F82" s="550" t="s">
        <v>360</v>
      </c>
      <c r="G82" s="540" t="s">
        <v>224</v>
      </c>
      <c r="H82" s="537">
        <v>45870</v>
      </c>
      <c r="I82" s="519">
        <v>2500</v>
      </c>
      <c r="J82" s="522">
        <v>1000</v>
      </c>
      <c r="K82" s="551">
        <v>-2500000</v>
      </c>
    </row>
    <row r="83" spans="2:11" ht="23.25" x14ac:dyDescent="0.45">
      <c r="B83" s="515" t="s">
        <v>79</v>
      </c>
      <c r="C83" s="515" t="s">
        <v>521</v>
      </c>
      <c r="D83" s="539" t="s">
        <v>29</v>
      </c>
      <c r="E83" s="539" t="s">
        <v>31</v>
      </c>
      <c r="F83" s="550" t="s">
        <v>360</v>
      </c>
      <c r="G83" s="540" t="s">
        <v>517</v>
      </c>
      <c r="H83" s="537">
        <v>46081</v>
      </c>
      <c r="I83" s="519">
        <v>2500</v>
      </c>
      <c r="J83" s="522">
        <v>1314.3507999999999</v>
      </c>
      <c r="K83" s="551">
        <v>3285877</v>
      </c>
    </row>
    <row r="84" spans="2:11" ht="23.25" x14ac:dyDescent="0.45">
      <c r="B84" s="515" t="s">
        <v>309</v>
      </c>
      <c r="C84" s="515" t="s">
        <v>521</v>
      </c>
      <c r="D84" s="539" t="s">
        <v>29</v>
      </c>
      <c r="E84" s="539" t="s">
        <v>31</v>
      </c>
      <c r="F84" s="550" t="s">
        <v>360</v>
      </c>
      <c r="G84" s="540" t="s">
        <v>224</v>
      </c>
      <c r="H84" s="537">
        <v>45947</v>
      </c>
      <c r="I84" s="519">
        <v>7500</v>
      </c>
      <c r="J84" s="522">
        <v>1000</v>
      </c>
      <c r="K84" s="551">
        <v>-7500000</v>
      </c>
    </row>
    <row r="85" spans="2:11" ht="23.25" x14ac:dyDescent="0.45">
      <c r="B85" s="515" t="s">
        <v>309</v>
      </c>
      <c r="C85" s="515" t="s">
        <v>521</v>
      </c>
      <c r="D85" s="539" t="s">
        <v>29</v>
      </c>
      <c r="E85" s="539" t="s">
        <v>31</v>
      </c>
      <c r="F85" s="550" t="s">
        <v>360</v>
      </c>
      <c r="G85" s="540" t="s">
        <v>517</v>
      </c>
      <c r="H85" s="537">
        <v>46081</v>
      </c>
      <c r="I85" s="519">
        <v>7500</v>
      </c>
      <c r="J85" s="522">
        <v>1290.7672</v>
      </c>
      <c r="K85" s="551">
        <v>9680754</v>
      </c>
    </row>
    <row r="86" spans="2:11" ht="23.25" x14ac:dyDescent="0.45">
      <c r="B86" s="515" t="s">
        <v>310</v>
      </c>
      <c r="C86" s="515" t="s">
        <v>521</v>
      </c>
      <c r="D86" s="539" t="s">
        <v>29</v>
      </c>
      <c r="E86" s="539" t="s">
        <v>31</v>
      </c>
      <c r="F86" s="550" t="s">
        <v>360</v>
      </c>
      <c r="G86" s="540" t="s">
        <v>224</v>
      </c>
      <c r="H86" s="537">
        <v>45947</v>
      </c>
      <c r="I86" s="519">
        <v>7500</v>
      </c>
      <c r="J86" s="522">
        <v>1000</v>
      </c>
      <c r="K86" s="551">
        <v>-7500000</v>
      </c>
    </row>
    <row r="87" spans="2:11" ht="23.25" x14ac:dyDescent="0.45">
      <c r="B87" s="515" t="s">
        <v>310</v>
      </c>
      <c r="C87" s="515" t="s">
        <v>521</v>
      </c>
      <c r="D87" s="539" t="s">
        <v>29</v>
      </c>
      <c r="E87" s="539" t="s">
        <v>31</v>
      </c>
      <c r="F87" s="550" t="s">
        <v>360</v>
      </c>
      <c r="G87" s="540" t="s">
        <v>517</v>
      </c>
      <c r="H87" s="537">
        <v>46081</v>
      </c>
      <c r="I87" s="519">
        <v>7500</v>
      </c>
      <c r="J87" s="522">
        <v>1290.7672</v>
      </c>
      <c r="K87" s="551">
        <v>9680754</v>
      </c>
    </row>
    <row r="88" spans="2:11" x14ac:dyDescent="0.45">
      <c r="B88" s="514" t="s">
        <v>76</v>
      </c>
      <c r="C88" s="514" t="s">
        <v>523</v>
      </c>
      <c r="D88" s="534" t="s">
        <v>29</v>
      </c>
      <c r="E88" s="534" t="s">
        <v>324</v>
      </c>
      <c r="F88" s="535" t="s">
        <v>325</v>
      </c>
      <c r="G88" s="542" t="s">
        <v>224</v>
      </c>
      <c r="H88" s="537">
        <v>45930</v>
      </c>
      <c r="I88" s="519">
        <v>358000</v>
      </c>
      <c r="J88" s="522">
        <v>139.99917285000001</v>
      </c>
      <c r="K88" s="538">
        <v>-50119703.8803</v>
      </c>
    </row>
    <row r="89" spans="2:11" x14ac:dyDescent="0.45">
      <c r="B89" s="514" t="s">
        <v>76</v>
      </c>
      <c r="C89" s="514" t="s">
        <v>523</v>
      </c>
      <c r="D89" s="534" t="s">
        <v>29</v>
      </c>
      <c r="E89" s="534" t="s">
        <v>324</v>
      </c>
      <c r="F89" s="535" t="s">
        <v>325</v>
      </c>
      <c r="G89" s="542" t="s">
        <v>225</v>
      </c>
      <c r="H89" s="537">
        <v>46044</v>
      </c>
      <c r="I89" s="519">
        <v>177000</v>
      </c>
      <c r="J89" s="522">
        <v>275.86</v>
      </c>
      <c r="K89" s="538">
        <v>48827220</v>
      </c>
    </row>
    <row r="90" spans="2:11" x14ac:dyDescent="0.45">
      <c r="B90" s="514" t="s">
        <v>76</v>
      </c>
      <c r="C90" s="514" t="s">
        <v>523</v>
      </c>
      <c r="D90" s="534" t="s">
        <v>29</v>
      </c>
      <c r="E90" s="534" t="s">
        <v>324</v>
      </c>
      <c r="F90" s="535" t="s">
        <v>325</v>
      </c>
      <c r="G90" s="552" t="s">
        <v>517</v>
      </c>
      <c r="H90" s="537">
        <v>46203</v>
      </c>
      <c r="I90" s="519">
        <v>181000</v>
      </c>
      <c r="J90" s="522">
        <v>215.29480000000001</v>
      </c>
      <c r="K90" s="538">
        <v>38968358.800000004</v>
      </c>
    </row>
    <row r="91" spans="2:11" x14ac:dyDescent="0.45">
      <c r="B91" s="514" t="s">
        <v>79</v>
      </c>
      <c r="C91" s="514" t="s">
        <v>523</v>
      </c>
      <c r="D91" s="534" t="s">
        <v>29</v>
      </c>
      <c r="E91" s="534" t="s">
        <v>324</v>
      </c>
      <c r="F91" s="535" t="s">
        <v>325</v>
      </c>
      <c r="G91" s="536" t="s">
        <v>224</v>
      </c>
      <c r="H91" s="537">
        <v>45930</v>
      </c>
      <c r="I91" s="519">
        <v>230000</v>
      </c>
      <c r="J91" s="522">
        <v>140.01680626999999</v>
      </c>
      <c r="K91" s="538">
        <v>-32203865.442099996</v>
      </c>
    </row>
    <row r="92" spans="2:11" x14ac:dyDescent="0.45">
      <c r="B92" s="514" t="s">
        <v>79</v>
      </c>
      <c r="C92" s="514" t="s">
        <v>523</v>
      </c>
      <c r="D92" s="534" t="s">
        <v>29</v>
      </c>
      <c r="E92" s="534" t="s">
        <v>324</v>
      </c>
      <c r="F92" s="535" t="s">
        <v>325</v>
      </c>
      <c r="G92" s="536" t="s">
        <v>225</v>
      </c>
      <c r="H92" s="537">
        <v>46044</v>
      </c>
      <c r="I92" s="519">
        <v>107000</v>
      </c>
      <c r="J92" s="522">
        <v>277.09783573999999</v>
      </c>
      <c r="K92" s="538">
        <v>29649468.424180001</v>
      </c>
    </row>
    <row r="93" spans="2:11" x14ac:dyDescent="0.45">
      <c r="B93" s="514" t="s">
        <v>79</v>
      </c>
      <c r="C93" s="514" t="s">
        <v>523</v>
      </c>
      <c r="D93" s="534" t="s">
        <v>29</v>
      </c>
      <c r="E93" s="534" t="s">
        <v>324</v>
      </c>
      <c r="F93" s="535" t="s">
        <v>325</v>
      </c>
      <c r="G93" s="536" t="s">
        <v>517</v>
      </c>
      <c r="H93" s="537">
        <v>46203</v>
      </c>
      <c r="I93" s="519">
        <v>123000</v>
      </c>
      <c r="J93" s="522">
        <v>215.29480000000001</v>
      </c>
      <c r="K93" s="538">
        <v>26481260.400000002</v>
      </c>
    </row>
    <row r="94" spans="2:11" x14ac:dyDescent="0.45">
      <c r="B94" s="514" t="s">
        <v>77</v>
      </c>
      <c r="C94" s="514" t="s">
        <v>516</v>
      </c>
      <c r="D94" s="534" t="s">
        <v>27</v>
      </c>
      <c r="E94" s="534" t="s">
        <v>524</v>
      </c>
      <c r="F94" s="97" t="s">
        <v>524</v>
      </c>
      <c r="G94" s="536" t="s">
        <v>224</v>
      </c>
      <c r="H94" s="537">
        <v>46203</v>
      </c>
      <c r="I94" s="519"/>
      <c r="J94" s="522"/>
      <c r="K94" s="553">
        <v>0</v>
      </c>
    </row>
    <row r="95" spans="2:11" x14ac:dyDescent="0.45">
      <c r="B95" s="514" t="s">
        <v>77</v>
      </c>
      <c r="C95" s="514" t="s">
        <v>516</v>
      </c>
      <c r="D95" s="534" t="s">
        <v>27</v>
      </c>
      <c r="E95" s="534" t="s">
        <v>524</v>
      </c>
      <c r="F95" s="554" t="s">
        <v>524</v>
      </c>
      <c r="G95" s="536" t="s">
        <v>517</v>
      </c>
      <c r="H95" s="537">
        <v>46203</v>
      </c>
      <c r="I95" s="519"/>
      <c r="J95" s="522"/>
      <c r="K95" s="553">
        <v>0</v>
      </c>
    </row>
    <row r="96" spans="2:11" x14ac:dyDescent="0.45">
      <c r="B96" s="514" t="s">
        <v>76</v>
      </c>
      <c r="C96" s="514" t="s">
        <v>516</v>
      </c>
      <c r="D96" s="534" t="s">
        <v>27</v>
      </c>
      <c r="E96" s="534" t="s">
        <v>524</v>
      </c>
      <c r="F96" s="554" t="s">
        <v>524</v>
      </c>
      <c r="G96" s="542" t="s">
        <v>224</v>
      </c>
      <c r="H96" s="537">
        <v>46203</v>
      </c>
      <c r="I96" s="519"/>
      <c r="J96" s="522"/>
      <c r="K96" s="555">
        <v>0</v>
      </c>
    </row>
    <row r="97" spans="2:11" x14ac:dyDescent="0.45">
      <c r="B97" s="514" t="s">
        <v>76</v>
      </c>
      <c r="C97" s="514" t="s">
        <v>516</v>
      </c>
      <c r="D97" s="534" t="s">
        <v>27</v>
      </c>
      <c r="E97" s="534" t="s">
        <v>524</v>
      </c>
      <c r="F97" s="554" t="s">
        <v>524</v>
      </c>
      <c r="G97" s="542" t="s">
        <v>517</v>
      </c>
      <c r="H97" s="537">
        <v>46203</v>
      </c>
      <c r="I97" s="519"/>
      <c r="J97" s="522"/>
      <c r="K97" s="555">
        <v>0</v>
      </c>
    </row>
    <row r="98" spans="2:11" x14ac:dyDescent="0.45">
      <c r="B98" s="514" t="s">
        <v>79</v>
      </c>
      <c r="C98" s="514" t="s">
        <v>516</v>
      </c>
      <c r="D98" s="534" t="s">
        <v>27</v>
      </c>
      <c r="E98" s="534" t="s">
        <v>524</v>
      </c>
      <c r="F98" s="554" t="s">
        <v>524</v>
      </c>
      <c r="G98" s="536" t="s">
        <v>224</v>
      </c>
      <c r="H98" s="537">
        <v>46203</v>
      </c>
      <c r="I98" s="519"/>
      <c r="J98" s="522"/>
      <c r="K98" s="553">
        <v>0</v>
      </c>
    </row>
    <row r="99" spans="2:11" x14ac:dyDescent="0.45">
      <c r="B99" s="514" t="s">
        <v>79</v>
      </c>
      <c r="C99" s="514" t="s">
        <v>516</v>
      </c>
      <c r="D99" s="534" t="s">
        <v>27</v>
      </c>
      <c r="E99" s="534" t="s">
        <v>524</v>
      </c>
      <c r="F99" s="554" t="s">
        <v>524</v>
      </c>
      <c r="G99" s="536" t="s">
        <v>517</v>
      </c>
      <c r="H99" s="537">
        <v>46203</v>
      </c>
      <c r="I99" s="519"/>
      <c r="J99" s="522"/>
      <c r="K99" s="553">
        <v>0</v>
      </c>
    </row>
    <row r="100" spans="2:11" x14ac:dyDescent="0.45">
      <c r="B100" s="514" t="s">
        <v>78</v>
      </c>
      <c r="C100" s="514" t="s">
        <v>516</v>
      </c>
      <c r="D100" s="534" t="s">
        <v>27</v>
      </c>
      <c r="E100" s="534" t="s">
        <v>524</v>
      </c>
      <c r="F100" s="554" t="s">
        <v>524</v>
      </c>
      <c r="G100" s="536" t="s">
        <v>224</v>
      </c>
      <c r="H100" s="537">
        <v>46203</v>
      </c>
      <c r="I100" s="519"/>
      <c r="J100" s="522"/>
      <c r="K100" s="553">
        <v>0</v>
      </c>
    </row>
    <row r="101" spans="2:11" x14ac:dyDescent="0.45">
      <c r="B101" s="514" t="s">
        <v>78</v>
      </c>
      <c r="C101" s="514" t="s">
        <v>516</v>
      </c>
      <c r="D101" s="534" t="s">
        <v>27</v>
      </c>
      <c r="E101" s="534" t="s">
        <v>524</v>
      </c>
      <c r="F101" s="554" t="s">
        <v>524</v>
      </c>
      <c r="G101" s="536" t="s">
        <v>517</v>
      </c>
      <c r="H101" s="537">
        <v>46203</v>
      </c>
      <c r="I101" s="519"/>
      <c r="J101" s="522"/>
      <c r="K101" s="553">
        <v>0</v>
      </c>
    </row>
    <row r="102" spans="2:11" x14ac:dyDescent="0.45">
      <c r="B102" s="514" t="s">
        <v>525</v>
      </c>
      <c r="C102" s="514" t="s">
        <v>516</v>
      </c>
      <c r="D102" s="534" t="s">
        <v>27</v>
      </c>
      <c r="E102" s="534" t="s">
        <v>524</v>
      </c>
      <c r="F102" s="554" t="s">
        <v>524</v>
      </c>
      <c r="G102" s="536" t="s">
        <v>224</v>
      </c>
      <c r="H102" s="537">
        <v>46203</v>
      </c>
      <c r="I102" s="519"/>
      <c r="J102" s="522"/>
      <c r="K102" s="553">
        <v>0</v>
      </c>
    </row>
    <row r="103" spans="2:11" x14ac:dyDescent="0.45">
      <c r="B103" s="514" t="s">
        <v>525</v>
      </c>
      <c r="C103" s="514" t="s">
        <v>516</v>
      </c>
      <c r="D103" s="534" t="s">
        <v>27</v>
      </c>
      <c r="E103" s="534" t="s">
        <v>524</v>
      </c>
      <c r="F103" s="554" t="s">
        <v>524</v>
      </c>
      <c r="G103" s="536" t="s">
        <v>517</v>
      </c>
      <c r="H103" s="537">
        <v>46203</v>
      </c>
      <c r="I103" s="519"/>
      <c r="J103" s="522"/>
      <c r="K103" s="553">
        <v>0</v>
      </c>
    </row>
    <row r="104" spans="2:11" x14ac:dyDescent="0.45">
      <c r="B104" s="514" t="s">
        <v>77</v>
      </c>
      <c r="C104" s="514" t="s">
        <v>516</v>
      </c>
      <c r="D104" s="534" t="s">
        <v>27</v>
      </c>
      <c r="E104" s="534" t="s">
        <v>526</v>
      </c>
      <c r="F104" s="554" t="s">
        <v>526</v>
      </c>
      <c r="G104" s="536" t="s">
        <v>224</v>
      </c>
      <c r="H104" s="537">
        <v>46203</v>
      </c>
      <c r="I104" s="519"/>
      <c r="J104" s="522"/>
      <c r="K104" s="553">
        <v>0</v>
      </c>
    </row>
    <row r="105" spans="2:11" x14ac:dyDescent="0.45">
      <c r="B105" s="514" t="s">
        <v>77</v>
      </c>
      <c r="C105" s="514" t="s">
        <v>516</v>
      </c>
      <c r="D105" s="534" t="s">
        <v>27</v>
      </c>
      <c r="E105" s="534" t="s">
        <v>526</v>
      </c>
      <c r="F105" s="554" t="s">
        <v>526</v>
      </c>
      <c r="G105" s="536" t="s">
        <v>517</v>
      </c>
      <c r="H105" s="537">
        <v>46203</v>
      </c>
      <c r="I105" s="519"/>
      <c r="J105" s="522"/>
      <c r="K105" s="553">
        <v>0</v>
      </c>
    </row>
    <row r="106" spans="2:11" x14ac:dyDescent="0.45">
      <c r="B106" s="514" t="s">
        <v>76</v>
      </c>
      <c r="C106" s="514" t="s">
        <v>516</v>
      </c>
      <c r="D106" s="534" t="s">
        <v>27</v>
      </c>
      <c r="E106" s="534" t="s">
        <v>526</v>
      </c>
      <c r="F106" s="554" t="s">
        <v>526</v>
      </c>
      <c r="G106" s="542" t="s">
        <v>224</v>
      </c>
      <c r="H106" s="537">
        <v>46203</v>
      </c>
      <c r="I106" s="519"/>
      <c r="J106" s="522"/>
      <c r="K106" s="555">
        <v>0</v>
      </c>
    </row>
    <row r="107" spans="2:11" x14ac:dyDescent="0.45">
      <c r="B107" s="514" t="s">
        <v>76</v>
      </c>
      <c r="C107" s="514" t="s">
        <v>516</v>
      </c>
      <c r="D107" s="534" t="s">
        <v>27</v>
      </c>
      <c r="E107" s="534" t="s">
        <v>526</v>
      </c>
      <c r="F107" s="554" t="s">
        <v>526</v>
      </c>
      <c r="G107" s="542" t="s">
        <v>517</v>
      </c>
      <c r="H107" s="537">
        <v>46203</v>
      </c>
      <c r="I107" s="519"/>
      <c r="J107" s="522"/>
      <c r="K107" s="555">
        <v>0</v>
      </c>
    </row>
    <row r="108" spans="2:11" x14ac:dyDescent="0.45">
      <c r="B108" s="514" t="s">
        <v>79</v>
      </c>
      <c r="C108" s="514" t="s">
        <v>516</v>
      </c>
      <c r="D108" s="534" t="s">
        <v>27</v>
      </c>
      <c r="E108" s="534" t="s">
        <v>526</v>
      </c>
      <c r="F108" s="554" t="s">
        <v>526</v>
      </c>
      <c r="G108" s="536" t="s">
        <v>224</v>
      </c>
      <c r="H108" s="537">
        <v>46203</v>
      </c>
      <c r="I108" s="519"/>
      <c r="J108" s="522"/>
      <c r="K108" s="553">
        <v>0</v>
      </c>
    </row>
    <row r="109" spans="2:11" x14ac:dyDescent="0.45">
      <c r="B109" s="514" t="s">
        <v>79</v>
      </c>
      <c r="C109" s="514" t="s">
        <v>516</v>
      </c>
      <c r="D109" s="534" t="s">
        <v>27</v>
      </c>
      <c r="E109" s="534" t="s">
        <v>526</v>
      </c>
      <c r="F109" s="554" t="s">
        <v>526</v>
      </c>
      <c r="G109" s="536" t="s">
        <v>517</v>
      </c>
      <c r="H109" s="537">
        <v>46203</v>
      </c>
      <c r="I109" s="519"/>
      <c r="J109" s="522"/>
      <c r="K109" s="553">
        <v>0</v>
      </c>
    </row>
    <row r="110" spans="2:11" x14ac:dyDescent="0.45">
      <c r="B110" s="514" t="s">
        <v>78</v>
      </c>
      <c r="C110" s="514" t="s">
        <v>516</v>
      </c>
      <c r="D110" s="534" t="s">
        <v>27</v>
      </c>
      <c r="E110" s="534" t="s">
        <v>526</v>
      </c>
      <c r="F110" s="554" t="s">
        <v>526</v>
      </c>
      <c r="G110" s="536" t="s">
        <v>224</v>
      </c>
      <c r="H110" s="537">
        <v>46203</v>
      </c>
      <c r="I110" s="519"/>
      <c r="J110" s="522"/>
      <c r="K110" s="553">
        <v>0</v>
      </c>
    </row>
    <row r="111" spans="2:11" x14ac:dyDescent="0.45">
      <c r="B111" s="514" t="s">
        <v>78</v>
      </c>
      <c r="C111" s="514" t="s">
        <v>516</v>
      </c>
      <c r="D111" s="534" t="s">
        <v>27</v>
      </c>
      <c r="E111" s="534" t="s">
        <v>526</v>
      </c>
      <c r="F111" s="554" t="s">
        <v>526</v>
      </c>
      <c r="G111" s="536" t="s">
        <v>517</v>
      </c>
      <c r="H111" s="537">
        <v>46203</v>
      </c>
      <c r="I111" s="519"/>
      <c r="J111" s="522"/>
      <c r="K111" s="553">
        <v>0</v>
      </c>
    </row>
    <row r="112" spans="2:11" x14ac:dyDescent="0.45">
      <c r="B112" s="514" t="s">
        <v>525</v>
      </c>
      <c r="C112" s="514" t="s">
        <v>527</v>
      </c>
      <c r="D112" s="534" t="s">
        <v>27</v>
      </c>
      <c r="E112" s="534" t="s">
        <v>28</v>
      </c>
      <c r="F112" s="554" t="s">
        <v>466</v>
      </c>
      <c r="G112" s="536" t="s">
        <v>224</v>
      </c>
      <c r="H112" s="537">
        <v>43656</v>
      </c>
      <c r="I112" s="519">
        <v>5427.2129999999997</v>
      </c>
      <c r="J112" s="522">
        <v>100.19499999999999</v>
      </c>
      <c r="K112" s="538">
        <v>-543779.60653499991</v>
      </c>
    </row>
    <row r="113" spans="2:11" x14ac:dyDescent="0.45">
      <c r="B113" s="514" t="s">
        <v>525</v>
      </c>
      <c r="C113" s="514" t="s">
        <v>527</v>
      </c>
      <c r="D113" s="534" t="s">
        <v>27</v>
      </c>
      <c r="E113" s="534" t="s">
        <v>28</v>
      </c>
      <c r="F113" s="554" t="s">
        <v>466</v>
      </c>
      <c r="G113" s="536" t="s">
        <v>224</v>
      </c>
      <c r="H113" s="537">
        <v>45904</v>
      </c>
      <c r="I113" s="519">
        <v>1877</v>
      </c>
      <c r="J113" s="522">
        <v>100.19</v>
      </c>
      <c r="K113" s="538">
        <v>-188056.63</v>
      </c>
    </row>
    <row r="114" spans="2:11" x14ac:dyDescent="0.45">
      <c r="B114" s="514" t="s">
        <v>525</v>
      </c>
      <c r="C114" s="514" t="s">
        <v>527</v>
      </c>
      <c r="D114" s="534" t="s">
        <v>27</v>
      </c>
      <c r="E114" s="534" t="s">
        <v>28</v>
      </c>
      <c r="F114" s="554" t="s">
        <v>466</v>
      </c>
      <c r="G114" s="536" t="s">
        <v>517</v>
      </c>
      <c r="H114" s="537">
        <v>46203</v>
      </c>
      <c r="I114" s="519">
        <v>7609.72</v>
      </c>
      <c r="J114" s="522">
        <v>100.19499999999999</v>
      </c>
      <c r="K114" s="538">
        <v>762455.89539999992</v>
      </c>
    </row>
    <row r="115" spans="2:11" x14ac:dyDescent="0.45">
      <c r="B115" s="514" t="s">
        <v>525</v>
      </c>
      <c r="C115" s="514" t="s">
        <v>527</v>
      </c>
      <c r="D115" s="534" t="s">
        <v>27</v>
      </c>
      <c r="E115" s="534" t="s">
        <v>28</v>
      </c>
      <c r="F115" s="554" t="s">
        <v>47</v>
      </c>
      <c r="G115" s="536" t="s">
        <v>224</v>
      </c>
      <c r="H115" s="537">
        <v>43656</v>
      </c>
      <c r="I115" s="519">
        <v>2059.6550000000002</v>
      </c>
      <c r="J115" s="522">
        <v>306.49149999999997</v>
      </c>
      <c r="K115" s="538">
        <v>-631266.75043250003</v>
      </c>
    </row>
    <row r="116" spans="2:11" x14ac:dyDescent="0.45">
      <c r="B116" s="514" t="s">
        <v>525</v>
      </c>
      <c r="C116" s="514" t="s">
        <v>527</v>
      </c>
      <c r="D116" s="534" t="s">
        <v>27</v>
      </c>
      <c r="E116" s="534" t="s">
        <v>28</v>
      </c>
      <c r="F116" s="554" t="s">
        <v>47</v>
      </c>
      <c r="G116" s="536" t="s">
        <v>225</v>
      </c>
      <c r="H116" s="537">
        <v>44080</v>
      </c>
      <c r="I116" s="519">
        <v>307.08999999999997</v>
      </c>
      <c r="J116" s="522">
        <v>325.63720000000001</v>
      </c>
      <c r="K116" s="538">
        <v>99999.927747999987</v>
      </c>
    </row>
    <row r="117" spans="2:11" x14ac:dyDescent="0.45">
      <c r="B117" s="514" t="s">
        <v>525</v>
      </c>
      <c r="C117" s="514" t="s">
        <v>527</v>
      </c>
      <c r="D117" s="534" t="s">
        <v>27</v>
      </c>
      <c r="E117" s="534" t="s">
        <v>28</v>
      </c>
      <c r="F117" s="554" t="s">
        <v>47</v>
      </c>
      <c r="G117" s="536" t="s">
        <v>517</v>
      </c>
      <c r="H117" s="537">
        <v>46203</v>
      </c>
      <c r="I117" s="519">
        <v>1752.5650000000003</v>
      </c>
      <c r="J117" s="522">
        <v>453.28559999999999</v>
      </c>
      <c r="K117" s="538">
        <v>794412.47756400006</v>
      </c>
    </row>
    <row r="118" spans="2:11" x14ac:dyDescent="0.45">
      <c r="B118" s="514" t="s">
        <v>76</v>
      </c>
      <c r="C118" s="514" t="s">
        <v>518</v>
      </c>
      <c r="D118" s="534" t="s">
        <v>27</v>
      </c>
      <c r="E118" s="534" t="s">
        <v>28</v>
      </c>
      <c r="F118" s="264" t="s">
        <v>547</v>
      </c>
      <c r="G118" s="542" t="s">
        <v>224</v>
      </c>
      <c r="H118" s="537">
        <v>46178</v>
      </c>
      <c r="I118" s="519">
        <v>2282.1779999999999</v>
      </c>
      <c r="J118" s="522">
        <v>5476.9504999999999</v>
      </c>
      <c r="K118" s="543">
        <v>-12499375.938189</v>
      </c>
    </row>
    <row r="119" spans="2:11" x14ac:dyDescent="0.45">
      <c r="B119" s="514" t="s">
        <v>76</v>
      </c>
      <c r="C119" s="514" t="s">
        <v>518</v>
      </c>
      <c r="D119" s="534" t="s">
        <v>27</v>
      </c>
      <c r="E119" s="534" t="s">
        <v>28</v>
      </c>
      <c r="F119" s="264" t="s">
        <v>547</v>
      </c>
      <c r="G119" s="542" t="s">
        <v>517</v>
      </c>
      <c r="H119" s="537">
        <v>46203</v>
      </c>
      <c r="I119" s="519">
        <v>2282.1779999999999</v>
      </c>
      <c r="J119" s="522">
        <v>5508.3669</v>
      </c>
      <c r="K119" s="543">
        <v>12571073.7551082</v>
      </c>
    </row>
    <row r="120" spans="2:11" x14ac:dyDescent="0.45">
      <c r="B120" s="514" t="s">
        <v>77</v>
      </c>
      <c r="C120" s="514" t="s">
        <v>516</v>
      </c>
      <c r="D120" s="534" t="s">
        <v>27</v>
      </c>
      <c r="E120" s="534" t="s">
        <v>28</v>
      </c>
      <c r="F120" s="97" t="s">
        <v>48</v>
      </c>
      <c r="G120" s="536" t="s">
        <v>224</v>
      </c>
      <c r="H120" s="537">
        <v>43902</v>
      </c>
      <c r="I120" s="519">
        <v>19993.827000000001</v>
      </c>
      <c r="J120" s="522">
        <v>2964.5947000000001</v>
      </c>
      <c r="K120" s="538">
        <v>-59273593.556916907</v>
      </c>
    </row>
    <row r="121" spans="2:11" x14ac:dyDescent="0.45">
      <c r="B121" s="514" t="s">
        <v>77</v>
      </c>
      <c r="C121" s="514" t="s">
        <v>516</v>
      </c>
      <c r="D121" s="534" t="s">
        <v>27</v>
      </c>
      <c r="E121" s="534" t="s">
        <v>28</v>
      </c>
      <c r="F121" s="97" t="s">
        <v>48</v>
      </c>
      <c r="G121" s="536" t="s">
        <v>225</v>
      </c>
      <c r="H121" s="537">
        <v>43993</v>
      </c>
      <c r="I121" s="519">
        <v>10047.264999999999</v>
      </c>
      <c r="J121" s="522">
        <v>2985.8870999999999</v>
      </c>
      <c r="K121" s="538">
        <v>29999998.953781497</v>
      </c>
    </row>
    <row r="122" spans="2:11" x14ac:dyDescent="0.45">
      <c r="B122" s="514" t="s">
        <v>77</v>
      </c>
      <c r="C122" s="514" t="s">
        <v>516</v>
      </c>
      <c r="D122" s="534" t="s">
        <v>27</v>
      </c>
      <c r="E122" s="534" t="s">
        <v>28</v>
      </c>
      <c r="F122" s="97" t="s">
        <v>48</v>
      </c>
      <c r="G122" s="536" t="s">
        <v>225</v>
      </c>
      <c r="H122" s="537">
        <v>44178</v>
      </c>
      <c r="I122" s="519">
        <v>9898.3790000000008</v>
      </c>
      <c r="J122" s="522">
        <v>3030.7993000000001</v>
      </c>
      <c r="K122" s="538">
        <v>30000000.144334704</v>
      </c>
    </row>
    <row r="123" spans="2:11" x14ac:dyDescent="0.45">
      <c r="B123" s="514" t="s">
        <v>77</v>
      </c>
      <c r="C123" s="514" t="s">
        <v>516</v>
      </c>
      <c r="D123" s="534" t="s">
        <v>27</v>
      </c>
      <c r="E123" s="534" t="s">
        <v>28</v>
      </c>
      <c r="F123" s="97" t="s">
        <v>48</v>
      </c>
      <c r="G123" s="536" t="s">
        <v>517</v>
      </c>
      <c r="H123" s="537">
        <v>46203</v>
      </c>
      <c r="I123" s="519">
        <v>48.183000000000902</v>
      </c>
      <c r="J123" s="522">
        <v>4043.6042000000002</v>
      </c>
      <c r="K123" s="538">
        <v>194832.98116860367</v>
      </c>
    </row>
    <row r="124" spans="2:11" x14ac:dyDescent="0.45">
      <c r="B124" s="514" t="s">
        <v>525</v>
      </c>
      <c r="C124" s="514" t="s">
        <v>527</v>
      </c>
      <c r="D124" s="534" t="s">
        <v>27</v>
      </c>
      <c r="E124" s="534" t="s">
        <v>28</v>
      </c>
      <c r="F124" s="97" t="s">
        <v>467</v>
      </c>
      <c r="G124" s="536" t="s">
        <v>224</v>
      </c>
      <c r="H124" s="537">
        <v>43656</v>
      </c>
      <c r="I124" s="519">
        <v>536.61400000000003</v>
      </c>
      <c r="J124" s="522">
        <v>1012.9494999999999</v>
      </c>
      <c r="K124" s="538">
        <v>-543562.88299299998</v>
      </c>
    </row>
    <row r="125" spans="2:11" x14ac:dyDescent="0.45">
      <c r="B125" s="514" t="s">
        <v>525</v>
      </c>
      <c r="C125" s="514" t="s">
        <v>527</v>
      </c>
      <c r="D125" s="534" t="s">
        <v>27</v>
      </c>
      <c r="E125" s="534" t="s">
        <v>28</v>
      </c>
      <c r="F125" s="554" t="s">
        <v>467</v>
      </c>
      <c r="G125" s="536" t="s">
        <v>517</v>
      </c>
      <c r="H125" s="537">
        <v>46203</v>
      </c>
      <c r="I125" s="519">
        <v>605.83799999999997</v>
      </c>
      <c r="J125" s="522">
        <v>1001.576</v>
      </c>
      <c r="K125" s="538">
        <v>606792.80068799993</v>
      </c>
    </row>
    <row r="126" spans="2:11" x14ac:dyDescent="0.45">
      <c r="B126" s="514" t="s">
        <v>77</v>
      </c>
      <c r="C126" s="514" t="s">
        <v>516</v>
      </c>
      <c r="D126" s="534" t="s">
        <v>27</v>
      </c>
      <c r="E126" s="534" t="s">
        <v>28</v>
      </c>
      <c r="F126" s="264" t="s">
        <v>291</v>
      </c>
      <c r="G126" s="542" t="s">
        <v>224</v>
      </c>
      <c r="H126" s="537">
        <v>46121</v>
      </c>
      <c r="I126" s="519">
        <v>52085.887000000002</v>
      </c>
      <c r="J126" s="522">
        <v>408.91950000000003</v>
      </c>
      <c r="K126" s="517">
        <v>-21298934.869096503</v>
      </c>
    </row>
    <row r="127" spans="2:11" x14ac:dyDescent="0.45">
      <c r="B127" s="514" t="s">
        <v>77</v>
      </c>
      <c r="C127" s="514" t="s">
        <v>516</v>
      </c>
      <c r="D127" s="534" t="s">
        <v>27</v>
      </c>
      <c r="E127" s="534" t="s">
        <v>28</v>
      </c>
      <c r="F127" s="264" t="s">
        <v>291</v>
      </c>
      <c r="G127" s="542" t="s">
        <v>225</v>
      </c>
      <c r="H127" s="537">
        <v>46128</v>
      </c>
      <c r="I127" s="519">
        <v>31073</v>
      </c>
      <c r="J127" s="522">
        <v>409.65859999999998</v>
      </c>
      <c r="K127" s="518">
        <v>12729321.6778</v>
      </c>
    </row>
    <row r="128" spans="2:11" x14ac:dyDescent="0.45">
      <c r="B128" s="514" t="s">
        <v>77</v>
      </c>
      <c r="C128" s="514" t="s">
        <v>516</v>
      </c>
      <c r="D128" s="534" t="s">
        <v>27</v>
      </c>
      <c r="E128" s="534" t="s">
        <v>28</v>
      </c>
      <c r="F128" s="264" t="s">
        <v>291</v>
      </c>
      <c r="G128" s="542" t="s">
        <v>517</v>
      </c>
      <c r="H128" s="537">
        <v>46203</v>
      </c>
      <c r="I128" s="519">
        <v>21012.887000000002</v>
      </c>
      <c r="J128" s="522">
        <v>415.10700000000003</v>
      </c>
      <c r="K128" s="519">
        <v>8722596.4839090016</v>
      </c>
    </row>
    <row r="129" spans="2:11" x14ac:dyDescent="0.45">
      <c r="B129" s="515" t="s">
        <v>79</v>
      </c>
      <c r="C129" s="515" t="s">
        <v>516</v>
      </c>
      <c r="D129" s="539" t="s">
        <v>27</v>
      </c>
      <c r="E129" s="539" t="s">
        <v>28</v>
      </c>
      <c r="F129" s="264" t="s">
        <v>291</v>
      </c>
      <c r="G129" s="540" t="s">
        <v>224</v>
      </c>
      <c r="H129" s="537">
        <v>46120</v>
      </c>
      <c r="I129" s="519">
        <v>57362.292999999998</v>
      </c>
      <c r="J129" s="522">
        <v>408.78469999999999</v>
      </c>
      <c r="K129" s="517">
        <v>-23448827.7353171</v>
      </c>
    </row>
    <row r="130" spans="2:11" x14ac:dyDescent="0.45">
      <c r="B130" s="515" t="s">
        <v>79</v>
      </c>
      <c r="C130" s="515" t="s">
        <v>516</v>
      </c>
      <c r="D130" s="539" t="s">
        <v>27</v>
      </c>
      <c r="E130" s="539" t="s">
        <v>28</v>
      </c>
      <c r="F130" s="264" t="s">
        <v>291</v>
      </c>
      <c r="G130" s="540" t="s">
        <v>225</v>
      </c>
      <c r="H130" s="537">
        <v>46139</v>
      </c>
      <c r="I130" s="519">
        <v>4171</v>
      </c>
      <c r="J130" s="522">
        <v>410.23020000000002</v>
      </c>
      <c r="K130" s="518">
        <v>1711070.1642</v>
      </c>
    </row>
    <row r="131" spans="2:11" x14ac:dyDescent="0.45">
      <c r="B131" s="515" t="s">
        <v>79</v>
      </c>
      <c r="C131" s="515" t="s">
        <v>516</v>
      </c>
      <c r="D131" s="539" t="s">
        <v>27</v>
      </c>
      <c r="E131" s="539" t="s">
        <v>28</v>
      </c>
      <c r="F131" s="264" t="s">
        <v>291</v>
      </c>
      <c r="G131" s="540" t="s">
        <v>225</v>
      </c>
      <c r="H131" s="537">
        <v>46147</v>
      </c>
      <c r="I131" s="519">
        <v>48708</v>
      </c>
      <c r="J131" s="522">
        <v>410.68380000000002</v>
      </c>
      <c r="K131" s="518">
        <v>20003586.530400001</v>
      </c>
    </row>
    <row r="132" spans="2:11" x14ac:dyDescent="0.45">
      <c r="B132" s="515" t="s">
        <v>79</v>
      </c>
      <c r="C132" s="515" t="s">
        <v>516</v>
      </c>
      <c r="D132" s="539" t="s">
        <v>27</v>
      </c>
      <c r="E132" s="539" t="s">
        <v>28</v>
      </c>
      <c r="F132" s="264" t="s">
        <v>291</v>
      </c>
      <c r="G132" s="540" t="s">
        <v>225</v>
      </c>
      <c r="H132" s="537">
        <v>46163</v>
      </c>
      <c r="I132" s="519">
        <v>1457.64</v>
      </c>
      <c r="J132" s="522">
        <v>411.67410000000001</v>
      </c>
      <c r="K132" s="518">
        <v>600072.63512400002</v>
      </c>
    </row>
    <row r="133" spans="2:11" x14ac:dyDescent="0.45">
      <c r="B133" s="515" t="s">
        <v>79</v>
      </c>
      <c r="C133" s="515" t="s">
        <v>516</v>
      </c>
      <c r="D133" s="539" t="s">
        <v>27</v>
      </c>
      <c r="E133" s="539" t="s">
        <v>28</v>
      </c>
      <c r="F133" s="264" t="s">
        <v>291</v>
      </c>
      <c r="G133" s="540" t="s">
        <v>225</v>
      </c>
      <c r="H133" s="537">
        <v>46163</v>
      </c>
      <c r="I133" s="519">
        <v>1457.64</v>
      </c>
      <c r="J133" s="522">
        <v>411.67410000000001</v>
      </c>
      <c r="K133" s="518">
        <v>600072.63512400002</v>
      </c>
    </row>
    <row r="134" spans="2:11" x14ac:dyDescent="0.45">
      <c r="B134" s="515" t="s">
        <v>79</v>
      </c>
      <c r="C134" s="515" t="s">
        <v>516</v>
      </c>
      <c r="D134" s="539" t="s">
        <v>27</v>
      </c>
      <c r="E134" s="539" t="s">
        <v>28</v>
      </c>
      <c r="F134" s="264" t="s">
        <v>291</v>
      </c>
      <c r="G134" s="540" t="s">
        <v>517</v>
      </c>
      <c r="H134" s="537">
        <v>46203</v>
      </c>
      <c r="I134" s="519">
        <v>1568.012999999999</v>
      </c>
      <c r="J134" s="522">
        <v>415.10700000000003</v>
      </c>
      <c r="K134" s="551">
        <v>650893.17239099962</v>
      </c>
    </row>
    <row r="135" spans="2:11" x14ac:dyDescent="0.45">
      <c r="B135" s="514" t="s">
        <v>81</v>
      </c>
      <c r="C135" s="514" t="s">
        <v>516</v>
      </c>
      <c r="D135" s="534" t="s">
        <v>27</v>
      </c>
      <c r="E135" s="534" t="s">
        <v>28</v>
      </c>
      <c r="F135" s="264" t="s">
        <v>291</v>
      </c>
      <c r="G135" s="535" t="s">
        <v>224</v>
      </c>
      <c r="H135" s="537">
        <v>45839</v>
      </c>
      <c r="I135" s="519">
        <v>76834.377999999997</v>
      </c>
      <c r="J135" s="522">
        <v>390.4307</v>
      </c>
      <c r="K135" s="538">
        <v>-29998499.986604597</v>
      </c>
    </row>
    <row r="136" spans="2:11" x14ac:dyDescent="0.45">
      <c r="B136" s="514" t="s">
        <v>81</v>
      </c>
      <c r="C136" s="514" t="s">
        <v>516</v>
      </c>
      <c r="D136" s="534" t="s">
        <v>27</v>
      </c>
      <c r="E136" s="534" t="s">
        <v>28</v>
      </c>
      <c r="F136" s="264" t="s">
        <v>291</v>
      </c>
      <c r="G136" s="535" t="s">
        <v>225</v>
      </c>
      <c r="H136" s="537">
        <v>45910</v>
      </c>
      <c r="I136" s="519">
        <v>30180</v>
      </c>
      <c r="J136" s="522">
        <v>394.68060000000003</v>
      </c>
      <c r="K136" s="538">
        <v>11911460.508000001</v>
      </c>
    </row>
    <row r="137" spans="2:11" x14ac:dyDescent="0.45">
      <c r="B137" s="514" t="s">
        <v>81</v>
      </c>
      <c r="C137" s="514" t="s">
        <v>516</v>
      </c>
      <c r="D137" s="534" t="s">
        <v>27</v>
      </c>
      <c r="E137" s="534" t="s">
        <v>28</v>
      </c>
      <c r="F137" s="264" t="s">
        <v>291</v>
      </c>
      <c r="G137" s="542" t="s">
        <v>517</v>
      </c>
      <c r="H137" s="537">
        <v>46203</v>
      </c>
      <c r="I137" s="519">
        <v>46654.377999999997</v>
      </c>
      <c r="J137" s="522">
        <v>415.10700000000003</v>
      </c>
      <c r="K137" s="538">
        <v>19366558.888445999</v>
      </c>
    </row>
    <row r="138" spans="2:11" x14ac:dyDescent="0.45">
      <c r="B138" s="514" t="s">
        <v>525</v>
      </c>
      <c r="C138" s="514" t="s">
        <v>527</v>
      </c>
      <c r="D138" s="534" t="s">
        <v>27</v>
      </c>
      <c r="E138" s="534" t="s">
        <v>28</v>
      </c>
      <c r="F138" s="97" t="s">
        <v>468</v>
      </c>
      <c r="G138" s="536" t="s">
        <v>224</v>
      </c>
      <c r="H138" s="537">
        <v>43656</v>
      </c>
      <c r="I138" s="519">
        <v>451.35599999999999</v>
      </c>
      <c r="J138" s="522">
        <v>1222.81</v>
      </c>
      <c r="K138" s="538">
        <v>-551922.63035999995</v>
      </c>
    </row>
    <row r="139" spans="2:11" x14ac:dyDescent="0.45">
      <c r="B139" s="514" t="s">
        <v>525</v>
      </c>
      <c r="C139" s="514" t="s">
        <v>527</v>
      </c>
      <c r="D139" s="534" t="s">
        <v>27</v>
      </c>
      <c r="E139" s="534" t="s">
        <v>28</v>
      </c>
      <c r="F139" s="97" t="s">
        <v>468</v>
      </c>
      <c r="G139" s="536" t="s">
        <v>517</v>
      </c>
      <c r="H139" s="537">
        <v>46203</v>
      </c>
      <c r="I139" s="519">
        <v>632.5</v>
      </c>
      <c r="J139" s="522">
        <v>1222.81</v>
      </c>
      <c r="K139" s="538">
        <v>773427.32499999995</v>
      </c>
    </row>
    <row r="140" spans="2:11" x14ac:dyDescent="0.45">
      <c r="B140" s="514" t="s">
        <v>525</v>
      </c>
      <c r="C140" s="514" t="s">
        <v>527</v>
      </c>
      <c r="D140" s="534" t="s">
        <v>27</v>
      </c>
      <c r="E140" s="534" t="s">
        <v>28</v>
      </c>
      <c r="F140" s="97" t="s">
        <v>469</v>
      </c>
      <c r="G140" s="536" t="s">
        <v>224</v>
      </c>
      <c r="H140" s="537">
        <v>43657</v>
      </c>
      <c r="I140" s="519">
        <v>316.19</v>
      </c>
      <c r="J140" s="522">
        <v>2010.5793000000001</v>
      </c>
      <c r="K140" s="538">
        <v>-635725.06886700005</v>
      </c>
    </row>
    <row r="141" spans="2:11" x14ac:dyDescent="0.45">
      <c r="B141" s="514" t="s">
        <v>525</v>
      </c>
      <c r="C141" s="514" t="s">
        <v>527</v>
      </c>
      <c r="D141" s="534" t="s">
        <v>27</v>
      </c>
      <c r="E141" s="534" t="s">
        <v>28</v>
      </c>
      <c r="F141" s="97" t="s">
        <v>469</v>
      </c>
      <c r="G141" s="536" t="s">
        <v>517</v>
      </c>
      <c r="H141" s="537">
        <v>46203</v>
      </c>
      <c r="I141" s="519">
        <v>316.19</v>
      </c>
      <c r="J141" s="522">
        <v>2961.4688000000001</v>
      </c>
      <c r="K141" s="538">
        <v>936386.81987200002</v>
      </c>
    </row>
    <row r="142" spans="2:11" x14ac:dyDescent="0.45">
      <c r="B142" s="514" t="s">
        <v>77</v>
      </c>
      <c r="C142" s="514" t="s">
        <v>516</v>
      </c>
      <c r="D142" s="534" t="s">
        <v>27</v>
      </c>
      <c r="E142" s="534" t="s">
        <v>28</v>
      </c>
      <c r="F142" s="535" t="s">
        <v>46</v>
      </c>
      <c r="G142" s="536" t="s">
        <v>224</v>
      </c>
      <c r="H142" s="537">
        <v>46129</v>
      </c>
      <c r="I142" s="519">
        <v>5125</v>
      </c>
      <c r="J142" s="522">
        <v>1000.19740905</v>
      </c>
      <c r="K142" s="538">
        <v>-5126011.7213812498</v>
      </c>
    </row>
    <row r="143" spans="2:11" x14ac:dyDescent="0.45">
      <c r="B143" s="514" t="s">
        <v>77</v>
      </c>
      <c r="C143" s="514" t="s">
        <v>516</v>
      </c>
      <c r="D143" s="534" t="s">
        <v>27</v>
      </c>
      <c r="E143" s="534" t="s">
        <v>28</v>
      </c>
      <c r="F143" s="97" t="s">
        <v>46</v>
      </c>
      <c r="G143" s="536" t="s">
        <v>517</v>
      </c>
      <c r="H143" s="537">
        <v>46203</v>
      </c>
      <c r="I143" s="519">
        <v>5169.7539999999999</v>
      </c>
      <c r="J143" s="522">
        <v>1000</v>
      </c>
      <c r="K143" s="538">
        <v>5169754</v>
      </c>
    </row>
    <row r="144" spans="2:11" x14ac:dyDescent="0.45">
      <c r="B144" s="520" t="s">
        <v>78</v>
      </c>
      <c r="C144" s="520" t="s">
        <v>516</v>
      </c>
      <c r="D144" s="534" t="s">
        <v>27</v>
      </c>
      <c r="E144" s="534" t="s">
        <v>28</v>
      </c>
      <c r="F144" s="535" t="s">
        <v>46</v>
      </c>
      <c r="G144" s="535" t="s">
        <v>224</v>
      </c>
      <c r="H144" s="537">
        <v>46164</v>
      </c>
      <c r="I144" s="519">
        <v>3801.46</v>
      </c>
      <c r="J144" s="522">
        <v>1000.18740715</v>
      </c>
      <c r="K144" s="538">
        <v>-3802172.420784439</v>
      </c>
    </row>
    <row r="145" spans="2:11" x14ac:dyDescent="0.45">
      <c r="B145" s="520" t="s">
        <v>78</v>
      </c>
      <c r="C145" s="520" t="s">
        <v>516</v>
      </c>
      <c r="D145" s="534" t="s">
        <v>27</v>
      </c>
      <c r="E145" s="534" t="s">
        <v>28</v>
      </c>
      <c r="F145" s="535" t="s">
        <v>46</v>
      </c>
      <c r="G145" s="535" t="s">
        <v>517</v>
      </c>
      <c r="H145" s="537">
        <v>46203</v>
      </c>
      <c r="I145" s="519">
        <v>3816.2510000000002</v>
      </c>
      <c r="J145" s="522">
        <v>1000</v>
      </c>
      <c r="K145" s="538">
        <v>3816251</v>
      </c>
    </row>
    <row r="146" spans="2:11" x14ac:dyDescent="0.45">
      <c r="B146" s="514" t="s">
        <v>76</v>
      </c>
      <c r="C146" s="514" t="s">
        <v>516</v>
      </c>
      <c r="D146" s="534" t="s">
        <v>23</v>
      </c>
      <c r="E146" s="534" t="s">
        <v>26</v>
      </c>
      <c r="F146" s="535" t="s">
        <v>323</v>
      </c>
      <c r="G146" s="542" t="s">
        <v>224</v>
      </c>
      <c r="H146" s="537">
        <v>45965</v>
      </c>
      <c r="I146" s="519">
        <v>799864.74800000002</v>
      </c>
      <c r="J146" s="522">
        <v>32.538200000000003</v>
      </c>
      <c r="K146" s="543">
        <v>-26026159.143373605</v>
      </c>
    </row>
    <row r="147" spans="2:11" x14ac:dyDescent="0.45">
      <c r="B147" s="514" t="s">
        <v>76</v>
      </c>
      <c r="C147" s="514" t="s">
        <v>516</v>
      </c>
      <c r="D147" s="534" t="s">
        <v>23</v>
      </c>
      <c r="E147" s="534" t="s">
        <v>26</v>
      </c>
      <c r="F147" s="535" t="s">
        <v>323</v>
      </c>
      <c r="G147" s="542" t="s">
        <v>517</v>
      </c>
      <c r="H147" s="537">
        <v>46203</v>
      </c>
      <c r="I147" s="519">
        <v>799864.74800000002</v>
      </c>
      <c r="J147" s="522">
        <v>33.794199999999996</v>
      </c>
      <c r="K147" s="543">
        <v>27030789.266861599</v>
      </c>
    </row>
    <row r="148" spans="2:11" x14ac:dyDescent="0.45">
      <c r="B148" s="514" t="s">
        <v>81</v>
      </c>
      <c r="C148" s="514" t="s">
        <v>516</v>
      </c>
      <c r="D148" s="534" t="s">
        <v>23</v>
      </c>
      <c r="E148" s="534" t="s">
        <v>26</v>
      </c>
      <c r="F148" s="535" t="s">
        <v>269</v>
      </c>
      <c r="G148" s="535" t="s">
        <v>224</v>
      </c>
      <c r="H148" s="537">
        <v>45839</v>
      </c>
      <c r="I148" s="519">
        <v>1092470.9939999999</v>
      </c>
      <c r="J148" s="522">
        <v>34.507199999999997</v>
      </c>
      <c r="K148" s="538">
        <v>-37698115.084156796</v>
      </c>
    </row>
    <row r="149" spans="2:11" x14ac:dyDescent="0.45">
      <c r="B149" s="514" t="s">
        <v>81</v>
      </c>
      <c r="C149" s="514" t="s">
        <v>516</v>
      </c>
      <c r="D149" s="534" t="s">
        <v>23</v>
      </c>
      <c r="E149" s="534" t="s">
        <v>26</v>
      </c>
      <c r="F149" s="535" t="s">
        <v>269</v>
      </c>
      <c r="G149" s="535" t="s">
        <v>517</v>
      </c>
      <c r="H149" s="537">
        <v>46203</v>
      </c>
      <c r="I149" s="519">
        <v>1092470.9939999999</v>
      </c>
      <c r="J149" s="522">
        <v>36.7881</v>
      </c>
      <c r="K149" s="538">
        <v>40189932.174371399</v>
      </c>
    </row>
    <row r="150" spans="2:11" x14ac:dyDescent="0.45">
      <c r="B150" s="514" t="s">
        <v>76</v>
      </c>
      <c r="C150" s="514" t="s">
        <v>516</v>
      </c>
      <c r="D150" s="534" t="s">
        <v>23</v>
      </c>
      <c r="E150" s="534" t="s">
        <v>26</v>
      </c>
      <c r="F150" s="547" t="s">
        <v>49</v>
      </c>
      <c r="G150" s="542" t="s">
        <v>224</v>
      </c>
      <c r="H150" s="537">
        <v>45807</v>
      </c>
      <c r="I150" s="519">
        <v>642940.09499999997</v>
      </c>
      <c r="J150" s="522">
        <v>37.2712</v>
      </c>
      <c r="K150" s="543">
        <v>-23963148.868763998</v>
      </c>
    </row>
    <row r="151" spans="2:11" x14ac:dyDescent="0.45">
      <c r="B151" s="514" t="s">
        <v>76</v>
      </c>
      <c r="C151" s="514" t="s">
        <v>516</v>
      </c>
      <c r="D151" s="534" t="s">
        <v>23</v>
      </c>
      <c r="E151" s="534" t="s">
        <v>26</v>
      </c>
      <c r="F151" s="547" t="s">
        <v>49</v>
      </c>
      <c r="G151" s="542" t="s">
        <v>517</v>
      </c>
      <c r="H151" s="537">
        <v>46203</v>
      </c>
      <c r="I151" s="519">
        <v>642940.09499999997</v>
      </c>
      <c r="J151" s="522">
        <v>39.677799999999998</v>
      </c>
      <c r="K151" s="541">
        <v>25510448.501390997</v>
      </c>
    </row>
    <row r="152" spans="2:11" x14ac:dyDescent="0.45">
      <c r="B152" s="514" t="s">
        <v>76</v>
      </c>
      <c r="C152" s="514" t="s">
        <v>516</v>
      </c>
      <c r="D152" s="534" t="s">
        <v>23</v>
      </c>
      <c r="E152" s="534" t="s">
        <v>26</v>
      </c>
      <c r="F152" s="554" t="s">
        <v>280</v>
      </c>
      <c r="G152" s="542" t="s">
        <v>224</v>
      </c>
      <c r="H152" s="537">
        <v>45807</v>
      </c>
      <c r="I152" s="519">
        <v>547324.74800000002</v>
      </c>
      <c r="J152" s="522">
        <v>10.3131</v>
      </c>
      <c r="K152" s="543">
        <v>-5644614.8585988004</v>
      </c>
    </row>
    <row r="153" spans="2:11" x14ac:dyDescent="0.45">
      <c r="B153" s="514" t="s">
        <v>76</v>
      </c>
      <c r="C153" s="514" t="s">
        <v>516</v>
      </c>
      <c r="D153" s="534" t="s">
        <v>23</v>
      </c>
      <c r="E153" s="534" t="s">
        <v>26</v>
      </c>
      <c r="F153" s="554" t="s">
        <v>280</v>
      </c>
      <c r="G153" s="542" t="s">
        <v>517</v>
      </c>
      <c r="H153" s="537">
        <v>45924</v>
      </c>
      <c r="I153" s="519">
        <v>547324.74800000002</v>
      </c>
      <c r="J153" s="522">
        <v>11.114599999999999</v>
      </c>
      <c r="K153" s="543">
        <v>6083295.6441208003</v>
      </c>
    </row>
    <row r="154" spans="2:11" x14ac:dyDescent="0.45">
      <c r="B154" s="514" t="s">
        <v>76</v>
      </c>
      <c r="C154" s="514" t="s">
        <v>516</v>
      </c>
      <c r="D154" s="534" t="s">
        <v>23</v>
      </c>
      <c r="E154" s="534" t="s">
        <v>26</v>
      </c>
      <c r="F154" s="554" t="s">
        <v>280</v>
      </c>
      <c r="G154" s="542" t="s">
        <v>224</v>
      </c>
      <c r="H154" s="537">
        <v>45930</v>
      </c>
      <c r="I154" s="519">
        <v>66265739</v>
      </c>
      <c r="J154" s="522">
        <v>10.563528160457095</v>
      </c>
      <c r="K154" s="543">
        <v>-700000000</v>
      </c>
    </row>
    <row r="155" spans="2:11" x14ac:dyDescent="0.45">
      <c r="B155" s="514" t="s">
        <v>76</v>
      </c>
      <c r="C155" s="514" t="s">
        <v>516</v>
      </c>
      <c r="D155" s="534" t="s">
        <v>23</v>
      </c>
      <c r="E155" s="534" t="s">
        <v>26</v>
      </c>
      <c r="F155" s="554" t="s">
        <v>280</v>
      </c>
      <c r="G155" s="542" t="s">
        <v>225</v>
      </c>
      <c r="H155" s="537">
        <v>46041</v>
      </c>
      <c r="I155" s="519">
        <v>2407900</v>
      </c>
      <c r="J155" s="522">
        <v>10.8086</v>
      </c>
      <c r="K155" s="543">
        <v>26026027.940000001</v>
      </c>
    </row>
    <row r="156" spans="2:11" x14ac:dyDescent="0.45">
      <c r="B156" s="514" t="s">
        <v>76</v>
      </c>
      <c r="C156" s="514" t="s">
        <v>516</v>
      </c>
      <c r="D156" s="534" t="s">
        <v>23</v>
      </c>
      <c r="E156" s="534" t="s">
        <v>26</v>
      </c>
      <c r="F156" s="554" t="s">
        <v>280</v>
      </c>
      <c r="G156" s="542" t="s">
        <v>225</v>
      </c>
      <c r="H156" s="537">
        <v>46045</v>
      </c>
      <c r="I156" s="519">
        <v>1851300</v>
      </c>
      <c r="J156" s="522">
        <v>10.8161</v>
      </c>
      <c r="K156" s="543">
        <v>20023845.93</v>
      </c>
    </row>
    <row r="157" spans="2:11" x14ac:dyDescent="0.45">
      <c r="B157" s="514" t="s">
        <v>76</v>
      </c>
      <c r="C157" s="514" t="s">
        <v>516</v>
      </c>
      <c r="D157" s="534" t="s">
        <v>23</v>
      </c>
      <c r="E157" s="534" t="s">
        <v>26</v>
      </c>
      <c r="F157" s="554" t="s">
        <v>280</v>
      </c>
      <c r="G157" s="542" t="s">
        <v>225</v>
      </c>
      <c r="H157" s="537">
        <v>46045</v>
      </c>
      <c r="I157" s="519">
        <v>2314130</v>
      </c>
      <c r="J157" s="522">
        <v>10.8161</v>
      </c>
      <c r="K157" s="543">
        <v>25029861.493000001</v>
      </c>
    </row>
    <row r="158" spans="2:11" x14ac:dyDescent="0.45">
      <c r="B158" s="514" t="s">
        <v>76</v>
      </c>
      <c r="C158" s="514" t="s">
        <v>516</v>
      </c>
      <c r="D158" s="534" t="s">
        <v>23</v>
      </c>
      <c r="E158" s="534" t="s">
        <v>26</v>
      </c>
      <c r="F158" s="554" t="s">
        <v>280</v>
      </c>
      <c r="G158" s="542" t="s">
        <v>225</v>
      </c>
      <c r="H158" s="537">
        <v>46052</v>
      </c>
      <c r="I158" s="519">
        <v>1386460</v>
      </c>
      <c r="J158" s="522">
        <v>10.8317</v>
      </c>
      <c r="K158" s="543">
        <v>15017718.782</v>
      </c>
    </row>
    <row r="159" spans="2:11" x14ac:dyDescent="0.45">
      <c r="B159" s="514" t="s">
        <v>76</v>
      </c>
      <c r="C159" s="514" t="s">
        <v>516</v>
      </c>
      <c r="D159" s="534" t="s">
        <v>23</v>
      </c>
      <c r="E159" s="534" t="s">
        <v>26</v>
      </c>
      <c r="F159" s="554" t="s">
        <v>280</v>
      </c>
      <c r="G159" s="542" t="s">
        <v>225</v>
      </c>
      <c r="H159" s="537">
        <v>46057</v>
      </c>
      <c r="I159" s="519">
        <v>7297350</v>
      </c>
      <c r="J159" s="522">
        <v>10.836600000000001</v>
      </c>
      <c r="K159" s="543">
        <v>79078463.010000005</v>
      </c>
    </row>
    <row r="160" spans="2:11" x14ac:dyDescent="0.45">
      <c r="B160" s="514" t="s">
        <v>76</v>
      </c>
      <c r="C160" s="514" t="s">
        <v>516</v>
      </c>
      <c r="D160" s="534" t="s">
        <v>23</v>
      </c>
      <c r="E160" s="534" t="s">
        <v>26</v>
      </c>
      <c r="F160" s="554" t="s">
        <v>280</v>
      </c>
      <c r="G160" s="542" t="s">
        <v>225</v>
      </c>
      <c r="H160" s="537">
        <v>46064</v>
      </c>
      <c r="I160" s="519">
        <v>988105</v>
      </c>
      <c r="J160" s="522">
        <v>10.8529</v>
      </c>
      <c r="K160" s="543">
        <v>10723804.7545</v>
      </c>
    </row>
    <row r="161" spans="2:11" x14ac:dyDescent="0.45">
      <c r="B161" s="514" t="s">
        <v>76</v>
      </c>
      <c r="C161" s="514" t="s">
        <v>516</v>
      </c>
      <c r="D161" s="534" t="s">
        <v>23</v>
      </c>
      <c r="E161" s="534" t="s">
        <v>26</v>
      </c>
      <c r="F161" s="554" t="s">
        <v>280</v>
      </c>
      <c r="G161" s="542" t="s">
        <v>225</v>
      </c>
      <c r="H161" s="537">
        <v>46090</v>
      </c>
      <c r="I161" s="519">
        <v>886750</v>
      </c>
      <c r="J161" s="522">
        <v>10.9024</v>
      </c>
      <c r="K161" s="543">
        <v>9667703.1999999993</v>
      </c>
    </row>
    <row r="162" spans="2:11" x14ac:dyDescent="0.45">
      <c r="B162" s="514" t="s">
        <v>76</v>
      </c>
      <c r="C162" s="514" t="s">
        <v>516</v>
      </c>
      <c r="D162" s="534" t="s">
        <v>23</v>
      </c>
      <c r="E162" s="534" t="s">
        <v>26</v>
      </c>
      <c r="F162" s="554" t="s">
        <v>280</v>
      </c>
      <c r="G162" s="542" t="s">
        <v>225</v>
      </c>
      <c r="H162" s="537">
        <v>46091</v>
      </c>
      <c r="I162" s="519">
        <v>5195835.63</v>
      </c>
      <c r="J162" s="522">
        <v>10.895200000000001</v>
      </c>
      <c r="K162" s="543">
        <v>56609668.355976</v>
      </c>
    </row>
    <row r="163" spans="2:11" x14ac:dyDescent="0.45">
      <c r="B163" s="514" t="s">
        <v>76</v>
      </c>
      <c r="C163" s="514" t="s">
        <v>516</v>
      </c>
      <c r="D163" s="534" t="s">
        <v>23</v>
      </c>
      <c r="E163" s="534" t="s">
        <v>26</v>
      </c>
      <c r="F163" s="554" t="s">
        <v>280</v>
      </c>
      <c r="G163" s="542" t="s">
        <v>225</v>
      </c>
      <c r="H163" s="537">
        <v>46105</v>
      </c>
      <c r="I163" s="519">
        <v>2348963</v>
      </c>
      <c r="J163" s="522">
        <v>10.937099999999999</v>
      </c>
      <c r="K163" s="543">
        <v>25690843.227299999</v>
      </c>
    </row>
    <row r="164" spans="2:11" x14ac:dyDescent="0.45">
      <c r="B164" s="514" t="s">
        <v>76</v>
      </c>
      <c r="C164" s="514" t="s">
        <v>516</v>
      </c>
      <c r="D164" s="534" t="s">
        <v>23</v>
      </c>
      <c r="E164" s="534" t="s">
        <v>26</v>
      </c>
      <c r="F164" s="554" t="s">
        <v>280</v>
      </c>
      <c r="G164" s="542" t="s">
        <v>225</v>
      </c>
      <c r="H164" s="537">
        <v>46105</v>
      </c>
      <c r="I164" s="519">
        <v>1865952</v>
      </c>
      <c r="J164" s="522">
        <v>10.937099999999999</v>
      </c>
      <c r="K164" s="543">
        <v>20408103.619199999</v>
      </c>
    </row>
    <row r="165" spans="2:11" x14ac:dyDescent="0.45">
      <c r="B165" s="514" t="s">
        <v>76</v>
      </c>
      <c r="C165" s="514" t="s">
        <v>516</v>
      </c>
      <c r="D165" s="534" t="s">
        <v>23</v>
      </c>
      <c r="E165" s="534" t="s">
        <v>26</v>
      </c>
      <c r="F165" s="554" t="s">
        <v>280</v>
      </c>
      <c r="G165" s="542" t="s">
        <v>225</v>
      </c>
      <c r="H165" s="537">
        <v>46132</v>
      </c>
      <c r="I165" s="519">
        <v>1364800</v>
      </c>
      <c r="J165" s="522">
        <v>11.0025</v>
      </c>
      <c r="K165" s="543">
        <v>15016212</v>
      </c>
    </row>
    <row r="166" spans="2:11" x14ac:dyDescent="0.45">
      <c r="B166" s="514" t="s">
        <v>76</v>
      </c>
      <c r="C166" s="514" t="s">
        <v>516</v>
      </c>
      <c r="D166" s="534" t="s">
        <v>23</v>
      </c>
      <c r="E166" s="534" t="s">
        <v>26</v>
      </c>
      <c r="F166" s="554" t="s">
        <v>280</v>
      </c>
      <c r="G166" s="542" t="s">
        <v>225</v>
      </c>
      <c r="H166" s="537">
        <v>46133</v>
      </c>
      <c r="I166" s="519">
        <v>2840520</v>
      </c>
      <c r="J166" s="522">
        <v>10.9948</v>
      </c>
      <c r="K166" s="543">
        <v>31230949.296</v>
      </c>
    </row>
    <row r="167" spans="2:11" x14ac:dyDescent="0.45">
      <c r="B167" s="514" t="s">
        <v>76</v>
      </c>
      <c r="C167" s="514" t="s">
        <v>516</v>
      </c>
      <c r="D167" s="534" t="s">
        <v>23</v>
      </c>
      <c r="E167" s="534" t="s">
        <v>26</v>
      </c>
      <c r="F167" s="554" t="s">
        <v>280</v>
      </c>
      <c r="G167" s="542" t="s">
        <v>225</v>
      </c>
      <c r="H167" s="537">
        <v>46140</v>
      </c>
      <c r="I167" s="519">
        <v>2841600</v>
      </c>
      <c r="J167" s="522">
        <v>11.001200000000001</v>
      </c>
      <c r="K167" s="543">
        <v>31261009.920000002</v>
      </c>
    </row>
    <row r="168" spans="2:11" x14ac:dyDescent="0.45">
      <c r="B168" s="514" t="s">
        <v>76</v>
      </c>
      <c r="C168" s="514" t="s">
        <v>516</v>
      </c>
      <c r="D168" s="534" t="s">
        <v>23</v>
      </c>
      <c r="E168" s="534" t="s">
        <v>26</v>
      </c>
      <c r="F168" s="554" t="s">
        <v>280</v>
      </c>
      <c r="G168" s="542" t="s">
        <v>225</v>
      </c>
      <c r="H168" s="537">
        <v>46147</v>
      </c>
      <c r="I168" s="519">
        <v>2838225</v>
      </c>
      <c r="J168" s="522">
        <v>11.0139</v>
      </c>
      <c r="K168" s="543">
        <v>31259926.327500001</v>
      </c>
    </row>
    <row r="169" spans="2:11" x14ac:dyDescent="0.45">
      <c r="B169" s="514" t="s">
        <v>76</v>
      </c>
      <c r="C169" s="514" t="s">
        <v>516</v>
      </c>
      <c r="D169" s="534" t="s">
        <v>23</v>
      </c>
      <c r="E169" s="534" t="s">
        <v>26</v>
      </c>
      <c r="F169" s="554" t="s">
        <v>280</v>
      </c>
      <c r="G169" s="542" t="s">
        <v>225</v>
      </c>
      <c r="H169" s="537">
        <v>46154</v>
      </c>
      <c r="I169" s="519">
        <v>2834827.0980000002</v>
      </c>
      <c r="J169" s="522">
        <v>11.025499999999999</v>
      </c>
      <c r="K169" s="543">
        <v>31255386.168999001</v>
      </c>
    </row>
    <row r="170" spans="2:11" x14ac:dyDescent="0.45">
      <c r="B170" s="514" t="s">
        <v>76</v>
      </c>
      <c r="C170" s="514" t="s">
        <v>516</v>
      </c>
      <c r="D170" s="534" t="s">
        <v>23</v>
      </c>
      <c r="E170" s="534" t="s">
        <v>26</v>
      </c>
      <c r="F170" s="554" t="s">
        <v>280</v>
      </c>
      <c r="G170" s="542" t="s">
        <v>225</v>
      </c>
      <c r="H170" s="537">
        <v>46161</v>
      </c>
      <c r="I170" s="519">
        <v>2829565.1069999998</v>
      </c>
      <c r="J170" s="522">
        <v>11.042899999999999</v>
      </c>
      <c r="K170" s="543">
        <v>31246604.520090297</v>
      </c>
    </row>
    <row r="171" spans="2:11" x14ac:dyDescent="0.45">
      <c r="B171" s="514" t="s">
        <v>76</v>
      </c>
      <c r="C171" s="514" t="s">
        <v>516</v>
      </c>
      <c r="D171" s="534" t="s">
        <v>23</v>
      </c>
      <c r="E171" s="534" t="s">
        <v>26</v>
      </c>
      <c r="F171" s="554" t="s">
        <v>280</v>
      </c>
      <c r="G171" s="542" t="s">
        <v>224</v>
      </c>
      <c r="H171" s="537">
        <v>46162</v>
      </c>
      <c r="I171" s="519">
        <v>16308407.445</v>
      </c>
      <c r="J171" s="522">
        <v>11.0367</v>
      </c>
      <c r="K171" s="543">
        <v>-179991000.44823149</v>
      </c>
    </row>
    <row r="172" spans="2:11" x14ac:dyDescent="0.45">
      <c r="B172" s="514" t="s">
        <v>76</v>
      </c>
      <c r="C172" s="514" t="s">
        <v>516</v>
      </c>
      <c r="D172" s="534" t="s">
        <v>23</v>
      </c>
      <c r="E172" s="534" t="s">
        <v>26</v>
      </c>
      <c r="F172" s="554" t="s">
        <v>280</v>
      </c>
      <c r="G172" s="542" t="s">
        <v>225</v>
      </c>
      <c r="H172" s="537">
        <v>46168</v>
      </c>
      <c r="I172" s="519">
        <v>2830795.4309999999</v>
      </c>
      <c r="J172" s="522">
        <v>11.0434</v>
      </c>
      <c r="K172" s="543">
        <v>31261606.262705401</v>
      </c>
    </row>
    <row r="173" spans="2:11" x14ac:dyDescent="0.45">
      <c r="B173" s="514" t="s">
        <v>76</v>
      </c>
      <c r="C173" s="514" t="s">
        <v>516</v>
      </c>
      <c r="D173" s="534" t="s">
        <v>23</v>
      </c>
      <c r="E173" s="534" t="s">
        <v>26</v>
      </c>
      <c r="F173" s="554" t="s">
        <v>280</v>
      </c>
      <c r="G173" s="542" t="s">
        <v>225</v>
      </c>
      <c r="H173" s="537">
        <v>46175</v>
      </c>
      <c r="I173" s="519">
        <v>2827823.9780000001</v>
      </c>
      <c r="J173" s="522">
        <v>11.0403</v>
      </c>
      <c r="K173" s="543">
        <v>31220025.064313401</v>
      </c>
    </row>
    <row r="174" spans="2:11" x14ac:dyDescent="0.45">
      <c r="B174" s="514" t="s">
        <v>76</v>
      </c>
      <c r="C174" s="514" t="s">
        <v>516</v>
      </c>
      <c r="D174" s="534" t="s">
        <v>23</v>
      </c>
      <c r="E174" s="534" t="s">
        <v>26</v>
      </c>
      <c r="F174" s="554" t="s">
        <v>280</v>
      </c>
      <c r="G174" s="542" t="s">
        <v>225</v>
      </c>
      <c r="H174" s="537">
        <v>46182</v>
      </c>
      <c r="I174" s="519">
        <v>1691764.939</v>
      </c>
      <c r="J174" s="522">
        <v>11.0664</v>
      </c>
      <c r="K174" s="543">
        <v>18721747.520949598</v>
      </c>
    </row>
    <row r="175" spans="2:11" x14ac:dyDescent="0.45">
      <c r="B175" s="514" t="s">
        <v>76</v>
      </c>
      <c r="C175" s="514" t="s">
        <v>516</v>
      </c>
      <c r="D175" s="534" t="s">
        <v>23</v>
      </c>
      <c r="E175" s="534" t="s">
        <v>26</v>
      </c>
      <c r="F175" s="554" t="s">
        <v>280</v>
      </c>
      <c r="G175" s="542" t="s">
        <v>225</v>
      </c>
      <c r="H175" s="537">
        <v>46189</v>
      </c>
      <c r="I175" s="519">
        <v>1690224.642</v>
      </c>
      <c r="J175" s="522">
        <v>11.0977</v>
      </c>
      <c r="K175" s="543">
        <v>18757606.009523399</v>
      </c>
    </row>
    <row r="176" spans="2:11" x14ac:dyDescent="0.45">
      <c r="B176" s="514" t="s">
        <v>76</v>
      </c>
      <c r="C176" s="514" t="s">
        <v>516</v>
      </c>
      <c r="D176" s="534" t="s">
        <v>23</v>
      </c>
      <c r="E176" s="534" t="s">
        <v>26</v>
      </c>
      <c r="F176" s="554" t="s">
        <v>280</v>
      </c>
      <c r="G176" s="542" t="s">
        <v>225</v>
      </c>
      <c r="H176" s="537">
        <v>46196</v>
      </c>
      <c r="I176" s="519">
        <v>1687182.81</v>
      </c>
      <c r="J176" s="522">
        <v>11.120200000000001</v>
      </c>
      <c r="K176" s="543">
        <v>18761810.283762001</v>
      </c>
    </row>
    <row r="177" spans="2:11" x14ac:dyDescent="0.45">
      <c r="B177" s="514" t="s">
        <v>76</v>
      </c>
      <c r="C177" s="514" t="s">
        <v>516</v>
      </c>
      <c r="D177" s="534" t="s">
        <v>23</v>
      </c>
      <c r="E177" s="534" t="s">
        <v>26</v>
      </c>
      <c r="F177" s="554" t="s">
        <v>280</v>
      </c>
      <c r="G177" s="542" t="s">
        <v>225</v>
      </c>
      <c r="H177" s="537">
        <v>46203</v>
      </c>
      <c r="I177" s="519">
        <v>1686636.442</v>
      </c>
      <c r="J177" s="522">
        <v>11.114599999999999</v>
      </c>
      <c r="K177" s="543">
        <v>18746289.398253199</v>
      </c>
    </row>
    <row r="178" spans="2:11" x14ac:dyDescent="0.45">
      <c r="B178" s="514" t="s">
        <v>76</v>
      </c>
      <c r="C178" s="514" t="s">
        <v>516</v>
      </c>
      <c r="D178" s="534" t="s">
        <v>23</v>
      </c>
      <c r="E178" s="534" t="s">
        <v>26</v>
      </c>
      <c r="F178" s="554" t="s">
        <v>280</v>
      </c>
      <c r="G178" s="542" t="s">
        <v>517</v>
      </c>
      <c r="H178" s="537">
        <v>46203</v>
      </c>
      <c r="I178" s="519">
        <v>28067435.367999993</v>
      </c>
      <c r="J178" s="522">
        <v>11.114599999999999</v>
      </c>
      <c r="K178" s="543">
        <v>311958317.14117271</v>
      </c>
    </row>
    <row r="179" spans="2:11" x14ac:dyDescent="0.45">
      <c r="B179" s="520" t="s">
        <v>76</v>
      </c>
      <c r="C179" s="520" t="s">
        <v>516</v>
      </c>
      <c r="D179" s="534" t="s">
        <v>23</v>
      </c>
      <c r="E179" s="534" t="s">
        <v>164</v>
      </c>
      <c r="F179" s="554" t="s">
        <v>166</v>
      </c>
      <c r="G179" s="554" t="s">
        <v>224</v>
      </c>
      <c r="H179" s="537">
        <v>45203</v>
      </c>
      <c r="I179" s="519">
        <v>25000</v>
      </c>
      <c r="J179" s="522">
        <v>100</v>
      </c>
      <c r="K179" s="556">
        <v>-2500000</v>
      </c>
    </row>
    <row r="180" spans="2:11" x14ac:dyDescent="0.45">
      <c r="B180" s="520" t="s">
        <v>76</v>
      </c>
      <c r="C180" s="520" t="s">
        <v>516</v>
      </c>
      <c r="D180" s="534" t="s">
        <v>23</v>
      </c>
      <c r="E180" s="534" t="s">
        <v>164</v>
      </c>
      <c r="F180" s="554" t="s">
        <v>166</v>
      </c>
      <c r="G180" s="554" t="s">
        <v>224</v>
      </c>
      <c r="H180" s="537">
        <v>45223</v>
      </c>
      <c r="I180" s="519">
        <v>75000</v>
      </c>
      <c r="J180" s="522">
        <v>100</v>
      </c>
      <c r="K180" s="556">
        <v>-7500000</v>
      </c>
    </row>
    <row r="181" spans="2:11" x14ac:dyDescent="0.45">
      <c r="B181" s="520" t="s">
        <v>76</v>
      </c>
      <c r="C181" s="520" t="s">
        <v>516</v>
      </c>
      <c r="D181" s="534" t="s">
        <v>23</v>
      </c>
      <c r="E181" s="534" t="s">
        <v>164</v>
      </c>
      <c r="F181" s="554" t="s">
        <v>166</v>
      </c>
      <c r="G181" s="554" t="s">
        <v>224</v>
      </c>
      <c r="H181" s="537">
        <v>45348</v>
      </c>
      <c r="I181" s="519">
        <v>100000</v>
      </c>
      <c r="J181" s="522">
        <v>100</v>
      </c>
      <c r="K181" s="556">
        <v>-10000000</v>
      </c>
    </row>
    <row r="182" spans="2:11" x14ac:dyDescent="0.45">
      <c r="B182" s="520" t="s">
        <v>76</v>
      </c>
      <c r="C182" s="520" t="s">
        <v>516</v>
      </c>
      <c r="D182" s="534" t="s">
        <v>23</v>
      </c>
      <c r="E182" s="534" t="s">
        <v>164</v>
      </c>
      <c r="F182" s="554" t="s">
        <v>166</v>
      </c>
      <c r="G182" s="554" t="s">
        <v>519</v>
      </c>
      <c r="H182" s="537">
        <v>45456</v>
      </c>
      <c r="I182" s="519"/>
      <c r="J182" s="522"/>
      <c r="K182" s="556">
        <v>120149</v>
      </c>
    </row>
    <row r="183" spans="2:11" x14ac:dyDescent="0.45">
      <c r="B183" s="520" t="s">
        <v>76</v>
      </c>
      <c r="C183" s="520" t="s">
        <v>516</v>
      </c>
      <c r="D183" s="534" t="s">
        <v>23</v>
      </c>
      <c r="E183" s="534" t="s">
        <v>164</v>
      </c>
      <c r="F183" s="554" t="s">
        <v>166</v>
      </c>
      <c r="G183" s="554" t="s">
        <v>519</v>
      </c>
      <c r="H183" s="537">
        <v>45456</v>
      </c>
      <c r="I183" s="519"/>
      <c r="J183" s="522"/>
      <c r="K183" s="556">
        <v>123033</v>
      </c>
    </row>
    <row r="184" spans="2:11" x14ac:dyDescent="0.45">
      <c r="B184" s="520" t="s">
        <v>76</v>
      </c>
      <c r="C184" s="520" t="s">
        <v>516</v>
      </c>
      <c r="D184" s="534" t="s">
        <v>23</v>
      </c>
      <c r="E184" s="534" t="s">
        <v>164</v>
      </c>
      <c r="F184" s="554" t="s">
        <v>166</v>
      </c>
      <c r="G184" s="554" t="s">
        <v>519</v>
      </c>
      <c r="H184" s="537">
        <v>45534</v>
      </c>
      <c r="I184" s="519"/>
      <c r="J184" s="522"/>
      <c r="K184" s="556">
        <v>242079</v>
      </c>
    </row>
    <row r="185" spans="2:11" x14ac:dyDescent="0.45">
      <c r="B185" s="520" t="s">
        <v>76</v>
      </c>
      <c r="C185" s="520" t="s">
        <v>516</v>
      </c>
      <c r="D185" s="534" t="s">
        <v>23</v>
      </c>
      <c r="E185" s="534" t="s">
        <v>164</v>
      </c>
      <c r="F185" s="554" t="s">
        <v>166</v>
      </c>
      <c r="G185" s="554" t="s">
        <v>519</v>
      </c>
      <c r="H185" s="537">
        <v>45534</v>
      </c>
      <c r="I185" s="519"/>
      <c r="J185" s="522"/>
      <c r="K185" s="556">
        <v>733</v>
      </c>
    </row>
    <row r="186" spans="2:11" x14ac:dyDescent="0.45">
      <c r="B186" s="520" t="s">
        <v>76</v>
      </c>
      <c r="C186" s="520" t="s">
        <v>516</v>
      </c>
      <c r="D186" s="534" t="s">
        <v>23</v>
      </c>
      <c r="E186" s="534" t="s">
        <v>164</v>
      </c>
      <c r="F186" s="554" t="s">
        <v>166</v>
      </c>
      <c r="G186" s="554" t="s">
        <v>519</v>
      </c>
      <c r="H186" s="537">
        <v>45534</v>
      </c>
      <c r="I186" s="519"/>
      <c r="J186" s="522"/>
      <c r="K186" s="556">
        <v>186952</v>
      </c>
    </row>
    <row r="187" spans="2:11" x14ac:dyDescent="0.45">
      <c r="B187" s="520" t="s">
        <v>76</v>
      </c>
      <c r="C187" s="520" t="s">
        <v>516</v>
      </c>
      <c r="D187" s="534" t="s">
        <v>23</v>
      </c>
      <c r="E187" s="534" t="s">
        <v>164</v>
      </c>
      <c r="F187" s="554" t="s">
        <v>166</v>
      </c>
      <c r="G187" s="554" t="s">
        <v>519</v>
      </c>
      <c r="H187" s="537">
        <v>45625</v>
      </c>
      <c r="I187" s="519"/>
      <c r="J187" s="522"/>
      <c r="K187" s="556">
        <v>1937</v>
      </c>
    </row>
    <row r="188" spans="2:11" x14ac:dyDescent="0.45">
      <c r="B188" s="520" t="s">
        <v>76</v>
      </c>
      <c r="C188" s="520" t="s">
        <v>516</v>
      </c>
      <c r="D188" s="534" t="s">
        <v>23</v>
      </c>
      <c r="E188" s="534" t="s">
        <v>164</v>
      </c>
      <c r="F188" s="554" t="s">
        <v>166</v>
      </c>
      <c r="G188" s="554" t="s">
        <v>519</v>
      </c>
      <c r="H188" s="537">
        <v>45625</v>
      </c>
      <c r="I188" s="519"/>
      <c r="J188" s="522"/>
      <c r="K188" s="556">
        <v>180447</v>
      </c>
    </row>
    <row r="189" spans="2:11" x14ac:dyDescent="0.45">
      <c r="B189" s="520" t="s">
        <v>76</v>
      </c>
      <c r="C189" s="520" t="s">
        <v>516</v>
      </c>
      <c r="D189" s="534" t="s">
        <v>23</v>
      </c>
      <c r="E189" s="534" t="s">
        <v>164</v>
      </c>
      <c r="F189" s="554" t="s">
        <v>166</v>
      </c>
      <c r="G189" s="554" t="s">
        <v>519</v>
      </c>
      <c r="H189" s="537">
        <v>45625</v>
      </c>
      <c r="I189" s="519"/>
      <c r="J189" s="522"/>
      <c r="K189" s="556">
        <v>139843</v>
      </c>
    </row>
    <row r="190" spans="2:11" x14ac:dyDescent="0.45">
      <c r="B190" s="520" t="s">
        <v>76</v>
      </c>
      <c r="C190" s="520" t="s">
        <v>516</v>
      </c>
      <c r="D190" s="534" t="s">
        <v>23</v>
      </c>
      <c r="E190" s="534" t="s">
        <v>164</v>
      </c>
      <c r="F190" s="554" t="s">
        <v>166</v>
      </c>
      <c r="G190" s="554" t="s">
        <v>519</v>
      </c>
      <c r="H190" s="537">
        <v>45741</v>
      </c>
      <c r="I190" s="519"/>
      <c r="J190" s="522"/>
      <c r="K190" s="556">
        <v>15921</v>
      </c>
    </row>
    <row r="191" spans="2:11" x14ac:dyDescent="0.45">
      <c r="B191" s="520" t="s">
        <v>76</v>
      </c>
      <c r="C191" s="520" t="s">
        <v>516</v>
      </c>
      <c r="D191" s="534" t="s">
        <v>23</v>
      </c>
      <c r="E191" s="534" t="s">
        <v>164</v>
      </c>
      <c r="F191" s="554" t="s">
        <v>166</v>
      </c>
      <c r="G191" s="554" t="s">
        <v>519</v>
      </c>
      <c r="H191" s="537">
        <v>45741</v>
      </c>
      <c r="I191" s="519"/>
      <c r="J191" s="522"/>
      <c r="K191" s="556">
        <v>409033</v>
      </c>
    </row>
    <row r="192" spans="2:11" x14ac:dyDescent="0.45">
      <c r="B192" s="520" t="s">
        <v>76</v>
      </c>
      <c r="C192" s="520" t="s">
        <v>516</v>
      </c>
      <c r="D192" s="534" t="s">
        <v>23</v>
      </c>
      <c r="E192" s="534" t="s">
        <v>164</v>
      </c>
      <c r="F192" s="554" t="s">
        <v>166</v>
      </c>
      <c r="G192" s="554" t="s">
        <v>519</v>
      </c>
      <c r="H192" s="537">
        <v>45741</v>
      </c>
      <c r="I192" s="519"/>
      <c r="J192" s="522"/>
      <c r="K192" s="556">
        <v>204822</v>
      </c>
    </row>
    <row r="193" spans="2:11" x14ac:dyDescent="0.45">
      <c r="B193" s="520" t="s">
        <v>76</v>
      </c>
      <c r="C193" s="520" t="s">
        <v>516</v>
      </c>
      <c r="D193" s="534" t="s">
        <v>23</v>
      </c>
      <c r="E193" s="534" t="s">
        <v>164</v>
      </c>
      <c r="F193" s="554" t="s">
        <v>166</v>
      </c>
      <c r="G193" s="554" t="s">
        <v>519</v>
      </c>
      <c r="H193" s="537">
        <v>45817</v>
      </c>
      <c r="I193" s="519"/>
      <c r="J193" s="522"/>
      <c r="K193" s="556">
        <v>14748</v>
      </c>
    </row>
    <row r="194" spans="2:11" x14ac:dyDescent="0.45">
      <c r="B194" s="520" t="s">
        <v>76</v>
      </c>
      <c r="C194" s="520" t="s">
        <v>516</v>
      </c>
      <c r="D194" s="534" t="s">
        <v>23</v>
      </c>
      <c r="E194" s="534" t="s">
        <v>164</v>
      </c>
      <c r="F194" s="554" t="s">
        <v>166</v>
      </c>
      <c r="G194" s="554" t="s">
        <v>519</v>
      </c>
      <c r="H194" s="537">
        <v>45817</v>
      </c>
      <c r="I194" s="519"/>
      <c r="J194" s="522"/>
      <c r="K194" s="556">
        <v>160511</v>
      </c>
    </row>
    <row r="195" spans="2:11" x14ac:dyDescent="0.45">
      <c r="B195" s="520" t="s">
        <v>76</v>
      </c>
      <c r="C195" s="520" t="s">
        <v>516</v>
      </c>
      <c r="D195" s="534" t="s">
        <v>23</v>
      </c>
      <c r="E195" s="534" t="s">
        <v>164</v>
      </c>
      <c r="F195" s="554" t="s">
        <v>166</v>
      </c>
      <c r="G195" s="554" t="s">
        <v>519</v>
      </c>
      <c r="H195" s="537">
        <v>45817</v>
      </c>
      <c r="I195" s="519"/>
      <c r="J195" s="522"/>
      <c r="K195" s="556">
        <v>139870</v>
      </c>
    </row>
    <row r="196" spans="2:11" x14ac:dyDescent="0.45">
      <c r="B196" s="520" t="s">
        <v>76</v>
      </c>
      <c r="C196" s="520" t="s">
        <v>516</v>
      </c>
      <c r="D196" s="534" t="s">
        <v>23</v>
      </c>
      <c r="E196" s="534" t="s">
        <v>164</v>
      </c>
      <c r="F196" s="554" t="s">
        <v>166</v>
      </c>
      <c r="G196" s="554" t="s">
        <v>519</v>
      </c>
      <c r="H196" s="537">
        <v>45898</v>
      </c>
      <c r="I196" s="519"/>
      <c r="J196" s="522"/>
      <c r="K196" s="556">
        <v>126154</v>
      </c>
    </row>
    <row r="197" spans="2:11" x14ac:dyDescent="0.45">
      <c r="B197" s="520" t="s">
        <v>76</v>
      </c>
      <c r="C197" s="520" t="s">
        <v>516</v>
      </c>
      <c r="D197" s="534" t="s">
        <v>23</v>
      </c>
      <c r="E197" s="534" t="s">
        <v>164</v>
      </c>
      <c r="F197" s="554" t="s">
        <v>166</v>
      </c>
      <c r="G197" s="554" t="s">
        <v>519</v>
      </c>
      <c r="H197" s="537">
        <v>45898</v>
      </c>
      <c r="I197" s="519"/>
      <c r="J197" s="522"/>
      <c r="K197" s="556">
        <v>182570</v>
      </c>
    </row>
    <row r="198" spans="2:11" x14ac:dyDescent="0.45">
      <c r="B198" s="520" t="s">
        <v>76</v>
      </c>
      <c r="C198" s="520" t="s">
        <v>516</v>
      </c>
      <c r="D198" s="534" t="s">
        <v>23</v>
      </c>
      <c r="E198" s="534" t="s">
        <v>164</v>
      </c>
      <c r="F198" s="554" t="s">
        <v>166</v>
      </c>
      <c r="G198" s="554" t="s">
        <v>224</v>
      </c>
      <c r="H198" s="537">
        <v>45925</v>
      </c>
      <c r="I198" s="519">
        <v>75000</v>
      </c>
      <c r="J198" s="522"/>
      <c r="K198" s="556">
        <v>-7500000</v>
      </c>
    </row>
    <row r="199" spans="2:11" x14ac:dyDescent="0.45">
      <c r="B199" s="520" t="s">
        <v>76</v>
      </c>
      <c r="C199" s="520" t="s">
        <v>516</v>
      </c>
      <c r="D199" s="534" t="s">
        <v>23</v>
      </c>
      <c r="E199" s="534" t="s">
        <v>164</v>
      </c>
      <c r="F199" s="554" t="s">
        <v>166</v>
      </c>
      <c r="G199" s="554" t="s">
        <v>519</v>
      </c>
      <c r="H199" s="537">
        <v>46027</v>
      </c>
      <c r="I199" s="519"/>
      <c r="J199" s="522"/>
      <c r="K199" s="541">
        <v>987995</v>
      </c>
    </row>
    <row r="200" spans="2:11" x14ac:dyDescent="0.45">
      <c r="B200" s="520" t="s">
        <v>76</v>
      </c>
      <c r="C200" s="520" t="s">
        <v>516</v>
      </c>
      <c r="D200" s="534" t="s">
        <v>23</v>
      </c>
      <c r="E200" s="534" t="s">
        <v>164</v>
      </c>
      <c r="F200" s="554" t="s">
        <v>166</v>
      </c>
      <c r="G200" s="554" t="s">
        <v>225</v>
      </c>
      <c r="H200" s="537">
        <v>46027</v>
      </c>
      <c r="I200" s="519">
        <v>14162.8</v>
      </c>
      <c r="J200" s="522"/>
      <c r="K200" s="541">
        <v>1416280</v>
      </c>
    </row>
    <row r="201" spans="2:11" x14ac:dyDescent="0.45">
      <c r="B201" s="520" t="s">
        <v>76</v>
      </c>
      <c r="C201" s="520" t="s">
        <v>516</v>
      </c>
      <c r="D201" s="534" t="s">
        <v>23</v>
      </c>
      <c r="E201" s="534" t="s">
        <v>164</v>
      </c>
      <c r="F201" s="554" t="s">
        <v>166</v>
      </c>
      <c r="G201" s="554" t="s">
        <v>224</v>
      </c>
      <c r="H201" s="537">
        <v>46058</v>
      </c>
      <c r="I201" s="519">
        <v>75000</v>
      </c>
      <c r="J201" s="522"/>
      <c r="K201" s="556">
        <v>-7500000</v>
      </c>
    </row>
    <row r="202" spans="2:11" x14ac:dyDescent="0.45">
      <c r="B202" s="520" t="s">
        <v>76</v>
      </c>
      <c r="C202" s="520" t="s">
        <v>516</v>
      </c>
      <c r="D202" s="534" t="s">
        <v>23</v>
      </c>
      <c r="E202" s="534" t="s">
        <v>164</v>
      </c>
      <c r="F202" s="554" t="s">
        <v>166</v>
      </c>
      <c r="G202" s="554" t="s">
        <v>519</v>
      </c>
      <c r="H202" s="537">
        <v>46111</v>
      </c>
      <c r="I202" s="519"/>
      <c r="J202" s="522"/>
      <c r="K202" s="556">
        <v>356141</v>
      </c>
    </row>
    <row r="203" spans="2:11" x14ac:dyDescent="0.45">
      <c r="B203" s="520" t="s">
        <v>76</v>
      </c>
      <c r="C203" s="514" t="s">
        <v>516</v>
      </c>
      <c r="D203" s="534" t="s">
        <v>23</v>
      </c>
      <c r="E203" s="534" t="s">
        <v>164</v>
      </c>
      <c r="F203" s="535" t="s">
        <v>166</v>
      </c>
      <c r="G203" s="542" t="s">
        <v>517</v>
      </c>
      <c r="H203" s="537">
        <v>46112</v>
      </c>
      <c r="I203" s="519">
        <v>335837</v>
      </c>
      <c r="J203" s="522">
        <v>112.21</v>
      </c>
      <c r="K203" s="543">
        <v>37684269.769999996</v>
      </c>
    </row>
    <row r="204" spans="2:11" x14ac:dyDescent="0.45">
      <c r="B204" s="514" t="s">
        <v>78</v>
      </c>
      <c r="C204" s="514" t="s">
        <v>521</v>
      </c>
      <c r="D204" s="534" t="s">
        <v>23</v>
      </c>
      <c r="E204" s="534" t="s">
        <v>25</v>
      </c>
      <c r="F204" s="97" t="s">
        <v>50</v>
      </c>
      <c r="G204" s="536" t="s">
        <v>224</v>
      </c>
      <c r="H204" s="537">
        <v>44095</v>
      </c>
      <c r="I204" s="519"/>
      <c r="J204" s="522"/>
      <c r="K204" s="538">
        <v>-1000000</v>
      </c>
    </row>
    <row r="205" spans="2:11" x14ac:dyDescent="0.45">
      <c r="B205" s="514" t="s">
        <v>78</v>
      </c>
      <c r="C205" s="514" t="s">
        <v>521</v>
      </c>
      <c r="D205" s="534" t="s">
        <v>23</v>
      </c>
      <c r="E205" s="534" t="s">
        <v>25</v>
      </c>
      <c r="F205" s="97" t="s">
        <v>50</v>
      </c>
      <c r="G205" s="536" t="s">
        <v>224</v>
      </c>
      <c r="H205" s="537">
        <v>44104</v>
      </c>
      <c r="I205" s="519"/>
      <c r="J205" s="522"/>
      <c r="K205" s="538">
        <v>-1000000</v>
      </c>
    </row>
    <row r="206" spans="2:11" x14ac:dyDescent="0.45">
      <c r="B206" s="514" t="s">
        <v>78</v>
      </c>
      <c r="C206" s="514" t="s">
        <v>521</v>
      </c>
      <c r="D206" s="534" t="s">
        <v>23</v>
      </c>
      <c r="E206" s="534" t="s">
        <v>25</v>
      </c>
      <c r="F206" s="97" t="s">
        <v>50</v>
      </c>
      <c r="G206" s="536" t="s">
        <v>224</v>
      </c>
      <c r="H206" s="537">
        <v>45373</v>
      </c>
      <c r="I206" s="519"/>
      <c r="J206" s="522"/>
      <c r="K206" s="538">
        <v>-5000149.8</v>
      </c>
    </row>
    <row r="207" spans="2:11" x14ac:dyDescent="0.45">
      <c r="B207" s="514" t="s">
        <v>78</v>
      </c>
      <c r="C207" s="514" t="s">
        <v>521</v>
      </c>
      <c r="D207" s="534" t="s">
        <v>23</v>
      </c>
      <c r="E207" s="534" t="s">
        <v>25</v>
      </c>
      <c r="F207" s="97" t="s">
        <v>50</v>
      </c>
      <c r="G207" s="536" t="s">
        <v>517</v>
      </c>
      <c r="H207" s="537">
        <v>46203</v>
      </c>
      <c r="I207" s="519"/>
      <c r="J207" s="522"/>
      <c r="K207" s="538">
        <v>10434584.457808219</v>
      </c>
    </row>
    <row r="208" spans="2:11" x14ac:dyDescent="0.45">
      <c r="B208" s="514" t="s">
        <v>76</v>
      </c>
      <c r="C208" s="514" t="s">
        <v>516</v>
      </c>
      <c r="D208" s="534" t="s">
        <v>33</v>
      </c>
      <c r="E208" s="534" t="s">
        <v>14</v>
      </c>
      <c r="F208" s="554" t="s">
        <v>42</v>
      </c>
      <c r="G208" s="542" t="s">
        <v>224</v>
      </c>
      <c r="H208" s="537">
        <v>44889</v>
      </c>
      <c r="I208" s="519">
        <v>6750</v>
      </c>
      <c r="J208" s="522">
        <v>736.14</v>
      </c>
      <c r="K208" s="543">
        <v>-4968945</v>
      </c>
    </row>
    <row r="209" spans="2:11" x14ac:dyDescent="0.45">
      <c r="B209" s="514" t="s">
        <v>76</v>
      </c>
      <c r="C209" s="514" t="s">
        <v>516</v>
      </c>
      <c r="D209" s="534" t="s">
        <v>33</v>
      </c>
      <c r="E209" s="534" t="s">
        <v>14</v>
      </c>
      <c r="F209" s="554" t="s">
        <v>42</v>
      </c>
      <c r="G209" s="542" t="s">
        <v>224</v>
      </c>
      <c r="H209" s="537">
        <v>46000</v>
      </c>
      <c r="I209" s="519">
        <v>2400</v>
      </c>
      <c r="J209" s="522">
        <v>4161.17</v>
      </c>
      <c r="K209" s="543">
        <v>-9986808</v>
      </c>
    </row>
    <row r="210" spans="2:11" x14ac:dyDescent="0.45">
      <c r="B210" s="514" t="s">
        <v>76</v>
      </c>
      <c r="C210" s="514" t="s">
        <v>516</v>
      </c>
      <c r="D210" s="534" t="s">
        <v>33</v>
      </c>
      <c r="E210" s="534" t="s">
        <v>14</v>
      </c>
      <c r="F210" s="554" t="s">
        <v>42</v>
      </c>
      <c r="G210" s="542" t="s">
        <v>224</v>
      </c>
      <c r="H210" s="537">
        <v>46001</v>
      </c>
      <c r="I210" s="519">
        <v>2300</v>
      </c>
      <c r="J210" s="522">
        <v>4313.12</v>
      </c>
      <c r="K210" s="543">
        <v>-9920176</v>
      </c>
    </row>
    <row r="211" spans="2:11" x14ac:dyDescent="0.45">
      <c r="B211" s="514" t="s">
        <v>76</v>
      </c>
      <c r="C211" s="514" t="s">
        <v>516</v>
      </c>
      <c r="D211" s="534" t="s">
        <v>33</v>
      </c>
      <c r="E211" s="534" t="s">
        <v>14</v>
      </c>
      <c r="F211" s="554" t="s">
        <v>42</v>
      </c>
      <c r="G211" s="542" t="s">
        <v>224</v>
      </c>
      <c r="H211" s="537">
        <v>46008</v>
      </c>
      <c r="I211" s="519">
        <v>4850</v>
      </c>
      <c r="J211" s="522">
        <v>4117.37</v>
      </c>
      <c r="K211" s="543">
        <v>-19969244.5</v>
      </c>
    </row>
    <row r="212" spans="2:11" x14ac:dyDescent="0.45">
      <c r="B212" s="514" t="s">
        <v>76</v>
      </c>
      <c r="C212" s="514" t="s">
        <v>516</v>
      </c>
      <c r="D212" s="534" t="s">
        <v>33</v>
      </c>
      <c r="E212" s="534" t="s">
        <v>14</v>
      </c>
      <c r="F212" s="554" t="s">
        <v>42</v>
      </c>
      <c r="G212" s="542" t="s">
        <v>517</v>
      </c>
      <c r="H212" s="537">
        <v>46203</v>
      </c>
      <c r="I212" s="519">
        <v>16300</v>
      </c>
      <c r="J212" s="522">
        <v>3122.15</v>
      </c>
      <c r="K212" s="543">
        <v>50891045</v>
      </c>
    </row>
    <row r="213" spans="2:11" x14ac:dyDescent="0.45">
      <c r="B213" s="514" t="s">
        <v>79</v>
      </c>
      <c r="C213" s="514" t="s">
        <v>516</v>
      </c>
      <c r="D213" s="534" t="s">
        <v>33</v>
      </c>
      <c r="E213" s="534" t="s">
        <v>14</v>
      </c>
      <c r="F213" s="535" t="s">
        <v>42</v>
      </c>
      <c r="G213" s="536" t="s">
        <v>224</v>
      </c>
      <c r="H213" s="537">
        <v>44889</v>
      </c>
      <c r="I213" s="519">
        <v>2500</v>
      </c>
      <c r="J213" s="522">
        <v>729.42</v>
      </c>
      <c r="K213" s="538">
        <v>-1823550</v>
      </c>
    </row>
    <row r="214" spans="2:11" x14ac:dyDescent="0.45">
      <c r="B214" s="514" t="s">
        <v>79</v>
      </c>
      <c r="C214" s="514" t="s">
        <v>516</v>
      </c>
      <c r="D214" s="534" t="s">
        <v>33</v>
      </c>
      <c r="E214" s="534" t="s">
        <v>14</v>
      </c>
      <c r="F214" s="535" t="s">
        <v>42</v>
      </c>
      <c r="G214" s="536" t="s">
        <v>224</v>
      </c>
      <c r="H214" s="537">
        <v>46000</v>
      </c>
      <c r="I214" s="519">
        <v>2375</v>
      </c>
      <c r="J214" s="522">
        <v>4163.13</v>
      </c>
      <c r="K214" s="538">
        <v>-9887433.75</v>
      </c>
    </row>
    <row r="215" spans="2:11" x14ac:dyDescent="0.45">
      <c r="B215" s="514" t="s">
        <v>79</v>
      </c>
      <c r="C215" s="514" t="s">
        <v>516</v>
      </c>
      <c r="D215" s="534" t="s">
        <v>33</v>
      </c>
      <c r="E215" s="534" t="s">
        <v>14</v>
      </c>
      <c r="F215" s="535" t="s">
        <v>42</v>
      </c>
      <c r="G215" s="536" t="s">
        <v>517</v>
      </c>
      <c r="H215" s="537">
        <v>46203</v>
      </c>
      <c r="I215" s="519">
        <v>4875</v>
      </c>
      <c r="J215" s="522">
        <v>3122.15</v>
      </c>
      <c r="K215" s="538">
        <v>15220481.25</v>
      </c>
    </row>
    <row r="216" spans="2:11" x14ac:dyDescent="0.45">
      <c r="B216" s="514" t="s">
        <v>76</v>
      </c>
      <c r="C216" s="514" t="s">
        <v>516</v>
      </c>
      <c r="D216" s="534" t="s">
        <v>33</v>
      </c>
      <c r="E216" s="534" t="s">
        <v>14</v>
      </c>
      <c r="F216" s="557" t="s">
        <v>233</v>
      </c>
      <c r="G216" s="542" t="s">
        <v>224</v>
      </c>
      <c r="H216" s="537">
        <v>45609</v>
      </c>
      <c r="I216" s="519">
        <v>90430</v>
      </c>
      <c r="J216" s="522">
        <v>1327</v>
      </c>
      <c r="K216" s="538">
        <v>-120000610</v>
      </c>
    </row>
    <row r="217" spans="2:11" x14ac:dyDescent="0.45">
      <c r="B217" s="514" t="s">
        <v>76</v>
      </c>
      <c r="C217" s="514" t="s">
        <v>516</v>
      </c>
      <c r="D217" s="534" t="s">
        <v>33</v>
      </c>
      <c r="E217" s="534" t="s">
        <v>14</v>
      </c>
      <c r="F217" s="557" t="s">
        <v>233</v>
      </c>
      <c r="G217" s="542" t="s">
        <v>225</v>
      </c>
      <c r="H217" s="537">
        <v>46160</v>
      </c>
      <c r="I217" s="519">
        <v>35732</v>
      </c>
      <c r="J217" s="522">
        <v>1848.1110000000001</v>
      </c>
      <c r="K217" s="538">
        <v>66036702.252000004</v>
      </c>
    </row>
    <row r="218" spans="2:11" x14ac:dyDescent="0.45">
      <c r="B218" s="514" t="s">
        <v>76</v>
      </c>
      <c r="C218" s="514" t="s">
        <v>516</v>
      </c>
      <c r="D218" s="534" t="s">
        <v>33</v>
      </c>
      <c r="E218" s="534" t="s">
        <v>14</v>
      </c>
      <c r="F218" s="557" t="s">
        <v>233</v>
      </c>
      <c r="G218" s="542" t="s">
        <v>225</v>
      </c>
      <c r="H218" s="537">
        <v>46169</v>
      </c>
      <c r="I218" s="519">
        <v>11698</v>
      </c>
      <c r="J218" s="522">
        <v>1769.38839957</v>
      </c>
      <c r="K218" s="538">
        <v>20698305.498169862</v>
      </c>
    </row>
    <row r="219" spans="2:11" x14ac:dyDescent="0.45">
      <c r="B219" s="514" t="s">
        <v>76</v>
      </c>
      <c r="C219" s="514" t="s">
        <v>516</v>
      </c>
      <c r="D219" s="534" t="s">
        <v>33</v>
      </c>
      <c r="E219" s="534" t="s">
        <v>14</v>
      </c>
      <c r="F219" s="557" t="s">
        <v>233</v>
      </c>
      <c r="G219" s="542" t="s">
        <v>517</v>
      </c>
      <c r="H219" s="537">
        <v>46203</v>
      </c>
      <c r="I219" s="519">
        <v>43000</v>
      </c>
      <c r="J219" s="522">
        <v>1651.55</v>
      </c>
      <c r="K219" s="538">
        <v>71016650</v>
      </c>
    </row>
    <row r="220" spans="2:11" x14ac:dyDescent="0.45">
      <c r="B220" s="514" t="s">
        <v>78</v>
      </c>
      <c r="C220" s="514" t="s">
        <v>516</v>
      </c>
      <c r="D220" s="534" t="s">
        <v>33</v>
      </c>
      <c r="E220" s="534" t="s">
        <v>14</v>
      </c>
      <c r="F220" s="557" t="s">
        <v>233</v>
      </c>
      <c r="G220" s="542" t="s">
        <v>224</v>
      </c>
      <c r="H220" s="537">
        <v>45609</v>
      </c>
      <c r="I220" s="519">
        <v>60287</v>
      </c>
      <c r="J220" s="522">
        <v>1327</v>
      </c>
      <c r="K220" s="538">
        <v>-80000849</v>
      </c>
    </row>
    <row r="221" spans="2:11" x14ac:dyDescent="0.45">
      <c r="B221" s="514" t="s">
        <v>78</v>
      </c>
      <c r="C221" s="514" t="s">
        <v>516</v>
      </c>
      <c r="D221" s="534" t="s">
        <v>33</v>
      </c>
      <c r="E221" s="534" t="s">
        <v>14</v>
      </c>
      <c r="F221" s="557" t="s">
        <v>233</v>
      </c>
      <c r="G221" s="542" t="s">
        <v>225</v>
      </c>
      <c r="H221" s="537">
        <v>46169</v>
      </c>
      <c r="I221" s="519">
        <v>12287</v>
      </c>
      <c r="J221" s="522">
        <v>1766.9073941199999</v>
      </c>
      <c r="K221" s="538">
        <v>21709991.151552439</v>
      </c>
    </row>
    <row r="222" spans="2:11" x14ac:dyDescent="0.45">
      <c r="B222" s="514" t="s">
        <v>78</v>
      </c>
      <c r="C222" s="514" t="s">
        <v>516</v>
      </c>
      <c r="D222" s="534" t="s">
        <v>33</v>
      </c>
      <c r="E222" s="534" t="s">
        <v>14</v>
      </c>
      <c r="F222" s="557" t="s">
        <v>233</v>
      </c>
      <c r="G222" s="542" t="s">
        <v>517</v>
      </c>
      <c r="H222" s="537">
        <v>46203</v>
      </c>
      <c r="I222" s="519">
        <v>48000</v>
      </c>
      <c r="J222" s="522">
        <v>1651.55</v>
      </c>
      <c r="K222" s="538">
        <v>79274400</v>
      </c>
    </row>
    <row r="223" spans="2:11" x14ac:dyDescent="0.45">
      <c r="B223" s="520" t="s">
        <v>79</v>
      </c>
      <c r="C223" s="514" t="s">
        <v>516</v>
      </c>
      <c r="D223" s="534" t="s">
        <v>33</v>
      </c>
      <c r="E223" s="534" t="s">
        <v>255</v>
      </c>
      <c r="F223" s="264" t="s">
        <v>229</v>
      </c>
      <c r="G223" s="542" t="s">
        <v>224</v>
      </c>
      <c r="H223" s="537">
        <v>45602</v>
      </c>
      <c r="I223" s="519">
        <v>120</v>
      </c>
      <c r="J223" s="522">
        <v>1504.65</v>
      </c>
      <c r="K223" s="541">
        <v>-180558</v>
      </c>
    </row>
    <row r="224" spans="2:11" x14ac:dyDescent="0.45">
      <c r="B224" s="520" t="s">
        <v>79</v>
      </c>
      <c r="C224" s="514" t="s">
        <v>516</v>
      </c>
      <c r="D224" s="534" t="s">
        <v>33</v>
      </c>
      <c r="E224" s="534" t="s">
        <v>255</v>
      </c>
      <c r="F224" s="264" t="s">
        <v>229</v>
      </c>
      <c r="G224" s="542" t="s">
        <v>224</v>
      </c>
      <c r="H224" s="537">
        <v>45603</v>
      </c>
      <c r="I224" s="519">
        <v>123</v>
      </c>
      <c r="J224" s="522">
        <v>1505.84</v>
      </c>
      <c r="K224" s="541">
        <v>-185218.31999999998</v>
      </c>
    </row>
    <row r="225" spans="2:11" x14ac:dyDescent="0.45">
      <c r="B225" s="520" t="s">
        <v>79</v>
      </c>
      <c r="C225" s="514" t="s">
        <v>516</v>
      </c>
      <c r="D225" s="534" t="s">
        <v>33</v>
      </c>
      <c r="E225" s="534" t="s">
        <v>255</v>
      </c>
      <c r="F225" s="264" t="s">
        <v>229</v>
      </c>
      <c r="G225" s="542" t="s">
        <v>224</v>
      </c>
      <c r="H225" s="537">
        <v>45604</v>
      </c>
      <c r="I225" s="519">
        <v>125</v>
      </c>
      <c r="J225" s="522">
        <v>1504.65</v>
      </c>
      <c r="K225" s="541">
        <v>-188081.25</v>
      </c>
    </row>
    <row r="226" spans="2:11" x14ac:dyDescent="0.45">
      <c r="B226" s="520" t="s">
        <v>79</v>
      </c>
      <c r="C226" s="514" t="s">
        <v>516</v>
      </c>
      <c r="D226" s="534" t="s">
        <v>33</v>
      </c>
      <c r="E226" s="534" t="s">
        <v>255</v>
      </c>
      <c r="F226" s="264" t="s">
        <v>229</v>
      </c>
      <c r="G226" s="542" t="s">
        <v>224</v>
      </c>
      <c r="H226" s="537">
        <v>45610</v>
      </c>
      <c r="I226" s="519">
        <v>250</v>
      </c>
      <c r="J226" s="522">
        <v>1504.65</v>
      </c>
      <c r="K226" s="541">
        <v>-376162.5</v>
      </c>
    </row>
    <row r="227" spans="2:11" x14ac:dyDescent="0.45">
      <c r="B227" s="520" t="s">
        <v>79</v>
      </c>
      <c r="C227" s="514" t="s">
        <v>516</v>
      </c>
      <c r="D227" s="534" t="s">
        <v>33</v>
      </c>
      <c r="E227" s="534" t="s">
        <v>255</v>
      </c>
      <c r="F227" s="264" t="s">
        <v>229</v>
      </c>
      <c r="G227" s="542" t="s">
        <v>225</v>
      </c>
      <c r="H227" s="537">
        <v>45862</v>
      </c>
      <c r="I227" s="519">
        <v>15</v>
      </c>
      <c r="J227" s="522">
        <v>1580.32</v>
      </c>
      <c r="K227" s="541">
        <v>23704.799999999999</v>
      </c>
    </row>
    <row r="228" spans="2:11" x14ac:dyDescent="0.45">
      <c r="B228" s="520" t="s">
        <v>79</v>
      </c>
      <c r="C228" s="514" t="s">
        <v>516</v>
      </c>
      <c r="D228" s="534" t="s">
        <v>33</v>
      </c>
      <c r="E228" s="534" t="s">
        <v>255</v>
      </c>
      <c r="F228" s="264" t="s">
        <v>229</v>
      </c>
      <c r="G228" s="542" t="s">
        <v>519</v>
      </c>
      <c r="H228" s="537">
        <v>45919</v>
      </c>
      <c r="I228" s="519">
        <v>603</v>
      </c>
      <c r="J228" s="522">
        <v>1</v>
      </c>
      <c r="K228" s="541">
        <v>603</v>
      </c>
    </row>
    <row r="229" spans="2:11" x14ac:dyDescent="0.45">
      <c r="B229" s="520" t="s">
        <v>79</v>
      </c>
      <c r="C229" s="514" t="s">
        <v>516</v>
      </c>
      <c r="D229" s="534" t="s">
        <v>33</v>
      </c>
      <c r="E229" s="534" t="s">
        <v>255</v>
      </c>
      <c r="F229" s="264" t="s">
        <v>229</v>
      </c>
      <c r="G229" s="542" t="s">
        <v>517</v>
      </c>
      <c r="H229" s="537">
        <v>46203</v>
      </c>
      <c r="I229" s="519">
        <v>603</v>
      </c>
      <c r="J229" s="522">
        <v>1400</v>
      </c>
      <c r="K229" s="543">
        <v>844200</v>
      </c>
    </row>
    <row r="230" spans="2:11" x14ac:dyDescent="0.45">
      <c r="B230" s="514" t="s">
        <v>76</v>
      </c>
      <c r="C230" s="514" t="s">
        <v>516</v>
      </c>
      <c r="D230" s="534" t="s">
        <v>33</v>
      </c>
      <c r="E230" s="534" t="s">
        <v>255</v>
      </c>
      <c r="F230" s="554" t="s">
        <v>116</v>
      </c>
      <c r="G230" s="554" t="s">
        <v>224</v>
      </c>
      <c r="H230" s="537">
        <v>45149</v>
      </c>
      <c r="I230" s="519">
        <v>125000</v>
      </c>
      <c r="J230" s="522">
        <v>240.66</v>
      </c>
      <c r="K230" s="556">
        <v>-30082500</v>
      </c>
    </row>
    <row r="231" spans="2:11" x14ac:dyDescent="0.45">
      <c r="B231" s="514" t="s">
        <v>76</v>
      </c>
      <c r="C231" s="514" t="s">
        <v>516</v>
      </c>
      <c r="D231" s="534" t="s">
        <v>33</v>
      </c>
      <c r="E231" s="534" t="s">
        <v>255</v>
      </c>
      <c r="F231" s="554" t="s">
        <v>116</v>
      </c>
      <c r="G231" s="554" t="s">
        <v>519</v>
      </c>
      <c r="H231" s="537">
        <v>45173</v>
      </c>
      <c r="I231" s="519">
        <v>125000</v>
      </c>
      <c r="J231" s="522">
        <v>2.5</v>
      </c>
      <c r="K231" s="543">
        <v>312500</v>
      </c>
    </row>
    <row r="232" spans="2:11" x14ac:dyDescent="0.45">
      <c r="B232" s="514" t="s">
        <v>76</v>
      </c>
      <c r="C232" s="514" t="s">
        <v>516</v>
      </c>
      <c r="D232" s="534" t="s">
        <v>33</v>
      </c>
      <c r="E232" s="534" t="s">
        <v>255</v>
      </c>
      <c r="F232" s="554" t="s">
        <v>116</v>
      </c>
      <c r="G232" s="554" t="s">
        <v>224</v>
      </c>
      <c r="H232" s="537">
        <v>45309</v>
      </c>
      <c r="I232" s="519">
        <v>150</v>
      </c>
      <c r="J232" s="522">
        <v>272.29000000000002</v>
      </c>
      <c r="K232" s="556">
        <v>-40843.5</v>
      </c>
    </row>
    <row r="233" spans="2:11" x14ac:dyDescent="0.45">
      <c r="B233" s="514" t="s">
        <v>76</v>
      </c>
      <c r="C233" s="514" t="s">
        <v>516</v>
      </c>
      <c r="D233" s="534" t="s">
        <v>33</v>
      </c>
      <c r="E233" s="534" t="s">
        <v>255</v>
      </c>
      <c r="F233" s="554" t="s">
        <v>116</v>
      </c>
      <c r="G233" s="535" t="s">
        <v>519</v>
      </c>
      <c r="H233" s="537">
        <v>45499</v>
      </c>
      <c r="I233" s="519">
        <v>125150</v>
      </c>
      <c r="J233" s="522">
        <v>1.75</v>
      </c>
      <c r="K233" s="543">
        <v>219012.5</v>
      </c>
    </row>
    <row r="234" spans="2:11" x14ac:dyDescent="0.45">
      <c r="B234" s="514" t="s">
        <v>76</v>
      </c>
      <c r="C234" s="514" t="s">
        <v>516</v>
      </c>
      <c r="D234" s="534" t="s">
        <v>33</v>
      </c>
      <c r="E234" s="534" t="s">
        <v>255</v>
      </c>
      <c r="F234" s="554" t="s">
        <v>116</v>
      </c>
      <c r="G234" s="535" t="s">
        <v>225</v>
      </c>
      <c r="H234" s="537">
        <v>45783</v>
      </c>
      <c r="I234" s="519">
        <v>2000</v>
      </c>
      <c r="J234" s="522">
        <v>148.74</v>
      </c>
      <c r="K234" s="543">
        <v>297480</v>
      </c>
    </row>
    <row r="235" spans="2:11" x14ac:dyDescent="0.45">
      <c r="B235" s="514" t="s">
        <v>76</v>
      </c>
      <c r="C235" s="514" t="s">
        <v>516</v>
      </c>
      <c r="D235" s="534" t="s">
        <v>33</v>
      </c>
      <c r="E235" s="534" t="s">
        <v>255</v>
      </c>
      <c r="F235" s="554" t="s">
        <v>116</v>
      </c>
      <c r="G235" s="535" t="s">
        <v>225</v>
      </c>
      <c r="H235" s="537">
        <v>45784</v>
      </c>
      <c r="I235" s="519">
        <v>2500</v>
      </c>
      <c r="J235" s="522">
        <v>144.80000000000001</v>
      </c>
      <c r="K235" s="543">
        <v>362000</v>
      </c>
    </row>
    <row r="236" spans="2:11" x14ac:dyDescent="0.45">
      <c r="B236" s="514" t="s">
        <v>76</v>
      </c>
      <c r="C236" s="514" t="s">
        <v>516</v>
      </c>
      <c r="D236" s="534" t="s">
        <v>33</v>
      </c>
      <c r="E236" s="534" t="s">
        <v>255</v>
      </c>
      <c r="F236" s="554" t="s">
        <v>116</v>
      </c>
      <c r="G236" s="535" t="s">
        <v>225</v>
      </c>
      <c r="H236" s="537">
        <v>45785</v>
      </c>
      <c r="I236" s="519">
        <v>921</v>
      </c>
      <c r="J236" s="522">
        <v>143.32</v>
      </c>
      <c r="K236" s="543">
        <v>131997.72</v>
      </c>
    </row>
    <row r="237" spans="2:11" x14ac:dyDescent="0.45">
      <c r="B237" s="514" t="s">
        <v>76</v>
      </c>
      <c r="C237" s="514" t="s">
        <v>516</v>
      </c>
      <c r="D237" s="534" t="s">
        <v>33</v>
      </c>
      <c r="E237" s="534" t="s">
        <v>255</v>
      </c>
      <c r="F237" s="554" t="s">
        <v>116</v>
      </c>
      <c r="G237" s="535" t="s">
        <v>225</v>
      </c>
      <c r="H237" s="537">
        <v>45789</v>
      </c>
      <c r="I237" s="519">
        <v>30520</v>
      </c>
      <c r="J237" s="522">
        <v>150.57</v>
      </c>
      <c r="K237" s="543">
        <v>4595396.3999999994</v>
      </c>
    </row>
    <row r="238" spans="2:11" x14ac:dyDescent="0.45">
      <c r="B238" s="514" t="s">
        <v>76</v>
      </c>
      <c r="C238" s="514" t="s">
        <v>516</v>
      </c>
      <c r="D238" s="534" t="s">
        <v>33</v>
      </c>
      <c r="E238" s="534" t="s">
        <v>255</v>
      </c>
      <c r="F238" s="554" t="s">
        <v>116</v>
      </c>
      <c r="G238" s="535" t="s">
        <v>225</v>
      </c>
      <c r="H238" s="537">
        <v>45790</v>
      </c>
      <c r="I238" s="519">
        <v>19209</v>
      </c>
      <c r="J238" s="522">
        <v>153.25</v>
      </c>
      <c r="K238" s="543">
        <v>2943779.25</v>
      </c>
    </row>
    <row r="239" spans="2:11" x14ac:dyDescent="0.45">
      <c r="B239" s="514" t="s">
        <v>76</v>
      </c>
      <c r="C239" s="514" t="s">
        <v>516</v>
      </c>
      <c r="D239" s="534" t="s">
        <v>33</v>
      </c>
      <c r="E239" s="534" t="s">
        <v>255</v>
      </c>
      <c r="F239" s="554" t="s">
        <v>116</v>
      </c>
      <c r="G239" s="535" t="s">
        <v>225</v>
      </c>
      <c r="H239" s="537">
        <v>45791</v>
      </c>
      <c r="I239" s="519">
        <v>30000</v>
      </c>
      <c r="J239" s="522">
        <v>155.72</v>
      </c>
      <c r="K239" s="543">
        <v>4671600</v>
      </c>
    </row>
    <row r="240" spans="2:11" x14ac:dyDescent="0.45">
      <c r="B240" s="514" t="s">
        <v>76</v>
      </c>
      <c r="C240" s="514" t="s">
        <v>516</v>
      </c>
      <c r="D240" s="534" t="s">
        <v>33</v>
      </c>
      <c r="E240" s="534" t="s">
        <v>255</v>
      </c>
      <c r="F240" s="554" t="s">
        <v>116</v>
      </c>
      <c r="G240" s="535" t="s">
        <v>225</v>
      </c>
      <c r="H240" s="537">
        <v>45792</v>
      </c>
      <c r="I240" s="519">
        <v>12605</v>
      </c>
      <c r="J240" s="522">
        <v>158.77000000000001</v>
      </c>
      <c r="K240" s="543">
        <v>2001295.85</v>
      </c>
    </row>
    <row r="241" spans="2:11" x14ac:dyDescent="0.45">
      <c r="B241" s="514" t="s">
        <v>76</v>
      </c>
      <c r="C241" s="514" t="s">
        <v>516</v>
      </c>
      <c r="D241" s="534" t="s">
        <v>33</v>
      </c>
      <c r="E241" s="534" t="s">
        <v>255</v>
      </c>
      <c r="F241" s="554" t="s">
        <v>116</v>
      </c>
      <c r="G241" s="535" t="s">
        <v>225</v>
      </c>
      <c r="H241" s="537">
        <v>45812</v>
      </c>
      <c r="I241" s="519">
        <v>14294</v>
      </c>
      <c r="J241" s="522">
        <v>181.16</v>
      </c>
      <c r="K241" s="543">
        <v>2589501.04</v>
      </c>
    </row>
    <row r="242" spans="2:11" x14ac:dyDescent="0.45">
      <c r="B242" s="514" t="s">
        <v>76</v>
      </c>
      <c r="C242" s="514" t="s">
        <v>516</v>
      </c>
      <c r="D242" s="534" t="s">
        <v>33</v>
      </c>
      <c r="E242" s="534" t="s">
        <v>255</v>
      </c>
      <c r="F242" s="554" t="s">
        <v>116</v>
      </c>
      <c r="G242" s="535" t="s">
        <v>225</v>
      </c>
      <c r="H242" s="537">
        <v>45813</v>
      </c>
      <c r="I242" s="519">
        <v>5101</v>
      </c>
      <c r="J242" s="522">
        <v>181.42</v>
      </c>
      <c r="K242" s="543">
        <v>925423.41999999993</v>
      </c>
    </row>
    <row r="243" spans="2:11" x14ac:dyDescent="0.45">
      <c r="B243" s="514" t="s">
        <v>76</v>
      </c>
      <c r="C243" s="514" t="s">
        <v>516</v>
      </c>
      <c r="D243" s="534" t="s">
        <v>33</v>
      </c>
      <c r="E243" s="534" t="s">
        <v>255</v>
      </c>
      <c r="F243" s="554" t="s">
        <v>116</v>
      </c>
      <c r="G243" s="535" t="s">
        <v>225</v>
      </c>
      <c r="H243" s="537">
        <v>45819</v>
      </c>
      <c r="I243" s="519">
        <v>3695</v>
      </c>
      <c r="J243" s="522">
        <v>187.16</v>
      </c>
      <c r="K243" s="543">
        <v>691556.2</v>
      </c>
    </row>
    <row r="244" spans="2:11" x14ac:dyDescent="0.45">
      <c r="B244" s="514" t="s">
        <v>76</v>
      </c>
      <c r="C244" s="514" t="s">
        <v>516</v>
      </c>
      <c r="D244" s="534" t="s">
        <v>33</v>
      </c>
      <c r="E244" s="534" t="s">
        <v>255</v>
      </c>
      <c r="F244" s="554" t="s">
        <v>116</v>
      </c>
      <c r="G244" s="535" t="s">
        <v>225</v>
      </c>
      <c r="H244" s="537">
        <v>45820</v>
      </c>
      <c r="I244" s="519">
        <v>1002</v>
      </c>
      <c r="J244" s="522">
        <v>184.17</v>
      </c>
      <c r="K244" s="543">
        <v>184538.34</v>
      </c>
    </row>
    <row r="245" spans="2:11" x14ac:dyDescent="0.45">
      <c r="B245" s="514" t="s">
        <v>76</v>
      </c>
      <c r="C245" s="514" t="s">
        <v>516</v>
      </c>
      <c r="D245" s="534" t="s">
        <v>33</v>
      </c>
      <c r="E245" s="534" t="s">
        <v>255</v>
      </c>
      <c r="F245" s="554" t="s">
        <v>116</v>
      </c>
      <c r="G245" s="535" t="s">
        <v>225</v>
      </c>
      <c r="H245" s="537">
        <v>45877</v>
      </c>
      <c r="I245" s="519">
        <v>10</v>
      </c>
      <c r="J245" s="522">
        <v>165.55</v>
      </c>
      <c r="K245" s="543">
        <v>1655.5</v>
      </c>
    </row>
    <row r="246" spans="2:11" x14ac:dyDescent="0.45">
      <c r="B246" s="514" t="s">
        <v>76</v>
      </c>
      <c r="C246" s="514" t="s">
        <v>516</v>
      </c>
      <c r="D246" s="534" t="s">
        <v>33</v>
      </c>
      <c r="E246" s="534" t="s">
        <v>255</v>
      </c>
      <c r="F246" s="554" t="s">
        <v>116</v>
      </c>
      <c r="G246" s="542" t="s">
        <v>517</v>
      </c>
      <c r="H246" s="537">
        <v>46203</v>
      </c>
      <c r="I246" s="519">
        <v>3293</v>
      </c>
      <c r="J246" s="522">
        <v>205.85</v>
      </c>
      <c r="K246" s="543">
        <v>677864.04999999993</v>
      </c>
    </row>
    <row r="247" spans="2:11" x14ac:dyDescent="0.45">
      <c r="B247" s="514" t="s">
        <v>78</v>
      </c>
      <c r="C247" s="514" t="s">
        <v>516</v>
      </c>
      <c r="D247" s="534" t="s">
        <v>33</v>
      </c>
      <c r="E247" s="534" t="s">
        <v>255</v>
      </c>
      <c r="F247" s="535" t="s">
        <v>116</v>
      </c>
      <c r="G247" s="535" t="s">
        <v>224</v>
      </c>
      <c r="H247" s="537">
        <v>45149</v>
      </c>
      <c r="I247" s="519">
        <v>16500</v>
      </c>
      <c r="J247" s="522">
        <v>240.67</v>
      </c>
      <c r="K247" s="541">
        <v>-3971055</v>
      </c>
    </row>
    <row r="248" spans="2:11" x14ac:dyDescent="0.45">
      <c r="B248" s="514" t="s">
        <v>78</v>
      </c>
      <c r="C248" s="514" t="s">
        <v>516</v>
      </c>
      <c r="D248" s="534" t="s">
        <v>33</v>
      </c>
      <c r="E248" s="534" t="s">
        <v>255</v>
      </c>
      <c r="F248" s="535" t="s">
        <v>116</v>
      </c>
      <c r="G248" s="535" t="s">
        <v>519</v>
      </c>
      <c r="H248" s="537">
        <v>45173</v>
      </c>
      <c r="I248" s="519">
        <v>16500</v>
      </c>
      <c r="J248" s="522">
        <v>2.5</v>
      </c>
      <c r="K248" s="538">
        <v>41250</v>
      </c>
    </row>
    <row r="249" spans="2:11" x14ac:dyDescent="0.45">
      <c r="B249" s="514" t="s">
        <v>78</v>
      </c>
      <c r="C249" s="514" t="s">
        <v>516</v>
      </c>
      <c r="D249" s="534" t="s">
        <v>33</v>
      </c>
      <c r="E249" s="534" t="s">
        <v>255</v>
      </c>
      <c r="F249" s="535" t="s">
        <v>116</v>
      </c>
      <c r="G249" s="535" t="s">
        <v>519</v>
      </c>
      <c r="H249" s="537">
        <v>45499</v>
      </c>
      <c r="I249" s="519">
        <v>16500</v>
      </c>
      <c r="J249" s="522">
        <v>1.75</v>
      </c>
      <c r="K249" s="538">
        <v>28875</v>
      </c>
    </row>
    <row r="250" spans="2:11" x14ac:dyDescent="0.45">
      <c r="B250" s="514" t="s">
        <v>78</v>
      </c>
      <c r="C250" s="514" t="s">
        <v>516</v>
      </c>
      <c r="D250" s="534" t="s">
        <v>33</v>
      </c>
      <c r="E250" s="534" t="s">
        <v>255</v>
      </c>
      <c r="F250" s="535" t="s">
        <v>116</v>
      </c>
      <c r="G250" s="535" t="s">
        <v>225</v>
      </c>
      <c r="H250" s="537">
        <v>45861</v>
      </c>
      <c r="I250" s="519">
        <v>4176</v>
      </c>
      <c r="J250" s="522">
        <v>175.68</v>
      </c>
      <c r="K250" s="538">
        <v>733639.68000000005</v>
      </c>
    </row>
    <row r="251" spans="2:11" x14ac:dyDescent="0.45">
      <c r="B251" s="514" t="s">
        <v>78</v>
      </c>
      <c r="C251" s="514" t="s">
        <v>516</v>
      </c>
      <c r="D251" s="534" t="s">
        <v>33</v>
      </c>
      <c r="E251" s="534" t="s">
        <v>255</v>
      </c>
      <c r="F251" s="535" t="s">
        <v>116</v>
      </c>
      <c r="G251" s="535" t="s">
        <v>225</v>
      </c>
      <c r="H251" s="537">
        <v>45862</v>
      </c>
      <c r="I251" s="519">
        <v>224</v>
      </c>
      <c r="J251" s="522">
        <v>175.68</v>
      </c>
      <c r="K251" s="538">
        <v>39352.32</v>
      </c>
    </row>
    <row r="252" spans="2:11" x14ac:dyDescent="0.45">
      <c r="B252" s="514" t="s">
        <v>78</v>
      </c>
      <c r="C252" s="514" t="s">
        <v>516</v>
      </c>
      <c r="D252" s="534" t="s">
        <v>33</v>
      </c>
      <c r="E252" s="534" t="s">
        <v>255</v>
      </c>
      <c r="F252" s="535" t="s">
        <v>116</v>
      </c>
      <c r="G252" s="535" t="s">
        <v>225</v>
      </c>
      <c r="H252" s="537">
        <v>45868</v>
      </c>
      <c r="I252" s="519">
        <v>200</v>
      </c>
      <c r="J252" s="522">
        <v>170.69</v>
      </c>
      <c r="K252" s="538">
        <v>34138</v>
      </c>
    </row>
    <row r="253" spans="2:11" x14ac:dyDescent="0.45">
      <c r="B253" s="514" t="s">
        <v>78</v>
      </c>
      <c r="C253" s="514" t="s">
        <v>516</v>
      </c>
      <c r="D253" s="534" t="s">
        <v>33</v>
      </c>
      <c r="E253" s="534" t="s">
        <v>255</v>
      </c>
      <c r="F253" s="535" t="s">
        <v>116</v>
      </c>
      <c r="G253" s="536" t="s">
        <v>517</v>
      </c>
      <c r="H253" s="537">
        <v>46203</v>
      </c>
      <c r="I253" s="519">
        <v>11900</v>
      </c>
      <c r="J253" s="522">
        <v>205.85</v>
      </c>
      <c r="K253" s="538">
        <v>2449615</v>
      </c>
    </row>
    <row r="254" spans="2:11" x14ac:dyDescent="0.45">
      <c r="B254" s="514" t="s">
        <v>76</v>
      </c>
      <c r="C254" s="514" t="s">
        <v>516</v>
      </c>
      <c r="D254" s="534" t="s">
        <v>33</v>
      </c>
      <c r="E254" s="534" t="s">
        <v>255</v>
      </c>
      <c r="F254" s="554" t="s">
        <v>112</v>
      </c>
      <c r="G254" s="554" t="s">
        <v>224</v>
      </c>
      <c r="H254" s="537">
        <v>45126</v>
      </c>
      <c r="I254" s="519">
        <v>13500</v>
      </c>
      <c r="J254" s="522">
        <v>746.21</v>
      </c>
      <c r="K254" s="556">
        <v>-10073835</v>
      </c>
    </row>
    <row r="255" spans="2:11" x14ac:dyDescent="0.45">
      <c r="B255" s="514" t="s">
        <v>76</v>
      </c>
      <c r="C255" s="514" t="s">
        <v>516</v>
      </c>
      <c r="D255" s="534" t="s">
        <v>33</v>
      </c>
      <c r="E255" s="534" t="s">
        <v>255</v>
      </c>
      <c r="F255" s="554" t="s">
        <v>112</v>
      </c>
      <c r="G255" s="554" t="s">
        <v>519</v>
      </c>
      <c r="H255" s="537">
        <v>45142</v>
      </c>
      <c r="I255" s="519">
        <v>13500</v>
      </c>
      <c r="J255" s="522">
        <v>12</v>
      </c>
      <c r="K255" s="543">
        <v>162000</v>
      </c>
    </row>
    <row r="256" spans="2:11" x14ac:dyDescent="0.45">
      <c r="B256" s="514" t="s">
        <v>76</v>
      </c>
      <c r="C256" s="514" t="s">
        <v>516</v>
      </c>
      <c r="D256" s="534" t="s">
        <v>33</v>
      </c>
      <c r="E256" s="534" t="s">
        <v>255</v>
      </c>
      <c r="F256" s="554" t="s">
        <v>112</v>
      </c>
      <c r="G256" s="554" t="s">
        <v>519</v>
      </c>
      <c r="H256" s="537">
        <v>45457</v>
      </c>
      <c r="I256" s="519">
        <v>13500</v>
      </c>
      <c r="J256" s="522">
        <v>15</v>
      </c>
      <c r="K256" s="543">
        <v>202500</v>
      </c>
    </row>
    <row r="257" spans="2:11" x14ac:dyDescent="0.45">
      <c r="B257" s="514" t="s">
        <v>76</v>
      </c>
      <c r="C257" s="514" t="s">
        <v>516</v>
      </c>
      <c r="D257" s="534" t="s">
        <v>33</v>
      </c>
      <c r="E257" s="534" t="s">
        <v>255</v>
      </c>
      <c r="F257" s="554" t="s">
        <v>112</v>
      </c>
      <c r="G257" s="554" t="s">
        <v>224</v>
      </c>
      <c r="H257" s="537">
        <v>45588</v>
      </c>
      <c r="I257" s="519">
        <v>9500</v>
      </c>
      <c r="J257" s="522">
        <v>4236.97</v>
      </c>
      <c r="K257" s="543">
        <v>-40251215</v>
      </c>
    </row>
    <row r="258" spans="2:11" x14ac:dyDescent="0.45">
      <c r="B258" s="514" t="s">
        <v>76</v>
      </c>
      <c r="C258" s="514" t="s">
        <v>516</v>
      </c>
      <c r="D258" s="534" t="s">
        <v>33</v>
      </c>
      <c r="E258" s="534" t="s">
        <v>255</v>
      </c>
      <c r="F258" s="554" t="s">
        <v>112</v>
      </c>
      <c r="G258" s="554" t="s">
        <v>519</v>
      </c>
      <c r="H258" s="537">
        <v>45791</v>
      </c>
      <c r="I258" s="519">
        <v>23000</v>
      </c>
      <c r="J258" s="522">
        <v>23</v>
      </c>
      <c r="K258" s="543">
        <v>529000</v>
      </c>
    </row>
    <row r="259" spans="2:11" x14ac:dyDescent="0.45">
      <c r="B259" s="514" t="s">
        <v>76</v>
      </c>
      <c r="C259" s="514" t="s">
        <v>516</v>
      </c>
      <c r="D259" s="534" t="s">
        <v>33</v>
      </c>
      <c r="E259" s="534" t="s">
        <v>255</v>
      </c>
      <c r="F259" s="554" t="s">
        <v>112</v>
      </c>
      <c r="G259" s="554" t="s">
        <v>528</v>
      </c>
      <c r="H259" s="537">
        <v>45800</v>
      </c>
      <c r="I259" s="519">
        <v>46000</v>
      </c>
      <c r="J259" s="522">
        <v>0</v>
      </c>
      <c r="K259" s="543">
        <v>0</v>
      </c>
    </row>
    <row r="260" spans="2:11" x14ac:dyDescent="0.45">
      <c r="B260" s="514" t="s">
        <v>76</v>
      </c>
      <c r="C260" s="514" t="s">
        <v>516</v>
      </c>
      <c r="D260" s="534" t="s">
        <v>33</v>
      </c>
      <c r="E260" s="534" t="s">
        <v>255</v>
      </c>
      <c r="F260" s="554" t="s">
        <v>112</v>
      </c>
      <c r="G260" s="554" t="s">
        <v>225</v>
      </c>
      <c r="H260" s="537">
        <v>45895</v>
      </c>
      <c r="I260" s="519">
        <v>29000</v>
      </c>
      <c r="J260" s="522">
        <v>2232.36</v>
      </c>
      <c r="K260" s="543">
        <v>64738440</v>
      </c>
    </row>
    <row r="261" spans="2:11" x14ac:dyDescent="0.45">
      <c r="B261" s="514" t="s">
        <v>76</v>
      </c>
      <c r="C261" s="514" t="s">
        <v>516</v>
      </c>
      <c r="D261" s="534" t="s">
        <v>33</v>
      </c>
      <c r="E261" s="534" t="s">
        <v>255</v>
      </c>
      <c r="F261" s="264" t="s">
        <v>112</v>
      </c>
      <c r="G261" s="542" t="s">
        <v>517</v>
      </c>
      <c r="H261" s="537">
        <v>46203</v>
      </c>
      <c r="I261" s="519">
        <v>40000</v>
      </c>
      <c r="J261" s="522">
        <v>3865.6</v>
      </c>
      <c r="K261" s="543">
        <v>154624000</v>
      </c>
    </row>
    <row r="262" spans="2:11" x14ac:dyDescent="0.45">
      <c r="B262" s="515" t="s">
        <v>76</v>
      </c>
      <c r="C262" s="515" t="s">
        <v>520</v>
      </c>
      <c r="D262" s="534" t="s">
        <v>33</v>
      </c>
      <c r="E262" s="534" t="s">
        <v>255</v>
      </c>
      <c r="F262" s="97" t="s">
        <v>475</v>
      </c>
      <c r="G262" s="540" t="s">
        <v>224</v>
      </c>
      <c r="H262" s="537">
        <v>46052</v>
      </c>
      <c r="I262" s="519">
        <v>94967</v>
      </c>
      <c r="J262" s="522">
        <v>988.32216454136699</v>
      </c>
      <c r="K262" s="551">
        <v>-93857991</v>
      </c>
    </row>
    <row r="263" spans="2:11" x14ac:dyDescent="0.45">
      <c r="B263" s="515" t="s">
        <v>76</v>
      </c>
      <c r="C263" s="515" t="s">
        <v>520</v>
      </c>
      <c r="D263" s="534" t="s">
        <v>33</v>
      </c>
      <c r="E263" s="534" t="s">
        <v>255</v>
      </c>
      <c r="F263" s="97" t="s">
        <v>475</v>
      </c>
      <c r="G263" s="540" t="s">
        <v>517</v>
      </c>
      <c r="H263" s="537">
        <v>46203</v>
      </c>
      <c r="I263" s="519">
        <v>94967</v>
      </c>
      <c r="J263" s="522">
        <v>1364.55</v>
      </c>
      <c r="K263" s="551">
        <v>129587219.84999999</v>
      </c>
    </row>
    <row r="264" spans="2:11" x14ac:dyDescent="0.45">
      <c r="B264" s="515" t="s">
        <v>79</v>
      </c>
      <c r="C264" s="515" t="s">
        <v>516</v>
      </c>
      <c r="D264" s="534" t="s">
        <v>33</v>
      </c>
      <c r="E264" s="534" t="s">
        <v>255</v>
      </c>
      <c r="F264" s="97" t="s">
        <v>475</v>
      </c>
      <c r="G264" s="540" t="s">
        <v>224</v>
      </c>
      <c r="H264" s="537">
        <v>46052</v>
      </c>
      <c r="I264" s="519">
        <v>94967</v>
      </c>
      <c r="J264" s="522">
        <v>988.32216454136699</v>
      </c>
      <c r="K264" s="551">
        <v>-93857991</v>
      </c>
    </row>
    <row r="265" spans="2:11" x14ac:dyDescent="0.45">
      <c r="B265" s="515" t="s">
        <v>79</v>
      </c>
      <c r="C265" s="515" t="s">
        <v>516</v>
      </c>
      <c r="D265" s="534" t="s">
        <v>33</v>
      </c>
      <c r="E265" s="534" t="s">
        <v>255</v>
      </c>
      <c r="F265" s="97" t="s">
        <v>475</v>
      </c>
      <c r="G265" s="540" t="s">
        <v>517</v>
      </c>
      <c r="H265" s="537">
        <v>46203</v>
      </c>
      <c r="I265" s="519">
        <v>94967</v>
      </c>
      <c r="J265" s="522">
        <v>1364.55</v>
      </c>
      <c r="K265" s="551">
        <v>129587219.84999999</v>
      </c>
    </row>
    <row r="266" spans="2:11" x14ac:dyDescent="0.45">
      <c r="B266" s="514" t="s">
        <v>76</v>
      </c>
      <c r="C266" s="514" t="s">
        <v>529</v>
      </c>
      <c r="D266" s="534" t="s">
        <v>33</v>
      </c>
      <c r="E266" s="534" t="s">
        <v>255</v>
      </c>
      <c r="F266" s="264" t="s">
        <v>207</v>
      </c>
      <c r="G266" s="542" t="s">
        <v>224</v>
      </c>
      <c r="H266" s="537">
        <v>45503</v>
      </c>
      <c r="I266" s="519">
        <v>10930</v>
      </c>
      <c r="J266" s="522">
        <v>943.99051199999997</v>
      </c>
      <c r="K266" s="541">
        <v>-10317816.296159999</v>
      </c>
    </row>
    <row r="267" spans="2:11" x14ac:dyDescent="0.45">
      <c r="B267" s="514" t="s">
        <v>76</v>
      </c>
      <c r="C267" s="514" t="s">
        <v>529</v>
      </c>
      <c r="D267" s="534" t="s">
        <v>33</v>
      </c>
      <c r="E267" s="534" t="s">
        <v>255</v>
      </c>
      <c r="F267" s="264" t="s">
        <v>207</v>
      </c>
      <c r="G267" s="542" t="s">
        <v>519</v>
      </c>
      <c r="H267" s="537">
        <v>45538</v>
      </c>
      <c r="I267" s="519">
        <v>10930</v>
      </c>
      <c r="J267" s="522">
        <v>8.5</v>
      </c>
      <c r="K267" s="541">
        <v>92905</v>
      </c>
    </row>
    <row r="268" spans="2:11" x14ac:dyDescent="0.45">
      <c r="B268" s="514" t="s">
        <v>76</v>
      </c>
      <c r="C268" s="514" t="s">
        <v>529</v>
      </c>
      <c r="D268" s="534" t="s">
        <v>33</v>
      </c>
      <c r="E268" s="534" t="s">
        <v>255</v>
      </c>
      <c r="F268" s="264" t="s">
        <v>207</v>
      </c>
      <c r="G268" s="542" t="s">
        <v>519</v>
      </c>
      <c r="H268" s="537">
        <v>45902</v>
      </c>
      <c r="I268" s="519">
        <v>10930</v>
      </c>
      <c r="J268" s="522">
        <v>10</v>
      </c>
      <c r="K268" s="541">
        <v>109300</v>
      </c>
    </row>
    <row r="269" spans="2:11" x14ac:dyDescent="0.45">
      <c r="B269" s="514" t="s">
        <v>76</v>
      </c>
      <c r="C269" s="514" t="s">
        <v>529</v>
      </c>
      <c r="D269" s="534" t="s">
        <v>33</v>
      </c>
      <c r="E269" s="534" t="s">
        <v>255</v>
      </c>
      <c r="F269" s="264" t="s">
        <v>207</v>
      </c>
      <c r="G269" s="558" t="s">
        <v>517</v>
      </c>
      <c r="H269" s="537">
        <v>46203</v>
      </c>
      <c r="I269" s="519">
        <v>10930</v>
      </c>
      <c r="J269" s="522">
        <v>1558.05</v>
      </c>
      <c r="K269" s="538">
        <v>17029486.5</v>
      </c>
    </row>
    <row r="270" spans="2:11" x14ac:dyDescent="0.45">
      <c r="B270" s="514" t="s">
        <v>76</v>
      </c>
      <c r="C270" s="514" t="s">
        <v>516</v>
      </c>
      <c r="D270" s="534" t="s">
        <v>33</v>
      </c>
      <c r="E270" s="534" t="s">
        <v>255</v>
      </c>
      <c r="F270" s="264" t="s">
        <v>207</v>
      </c>
      <c r="G270" s="536" t="s">
        <v>224</v>
      </c>
      <c r="H270" s="537">
        <v>45513</v>
      </c>
      <c r="I270" s="519">
        <v>10000</v>
      </c>
      <c r="J270" s="522">
        <v>1007.59</v>
      </c>
      <c r="K270" s="538">
        <v>-10075900</v>
      </c>
    </row>
    <row r="271" spans="2:11" x14ac:dyDescent="0.45">
      <c r="B271" s="514" t="s">
        <v>76</v>
      </c>
      <c r="C271" s="514" t="s">
        <v>516</v>
      </c>
      <c r="D271" s="534" t="s">
        <v>33</v>
      </c>
      <c r="E271" s="534" t="s">
        <v>255</v>
      </c>
      <c r="F271" s="264" t="s">
        <v>207</v>
      </c>
      <c r="G271" s="536" t="s">
        <v>224</v>
      </c>
      <c r="H271" s="537">
        <v>45518</v>
      </c>
      <c r="I271" s="519">
        <v>5000</v>
      </c>
      <c r="J271" s="522">
        <v>966.47</v>
      </c>
      <c r="K271" s="538">
        <v>-4832350</v>
      </c>
    </row>
    <row r="272" spans="2:11" x14ac:dyDescent="0.45">
      <c r="B272" s="514" t="s">
        <v>76</v>
      </c>
      <c r="C272" s="514" t="s">
        <v>516</v>
      </c>
      <c r="D272" s="534" t="s">
        <v>33</v>
      </c>
      <c r="E272" s="534" t="s">
        <v>255</v>
      </c>
      <c r="F272" s="264" t="s">
        <v>207</v>
      </c>
      <c r="G272" s="536" t="s">
        <v>519</v>
      </c>
      <c r="H272" s="537">
        <v>45538</v>
      </c>
      <c r="I272" s="519">
        <v>15000</v>
      </c>
      <c r="J272" s="522">
        <v>8.5</v>
      </c>
      <c r="K272" s="538">
        <v>127500</v>
      </c>
    </row>
    <row r="273" spans="2:11" x14ac:dyDescent="0.45">
      <c r="B273" s="514" t="s">
        <v>76</v>
      </c>
      <c r="C273" s="514" t="s">
        <v>516</v>
      </c>
      <c r="D273" s="534" t="s">
        <v>33</v>
      </c>
      <c r="E273" s="534" t="s">
        <v>255</v>
      </c>
      <c r="F273" s="264" t="s">
        <v>207</v>
      </c>
      <c r="G273" s="536" t="s">
        <v>519</v>
      </c>
      <c r="H273" s="537">
        <v>45902</v>
      </c>
      <c r="I273" s="519">
        <v>15000</v>
      </c>
      <c r="J273" s="522">
        <v>10</v>
      </c>
      <c r="K273" s="538">
        <v>150000</v>
      </c>
    </row>
    <row r="274" spans="2:11" x14ac:dyDescent="0.45">
      <c r="B274" s="514" t="s">
        <v>76</v>
      </c>
      <c r="C274" s="514" t="s">
        <v>516</v>
      </c>
      <c r="D274" s="534" t="s">
        <v>33</v>
      </c>
      <c r="E274" s="534" t="s">
        <v>255</v>
      </c>
      <c r="F274" s="264" t="s">
        <v>207</v>
      </c>
      <c r="G274" s="536" t="s">
        <v>517</v>
      </c>
      <c r="H274" s="537">
        <v>46203</v>
      </c>
      <c r="I274" s="519">
        <v>15000</v>
      </c>
      <c r="J274" s="522">
        <v>1558.05</v>
      </c>
      <c r="K274" s="543">
        <v>23370750</v>
      </c>
    </row>
    <row r="275" spans="2:11" ht="23.25" x14ac:dyDescent="0.45">
      <c r="B275" s="515" t="s">
        <v>76</v>
      </c>
      <c r="C275" s="515" t="s">
        <v>520</v>
      </c>
      <c r="D275" s="539" t="s">
        <v>33</v>
      </c>
      <c r="E275" s="539" t="s">
        <v>255</v>
      </c>
      <c r="F275" s="97" t="s">
        <v>379</v>
      </c>
      <c r="G275" s="540" t="s">
        <v>224</v>
      </c>
      <c r="H275" s="537">
        <v>45845</v>
      </c>
      <c r="I275" s="519">
        <v>36037</v>
      </c>
      <c r="J275" s="522">
        <v>4908.2576518578126</v>
      </c>
      <c r="K275" s="545">
        <v>-176878881</v>
      </c>
    </row>
    <row r="276" spans="2:11" ht="23.25" x14ac:dyDescent="0.45">
      <c r="B276" s="515" t="s">
        <v>76</v>
      </c>
      <c r="C276" s="515" t="s">
        <v>520</v>
      </c>
      <c r="D276" s="539" t="s">
        <v>33</v>
      </c>
      <c r="E276" s="539" t="s">
        <v>255</v>
      </c>
      <c r="F276" s="97" t="s">
        <v>379</v>
      </c>
      <c r="G276" s="540" t="s">
        <v>528</v>
      </c>
      <c r="H276" s="537">
        <v>45869</v>
      </c>
      <c r="I276" s="519">
        <v>144148</v>
      </c>
      <c r="J276" s="522">
        <v>0</v>
      </c>
      <c r="K276" s="545">
        <v>0</v>
      </c>
    </row>
    <row r="277" spans="2:11" ht="23.25" x14ac:dyDescent="0.45">
      <c r="B277" s="515" t="s">
        <v>76</v>
      </c>
      <c r="C277" s="515" t="s">
        <v>520</v>
      </c>
      <c r="D277" s="539" t="s">
        <v>33</v>
      </c>
      <c r="E277" s="539" t="s">
        <v>255</v>
      </c>
      <c r="F277" s="97" t="s">
        <v>379</v>
      </c>
      <c r="G277" s="540" t="s">
        <v>517</v>
      </c>
      <c r="H277" s="537">
        <v>46203</v>
      </c>
      <c r="I277" s="519">
        <v>180185</v>
      </c>
      <c r="J277" s="522">
        <v>889.8</v>
      </c>
      <c r="K277" s="548">
        <v>160328613</v>
      </c>
    </row>
    <row r="278" spans="2:11" x14ac:dyDescent="0.45">
      <c r="B278" s="514" t="s">
        <v>76</v>
      </c>
      <c r="C278" s="514" t="s">
        <v>516</v>
      </c>
      <c r="D278" s="534" t="s">
        <v>33</v>
      </c>
      <c r="E278" s="534" t="s">
        <v>255</v>
      </c>
      <c r="F278" s="97" t="s">
        <v>300</v>
      </c>
      <c r="G278" s="536" t="s">
        <v>224</v>
      </c>
      <c r="H278" s="537">
        <v>45902</v>
      </c>
      <c r="I278" s="519">
        <v>610</v>
      </c>
      <c r="J278" s="522">
        <v>1532.99</v>
      </c>
      <c r="K278" s="538">
        <v>-935123.9</v>
      </c>
    </row>
    <row r="279" spans="2:11" x14ac:dyDescent="0.45">
      <c r="B279" s="514" t="s">
        <v>76</v>
      </c>
      <c r="C279" s="514" t="s">
        <v>516</v>
      </c>
      <c r="D279" s="534" t="s">
        <v>33</v>
      </c>
      <c r="E279" s="534" t="s">
        <v>255</v>
      </c>
      <c r="F279" s="97" t="s">
        <v>300</v>
      </c>
      <c r="G279" s="536" t="s">
        <v>224</v>
      </c>
      <c r="H279" s="537">
        <v>45903</v>
      </c>
      <c r="I279" s="519">
        <v>5313</v>
      </c>
      <c r="J279" s="522">
        <v>1565.12</v>
      </c>
      <c r="K279" s="538">
        <v>-8315482.5599999996</v>
      </c>
    </row>
    <row r="280" spans="2:11" x14ac:dyDescent="0.45">
      <c r="B280" s="514" t="s">
        <v>76</v>
      </c>
      <c r="C280" s="514" t="s">
        <v>516</v>
      </c>
      <c r="D280" s="534" t="s">
        <v>33</v>
      </c>
      <c r="E280" s="534" t="s">
        <v>255</v>
      </c>
      <c r="F280" s="97" t="s">
        <v>300</v>
      </c>
      <c r="G280" s="536" t="s">
        <v>224</v>
      </c>
      <c r="H280" s="537">
        <v>45904</v>
      </c>
      <c r="I280" s="519">
        <v>27500</v>
      </c>
      <c r="J280" s="522">
        <v>1536.27</v>
      </c>
      <c r="K280" s="538">
        <v>-42247425</v>
      </c>
    </row>
    <row r="281" spans="2:11" x14ac:dyDescent="0.45">
      <c r="B281" s="514" t="s">
        <v>76</v>
      </c>
      <c r="C281" s="514" t="s">
        <v>516</v>
      </c>
      <c r="D281" s="534" t="s">
        <v>33</v>
      </c>
      <c r="E281" s="534" t="s">
        <v>255</v>
      </c>
      <c r="F281" s="97" t="s">
        <v>300</v>
      </c>
      <c r="G281" s="536" t="s">
        <v>224</v>
      </c>
      <c r="H281" s="537">
        <v>45911</v>
      </c>
      <c r="I281" s="519">
        <v>30000</v>
      </c>
      <c r="J281" s="522">
        <v>1513.16509232</v>
      </c>
      <c r="K281" s="538">
        <v>-45394952.769599997</v>
      </c>
    </row>
    <row r="282" spans="2:11" x14ac:dyDescent="0.45">
      <c r="B282" s="514" t="s">
        <v>76</v>
      </c>
      <c r="C282" s="514" t="s">
        <v>516</v>
      </c>
      <c r="D282" s="534" t="s">
        <v>33</v>
      </c>
      <c r="E282" s="534" t="s">
        <v>255</v>
      </c>
      <c r="F282" s="97" t="s">
        <v>300</v>
      </c>
      <c r="G282" s="536" t="s">
        <v>225</v>
      </c>
      <c r="H282" s="537">
        <v>46091</v>
      </c>
      <c r="I282" s="519">
        <v>3000</v>
      </c>
      <c r="J282" s="522">
        <v>1038.12279173</v>
      </c>
      <c r="K282" s="538">
        <v>3114368.37519</v>
      </c>
    </row>
    <row r="283" spans="2:11" x14ac:dyDescent="0.45">
      <c r="B283" s="514" t="s">
        <v>76</v>
      </c>
      <c r="C283" s="514" t="s">
        <v>516</v>
      </c>
      <c r="D283" s="534" t="s">
        <v>33</v>
      </c>
      <c r="E283" s="534" t="s">
        <v>255</v>
      </c>
      <c r="F283" s="97" t="s">
        <v>300</v>
      </c>
      <c r="G283" s="536" t="s">
        <v>225</v>
      </c>
      <c r="H283" s="537">
        <v>46092</v>
      </c>
      <c r="I283" s="519">
        <v>11000</v>
      </c>
      <c r="J283" s="522">
        <v>1052.03119591</v>
      </c>
      <c r="K283" s="538">
        <v>11572343.15501</v>
      </c>
    </row>
    <row r="284" spans="2:11" x14ac:dyDescent="0.45">
      <c r="B284" s="514" t="s">
        <v>76</v>
      </c>
      <c r="C284" s="514" t="s">
        <v>516</v>
      </c>
      <c r="D284" s="534" t="s">
        <v>33</v>
      </c>
      <c r="E284" s="534" t="s">
        <v>255</v>
      </c>
      <c r="F284" s="97" t="s">
        <v>300</v>
      </c>
      <c r="G284" s="536" t="s">
        <v>225</v>
      </c>
      <c r="H284" s="537">
        <v>46093</v>
      </c>
      <c r="I284" s="519">
        <v>10000</v>
      </c>
      <c r="J284" s="522">
        <v>1032.13114107</v>
      </c>
      <c r="K284" s="538">
        <v>10321311.410700001</v>
      </c>
    </row>
    <row r="285" spans="2:11" x14ac:dyDescent="0.45">
      <c r="B285" s="514" t="s">
        <v>76</v>
      </c>
      <c r="C285" s="514" t="s">
        <v>516</v>
      </c>
      <c r="D285" s="534" t="s">
        <v>33</v>
      </c>
      <c r="E285" s="534" t="s">
        <v>255</v>
      </c>
      <c r="F285" s="97" t="s">
        <v>300</v>
      </c>
      <c r="G285" s="536" t="s">
        <v>225</v>
      </c>
      <c r="H285" s="537">
        <v>46094</v>
      </c>
      <c r="I285" s="519">
        <v>5000</v>
      </c>
      <c r="J285" s="522">
        <v>995.20200697999996</v>
      </c>
      <c r="K285" s="538">
        <v>4976010.0348999994</v>
      </c>
    </row>
    <row r="286" spans="2:11" x14ac:dyDescent="0.45">
      <c r="B286" s="514" t="s">
        <v>76</v>
      </c>
      <c r="C286" s="514" t="s">
        <v>516</v>
      </c>
      <c r="D286" s="534" t="s">
        <v>33</v>
      </c>
      <c r="E286" s="534" t="s">
        <v>255</v>
      </c>
      <c r="F286" s="97" t="s">
        <v>300</v>
      </c>
      <c r="G286" s="536" t="s">
        <v>225</v>
      </c>
      <c r="H286" s="537">
        <v>46108</v>
      </c>
      <c r="I286" s="519">
        <v>3491</v>
      </c>
      <c r="J286" s="522">
        <v>946.56872523000004</v>
      </c>
      <c r="K286" s="538">
        <v>3304471.4197779302</v>
      </c>
    </row>
    <row r="287" spans="2:11" x14ac:dyDescent="0.45">
      <c r="B287" s="514" t="s">
        <v>76</v>
      </c>
      <c r="C287" s="514" t="s">
        <v>516</v>
      </c>
      <c r="D287" s="534" t="s">
        <v>33</v>
      </c>
      <c r="E287" s="534" t="s">
        <v>255</v>
      </c>
      <c r="F287" s="97" t="s">
        <v>300</v>
      </c>
      <c r="G287" s="536" t="s">
        <v>225</v>
      </c>
      <c r="H287" s="537">
        <v>46155</v>
      </c>
      <c r="I287" s="519">
        <v>7527</v>
      </c>
      <c r="J287" s="522">
        <v>1130.51379905</v>
      </c>
      <c r="K287" s="538">
        <v>8509377.3654493503</v>
      </c>
    </row>
    <row r="288" spans="2:11" x14ac:dyDescent="0.45">
      <c r="B288" s="514" t="s">
        <v>76</v>
      </c>
      <c r="C288" s="514" t="s">
        <v>516</v>
      </c>
      <c r="D288" s="534" t="s">
        <v>33</v>
      </c>
      <c r="E288" s="534" t="s">
        <v>255</v>
      </c>
      <c r="F288" s="97" t="s">
        <v>300</v>
      </c>
      <c r="G288" s="536" t="s">
        <v>225</v>
      </c>
      <c r="H288" s="537">
        <v>46156</v>
      </c>
      <c r="I288" s="519">
        <v>3405</v>
      </c>
      <c r="J288" s="522">
        <v>1118.9789866900001</v>
      </c>
      <c r="K288" s="538">
        <v>3810123.4496794501</v>
      </c>
    </row>
    <row r="289" spans="2:11" x14ac:dyDescent="0.45">
      <c r="B289" s="514" t="s">
        <v>76</v>
      </c>
      <c r="C289" s="514" t="s">
        <v>516</v>
      </c>
      <c r="D289" s="534" t="s">
        <v>33</v>
      </c>
      <c r="E289" s="534" t="s">
        <v>255</v>
      </c>
      <c r="F289" s="97" t="s">
        <v>300</v>
      </c>
      <c r="G289" s="536" t="s">
        <v>225</v>
      </c>
      <c r="H289" s="537">
        <v>46157</v>
      </c>
      <c r="I289" s="519">
        <v>4228</v>
      </c>
      <c r="J289" s="522">
        <v>1142.95607133</v>
      </c>
      <c r="K289" s="538">
        <v>4832418.2695832402</v>
      </c>
    </row>
    <row r="290" spans="2:11" x14ac:dyDescent="0.45">
      <c r="B290" s="514" t="s">
        <v>76</v>
      </c>
      <c r="C290" s="514" t="s">
        <v>516</v>
      </c>
      <c r="D290" s="534" t="s">
        <v>33</v>
      </c>
      <c r="E290" s="534" t="s">
        <v>255</v>
      </c>
      <c r="F290" s="97" t="s">
        <v>300</v>
      </c>
      <c r="G290" s="536" t="s">
        <v>517</v>
      </c>
      <c r="H290" s="537">
        <v>46203</v>
      </c>
      <c r="I290" s="519">
        <v>15772</v>
      </c>
      <c r="J290" s="522">
        <v>1291.0999999999999</v>
      </c>
      <c r="K290" s="538">
        <v>20363229.199999999</v>
      </c>
    </row>
    <row r="291" spans="2:11" x14ac:dyDescent="0.45">
      <c r="B291" s="520" t="s">
        <v>79</v>
      </c>
      <c r="C291" s="514" t="s">
        <v>516</v>
      </c>
      <c r="D291" s="534" t="s">
        <v>33</v>
      </c>
      <c r="E291" s="534" t="s">
        <v>255</v>
      </c>
      <c r="F291" s="264" t="s">
        <v>230</v>
      </c>
      <c r="G291" s="542" t="s">
        <v>224</v>
      </c>
      <c r="H291" s="537">
        <v>45602</v>
      </c>
      <c r="I291" s="519">
        <v>3000</v>
      </c>
      <c r="J291" s="522">
        <v>330.63</v>
      </c>
      <c r="K291" s="541">
        <v>-991890</v>
      </c>
    </row>
    <row r="292" spans="2:11" x14ac:dyDescent="0.45">
      <c r="B292" s="520" t="s">
        <v>79</v>
      </c>
      <c r="C292" s="514" t="s">
        <v>516</v>
      </c>
      <c r="D292" s="534" t="s">
        <v>33</v>
      </c>
      <c r="E292" s="534" t="s">
        <v>255</v>
      </c>
      <c r="F292" s="264" t="s">
        <v>230</v>
      </c>
      <c r="G292" s="542" t="s">
        <v>224</v>
      </c>
      <c r="H292" s="537">
        <v>45604</v>
      </c>
      <c r="I292" s="519">
        <v>1000</v>
      </c>
      <c r="J292" s="522">
        <v>330.65</v>
      </c>
      <c r="K292" s="541">
        <v>-330650</v>
      </c>
    </row>
    <row r="293" spans="2:11" x14ac:dyDescent="0.45">
      <c r="B293" s="520" t="s">
        <v>79</v>
      </c>
      <c r="C293" s="514" t="s">
        <v>516</v>
      </c>
      <c r="D293" s="534" t="s">
        <v>33</v>
      </c>
      <c r="E293" s="534" t="s">
        <v>255</v>
      </c>
      <c r="F293" s="264" t="s">
        <v>230</v>
      </c>
      <c r="G293" s="542" t="s">
        <v>224</v>
      </c>
      <c r="H293" s="537">
        <v>45607</v>
      </c>
      <c r="I293" s="519">
        <v>1000</v>
      </c>
      <c r="J293" s="522">
        <v>332.15</v>
      </c>
      <c r="K293" s="541">
        <v>-332150</v>
      </c>
    </row>
    <row r="294" spans="2:11" x14ac:dyDescent="0.45">
      <c r="B294" s="520" t="s">
        <v>79</v>
      </c>
      <c r="C294" s="514" t="s">
        <v>516</v>
      </c>
      <c r="D294" s="534" t="s">
        <v>33</v>
      </c>
      <c r="E294" s="534" t="s">
        <v>255</v>
      </c>
      <c r="F294" s="264" t="s">
        <v>230</v>
      </c>
      <c r="G294" s="542" t="s">
        <v>224</v>
      </c>
      <c r="H294" s="537">
        <v>45608</v>
      </c>
      <c r="I294" s="519">
        <v>1000</v>
      </c>
      <c r="J294" s="522">
        <v>330.65</v>
      </c>
      <c r="K294" s="541">
        <v>-330650</v>
      </c>
    </row>
    <row r="295" spans="2:11" x14ac:dyDescent="0.45">
      <c r="B295" s="520" t="s">
        <v>79</v>
      </c>
      <c r="C295" s="514" t="s">
        <v>516</v>
      </c>
      <c r="D295" s="534" t="s">
        <v>33</v>
      </c>
      <c r="E295" s="534" t="s">
        <v>255</v>
      </c>
      <c r="F295" s="264" t="s">
        <v>230</v>
      </c>
      <c r="G295" s="542" t="s">
        <v>224</v>
      </c>
      <c r="H295" s="537">
        <v>45609</v>
      </c>
      <c r="I295" s="519">
        <v>1000</v>
      </c>
      <c r="J295" s="522">
        <v>330.65</v>
      </c>
      <c r="K295" s="541">
        <v>-330650</v>
      </c>
    </row>
    <row r="296" spans="2:11" x14ac:dyDescent="0.45">
      <c r="B296" s="520" t="s">
        <v>79</v>
      </c>
      <c r="C296" s="514" t="s">
        <v>516</v>
      </c>
      <c r="D296" s="534" t="s">
        <v>33</v>
      </c>
      <c r="E296" s="534" t="s">
        <v>255</v>
      </c>
      <c r="F296" s="264" t="s">
        <v>230</v>
      </c>
      <c r="G296" s="542" t="s">
        <v>224</v>
      </c>
      <c r="H296" s="537">
        <v>45610</v>
      </c>
      <c r="I296" s="519">
        <v>2000</v>
      </c>
      <c r="J296" s="522">
        <v>330.65</v>
      </c>
      <c r="K296" s="541">
        <v>-661300</v>
      </c>
    </row>
    <row r="297" spans="2:11" x14ac:dyDescent="0.45">
      <c r="B297" s="520" t="s">
        <v>79</v>
      </c>
      <c r="C297" s="514" t="s">
        <v>516</v>
      </c>
      <c r="D297" s="534" t="s">
        <v>33</v>
      </c>
      <c r="E297" s="534" t="s">
        <v>255</v>
      </c>
      <c r="F297" s="264" t="s">
        <v>230</v>
      </c>
      <c r="G297" s="542" t="s">
        <v>225</v>
      </c>
      <c r="H297" s="537">
        <v>45982</v>
      </c>
      <c r="I297" s="519">
        <v>1000</v>
      </c>
      <c r="J297" s="522">
        <v>241.71230689999999</v>
      </c>
      <c r="K297" s="541">
        <v>241712.3069</v>
      </c>
    </row>
    <row r="298" spans="2:11" x14ac:dyDescent="0.45">
      <c r="B298" s="520" t="s">
        <v>79</v>
      </c>
      <c r="C298" s="514" t="s">
        <v>516</v>
      </c>
      <c r="D298" s="534" t="s">
        <v>33</v>
      </c>
      <c r="E298" s="534" t="s">
        <v>255</v>
      </c>
      <c r="F298" s="264" t="s">
        <v>230</v>
      </c>
      <c r="G298" s="542" t="s">
        <v>517</v>
      </c>
      <c r="H298" s="537">
        <v>46203</v>
      </c>
      <c r="I298" s="519">
        <v>8000</v>
      </c>
      <c r="J298" s="522">
        <v>192.8</v>
      </c>
      <c r="K298" s="543">
        <v>1542400</v>
      </c>
    </row>
    <row r="299" spans="2:11" x14ac:dyDescent="0.45">
      <c r="B299" s="515" t="s">
        <v>76</v>
      </c>
      <c r="C299" s="515" t="s">
        <v>520</v>
      </c>
      <c r="D299" s="534" t="s">
        <v>33</v>
      </c>
      <c r="E299" s="534" t="s">
        <v>255</v>
      </c>
      <c r="F299" s="264" t="s">
        <v>231</v>
      </c>
      <c r="G299" s="542" t="s">
        <v>224</v>
      </c>
      <c r="H299" s="537">
        <v>45637</v>
      </c>
      <c r="I299" s="519">
        <v>21200</v>
      </c>
      <c r="J299" s="522">
        <v>3287</v>
      </c>
      <c r="K299" s="541">
        <v>-69684400</v>
      </c>
    </row>
    <row r="300" spans="2:11" x14ac:dyDescent="0.45">
      <c r="B300" s="515" t="s">
        <v>76</v>
      </c>
      <c r="C300" s="515" t="s">
        <v>520</v>
      </c>
      <c r="D300" s="534" t="s">
        <v>33</v>
      </c>
      <c r="E300" s="534" t="s">
        <v>255</v>
      </c>
      <c r="F300" s="264" t="s">
        <v>231</v>
      </c>
      <c r="G300" s="542" t="s">
        <v>528</v>
      </c>
      <c r="H300" s="537">
        <v>45681</v>
      </c>
      <c r="I300" s="519">
        <v>190800</v>
      </c>
      <c r="J300" s="522">
        <v>0</v>
      </c>
      <c r="K300" s="541">
        <v>0</v>
      </c>
    </row>
    <row r="301" spans="2:11" x14ac:dyDescent="0.45">
      <c r="B301" s="515" t="s">
        <v>76</v>
      </c>
      <c r="C301" s="515" t="s">
        <v>520</v>
      </c>
      <c r="D301" s="534" t="s">
        <v>33</v>
      </c>
      <c r="E301" s="534" t="s">
        <v>255</v>
      </c>
      <c r="F301" s="535" t="s">
        <v>231</v>
      </c>
      <c r="G301" s="542" t="s">
        <v>517</v>
      </c>
      <c r="H301" s="537">
        <v>46203</v>
      </c>
      <c r="I301" s="519">
        <v>212000</v>
      </c>
      <c r="J301" s="522">
        <v>116.2</v>
      </c>
      <c r="K301" s="543">
        <v>24634400</v>
      </c>
    </row>
    <row r="302" spans="2:11" x14ac:dyDescent="0.45">
      <c r="B302" s="515" t="s">
        <v>78</v>
      </c>
      <c r="C302" s="514" t="s">
        <v>520</v>
      </c>
      <c r="D302" s="534" t="s">
        <v>33</v>
      </c>
      <c r="E302" s="534" t="s">
        <v>255</v>
      </c>
      <c r="F302" s="264" t="s">
        <v>231</v>
      </c>
      <c r="G302" s="542" t="s">
        <v>224</v>
      </c>
      <c r="H302" s="537">
        <v>45637</v>
      </c>
      <c r="I302" s="519">
        <v>9126</v>
      </c>
      <c r="J302" s="522">
        <v>3287</v>
      </c>
      <c r="K302" s="541">
        <v>-29997162</v>
      </c>
    </row>
    <row r="303" spans="2:11" x14ac:dyDescent="0.45">
      <c r="B303" s="515" t="s">
        <v>78</v>
      </c>
      <c r="C303" s="514" t="s">
        <v>520</v>
      </c>
      <c r="D303" s="534" t="s">
        <v>33</v>
      </c>
      <c r="E303" s="534" t="s">
        <v>255</v>
      </c>
      <c r="F303" s="264" t="s">
        <v>231</v>
      </c>
      <c r="G303" s="542" t="s">
        <v>528</v>
      </c>
      <c r="H303" s="537">
        <v>45681</v>
      </c>
      <c r="I303" s="519">
        <v>82134</v>
      </c>
      <c r="J303" s="522">
        <v>0</v>
      </c>
      <c r="K303" s="541">
        <v>0</v>
      </c>
    </row>
    <row r="304" spans="2:11" x14ac:dyDescent="0.45">
      <c r="B304" s="515" t="s">
        <v>78</v>
      </c>
      <c r="C304" s="515" t="s">
        <v>520</v>
      </c>
      <c r="D304" s="534" t="s">
        <v>33</v>
      </c>
      <c r="E304" s="534" t="s">
        <v>255</v>
      </c>
      <c r="F304" s="535" t="s">
        <v>231</v>
      </c>
      <c r="G304" s="540" t="s">
        <v>517</v>
      </c>
      <c r="H304" s="537">
        <v>46203</v>
      </c>
      <c r="I304" s="519">
        <v>91260</v>
      </c>
      <c r="J304" s="522">
        <v>116.2</v>
      </c>
      <c r="K304" s="543">
        <v>10604412</v>
      </c>
    </row>
    <row r="305" spans="2:11" x14ac:dyDescent="0.45">
      <c r="B305" s="514" t="s">
        <v>76</v>
      </c>
      <c r="C305" s="514" t="s">
        <v>520</v>
      </c>
      <c r="D305" s="534" t="s">
        <v>33</v>
      </c>
      <c r="E305" s="534" t="s">
        <v>255</v>
      </c>
      <c r="F305" s="535" t="s">
        <v>194</v>
      </c>
      <c r="G305" s="540" t="s">
        <v>224</v>
      </c>
      <c r="H305" s="537">
        <v>45441</v>
      </c>
      <c r="I305" s="519">
        <v>88889</v>
      </c>
      <c r="J305" s="522">
        <v>562.50210937236329</v>
      </c>
      <c r="K305" s="543">
        <v>-50000250</v>
      </c>
    </row>
    <row r="306" spans="2:11" x14ac:dyDescent="0.45">
      <c r="B306" s="514" t="s">
        <v>76</v>
      </c>
      <c r="C306" s="514" t="s">
        <v>520</v>
      </c>
      <c r="D306" s="534" t="s">
        <v>33</v>
      </c>
      <c r="E306" s="534" t="s">
        <v>255</v>
      </c>
      <c r="F306" s="535" t="s">
        <v>194</v>
      </c>
      <c r="G306" s="540" t="s">
        <v>224</v>
      </c>
      <c r="H306" s="537">
        <v>45890</v>
      </c>
      <c r="I306" s="519">
        <v>28090</v>
      </c>
      <c r="J306" s="522">
        <v>890</v>
      </c>
      <c r="K306" s="543">
        <v>-25000100</v>
      </c>
    </row>
    <row r="307" spans="2:11" x14ac:dyDescent="0.45">
      <c r="B307" s="514" t="s">
        <v>76</v>
      </c>
      <c r="C307" s="514" t="s">
        <v>520</v>
      </c>
      <c r="D307" s="534" t="s">
        <v>33</v>
      </c>
      <c r="E307" s="534" t="s">
        <v>255</v>
      </c>
      <c r="F307" s="535" t="s">
        <v>194</v>
      </c>
      <c r="G307" s="540" t="s">
        <v>517</v>
      </c>
      <c r="H307" s="537">
        <v>46203</v>
      </c>
      <c r="I307" s="519">
        <v>116979</v>
      </c>
      <c r="J307" s="522">
        <v>495.45</v>
      </c>
      <c r="K307" s="543">
        <v>57957245.549999997</v>
      </c>
    </row>
    <row r="308" spans="2:11" x14ac:dyDescent="0.45">
      <c r="B308" s="514" t="s">
        <v>76</v>
      </c>
      <c r="C308" s="514" t="s">
        <v>529</v>
      </c>
      <c r="D308" s="534" t="s">
        <v>33</v>
      </c>
      <c r="E308" s="534" t="s">
        <v>255</v>
      </c>
      <c r="F308" s="264" t="s">
        <v>179</v>
      </c>
      <c r="G308" s="542" t="s">
        <v>224</v>
      </c>
      <c r="H308" s="537">
        <v>45618</v>
      </c>
      <c r="I308" s="519">
        <v>1808</v>
      </c>
      <c r="J308" s="522">
        <v>2856.1665542035398</v>
      </c>
      <c r="K308" s="541">
        <v>-5163949.13</v>
      </c>
    </row>
    <row r="309" spans="2:11" x14ac:dyDescent="0.45">
      <c r="B309" s="514" t="s">
        <v>76</v>
      </c>
      <c r="C309" s="514" t="s">
        <v>529</v>
      </c>
      <c r="D309" s="534" t="s">
        <v>33</v>
      </c>
      <c r="E309" s="534" t="s">
        <v>255</v>
      </c>
      <c r="F309" s="264" t="s">
        <v>179</v>
      </c>
      <c r="G309" s="542" t="s">
        <v>517</v>
      </c>
      <c r="H309" s="537">
        <v>46203</v>
      </c>
      <c r="I309" s="519">
        <v>1808</v>
      </c>
      <c r="J309" s="522">
        <v>5161.8999999999996</v>
      </c>
      <c r="K309" s="543">
        <v>9332715.1999999993</v>
      </c>
    </row>
    <row r="310" spans="2:11" x14ac:dyDescent="0.45">
      <c r="B310" s="520" t="s">
        <v>76</v>
      </c>
      <c r="C310" s="514" t="s">
        <v>516</v>
      </c>
      <c r="D310" s="534" t="s">
        <v>33</v>
      </c>
      <c r="E310" s="534" t="s">
        <v>255</v>
      </c>
      <c r="F310" s="264" t="s">
        <v>179</v>
      </c>
      <c r="G310" s="535" t="s">
        <v>224</v>
      </c>
      <c r="H310" s="537">
        <v>45489</v>
      </c>
      <c r="I310" s="519">
        <v>3601</v>
      </c>
      <c r="J310" s="522">
        <v>2413.7399999999998</v>
      </c>
      <c r="K310" s="541">
        <v>-8691877.7399999984</v>
      </c>
    </row>
    <row r="311" spans="2:11" x14ac:dyDescent="0.45">
      <c r="B311" s="520" t="s">
        <v>76</v>
      </c>
      <c r="C311" s="514" t="s">
        <v>516</v>
      </c>
      <c r="D311" s="534" t="s">
        <v>33</v>
      </c>
      <c r="E311" s="534" t="s">
        <v>255</v>
      </c>
      <c r="F311" s="264" t="s">
        <v>179</v>
      </c>
      <c r="G311" s="535" t="s">
        <v>224</v>
      </c>
      <c r="H311" s="537">
        <v>45492</v>
      </c>
      <c r="I311" s="519">
        <v>1750</v>
      </c>
      <c r="J311" s="522">
        <v>2501.2600000000002</v>
      </c>
      <c r="K311" s="541">
        <v>-4377205</v>
      </c>
    </row>
    <row r="312" spans="2:11" x14ac:dyDescent="0.45">
      <c r="B312" s="520" t="s">
        <v>76</v>
      </c>
      <c r="C312" s="514" t="s">
        <v>516</v>
      </c>
      <c r="D312" s="534" t="s">
        <v>33</v>
      </c>
      <c r="E312" s="534" t="s">
        <v>255</v>
      </c>
      <c r="F312" s="264" t="s">
        <v>179</v>
      </c>
      <c r="G312" s="535" t="s">
        <v>224</v>
      </c>
      <c r="H312" s="537">
        <v>45497</v>
      </c>
      <c r="I312" s="519">
        <v>2000</v>
      </c>
      <c r="J312" s="522">
        <v>2509.91</v>
      </c>
      <c r="K312" s="541">
        <v>-5019820</v>
      </c>
    </row>
    <row r="313" spans="2:11" x14ac:dyDescent="0.45">
      <c r="B313" s="520" t="s">
        <v>76</v>
      </c>
      <c r="C313" s="514" t="s">
        <v>516</v>
      </c>
      <c r="D313" s="534" t="s">
        <v>33</v>
      </c>
      <c r="E313" s="534" t="s">
        <v>255</v>
      </c>
      <c r="F313" s="264" t="s">
        <v>179</v>
      </c>
      <c r="G313" s="535" t="s">
        <v>224</v>
      </c>
      <c r="H313" s="537">
        <v>45518</v>
      </c>
      <c r="I313" s="519">
        <v>1500</v>
      </c>
      <c r="J313" s="522">
        <v>2851.51</v>
      </c>
      <c r="K313" s="541">
        <v>-4277265</v>
      </c>
    </row>
    <row r="314" spans="2:11" x14ac:dyDescent="0.45">
      <c r="B314" s="520" t="s">
        <v>76</v>
      </c>
      <c r="C314" s="514" t="s">
        <v>516</v>
      </c>
      <c r="D314" s="534" t="s">
        <v>33</v>
      </c>
      <c r="E314" s="534" t="s">
        <v>255</v>
      </c>
      <c r="F314" s="264" t="s">
        <v>179</v>
      </c>
      <c r="G314" s="535" t="s">
        <v>519</v>
      </c>
      <c r="H314" s="537">
        <v>45552</v>
      </c>
      <c r="I314" s="519">
        <v>8851</v>
      </c>
      <c r="J314" s="522">
        <v>10</v>
      </c>
      <c r="K314" s="541">
        <v>88510</v>
      </c>
    </row>
    <row r="315" spans="2:11" x14ac:dyDescent="0.45">
      <c r="B315" s="520" t="s">
        <v>76</v>
      </c>
      <c r="C315" s="514" t="s">
        <v>516</v>
      </c>
      <c r="D315" s="534" t="s">
        <v>33</v>
      </c>
      <c r="E315" s="534" t="s">
        <v>255</v>
      </c>
      <c r="F315" s="264" t="s">
        <v>179</v>
      </c>
      <c r="G315" s="535" t="s">
        <v>224</v>
      </c>
      <c r="H315" s="537">
        <v>45819</v>
      </c>
      <c r="I315" s="519">
        <v>1800</v>
      </c>
      <c r="J315" s="522">
        <v>3149.32</v>
      </c>
      <c r="K315" s="541">
        <v>-5668776</v>
      </c>
    </row>
    <row r="316" spans="2:11" x14ac:dyDescent="0.45">
      <c r="B316" s="520" t="s">
        <v>76</v>
      </c>
      <c r="C316" s="514" t="s">
        <v>516</v>
      </c>
      <c r="D316" s="534" t="s">
        <v>33</v>
      </c>
      <c r="E316" s="534" t="s">
        <v>255</v>
      </c>
      <c r="F316" s="264" t="s">
        <v>179</v>
      </c>
      <c r="G316" s="535" t="s">
        <v>224</v>
      </c>
      <c r="H316" s="537">
        <v>45820</v>
      </c>
      <c r="I316" s="519">
        <v>1500</v>
      </c>
      <c r="J316" s="522">
        <v>3103.96</v>
      </c>
      <c r="K316" s="541">
        <v>-4655940</v>
      </c>
    </row>
    <row r="317" spans="2:11" x14ac:dyDescent="0.45">
      <c r="B317" s="520" t="s">
        <v>76</v>
      </c>
      <c r="C317" s="514" t="s">
        <v>516</v>
      </c>
      <c r="D317" s="534" t="s">
        <v>33</v>
      </c>
      <c r="E317" s="534" t="s">
        <v>255</v>
      </c>
      <c r="F317" s="264" t="s">
        <v>179</v>
      </c>
      <c r="G317" s="535" t="s">
        <v>224</v>
      </c>
      <c r="H317" s="537">
        <v>45821</v>
      </c>
      <c r="I317" s="519">
        <v>2124</v>
      </c>
      <c r="J317" s="522">
        <v>3105.96</v>
      </c>
      <c r="K317" s="541">
        <v>-6597059.04</v>
      </c>
    </row>
    <row r="318" spans="2:11" x14ac:dyDescent="0.45">
      <c r="B318" s="520" t="s">
        <v>76</v>
      </c>
      <c r="C318" s="514" t="s">
        <v>516</v>
      </c>
      <c r="D318" s="534" t="s">
        <v>33</v>
      </c>
      <c r="E318" s="534" t="s">
        <v>255</v>
      </c>
      <c r="F318" s="264" t="s">
        <v>179</v>
      </c>
      <c r="G318" s="535" t="s">
        <v>224</v>
      </c>
      <c r="H318" s="537">
        <v>45825</v>
      </c>
      <c r="I318" s="519">
        <v>750</v>
      </c>
      <c r="J318" s="522">
        <v>3082.44</v>
      </c>
      <c r="K318" s="541">
        <v>-2311830</v>
      </c>
    </row>
    <row r="319" spans="2:11" x14ac:dyDescent="0.45">
      <c r="B319" s="520" t="s">
        <v>76</v>
      </c>
      <c r="C319" s="514" t="s">
        <v>516</v>
      </c>
      <c r="D319" s="534" t="s">
        <v>33</v>
      </c>
      <c r="E319" s="534" t="s">
        <v>255</v>
      </c>
      <c r="F319" s="264" t="s">
        <v>179</v>
      </c>
      <c r="G319" s="535" t="s">
        <v>224</v>
      </c>
      <c r="H319" s="537">
        <v>45826</v>
      </c>
      <c r="I319" s="519">
        <v>1500</v>
      </c>
      <c r="J319" s="522">
        <v>3090.69</v>
      </c>
      <c r="K319" s="541">
        <v>-4636035</v>
      </c>
    </row>
    <row r="320" spans="2:11" x14ac:dyDescent="0.45">
      <c r="B320" s="520" t="s">
        <v>76</v>
      </c>
      <c r="C320" s="514" t="s">
        <v>516</v>
      </c>
      <c r="D320" s="534" t="s">
        <v>33</v>
      </c>
      <c r="E320" s="534" t="s">
        <v>255</v>
      </c>
      <c r="F320" s="264" t="s">
        <v>179</v>
      </c>
      <c r="G320" s="535" t="s">
        <v>224</v>
      </c>
      <c r="H320" s="537">
        <v>45827</v>
      </c>
      <c r="I320" s="519">
        <v>400</v>
      </c>
      <c r="J320" s="522">
        <v>3100.08</v>
      </c>
      <c r="K320" s="541">
        <v>-1240032</v>
      </c>
    </row>
    <row r="321" spans="2:11" x14ac:dyDescent="0.45">
      <c r="B321" s="520" t="s">
        <v>76</v>
      </c>
      <c r="C321" s="514" t="s">
        <v>516</v>
      </c>
      <c r="D321" s="534" t="s">
        <v>33</v>
      </c>
      <c r="E321" s="534" t="s">
        <v>255</v>
      </c>
      <c r="F321" s="264" t="s">
        <v>179</v>
      </c>
      <c r="G321" s="535" t="s">
        <v>224</v>
      </c>
      <c r="H321" s="537">
        <v>45828</v>
      </c>
      <c r="I321" s="519">
        <v>750</v>
      </c>
      <c r="J321" s="522">
        <v>3074.32</v>
      </c>
      <c r="K321" s="541">
        <v>-2305740</v>
      </c>
    </row>
    <row r="322" spans="2:11" x14ac:dyDescent="0.45">
      <c r="B322" s="520" t="s">
        <v>76</v>
      </c>
      <c r="C322" s="514" t="s">
        <v>516</v>
      </c>
      <c r="D322" s="534" t="s">
        <v>33</v>
      </c>
      <c r="E322" s="534" t="s">
        <v>255</v>
      </c>
      <c r="F322" s="264" t="s">
        <v>179</v>
      </c>
      <c r="G322" s="542" t="s">
        <v>517</v>
      </c>
      <c r="H322" s="537">
        <v>46203</v>
      </c>
      <c r="I322" s="519">
        <v>17675</v>
      </c>
      <c r="J322" s="522">
        <v>5161.8999999999996</v>
      </c>
      <c r="K322" s="543">
        <v>91236582.5</v>
      </c>
    </row>
    <row r="323" spans="2:11" ht="23.25" x14ac:dyDescent="0.45">
      <c r="B323" s="515" t="s">
        <v>76</v>
      </c>
      <c r="C323" s="515" t="s">
        <v>521</v>
      </c>
      <c r="D323" s="534" t="s">
        <v>33</v>
      </c>
      <c r="E323" s="534" t="s">
        <v>255</v>
      </c>
      <c r="F323" s="97" t="s">
        <v>174</v>
      </c>
      <c r="G323" s="540" t="s">
        <v>224</v>
      </c>
      <c r="H323" s="537">
        <v>45336</v>
      </c>
      <c r="I323" s="519">
        <v>24500</v>
      </c>
      <c r="J323" s="522">
        <v>258</v>
      </c>
      <c r="K323" s="559">
        <v>-6321000</v>
      </c>
    </row>
    <row r="324" spans="2:11" ht="23.25" x14ac:dyDescent="0.45">
      <c r="B324" s="515" t="s">
        <v>76</v>
      </c>
      <c r="C324" s="515" t="s">
        <v>521</v>
      </c>
      <c r="D324" s="534" t="s">
        <v>33</v>
      </c>
      <c r="E324" s="534" t="s">
        <v>255</v>
      </c>
      <c r="F324" s="97" t="s">
        <v>174</v>
      </c>
      <c r="G324" s="540" t="s">
        <v>224</v>
      </c>
      <c r="H324" s="537">
        <v>45378</v>
      </c>
      <c r="I324" s="519">
        <v>33750</v>
      </c>
      <c r="J324" s="522">
        <v>295</v>
      </c>
      <c r="K324" s="559">
        <v>-9956250</v>
      </c>
    </row>
    <row r="325" spans="2:11" ht="23.25" x14ac:dyDescent="0.45">
      <c r="B325" s="515" t="s">
        <v>76</v>
      </c>
      <c r="C325" s="515" t="s">
        <v>521</v>
      </c>
      <c r="D325" s="534" t="s">
        <v>33</v>
      </c>
      <c r="E325" s="534" t="s">
        <v>255</v>
      </c>
      <c r="F325" s="97" t="s">
        <v>174</v>
      </c>
      <c r="G325" s="540" t="s">
        <v>528</v>
      </c>
      <c r="H325" s="537">
        <v>45561</v>
      </c>
      <c r="I325" s="519">
        <v>203875</v>
      </c>
      <c r="J325" s="522">
        <v>0</v>
      </c>
      <c r="K325" s="559">
        <v>-9956250</v>
      </c>
    </row>
    <row r="326" spans="2:11" ht="23.25" x14ac:dyDescent="0.45">
      <c r="B326" s="515" t="s">
        <v>76</v>
      </c>
      <c r="C326" s="515" t="s">
        <v>521</v>
      </c>
      <c r="D326" s="534" t="s">
        <v>33</v>
      </c>
      <c r="E326" s="534" t="s">
        <v>255</v>
      </c>
      <c r="F326" s="97" t="s">
        <v>174</v>
      </c>
      <c r="G326" s="540" t="s">
        <v>517</v>
      </c>
      <c r="H326" s="537">
        <v>46203</v>
      </c>
      <c r="I326" s="519">
        <v>262125</v>
      </c>
      <c r="J326" s="522">
        <v>124.65</v>
      </c>
      <c r="K326" s="548">
        <v>16277250</v>
      </c>
    </row>
    <row r="327" spans="2:11" x14ac:dyDescent="0.45">
      <c r="B327" s="514" t="s">
        <v>76</v>
      </c>
      <c r="C327" s="514" t="s">
        <v>529</v>
      </c>
      <c r="D327" s="534" t="s">
        <v>33</v>
      </c>
      <c r="E327" s="534" t="s">
        <v>255</v>
      </c>
      <c r="F327" s="535" t="s">
        <v>249</v>
      </c>
      <c r="G327" s="542" t="s">
        <v>224</v>
      </c>
      <c r="H327" s="537">
        <v>45667</v>
      </c>
      <c r="I327" s="519">
        <v>60000</v>
      </c>
      <c r="J327" s="522">
        <v>320</v>
      </c>
      <c r="K327" s="541">
        <v>-19200000</v>
      </c>
    </row>
    <row r="328" spans="2:11" x14ac:dyDescent="0.45">
      <c r="B328" s="515" t="s">
        <v>76</v>
      </c>
      <c r="C328" s="514" t="s">
        <v>529</v>
      </c>
      <c r="D328" s="534" t="s">
        <v>33</v>
      </c>
      <c r="E328" s="534" t="s">
        <v>255</v>
      </c>
      <c r="F328" s="535" t="s">
        <v>249</v>
      </c>
      <c r="G328" s="540" t="s">
        <v>224</v>
      </c>
      <c r="H328" s="537">
        <v>45863</v>
      </c>
      <c r="I328" s="519">
        <v>457317</v>
      </c>
      <c r="J328" s="522">
        <v>328</v>
      </c>
      <c r="K328" s="545">
        <v>-149999976</v>
      </c>
    </row>
    <row r="329" spans="2:11" x14ac:dyDescent="0.45">
      <c r="B329" s="514" t="s">
        <v>76</v>
      </c>
      <c r="C329" s="514" t="s">
        <v>529</v>
      </c>
      <c r="D329" s="534" t="s">
        <v>33</v>
      </c>
      <c r="E329" s="534" t="s">
        <v>255</v>
      </c>
      <c r="F329" s="264" t="s">
        <v>249</v>
      </c>
      <c r="G329" s="536" t="s">
        <v>517</v>
      </c>
      <c r="H329" s="537">
        <v>46203</v>
      </c>
      <c r="I329" s="519">
        <v>517317</v>
      </c>
      <c r="J329" s="522">
        <v>581.45000000000005</v>
      </c>
      <c r="K329" s="538">
        <v>300793969.65000004</v>
      </c>
    </row>
    <row r="330" spans="2:11" x14ac:dyDescent="0.45">
      <c r="B330" s="514" t="s">
        <v>76</v>
      </c>
      <c r="C330" s="514" t="s">
        <v>516</v>
      </c>
      <c r="D330" s="534" t="s">
        <v>33</v>
      </c>
      <c r="E330" s="534" t="s">
        <v>255</v>
      </c>
      <c r="F330" s="554" t="s">
        <v>249</v>
      </c>
      <c r="G330" s="542" t="s">
        <v>224</v>
      </c>
      <c r="H330" s="537">
        <v>45426</v>
      </c>
      <c r="I330" s="519">
        <v>1000</v>
      </c>
      <c r="J330" s="522">
        <v>358.7</v>
      </c>
      <c r="K330" s="543">
        <v>-358700</v>
      </c>
    </row>
    <row r="331" spans="2:11" x14ac:dyDescent="0.45">
      <c r="B331" s="514" t="s">
        <v>76</v>
      </c>
      <c r="C331" s="514" t="s">
        <v>516</v>
      </c>
      <c r="D331" s="534" t="s">
        <v>33</v>
      </c>
      <c r="E331" s="534" t="s">
        <v>255</v>
      </c>
      <c r="F331" s="554" t="s">
        <v>249</v>
      </c>
      <c r="G331" s="542" t="s">
        <v>224</v>
      </c>
      <c r="H331" s="537">
        <v>45433</v>
      </c>
      <c r="I331" s="519">
        <v>1000</v>
      </c>
      <c r="J331" s="522">
        <v>361.71</v>
      </c>
      <c r="K331" s="543">
        <v>-361710</v>
      </c>
    </row>
    <row r="332" spans="2:11" x14ac:dyDescent="0.45">
      <c r="B332" s="514" t="s">
        <v>76</v>
      </c>
      <c r="C332" s="514" t="s">
        <v>516</v>
      </c>
      <c r="D332" s="534" t="s">
        <v>33</v>
      </c>
      <c r="E332" s="534" t="s">
        <v>255</v>
      </c>
      <c r="F332" s="554" t="s">
        <v>249</v>
      </c>
      <c r="G332" s="542" t="s">
        <v>224</v>
      </c>
      <c r="H332" s="537">
        <v>45434</v>
      </c>
      <c r="I332" s="519">
        <v>5703</v>
      </c>
      <c r="J332" s="522">
        <v>371.48</v>
      </c>
      <c r="K332" s="543">
        <v>-2118550.44</v>
      </c>
    </row>
    <row r="333" spans="2:11" x14ac:dyDescent="0.45">
      <c r="B333" s="514" t="s">
        <v>76</v>
      </c>
      <c r="C333" s="514" t="s">
        <v>516</v>
      </c>
      <c r="D333" s="534" t="s">
        <v>33</v>
      </c>
      <c r="E333" s="534" t="s">
        <v>255</v>
      </c>
      <c r="F333" s="554" t="s">
        <v>249</v>
      </c>
      <c r="G333" s="542" t="s">
        <v>224</v>
      </c>
      <c r="H333" s="537">
        <v>45435</v>
      </c>
      <c r="I333" s="519">
        <v>15000</v>
      </c>
      <c r="J333" s="522">
        <v>370.39</v>
      </c>
      <c r="K333" s="543">
        <v>-5555850</v>
      </c>
    </row>
    <row r="334" spans="2:11" x14ac:dyDescent="0.45">
      <c r="B334" s="514" t="s">
        <v>76</v>
      </c>
      <c r="C334" s="514" t="s">
        <v>516</v>
      </c>
      <c r="D334" s="534" t="s">
        <v>33</v>
      </c>
      <c r="E334" s="534" t="s">
        <v>255</v>
      </c>
      <c r="F334" s="554" t="s">
        <v>249</v>
      </c>
      <c r="G334" s="542" t="s">
        <v>224</v>
      </c>
      <c r="H334" s="537">
        <v>45436</v>
      </c>
      <c r="I334" s="519">
        <v>3000</v>
      </c>
      <c r="J334" s="522">
        <v>365.91</v>
      </c>
      <c r="K334" s="543">
        <v>-1097730</v>
      </c>
    </row>
    <row r="335" spans="2:11" x14ac:dyDescent="0.45">
      <c r="B335" s="514" t="s">
        <v>76</v>
      </c>
      <c r="C335" s="514" t="s">
        <v>516</v>
      </c>
      <c r="D335" s="534" t="s">
        <v>33</v>
      </c>
      <c r="E335" s="534" t="s">
        <v>255</v>
      </c>
      <c r="F335" s="554" t="s">
        <v>249</v>
      </c>
      <c r="G335" s="542" t="s">
        <v>224</v>
      </c>
      <c r="H335" s="537">
        <v>45439</v>
      </c>
      <c r="I335" s="519">
        <v>20000</v>
      </c>
      <c r="J335" s="522">
        <v>362.28</v>
      </c>
      <c r="K335" s="543">
        <v>-7245599.9999999991</v>
      </c>
    </row>
    <row r="336" spans="2:11" x14ac:dyDescent="0.45">
      <c r="B336" s="514" t="s">
        <v>76</v>
      </c>
      <c r="C336" s="514" t="s">
        <v>516</v>
      </c>
      <c r="D336" s="534" t="s">
        <v>33</v>
      </c>
      <c r="E336" s="534" t="s">
        <v>255</v>
      </c>
      <c r="F336" s="554" t="s">
        <v>249</v>
      </c>
      <c r="G336" s="542" t="s">
        <v>224</v>
      </c>
      <c r="H336" s="537">
        <v>45440</v>
      </c>
      <c r="I336" s="519">
        <v>5000</v>
      </c>
      <c r="J336" s="522">
        <v>356.7</v>
      </c>
      <c r="K336" s="543">
        <v>-1783500</v>
      </c>
    </row>
    <row r="337" spans="2:11" x14ac:dyDescent="0.45">
      <c r="B337" s="514" t="s">
        <v>76</v>
      </c>
      <c r="C337" s="514" t="s">
        <v>516</v>
      </c>
      <c r="D337" s="534" t="s">
        <v>33</v>
      </c>
      <c r="E337" s="534" t="s">
        <v>255</v>
      </c>
      <c r="F337" s="554" t="s">
        <v>249</v>
      </c>
      <c r="G337" s="542" t="s">
        <v>224</v>
      </c>
      <c r="H337" s="537">
        <v>45573</v>
      </c>
      <c r="I337" s="519">
        <v>541</v>
      </c>
      <c r="J337" s="522">
        <v>334.59</v>
      </c>
      <c r="K337" s="543">
        <v>-181013.18999999997</v>
      </c>
    </row>
    <row r="338" spans="2:11" x14ac:dyDescent="0.45">
      <c r="B338" s="514" t="s">
        <v>76</v>
      </c>
      <c r="C338" s="514" t="s">
        <v>516</v>
      </c>
      <c r="D338" s="534" t="s">
        <v>33</v>
      </c>
      <c r="E338" s="534" t="s">
        <v>255</v>
      </c>
      <c r="F338" s="554" t="s">
        <v>249</v>
      </c>
      <c r="G338" s="542" t="s">
        <v>224</v>
      </c>
      <c r="H338" s="537">
        <v>45581</v>
      </c>
      <c r="I338" s="519">
        <v>14459</v>
      </c>
      <c r="J338" s="522">
        <v>332.57</v>
      </c>
      <c r="K338" s="543">
        <v>-4808629.63</v>
      </c>
    </row>
    <row r="339" spans="2:11" x14ac:dyDescent="0.45">
      <c r="B339" s="514" t="s">
        <v>76</v>
      </c>
      <c r="C339" s="514" t="s">
        <v>516</v>
      </c>
      <c r="D339" s="534" t="s">
        <v>33</v>
      </c>
      <c r="E339" s="534" t="s">
        <v>255</v>
      </c>
      <c r="F339" s="554" t="s">
        <v>249</v>
      </c>
      <c r="G339" s="542" t="s">
        <v>517</v>
      </c>
      <c r="H339" s="537">
        <v>46203</v>
      </c>
      <c r="I339" s="519">
        <v>65703</v>
      </c>
      <c r="J339" s="522">
        <v>581.45000000000005</v>
      </c>
      <c r="K339" s="543">
        <v>38203009.350000001</v>
      </c>
    </row>
    <row r="340" spans="2:11" ht="23.25" x14ac:dyDescent="0.45">
      <c r="B340" s="515" t="s">
        <v>76</v>
      </c>
      <c r="C340" s="514" t="s">
        <v>529</v>
      </c>
      <c r="D340" s="539" t="s">
        <v>33</v>
      </c>
      <c r="E340" s="539" t="s">
        <v>255</v>
      </c>
      <c r="F340" s="535" t="s">
        <v>117</v>
      </c>
      <c r="G340" s="535" t="s">
        <v>224</v>
      </c>
      <c r="H340" s="537">
        <v>46044</v>
      </c>
      <c r="I340" s="519">
        <v>2000</v>
      </c>
      <c r="J340" s="522">
        <v>1080.6199999999999</v>
      </c>
      <c r="K340" s="541">
        <v>-2161240</v>
      </c>
    </row>
    <row r="341" spans="2:11" ht="23.25" x14ac:dyDescent="0.45">
      <c r="B341" s="515" t="s">
        <v>76</v>
      </c>
      <c r="C341" s="514" t="s">
        <v>529</v>
      </c>
      <c r="D341" s="539" t="s">
        <v>33</v>
      </c>
      <c r="E341" s="539" t="s">
        <v>255</v>
      </c>
      <c r="F341" s="535" t="s">
        <v>117</v>
      </c>
      <c r="G341" s="535" t="s">
        <v>224</v>
      </c>
      <c r="H341" s="537">
        <v>46045</v>
      </c>
      <c r="I341" s="519">
        <v>2000</v>
      </c>
      <c r="J341" s="522">
        <v>1113</v>
      </c>
      <c r="K341" s="541">
        <v>-2226000</v>
      </c>
    </row>
    <row r="342" spans="2:11" ht="23.25" x14ac:dyDescent="0.45">
      <c r="B342" s="515" t="s">
        <v>76</v>
      </c>
      <c r="C342" s="514" t="s">
        <v>529</v>
      </c>
      <c r="D342" s="539" t="s">
        <v>33</v>
      </c>
      <c r="E342" s="539" t="s">
        <v>255</v>
      </c>
      <c r="F342" s="535" t="s">
        <v>117</v>
      </c>
      <c r="G342" s="540" t="s">
        <v>517</v>
      </c>
      <c r="H342" s="537">
        <v>46203</v>
      </c>
      <c r="I342" s="519">
        <v>4000</v>
      </c>
      <c r="J342" s="522">
        <v>1656.2</v>
      </c>
      <c r="K342" s="545">
        <v>6624800</v>
      </c>
    </row>
    <row r="343" spans="2:11" x14ac:dyDescent="0.45">
      <c r="B343" s="514" t="s">
        <v>76</v>
      </c>
      <c r="C343" s="514" t="s">
        <v>516</v>
      </c>
      <c r="D343" s="534" t="s">
        <v>33</v>
      </c>
      <c r="E343" s="534" t="s">
        <v>255</v>
      </c>
      <c r="F343" s="554" t="s">
        <v>117</v>
      </c>
      <c r="G343" s="554" t="s">
        <v>224</v>
      </c>
      <c r="H343" s="537">
        <v>45160</v>
      </c>
      <c r="I343" s="519">
        <v>3000</v>
      </c>
      <c r="J343" s="522">
        <v>1887.62</v>
      </c>
      <c r="K343" s="556">
        <v>-5662860</v>
      </c>
    </row>
    <row r="344" spans="2:11" x14ac:dyDescent="0.45">
      <c r="B344" s="514" t="s">
        <v>76</v>
      </c>
      <c r="C344" s="514" t="s">
        <v>516</v>
      </c>
      <c r="D344" s="534" t="s">
        <v>33</v>
      </c>
      <c r="E344" s="534" t="s">
        <v>255</v>
      </c>
      <c r="F344" s="554" t="s">
        <v>117</v>
      </c>
      <c r="G344" s="554" t="s">
        <v>224</v>
      </c>
      <c r="H344" s="537">
        <v>45161</v>
      </c>
      <c r="I344" s="519">
        <v>1000</v>
      </c>
      <c r="J344" s="522">
        <v>1863.58</v>
      </c>
      <c r="K344" s="556">
        <v>-1863580</v>
      </c>
    </row>
    <row r="345" spans="2:11" x14ac:dyDescent="0.45">
      <c r="B345" s="514" t="s">
        <v>76</v>
      </c>
      <c r="C345" s="514" t="s">
        <v>516</v>
      </c>
      <c r="D345" s="534" t="s">
        <v>33</v>
      </c>
      <c r="E345" s="534" t="s">
        <v>255</v>
      </c>
      <c r="F345" s="554" t="s">
        <v>117</v>
      </c>
      <c r="G345" s="554" t="s">
        <v>224</v>
      </c>
      <c r="H345" s="537">
        <v>45162</v>
      </c>
      <c r="I345" s="519">
        <v>1349</v>
      </c>
      <c r="J345" s="522">
        <v>1882.39</v>
      </c>
      <c r="K345" s="556">
        <v>-2539344.1100000003</v>
      </c>
    </row>
    <row r="346" spans="2:11" x14ac:dyDescent="0.45">
      <c r="B346" s="514" t="s">
        <v>76</v>
      </c>
      <c r="C346" s="514" t="s">
        <v>516</v>
      </c>
      <c r="D346" s="534" t="s">
        <v>33</v>
      </c>
      <c r="E346" s="534" t="s">
        <v>255</v>
      </c>
      <c r="F346" s="554" t="s">
        <v>117</v>
      </c>
      <c r="G346" s="554" t="s">
        <v>224</v>
      </c>
      <c r="H346" s="537">
        <v>45166</v>
      </c>
      <c r="I346" s="519">
        <v>30</v>
      </c>
      <c r="J346" s="522">
        <v>1863.61</v>
      </c>
      <c r="K346" s="556">
        <v>-55908.299999999996</v>
      </c>
    </row>
    <row r="347" spans="2:11" x14ac:dyDescent="0.45">
      <c r="B347" s="514" t="s">
        <v>76</v>
      </c>
      <c r="C347" s="514" t="s">
        <v>516</v>
      </c>
      <c r="D347" s="534" t="s">
        <v>33</v>
      </c>
      <c r="E347" s="534" t="s">
        <v>255</v>
      </c>
      <c r="F347" s="554" t="s">
        <v>117</v>
      </c>
      <c r="G347" s="554" t="s">
        <v>519</v>
      </c>
      <c r="H347" s="537">
        <v>45180</v>
      </c>
      <c r="I347" s="519">
        <v>5379</v>
      </c>
      <c r="J347" s="522">
        <v>2</v>
      </c>
      <c r="K347" s="543">
        <v>10758</v>
      </c>
    </row>
    <row r="348" spans="2:11" x14ac:dyDescent="0.45">
      <c r="B348" s="514" t="s">
        <v>76</v>
      </c>
      <c r="C348" s="514" t="s">
        <v>516</v>
      </c>
      <c r="D348" s="534" t="s">
        <v>33</v>
      </c>
      <c r="E348" s="534" t="s">
        <v>255</v>
      </c>
      <c r="F348" s="554" t="s">
        <v>117</v>
      </c>
      <c r="G348" s="554" t="s">
        <v>528</v>
      </c>
      <c r="H348" s="537">
        <v>45358</v>
      </c>
      <c r="I348" s="519">
        <v>21516</v>
      </c>
      <c r="J348" s="522">
        <v>0</v>
      </c>
      <c r="K348" s="543">
        <v>0</v>
      </c>
    </row>
    <row r="349" spans="2:11" x14ac:dyDescent="0.45">
      <c r="B349" s="514" t="s">
        <v>76</v>
      </c>
      <c r="C349" s="514" t="s">
        <v>516</v>
      </c>
      <c r="D349" s="534" t="s">
        <v>33</v>
      </c>
      <c r="E349" s="534" t="s">
        <v>255</v>
      </c>
      <c r="F349" s="554" t="s">
        <v>117</v>
      </c>
      <c r="G349" s="554" t="s">
        <v>519</v>
      </c>
      <c r="H349" s="537">
        <v>45531</v>
      </c>
      <c r="I349" s="519">
        <v>26895</v>
      </c>
      <c r="J349" s="522">
        <v>0.4</v>
      </c>
      <c r="K349" s="543">
        <v>10758</v>
      </c>
    </row>
    <row r="350" spans="2:11" x14ac:dyDescent="0.45">
      <c r="B350" s="514" t="s">
        <v>76</v>
      </c>
      <c r="C350" s="514" t="s">
        <v>516</v>
      </c>
      <c r="D350" s="534" t="s">
        <v>33</v>
      </c>
      <c r="E350" s="534" t="s">
        <v>255</v>
      </c>
      <c r="F350" s="554" t="s">
        <v>117</v>
      </c>
      <c r="G350" s="554" t="s">
        <v>224</v>
      </c>
      <c r="H350" s="537">
        <v>45645</v>
      </c>
      <c r="I350" s="519">
        <v>100000</v>
      </c>
      <c r="J350" s="522">
        <v>1167.29</v>
      </c>
      <c r="K350" s="556">
        <v>-116729000</v>
      </c>
    </row>
    <row r="351" spans="2:11" x14ac:dyDescent="0.45">
      <c r="B351" s="514" t="s">
        <v>76</v>
      </c>
      <c r="C351" s="514" t="s">
        <v>516</v>
      </c>
      <c r="D351" s="534" t="s">
        <v>33</v>
      </c>
      <c r="E351" s="534" t="s">
        <v>255</v>
      </c>
      <c r="F351" s="554" t="s">
        <v>117</v>
      </c>
      <c r="G351" s="554" t="s">
        <v>224</v>
      </c>
      <c r="H351" s="537">
        <v>45720</v>
      </c>
      <c r="I351" s="519">
        <v>7875</v>
      </c>
      <c r="J351" s="522">
        <v>837.62</v>
      </c>
      <c r="K351" s="556">
        <v>-6596257.5</v>
      </c>
    </row>
    <row r="352" spans="2:11" x14ac:dyDescent="0.45">
      <c r="B352" s="514" t="s">
        <v>76</v>
      </c>
      <c r="C352" s="514" t="s">
        <v>516</v>
      </c>
      <c r="D352" s="534" t="s">
        <v>33</v>
      </c>
      <c r="E352" s="534" t="s">
        <v>255</v>
      </c>
      <c r="F352" s="554" t="s">
        <v>117</v>
      </c>
      <c r="G352" s="554" t="s">
        <v>519</v>
      </c>
      <c r="H352" s="537">
        <v>45890</v>
      </c>
      <c r="I352" s="519">
        <v>134770</v>
      </c>
      <c r="J352" s="522">
        <v>0.6</v>
      </c>
      <c r="K352" s="556">
        <v>80862</v>
      </c>
    </row>
    <row r="353" spans="2:11" x14ac:dyDescent="0.45">
      <c r="B353" s="514" t="s">
        <v>76</v>
      </c>
      <c r="C353" s="514" t="s">
        <v>516</v>
      </c>
      <c r="D353" s="534" t="s">
        <v>33</v>
      </c>
      <c r="E353" s="534" t="s">
        <v>255</v>
      </c>
      <c r="F353" s="554" t="s">
        <v>117</v>
      </c>
      <c r="G353" s="542" t="s">
        <v>224</v>
      </c>
      <c r="H353" s="537">
        <v>46045</v>
      </c>
      <c r="I353" s="519">
        <v>12500</v>
      </c>
      <c r="J353" s="522">
        <v>1118.99</v>
      </c>
      <c r="K353" s="556">
        <v>13987375</v>
      </c>
    </row>
    <row r="354" spans="2:11" x14ac:dyDescent="0.45">
      <c r="B354" s="514" t="s">
        <v>76</v>
      </c>
      <c r="C354" s="514" t="s">
        <v>516</v>
      </c>
      <c r="D354" s="534" t="s">
        <v>33</v>
      </c>
      <c r="E354" s="534" t="s">
        <v>255</v>
      </c>
      <c r="F354" s="554" t="s">
        <v>117</v>
      </c>
      <c r="G354" s="542" t="s">
        <v>517</v>
      </c>
      <c r="H354" s="537">
        <v>46203</v>
      </c>
      <c r="I354" s="519">
        <v>147270</v>
      </c>
      <c r="J354" s="522">
        <v>1656.2</v>
      </c>
      <c r="K354" s="543">
        <v>243908574</v>
      </c>
    </row>
    <row r="355" spans="2:11" x14ac:dyDescent="0.45">
      <c r="B355" s="514" t="s">
        <v>76</v>
      </c>
      <c r="C355" s="514" t="s">
        <v>516</v>
      </c>
      <c r="D355" s="534" t="s">
        <v>33</v>
      </c>
      <c r="E355" s="534" t="s">
        <v>255</v>
      </c>
      <c r="F355" s="264" t="s">
        <v>545</v>
      </c>
      <c r="G355" s="542" t="s">
        <v>224</v>
      </c>
      <c r="H355" s="537">
        <v>46190</v>
      </c>
      <c r="I355" s="519">
        <v>2840</v>
      </c>
      <c r="J355" s="522">
        <v>1823.5617800299999</v>
      </c>
      <c r="K355" s="543">
        <v>-5178915.4552851999</v>
      </c>
    </row>
    <row r="356" spans="2:11" x14ac:dyDescent="0.45">
      <c r="B356" s="514" t="s">
        <v>76</v>
      </c>
      <c r="C356" s="514" t="s">
        <v>516</v>
      </c>
      <c r="D356" s="534" t="s">
        <v>33</v>
      </c>
      <c r="E356" s="534" t="s">
        <v>255</v>
      </c>
      <c r="F356" s="264" t="s">
        <v>545</v>
      </c>
      <c r="G356" s="542" t="s">
        <v>224</v>
      </c>
      <c r="H356" s="537">
        <v>46191</v>
      </c>
      <c r="I356" s="519">
        <v>2038</v>
      </c>
      <c r="J356" s="522">
        <v>1806.52680068</v>
      </c>
      <c r="K356" s="543">
        <v>-3681701.6197858397</v>
      </c>
    </row>
    <row r="357" spans="2:11" x14ac:dyDescent="0.45">
      <c r="B357" s="514" t="s">
        <v>76</v>
      </c>
      <c r="C357" s="514" t="s">
        <v>516</v>
      </c>
      <c r="D357" s="534" t="s">
        <v>33</v>
      </c>
      <c r="E357" s="534" t="s">
        <v>255</v>
      </c>
      <c r="F357" s="264" t="s">
        <v>545</v>
      </c>
      <c r="G357" s="542" t="s">
        <v>517</v>
      </c>
      <c r="H357" s="537">
        <v>46203</v>
      </c>
      <c r="I357" s="519">
        <v>4878</v>
      </c>
      <c r="J357" s="522">
        <v>1892.45</v>
      </c>
      <c r="K357" s="543">
        <v>9231371.0999999996</v>
      </c>
    </row>
    <row r="358" spans="2:11" x14ac:dyDescent="0.45">
      <c r="B358" s="514" t="s">
        <v>76</v>
      </c>
      <c r="C358" s="520" t="s">
        <v>516</v>
      </c>
      <c r="D358" s="534" t="s">
        <v>33</v>
      </c>
      <c r="E358" s="534" t="s">
        <v>255</v>
      </c>
      <c r="F358" s="554" t="s">
        <v>165</v>
      </c>
      <c r="G358" s="554" t="s">
        <v>224</v>
      </c>
      <c r="H358" s="537">
        <v>45309</v>
      </c>
      <c r="I358" s="519">
        <v>1075</v>
      </c>
      <c r="J358" s="522">
        <v>5588.42</v>
      </c>
      <c r="K358" s="556">
        <v>-6007551.5</v>
      </c>
    </row>
    <row r="359" spans="2:11" x14ac:dyDescent="0.45">
      <c r="B359" s="514" t="s">
        <v>76</v>
      </c>
      <c r="C359" s="520" t="s">
        <v>516</v>
      </c>
      <c r="D359" s="534" t="s">
        <v>33</v>
      </c>
      <c r="E359" s="534" t="s">
        <v>255</v>
      </c>
      <c r="F359" s="554" t="s">
        <v>165</v>
      </c>
      <c r="G359" s="554" t="s">
        <v>519</v>
      </c>
      <c r="H359" s="537">
        <v>45485</v>
      </c>
      <c r="I359" s="519">
        <v>1075</v>
      </c>
      <c r="J359" s="522">
        <v>14</v>
      </c>
      <c r="K359" s="543">
        <v>15050</v>
      </c>
    </row>
    <row r="360" spans="2:11" x14ac:dyDescent="0.45">
      <c r="B360" s="514" t="s">
        <v>76</v>
      </c>
      <c r="C360" s="520" t="s">
        <v>516</v>
      </c>
      <c r="D360" s="534" t="s">
        <v>33</v>
      </c>
      <c r="E360" s="534" t="s">
        <v>255</v>
      </c>
      <c r="F360" s="554" t="s">
        <v>165</v>
      </c>
      <c r="G360" s="554" t="s">
        <v>224</v>
      </c>
      <c r="H360" s="537">
        <v>45799</v>
      </c>
      <c r="I360" s="519">
        <v>1150</v>
      </c>
      <c r="J360" s="522">
        <v>11224.52</v>
      </c>
      <c r="K360" s="556">
        <v>-12908198</v>
      </c>
    </row>
    <row r="361" spans="2:11" x14ac:dyDescent="0.45">
      <c r="B361" s="514" t="s">
        <v>76</v>
      </c>
      <c r="C361" s="520" t="s">
        <v>516</v>
      </c>
      <c r="D361" s="534" t="s">
        <v>33</v>
      </c>
      <c r="E361" s="534" t="s">
        <v>255</v>
      </c>
      <c r="F361" s="554" t="s">
        <v>165</v>
      </c>
      <c r="G361" s="554" t="s">
        <v>224</v>
      </c>
      <c r="H361" s="537">
        <v>45800</v>
      </c>
      <c r="I361" s="519">
        <v>250</v>
      </c>
      <c r="J361" s="522">
        <v>11272.01</v>
      </c>
      <c r="K361" s="556">
        <v>-2818002.5</v>
      </c>
    </row>
    <row r="362" spans="2:11" x14ac:dyDescent="0.45">
      <c r="B362" s="514" t="s">
        <v>76</v>
      </c>
      <c r="C362" s="520" t="s">
        <v>516</v>
      </c>
      <c r="D362" s="534" t="s">
        <v>33</v>
      </c>
      <c r="E362" s="534" t="s">
        <v>255</v>
      </c>
      <c r="F362" s="554" t="s">
        <v>165</v>
      </c>
      <c r="G362" s="554" t="s">
        <v>224</v>
      </c>
      <c r="H362" s="537">
        <v>45804</v>
      </c>
      <c r="I362" s="519">
        <v>1000</v>
      </c>
      <c r="J362" s="522">
        <v>11268.81</v>
      </c>
      <c r="K362" s="556">
        <v>-11268810</v>
      </c>
    </row>
    <row r="363" spans="2:11" x14ac:dyDescent="0.45">
      <c r="B363" s="514" t="s">
        <v>76</v>
      </c>
      <c r="C363" s="520" t="s">
        <v>516</v>
      </c>
      <c r="D363" s="534" t="s">
        <v>33</v>
      </c>
      <c r="E363" s="534" t="s">
        <v>255</v>
      </c>
      <c r="F363" s="554" t="s">
        <v>165</v>
      </c>
      <c r="G363" s="554" t="s">
        <v>224</v>
      </c>
      <c r="H363" s="537">
        <v>45805</v>
      </c>
      <c r="I363" s="519">
        <v>1150</v>
      </c>
      <c r="J363" s="522">
        <v>11136.3</v>
      </c>
      <c r="K363" s="556">
        <v>-12806745</v>
      </c>
    </row>
    <row r="364" spans="2:11" x14ac:dyDescent="0.45">
      <c r="B364" s="514" t="s">
        <v>76</v>
      </c>
      <c r="C364" s="520" t="s">
        <v>516</v>
      </c>
      <c r="D364" s="534" t="s">
        <v>33</v>
      </c>
      <c r="E364" s="534" t="s">
        <v>255</v>
      </c>
      <c r="F364" s="554" t="s">
        <v>165</v>
      </c>
      <c r="G364" s="554" t="s">
        <v>519</v>
      </c>
      <c r="H364" s="537">
        <v>45856</v>
      </c>
      <c r="I364" s="519">
        <v>4625</v>
      </c>
      <c r="J364" s="522">
        <v>12</v>
      </c>
      <c r="K364" s="556">
        <v>55500</v>
      </c>
    </row>
    <row r="365" spans="2:11" x14ac:dyDescent="0.45">
      <c r="B365" s="514" t="s">
        <v>76</v>
      </c>
      <c r="C365" s="514" t="s">
        <v>516</v>
      </c>
      <c r="D365" s="534" t="s">
        <v>33</v>
      </c>
      <c r="E365" s="534" t="s">
        <v>255</v>
      </c>
      <c r="F365" s="554" t="s">
        <v>165</v>
      </c>
      <c r="G365" s="542" t="s">
        <v>517</v>
      </c>
      <c r="H365" s="537">
        <v>46203</v>
      </c>
      <c r="I365" s="519">
        <v>4625</v>
      </c>
      <c r="J365" s="522">
        <v>18630.2</v>
      </c>
      <c r="K365" s="543">
        <v>86164675</v>
      </c>
    </row>
    <row r="366" spans="2:11" x14ac:dyDescent="0.45">
      <c r="B366" s="514" t="s">
        <v>76</v>
      </c>
      <c r="C366" s="514" t="s">
        <v>516</v>
      </c>
      <c r="D366" s="534" t="s">
        <v>33</v>
      </c>
      <c r="E366" s="534" t="s">
        <v>255</v>
      </c>
      <c r="F366" s="264" t="s">
        <v>546</v>
      </c>
      <c r="G366" s="542" t="s">
        <v>224</v>
      </c>
      <c r="H366" s="537">
        <v>46190</v>
      </c>
      <c r="I366" s="519">
        <v>32000</v>
      </c>
      <c r="J366" s="522">
        <v>313.56307969</v>
      </c>
      <c r="K366" s="543">
        <v>-10034018.550079999</v>
      </c>
    </row>
    <row r="367" spans="2:11" x14ac:dyDescent="0.45">
      <c r="B367" s="514" t="s">
        <v>76</v>
      </c>
      <c r="C367" s="514" t="s">
        <v>516</v>
      </c>
      <c r="D367" s="534" t="s">
        <v>33</v>
      </c>
      <c r="E367" s="534" t="s">
        <v>255</v>
      </c>
      <c r="F367" s="264" t="s">
        <v>546</v>
      </c>
      <c r="G367" s="542" t="s">
        <v>517</v>
      </c>
      <c r="H367" s="537">
        <v>46203</v>
      </c>
      <c r="I367" s="519">
        <v>32000</v>
      </c>
      <c r="J367" s="522">
        <v>322.25</v>
      </c>
      <c r="K367" s="543">
        <v>10312000</v>
      </c>
    </row>
    <row r="368" spans="2:11" x14ac:dyDescent="0.45">
      <c r="B368" s="514" t="s">
        <v>76</v>
      </c>
      <c r="C368" s="514" t="s">
        <v>516</v>
      </c>
      <c r="D368" s="534" t="s">
        <v>33</v>
      </c>
      <c r="E368" s="534" t="s">
        <v>255</v>
      </c>
      <c r="F368" s="264" t="s">
        <v>177</v>
      </c>
      <c r="G368" s="535" t="s">
        <v>224</v>
      </c>
      <c r="H368" s="537">
        <v>45469</v>
      </c>
      <c r="I368" s="519">
        <v>1900</v>
      </c>
      <c r="J368" s="522">
        <v>4983.21</v>
      </c>
      <c r="K368" s="541">
        <v>-9468099</v>
      </c>
    </row>
    <row r="369" spans="2:11" x14ac:dyDescent="0.45">
      <c r="B369" s="514" t="s">
        <v>76</v>
      </c>
      <c r="C369" s="514" t="s">
        <v>516</v>
      </c>
      <c r="D369" s="534" t="s">
        <v>33</v>
      </c>
      <c r="E369" s="534" t="s">
        <v>255</v>
      </c>
      <c r="F369" s="264" t="s">
        <v>177</v>
      </c>
      <c r="G369" s="535" t="s">
        <v>519</v>
      </c>
      <c r="H369" s="537">
        <v>45511</v>
      </c>
      <c r="I369" s="519">
        <v>1900</v>
      </c>
      <c r="J369" s="522">
        <v>81.5</v>
      </c>
      <c r="K369" s="543">
        <v>154850</v>
      </c>
    </row>
    <row r="370" spans="2:11" x14ac:dyDescent="0.45">
      <c r="B370" s="514" t="s">
        <v>76</v>
      </c>
      <c r="C370" s="514" t="s">
        <v>516</v>
      </c>
      <c r="D370" s="534" t="s">
        <v>33</v>
      </c>
      <c r="E370" s="534" t="s">
        <v>255</v>
      </c>
      <c r="F370" s="264" t="s">
        <v>177</v>
      </c>
      <c r="G370" s="535" t="s">
        <v>519</v>
      </c>
      <c r="H370" s="537">
        <v>45603</v>
      </c>
      <c r="I370" s="519">
        <v>1900</v>
      </c>
      <c r="J370" s="522">
        <v>63</v>
      </c>
      <c r="K370" s="543">
        <v>119700</v>
      </c>
    </row>
    <row r="371" spans="2:11" x14ac:dyDescent="0.45">
      <c r="B371" s="514" t="s">
        <v>76</v>
      </c>
      <c r="C371" s="514" t="s">
        <v>516</v>
      </c>
      <c r="D371" s="534" t="s">
        <v>33</v>
      </c>
      <c r="E371" s="534" t="s">
        <v>255</v>
      </c>
      <c r="F371" s="264" t="s">
        <v>177</v>
      </c>
      <c r="G371" s="535" t="s">
        <v>519</v>
      </c>
      <c r="H371" s="537">
        <v>45811</v>
      </c>
      <c r="I371" s="519">
        <v>1900</v>
      </c>
      <c r="J371" s="522">
        <v>69</v>
      </c>
      <c r="K371" s="543">
        <v>131100</v>
      </c>
    </row>
    <row r="372" spans="2:11" x14ac:dyDescent="0.45">
      <c r="B372" s="514" t="s">
        <v>76</v>
      </c>
      <c r="C372" s="514" t="s">
        <v>516</v>
      </c>
      <c r="D372" s="534" t="s">
        <v>33</v>
      </c>
      <c r="E372" s="534" t="s">
        <v>255</v>
      </c>
      <c r="F372" s="264" t="s">
        <v>177</v>
      </c>
      <c r="G372" s="535" t="s">
        <v>528</v>
      </c>
      <c r="H372" s="537">
        <v>46018</v>
      </c>
      <c r="I372" s="519">
        <v>7600</v>
      </c>
      <c r="J372" s="522">
        <v>0</v>
      </c>
      <c r="K372" s="543">
        <v>0</v>
      </c>
    </row>
    <row r="373" spans="2:11" x14ac:dyDescent="0.45">
      <c r="B373" s="514" t="s">
        <v>76</v>
      </c>
      <c r="C373" s="514" t="s">
        <v>516</v>
      </c>
      <c r="D373" s="534" t="s">
        <v>33</v>
      </c>
      <c r="E373" s="534" t="s">
        <v>255</v>
      </c>
      <c r="F373" s="264" t="s">
        <v>177</v>
      </c>
      <c r="G373" s="542" t="s">
        <v>517</v>
      </c>
      <c r="H373" s="537">
        <v>46203</v>
      </c>
      <c r="I373" s="519">
        <v>9500</v>
      </c>
      <c r="J373" s="522">
        <v>1806.85</v>
      </c>
      <c r="K373" s="543">
        <v>17165075</v>
      </c>
    </row>
    <row r="374" spans="2:11" ht="23.25" x14ac:dyDescent="0.45">
      <c r="B374" s="515" t="s">
        <v>76</v>
      </c>
      <c r="C374" s="515" t="s">
        <v>520</v>
      </c>
      <c r="D374" s="539" t="s">
        <v>33</v>
      </c>
      <c r="E374" s="539" t="s">
        <v>255</v>
      </c>
      <c r="F374" s="535" t="s">
        <v>292</v>
      </c>
      <c r="G374" s="540" t="s">
        <v>224</v>
      </c>
      <c r="H374" s="537">
        <v>45763</v>
      </c>
      <c r="I374" s="519">
        <v>59000</v>
      </c>
      <c r="J374" s="522">
        <v>170</v>
      </c>
      <c r="K374" s="545">
        <v>-10030000</v>
      </c>
    </row>
    <row r="375" spans="2:11" ht="23.25" x14ac:dyDescent="0.45">
      <c r="B375" s="515" t="s">
        <v>76</v>
      </c>
      <c r="C375" s="515" t="s">
        <v>520</v>
      </c>
      <c r="D375" s="539" t="s">
        <v>33</v>
      </c>
      <c r="E375" s="539" t="s">
        <v>255</v>
      </c>
      <c r="F375" s="535" t="s">
        <v>292</v>
      </c>
      <c r="G375" s="540" t="s">
        <v>517</v>
      </c>
      <c r="H375" s="537">
        <v>46203</v>
      </c>
      <c r="I375" s="519">
        <v>59000</v>
      </c>
      <c r="J375" s="522">
        <v>624.25</v>
      </c>
      <c r="K375" s="545">
        <v>36830750</v>
      </c>
    </row>
    <row r="376" spans="2:11" x14ac:dyDescent="0.45">
      <c r="B376" s="514" t="s">
        <v>77</v>
      </c>
      <c r="C376" s="514" t="s">
        <v>516</v>
      </c>
      <c r="D376" s="534" t="s">
        <v>33</v>
      </c>
      <c r="E376" s="534" t="s">
        <v>255</v>
      </c>
      <c r="F376" s="97" t="s">
        <v>302</v>
      </c>
      <c r="G376" s="536" t="s">
        <v>224</v>
      </c>
      <c r="H376" s="537">
        <v>46098</v>
      </c>
      <c r="I376" s="519">
        <v>175500</v>
      </c>
      <c r="J376" s="522">
        <v>524.99603937999996</v>
      </c>
      <c r="K376" s="538">
        <v>-92136804.911189988</v>
      </c>
    </row>
    <row r="377" spans="2:11" x14ac:dyDescent="0.45">
      <c r="B377" s="514" t="s">
        <v>77</v>
      </c>
      <c r="C377" s="514" t="s">
        <v>516</v>
      </c>
      <c r="D377" s="534" t="s">
        <v>33</v>
      </c>
      <c r="E377" s="534" t="s">
        <v>255</v>
      </c>
      <c r="F377" s="97" t="s">
        <v>302</v>
      </c>
      <c r="G377" s="536" t="s">
        <v>224</v>
      </c>
      <c r="H377" s="537">
        <v>46105</v>
      </c>
      <c r="I377" s="519">
        <v>4500</v>
      </c>
      <c r="J377" s="522">
        <v>502.23117970999999</v>
      </c>
      <c r="K377" s="538">
        <v>-2260040.3086950001</v>
      </c>
    </row>
    <row r="378" spans="2:11" x14ac:dyDescent="0.45">
      <c r="B378" s="514" t="s">
        <v>77</v>
      </c>
      <c r="C378" s="514" t="s">
        <v>516</v>
      </c>
      <c r="D378" s="534" t="s">
        <v>33</v>
      </c>
      <c r="E378" s="534" t="s">
        <v>255</v>
      </c>
      <c r="F378" s="97" t="s">
        <v>302</v>
      </c>
      <c r="G378" s="536" t="s">
        <v>517</v>
      </c>
      <c r="H378" s="537">
        <v>46203</v>
      </c>
      <c r="I378" s="519">
        <v>180000</v>
      </c>
      <c r="J378" s="522">
        <v>557.66999999999996</v>
      </c>
      <c r="K378" s="538">
        <v>100380600</v>
      </c>
    </row>
    <row r="379" spans="2:11" x14ac:dyDescent="0.45">
      <c r="B379" s="514" t="s">
        <v>76</v>
      </c>
      <c r="C379" s="514" t="s">
        <v>529</v>
      </c>
      <c r="D379" s="534" t="s">
        <v>33</v>
      </c>
      <c r="E379" s="534" t="s">
        <v>255</v>
      </c>
      <c r="F379" s="550" t="s">
        <v>290</v>
      </c>
      <c r="G379" s="540" t="s">
        <v>224</v>
      </c>
      <c r="H379" s="537">
        <v>45555</v>
      </c>
      <c r="I379" s="519">
        <v>187778</v>
      </c>
      <c r="J379" s="522">
        <v>450</v>
      </c>
      <c r="K379" s="551">
        <v>-84500100</v>
      </c>
    </row>
    <row r="380" spans="2:11" x14ac:dyDescent="0.45">
      <c r="B380" s="514" t="s">
        <v>76</v>
      </c>
      <c r="C380" s="514" t="s">
        <v>529</v>
      </c>
      <c r="D380" s="534" t="s">
        <v>33</v>
      </c>
      <c r="E380" s="534" t="s">
        <v>255</v>
      </c>
      <c r="F380" s="264" t="s">
        <v>290</v>
      </c>
      <c r="G380" s="540" t="s">
        <v>517</v>
      </c>
      <c r="H380" s="537">
        <v>46203</v>
      </c>
      <c r="I380" s="519">
        <v>187778</v>
      </c>
      <c r="J380" s="522">
        <v>485.5</v>
      </c>
      <c r="K380" s="543">
        <v>91166219</v>
      </c>
    </row>
    <row r="381" spans="2:11" x14ac:dyDescent="0.45">
      <c r="B381" s="514" t="s">
        <v>78</v>
      </c>
      <c r="C381" s="514" t="s">
        <v>529</v>
      </c>
      <c r="D381" s="534" t="s">
        <v>33</v>
      </c>
      <c r="E381" s="534" t="s">
        <v>255</v>
      </c>
      <c r="F381" s="550" t="s">
        <v>290</v>
      </c>
      <c r="G381" s="540" t="s">
        <v>224</v>
      </c>
      <c r="H381" s="537">
        <v>45555</v>
      </c>
      <c r="I381" s="519">
        <v>101111</v>
      </c>
      <c r="J381" s="522">
        <v>450</v>
      </c>
      <c r="K381" s="551">
        <v>-45499950</v>
      </c>
    </row>
    <row r="382" spans="2:11" x14ac:dyDescent="0.45">
      <c r="B382" s="514" t="s">
        <v>78</v>
      </c>
      <c r="C382" s="514" t="s">
        <v>529</v>
      </c>
      <c r="D382" s="534" t="s">
        <v>33</v>
      </c>
      <c r="E382" s="534" t="s">
        <v>255</v>
      </c>
      <c r="F382" s="264" t="s">
        <v>290</v>
      </c>
      <c r="G382" s="540" t="s">
        <v>517</v>
      </c>
      <c r="H382" s="537">
        <v>46203</v>
      </c>
      <c r="I382" s="519">
        <v>101111</v>
      </c>
      <c r="J382" s="522">
        <v>485.5</v>
      </c>
      <c r="K382" s="543">
        <v>49089390.5</v>
      </c>
    </row>
    <row r="383" spans="2:11" x14ac:dyDescent="0.45">
      <c r="B383" s="514" t="s">
        <v>76</v>
      </c>
      <c r="C383" s="514" t="s">
        <v>529</v>
      </c>
      <c r="D383" s="534" t="s">
        <v>33</v>
      </c>
      <c r="E383" s="534" t="s">
        <v>255</v>
      </c>
      <c r="F383" s="535" t="s">
        <v>242</v>
      </c>
      <c r="G383" s="542" t="s">
        <v>224</v>
      </c>
      <c r="H383" s="537">
        <v>46203</v>
      </c>
      <c r="I383" s="519">
        <v>1140</v>
      </c>
      <c r="J383" s="522">
        <v>321</v>
      </c>
      <c r="K383" s="541">
        <v>-365940</v>
      </c>
    </row>
    <row r="384" spans="2:11" x14ac:dyDescent="0.45">
      <c r="B384" s="514" t="s">
        <v>76</v>
      </c>
      <c r="C384" s="514" t="s">
        <v>529</v>
      </c>
      <c r="D384" s="534" t="s">
        <v>33</v>
      </c>
      <c r="E384" s="534" t="s">
        <v>255</v>
      </c>
      <c r="F384" s="535" t="s">
        <v>242</v>
      </c>
      <c r="G384" s="536" t="s">
        <v>517</v>
      </c>
      <c r="H384" s="537">
        <v>46203</v>
      </c>
      <c r="I384" s="519">
        <v>1140</v>
      </c>
      <c r="J384" s="522">
        <v>321</v>
      </c>
      <c r="K384" s="538">
        <v>365940</v>
      </c>
    </row>
    <row r="385" spans="2:11" x14ac:dyDescent="0.45">
      <c r="B385" s="514" t="s">
        <v>76</v>
      </c>
      <c r="C385" s="514" t="s">
        <v>529</v>
      </c>
      <c r="D385" s="534" t="s">
        <v>33</v>
      </c>
      <c r="E385" s="534" t="s">
        <v>255</v>
      </c>
      <c r="F385" s="264" t="s">
        <v>208</v>
      </c>
      <c r="G385" s="542" t="s">
        <v>224</v>
      </c>
      <c r="H385" s="537">
        <v>46203</v>
      </c>
      <c r="I385" s="519">
        <v>1140</v>
      </c>
      <c r="J385" s="522">
        <v>490</v>
      </c>
      <c r="K385" s="541">
        <v>-558600</v>
      </c>
    </row>
    <row r="386" spans="2:11" x14ac:dyDescent="0.45">
      <c r="B386" s="514" t="s">
        <v>76</v>
      </c>
      <c r="C386" s="514" t="s">
        <v>529</v>
      </c>
      <c r="D386" s="534" t="s">
        <v>33</v>
      </c>
      <c r="E386" s="534" t="s">
        <v>255</v>
      </c>
      <c r="F386" s="264" t="s">
        <v>208</v>
      </c>
      <c r="G386" s="536" t="s">
        <v>517</v>
      </c>
      <c r="H386" s="537">
        <v>46203</v>
      </c>
      <c r="I386" s="519">
        <v>1140</v>
      </c>
      <c r="J386" s="522">
        <v>490</v>
      </c>
      <c r="K386" s="538">
        <v>558600</v>
      </c>
    </row>
    <row r="387" spans="2:11" x14ac:dyDescent="0.45">
      <c r="B387" s="514" t="s">
        <v>76</v>
      </c>
      <c r="C387" s="514" t="s">
        <v>529</v>
      </c>
      <c r="D387" s="534" t="s">
        <v>33</v>
      </c>
      <c r="E387" s="534" t="s">
        <v>255</v>
      </c>
      <c r="F387" s="264" t="s">
        <v>209</v>
      </c>
      <c r="G387" s="542" t="s">
        <v>224</v>
      </c>
      <c r="H387" s="537">
        <v>46203</v>
      </c>
      <c r="I387" s="519">
        <v>1850</v>
      </c>
      <c r="J387" s="522">
        <v>614.15</v>
      </c>
      <c r="K387" s="541">
        <v>-1136177.5</v>
      </c>
    </row>
    <row r="388" spans="2:11" x14ac:dyDescent="0.45">
      <c r="B388" s="514" t="s">
        <v>76</v>
      </c>
      <c r="C388" s="514" t="s">
        <v>529</v>
      </c>
      <c r="D388" s="534" t="s">
        <v>33</v>
      </c>
      <c r="E388" s="534" t="s">
        <v>255</v>
      </c>
      <c r="F388" s="264" t="s">
        <v>209</v>
      </c>
      <c r="G388" s="536" t="s">
        <v>517</v>
      </c>
      <c r="H388" s="537">
        <v>46203</v>
      </c>
      <c r="I388" s="519">
        <v>1850</v>
      </c>
      <c r="J388" s="522">
        <v>614.15</v>
      </c>
      <c r="K388" s="538">
        <v>1136177.5</v>
      </c>
    </row>
    <row r="389" spans="2:11" x14ac:dyDescent="0.45">
      <c r="B389" s="520" t="s">
        <v>76</v>
      </c>
      <c r="C389" s="520" t="s">
        <v>529</v>
      </c>
      <c r="D389" s="534" t="s">
        <v>33</v>
      </c>
      <c r="E389" s="534" t="s">
        <v>255</v>
      </c>
      <c r="F389" s="535" t="s">
        <v>341</v>
      </c>
      <c r="G389" s="542" t="s">
        <v>224</v>
      </c>
      <c r="H389" s="537">
        <v>46203</v>
      </c>
      <c r="I389" s="519">
        <v>1850</v>
      </c>
      <c r="J389" s="522">
        <v>22.96</v>
      </c>
      <c r="K389" s="538">
        <v>-42476</v>
      </c>
    </row>
    <row r="390" spans="2:11" x14ac:dyDescent="0.45">
      <c r="B390" s="520" t="s">
        <v>76</v>
      </c>
      <c r="C390" s="520" t="s">
        <v>529</v>
      </c>
      <c r="D390" s="534" t="s">
        <v>33</v>
      </c>
      <c r="E390" s="534" t="s">
        <v>255</v>
      </c>
      <c r="F390" s="535" t="s">
        <v>341</v>
      </c>
      <c r="G390" s="542" t="s">
        <v>517</v>
      </c>
      <c r="H390" s="537">
        <v>46203</v>
      </c>
      <c r="I390" s="519">
        <v>1850</v>
      </c>
      <c r="J390" s="522">
        <v>22.96</v>
      </c>
      <c r="K390" s="538">
        <v>42476</v>
      </c>
    </row>
    <row r="391" spans="2:11" x14ac:dyDescent="0.45">
      <c r="B391" s="514" t="s">
        <v>76</v>
      </c>
      <c r="C391" s="514" t="s">
        <v>516</v>
      </c>
      <c r="D391" s="534" t="s">
        <v>33</v>
      </c>
      <c r="E391" s="534" t="s">
        <v>255</v>
      </c>
      <c r="F391" s="264" t="s">
        <v>301</v>
      </c>
      <c r="G391" s="542" t="s">
        <v>224</v>
      </c>
      <c r="H391" s="537">
        <v>45889</v>
      </c>
      <c r="I391" s="519">
        <v>4360</v>
      </c>
      <c r="J391" s="522">
        <v>1087.1199999999999</v>
      </c>
      <c r="K391" s="543">
        <v>-4739843.1999999993</v>
      </c>
    </row>
    <row r="392" spans="2:11" x14ac:dyDescent="0.45">
      <c r="B392" s="514" t="s">
        <v>76</v>
      </c>
      <c r="C392" s="514" t="s">
        <v>516</v>
      </c>
      <c r="D392" s="534" t="s">
        <v>33</v>
      </c>
      <c r="E392" s="534" t="s">
        <v>255</v>
      </c>
      <c r="F392" s="264" t="s">
        <v>301</v>
      </c>
      <c r="G392" s="542" t="s">
        <v>224</v>
      </c>
      <c r="H392" s="537">
        <v>45890</v>
      </c>
      <c r="I392" s="519">
        <v>1153</v>
      </c>
      <c r="J392" s="522">
        <v>1077.0999999999999</v>
      </c>
      <c r="K392" s="543">
        <v>-1241896.2999999998</v>
      </c>
    </row>
    <row r="393" spans="2:11" x14ac:dyDescent="0.45">
      <c r="B393" s="514" t="s">
        <v>76</v>
      </c>
      <c r="C393" s="514" t="s">
        <v>516</v>
      </c>
      <c r="D393" s="534" t="s">
        <v>33</v>
      </c>
      <c r="E393" s="534" t="s">
        <v>255</v>
      </c>
      <c r="F393" s="264" t="s">
        <v>301</v>
      </c>
      <c r="G393" s="542" t="s">
        <v>224</v>
      </c>
      <c r="H393" s="537">
        <v>45891</v>
      </c>
      <c r="I393" s="519">
        <v>331</v>
      </c>
      <c r="J393" s="522">
        <v>1087.1199999999999</v>
      </c>
      <c r="K393" s="543">
        <v>-359836.72</v>
      </c>
    </row>
    <row r="394" spans="2:11" x14ac:dyDescent="0.45">
      <c r="B394" s="514" t="s">
        <v>76</v>
      </c>
      <c r="C394" s="514" t="s">
        <v>516</v>
      </c>
      <c r="D394" s="534" t="s">
        <v>33</v>
      </c>
      <c r="E394" s="534" t="s">
        <v>255</v>
      </c>
      <c r="F394" s="264" t="s">
        <v>301</v>
      </c>
      <c r="G394" s="542" t="s">
        <v>224</v>
      </c>
      <c r="H394" s="537">
        <v>45894</v>
      </c>
      <c r="I394" s="519">
        <v>6375</v>
      </c>
      <c r="J394" s="522">
        <v>1080.04</v>
      </c>
      <c r="K394" s="543">
        <v>-6885255</v>
      </c>
    </row>
    <row r="395" spans="2:11" x14ac:dyDescent="0.45">
      <c r="B395" s="514" t="s">
        <v>76</v>
      </c>
      <c r="C395" s="514" t="s">
        <v>516</v>
      </c>
      <c r="D395" s="534" t="s">
        <v>33</v>
      </c>
      <c r="E395" s="534" t="s">
        <v>255</v>
      </c>
      <c r="F395" s="264" t="s">
        <v>301</v>
      </c>
      <c r="G395" s="542" t="s">
        <v>519</v>
      </c>
      <c r="H395" s="537">
        <v>45912</v>
      </c>
      <c r="I395" s="519">
        <v>12219</v>
      </c>
      <c r="J395" s="522">
        <v>1</v>
      </c>
      <c r="K395" s="543">
        <v>12219</v>
      </c>
    </row>
    <row r="396" spans="2:11" x14ac:dyDescent="0.45">
      <c r="B396" s="514" t="s">
        <v>76</v>
      </c>
      <c r="C396" s="514" t="s">
        <v>516</v>
      </c>
      <c r="D396" s="534" t="s">
        <v>33</v>
      </c>
      <c r="E396" s="534" t="s">
        <v>255</v>
      </c>
      <c r="F396" s="264" t="s">
        <v>301</v>
      </c>
      <c r="G396" s="542" t="s">
        <v>224</v>
      </c>
      <c r="H396" s="537">
        <v>45926</v>
      </c>
      <c r="I396" s="519">
        <v>8966</v>
      </c>
      <c r="J396" s="522">
        <v>1012.03639672</v>
      </c>
      <c r="K396" s="543">
        <v>-9073918.3329915199</v>
      </c>
    </row>
    <row r="397" spans="2:11" x14ac:dyDescent="0.45">
      <c r="B397" s="514" t="s">
        <v>76</v>
      </c>
      <c r="C397" s="514" t="s">
        <v>516</v>
      </c>
      <c r="D397" s="534" t="s">
        <v>33</v>
      </c>
      <c r="E397" s="534" t="s">
        <v>255</v>
      </c>
      <c r="F397" s="264" t="s">
        <v>301</v>
      </c>
      <c r="G397" s="542" t="s">
        <v>517</v>
      </c>
      <c r="H397" s="537">
        <v>46203</v>
      </c>
      <c r="I397" s="519">
        <v>21185</v>
      </c>
      <c r="J397" s="522">
        <v>1194.3</v>
      </c>
      <c r="K397" s="543">
        <v>25301245.5</v>
      </c>
    </row>
    <row r="398" spans="2:11" x14ac:dyDescent="0.45">
      <c r="B398" s="514" t="s">
        <v>76</v>
      </c>
      <c r="C398" s="514" t="s">
        <v>516</v>
      </c>
      <c r="D398" s="534" t="s">
        <v>33</v>
      </c>
      <c r="E398" s="534" t="s">
        <v>255</v>
      </c>
      <c r="F398" s="554" t="s">
        <v>113</v>
      </c>
      <c r="G398" s="554" t="s">
        <v>224</v>
      </c>
      <c r="H398" s="537">
        <v>45119</v>
      </c>
      <c r="I398" s="519">
        <v>12750</v>
      </c>
      <c r="J398" s="522">
        <v>1162.05</v>
      </c>
      <c r="K398" s="556">
        <v>-14816137.5</v>
      </c>
    </row>
    <row r="399" spans="2:11" x14ac:dyDescent="0.45">
      <c r="B399" s="514" t="s">
        <v>76</v>
      </c>
      <c r="C399" s="514" t="s">
        <v>516</v>
      </c>
      <c r="D399" s="534" t="s">
        <v>33</v>
      </c>
      <c r="E399" s="534" t="s">
        <v>255</v>
      </c>
      <c r="F399" s="554" t="s">
        <v>113</v>
      </c>
      <c r="G399" s="554" t="s">
        <v>519</v>
      </c>
      <c r="H399" s="537">
        <v>45128</v>
      </c>
      <c r="I399" s="519">
        <v>12750</v>
      </c>
      <c r="J399" s="522">
        <v>32</v>
      </c>
      <c r="K399" s="543">
        <v>408000</v>
      </c>
    </row>
    <row r="400" spans="2:11" x14ac:dyDescent="0.45">
      <c r="B400" s="514" t="s">
        <v>76</v>
      </c>
      <c r="C400" s="514" t="s">
        <v>516</v>
      </c>
      <c r="D400" s="534" t="s">
        <v>33</v>
      </c>
      <c r="E400" s="534" t="s">
        <v>255</v>
      </c>
      <c r="F400" s="554" t="s">
        <v>113</v>
      </c>
      <c r="G400" s="554" t="s">
        <v>224</v>
      </c>
      <c r="H400" s="537">
        <v>45225</v>
      </c>
      <c r="I400" s="519">
        <v>9000</v>
      </c>
      <c r="J400" s="522">
        <v>1108.82052686</v>
      </c>
      <c r="K400" s="556">
        <v>-9979384.7417399995</v>
      </c>
    </row>
    <row r="401" spans="2:11" x14ac:dyDescent="0.45">
      <c r="B401" s="514" t="s">
        <v>76</v>
      </c>
      <c r="C401" s="514" t="s">
        <v>516</v>
      </c>
      <c r="D401" s="534" t="s">
        <v>33</v>
      </c>
      <c r="E401" s="534" t="s">
        <v>255</v>
      </c>
      <c r="F401" s="554" t="s">
        <v>113</v>
      </c>
      <c r="G401" s="554" t="s">
        <v>519</v>
      </c>
      <c r="H401" s="537">
        <v>45232</v>
      </c>
      <c r="I401" s="519">
        <v>21750</v>
      </c>
      <c r="J401" s="522">
        <v>12</v>
      </c>
      <c r="K401" s="543">
        <v>261000</v>
      </c>
    </row>
    <row r="402" spans="2:11" x14ac:dyDescent="0.45">
      <c r="B402" s="514" t="s">
        <v>76</v>
      </c>
      <c r="C402" s="514" t="s">
        <v>516</v>
      </c>
      <c r="D402" s="534" t="s">
        <v>33</v>
      </c>
      <c r="E402" s="534" t="s">
        <v>255</v>
      </c>
      <c r="F402" s="554" t="s">
        <v>113</v>
      </c>
      <c r="G402" s="554" t="s">
        <v>519</v>
      </c>
      <c r="H402" s="537">
        <v>45492</v>
      </c>
      <c r="I402" s="519">
        <v>21750</v>
      </c>
      <c r="J402" s="522">
        <v>28</v>
      </c>
      <c r="K402" s="543">
        <v>609000</v>
      </c>
    </row>
    <row r="403" spans="2:11" x14ac:dyDescent="0.45">
      <c r="B403" s="514" t="s">
        <v>76</v>
      </c>
      <c r="C403" s="514" t="s">
        <v>516</v>
      </c>
      <c r="D403" s="534" t="s">
        <v>33</v>
      </c>
      <c r="E403" s="534" t="s">
        <v>255</v>
      </c>
      <c r="F403" s="554" t="s">
        <v>113</v>
      </c>
      <c r="G403" s="554" t="s">
        <v>519</v>
      </c>
      <c r="H403" s="537">
        <v>45596</v>
      </c>
      <c r="I403" s="519">
        <v>21750</v>
      </c>
      <c r="J403" s="522">
        <v>15</v>
      </c>
      <c r="K403" s="543">
        <v>326250</v>
      </c>
    </row>
    <row r="404" spans="2:11" x14ac:dyDescent="0.45">
      <c r="B404" s="514" t="s">
        <v>76</v>
      </c>
      <c r="C404" s="514" t="s">
        <v>516</v>
      </c>
      <c r="D404" s="534" t="s">
        <v>33</v>
      </c>
      <c r="E404" s="534" t="s">
        <v>255</v>
      </c>
      <c r="F404" s="554" t="s">
        <v>113</v>
      </c>
      <c r="G404" s="554" t="s">
        <v>519</v>
      </c>
      <c r="H404" s="537">
        <v>45842</v>
      </c>
      <c r="I404" s="519">
        <v>21750</v>
      </c>
      <c r="J404" s="522">
        <v>30</v>
      </c>
      <c r="K404" s="543">
        <v>652500</v>
      </c>
    </row>
    <row r="405" spans="2:11" x14ac:dyDescent="0.45">
      <c r="B405" s="514" t="s">
        <v>76</v>
      </c>
      <c r="C405" s="514" t="s">
        <v>516</v>
      </c>
      <c r="D405" s="534" t="s">
        <v>33</v>
      </c>
      <c r="E405" s="534" t="s">
        <v>255</v>
      </c>
      <c r="F405" s="554" t="s">
        <v>113</v>
      </c>
      <c r="G405" s="554" t="s">
        <v>519</v>
      </c>
      <c r="H405" s="537">
        <v>45950</v>
      </c>
      <c r="I405" s="519">
        <v>21750</v>
      </c>
      <c r="J405" s="522">
        <v>15</v>
      </c>
      <c r="K405" s="543">
        <v>326250</v>
      </c>
    </row>
    <row r="406" spans="2:11" x14ac:dyDescent="0.45">
      <c r="B406" s="514" t="s">
        <v>76</v>
      </c>
      <c r="C406" s="514" t="s">
        <v>516</v>
      </c>
      <c r="D406" s="534" t="s">
        <v>33</v>
      </c>
      <c r="E406" s="534" t="s">
        <v>255</v>
      </c>
      <c r="F406" s="554" t="s">
        <v>113</v>
      </c>
      <c r="G406" s="542" t="s">
        <v>517</v>
      </c>
      <c r="H406" s="537">
        <v>46203</v>
      </c>
      <c r="I406" s="519">
        <v>21750</v>
      </c>
      <c r="J406" s="522">
        <v>1405.2</v>
      </c>
      <c r="K406" s="543">
        <v>30563100</v>
      </c>
    </row>
    <row r="407" spans="2:11" x14ac:dyDescent="0.45">
      <c r="B407" s="514" t="s">
        <v>76</v>
      </c>
      <c r="C407" s="514" t="s">
        <v>529</v>
      </c>
      <c r="D407" s="534" t="s">
        <v>33</v>
      </c>
      <c r="E407" s="534" t="s">
        <v>255</v>
      </c>
      <c r="F407" s="264" t="s">
        <v>210</v>
      </c>
      <c r="G407" s="542" t="s">
        <v>224</v>
      </c>
      <c r="H407" s="537">
        <v>45491</v>
      </c>
      <c r="I407" s="519">
        <v>177000</v>
      </c>
      <c r="J407" s="522">
        <v>238.52398042020005</v>
      </c>
      <c r="K407" s="541">
        <v>-42218744.534375407</v>
      </c>
    </row>
    <row r="408" spans="2:11" x14ac:dyDescent="0.45">
      <c r="B408" s="514" t="s">
        <v>76</v>
      </c>
      <c r="C408" s="514" t="s">
        <v>529</v>
      </c>
      <c r="D408" s="534" t="s">
        <v>33</v>
      </c>
      <c r="E408" s="534" t="s">
        <v>255</v>
      </c>
      <c r="F408" s="264" t="s">
        <v>210</v>
      </c>
      <c r="G408" s="542" t="s">
        <v>519</v>
      </c>
      <c r="H408" s="537">
        <v>45506</v>
      </c>
      <c r="I408" s="519">
        <v>177000</v>
      </c>
      <c r="J408" s="522">
        <v>4</v>
      </c>
      <c r="K408" s="538">
        <v>708000</v>
      </c>
    </row>
    <row r="409" spans="2:11" x14ac:dyDescent="0.45">
      <c r="B409" s="514" t="s">
        <v>76</v>
      </c>
      <c r="C409" s="514" t="s">
        <v>529</v>
      </c>
      <c r="D409" s="534" t="s">
        <v>33</v>
      </c>
      <c r="E409" s="534" t="s">
        <v>255</v>
      </c>
      <c r="F409" s="264" t="s">
        <v>210</v>
      </c>
      <c r="G409" s="542" t="s">
        <v>519</v>
      </c>
      <c r="H409" s="537">
        <v>45545</v>
      </c>
      <c r="I409" s="519">
        <v>177000</v>
      </c>
      <c r="J409" s="522">
        <v>20</v>
      </c>
      <c r="K409" s="538">
        <v>3540000</v>
      </c>
    </row>
    <row r="410" spans="2:11" x14ac:dyDescent="0.45">
      <c r="B410" s="514" t="s">
        <v>76</v>
      </c>
      <c r="C410" s="514" t="s">
        <v>529</v>
      </c>
      <c r="D410" s="534" t="s">
        <v>33</v>
      </c>
      <c r="E410" s="534" t="s">
        <v>255</v>
      </c>
      <c r="F410" s="264" t="s">
        <v>210</v>
      </c>
      <c r="G410" s="542" t="s">
        <v>519</v>
      </c>
      <c r="H410" s="537">
        <v>45650</v>
      </c>
      <c r="I410" s="519">
        <v>177000</v>
      </c>
      <c r="J410" s="522">
        <v>8.5</v>
      </c>
      <c r="K410" s="538">
        <v>1504500</v>
      </c>
    </row>
    <row r="411" spans="2:11" x14ac:dyDescent="0.45">
      <c r="B411" s="514" t="s">
        <v>76</v>
      </c>
      <c r="C411" s="514" t="s">
        <v>529</v>
      </c>
      <c r="D411" s="534" t="s">
        <v>33</v>
      </c>
      <c r="E411" s="534" t="s">
        <v>255</v>
      </c>
      <c r="F411" s="264" t="s">
        <v>210</v>
      </c>
      <c r="G411" s="542" t="s">
        <v>519</v>
      </c>
      <c r="H411" s="537">
        <v>45832</v>
      </c>
      <c r="I411" s="519">
        <v>177000</v>
      </c>
      <c r="J411" s="522">
        <v>7</v>
      </c>
      <c r="K411" s="538">
        <v>1239000</v>
      </c>
    </row>
    <row r="412" spans="2:11" x14ac:dyDescent="0.45">
      <c r="B412" s="514" t="s">
        <v>76</v>
      </c>
      <c r="C412" s="514" t="s">
        <v>529</v>
      </c>
      <c r="D412" s="534" t="s">
        <v>33</v>
      </c>
      <c r="E412" s="534" t="s">
        <v>255</v>
      </c>
      <c r="F412" s="264" t="s">
        <v>210</v>
      </c>
      <c r="G412" s="542" t="s">
        <v>519</v>
      </c>
      <c r="H412" s="537">
        <v>45895</v>
      </c>
      <c r="I412" s="519">
        <v>177000</v>
      </c>
      <c r="J412" s="522">
        <v>16</v>
      </c>
      <c r="K412" s="538">
        <v>2832000</v>
      </c>
    </row>
    <row r="413" spans="2:11" x14ac:dyDescent="0.45">
      <c r="B413" s="514" t="s">
        <v>76</v>
      </c>
      <c r="C413" s="514" t="s">
        <v>529</v>
      </c>
      <c r="D413" s="534" t="s">
        <v>33</v>
      </c>
      <c r="E413" s="534" t="s">
        <v>255</v>
      </c>
      <c r="F413" s="264" t="s">
        <v>210</v>
      </c>
      <c r="G413" s="542" t="s">
        <v>519</v>
      </c>
      <c r="H413" s="537">
        <v>46108</v>
      </c>
      <c r="I413" s="519">
        <v>177000</v>
      </c>
      <c r="J413" s="522">
        <v>11</v>
      </c>
      <c r="K413" s="538">
        <v>1947000</v>
      </c>
    </row>
    <row r="414" spans="2:11" x14ac:dyDescent="0.45">
      <c r="B414" s="514" t="s">
        <v>76</v>
      </c>
      <c r="C414" s="514" t="s">
        <v>529</v>
      </c>
      <c r="D414" s="534" t="s">
        <v>33</v>
      </c>
      <c r="E414" s="534" t="s">
        <v>255</v>
      </c>
      <c r="F414" s="264" t="s">
        <v>210</v>
      </c>
      <c r="G414" s="536" t="s">
        <v>517</v>
      </c>
      <c r="H414" s="537">
        <v>46203</v>
      </c>
      <c r="I414" s="519">
        <v>177000</v>
      </c>
      <c r="J414" s="522">
        <v>280.8</v>
      </c>
      <c r="K414" s="538">
        <v>49701600</v>
      </c>
    </row>
    <row r="415" spans="2:11" x14ac:dyDescent="0.45">
      <c r="B415" s="514" t="s">
        <v>76</v>
      </c>
      <c r="C415" s="514" t="s">
        <v>516</v>
      </c>
      <c r="D415" s="534" t="s">
        <v>33</v>
      </c>
      <c r="E415" s="534" t="s">
        <v>255</v>
      </c>
      <c r="F415" s="554" t="s">
        <v>210</v>
      </c>
      <c r="G415" s="542" t="s">
        <v>224</v>
      </c>
      <c r="H415" s="537">
        <v>45895</v>
      </c>
      <c r="I415" s="519">
        <v>115000</v>
      </c>
      <c r="J415" s="522">
        <v>226.03029000000004</v>
      </c>
      <c r="K415" s="543">
        <v>-25993483.350000005</v>
      </c>
    </row>
    <row r="416" spans="2:11" x14ac:dyDescent="0.45">
      <c r="B416" s="514" t="s">
        <v>76</v>
      </c>
      <c r="C416" s="514" t="s">
        <v>516</v>
      </c>
      <c r="D416" s="534" t="s">
        <v>33</v>
      </c>
      <c r="E416" s="534" t="s">
        <v>255</v>
      </c>
      <c r="F416" s="554" t="s">
        <v>210</v>
      </c>
      <c r="G416" s="542" t="s">
        <v>519</v>
      </c>
      <c r="H416" s="537">
        <v>46108</v>
      </c>
      <c r="I416" s="519">
        <v>115000</v>
      </c>
      <c r="J416" s="522">
        <v>11</v>
      </c>
      <c r="K416" s="543">
        <v>1265000</v>
      </c>
    </row>
    <row r="417" spans="2:11" x14ac:dyDescent="0.45">
      <c r="B417" s="514" t="s">
        <v>76</v>
      </c>
      <c r="C417" s="514" t="s">
        <v>516</v>
      </c>
      <c r="D417" s="534" t="s">
        <v>33</v>
      </c>
      <c r="E417" s="534" t="s">
        <v>255</v>
      </c>
      <c r="F417" s="554" t="s">
        <v>210</v>
      </c>
      <c r="G417" s="542" t="s">
        <v>517</v>
      </c>
      <c r="H417" s="537">
        <v>46203</v>
      </c>
      <c r="I417" s="519">
        <v>115000</v>
      </c>
      <c r="J417" s="522">
        <v>280.8</v>
      </c>
      <c r="K417" s="543">
        <v>32292000</v>
      </c>
    </row>
    <row r="418" spans="2:11" x14ac:dyDescent="0.45">
      <c r="B418" s="514" t="s">
        <v>76</v>
      </c>
      <c r="C418" s="514" t="s">
        <v>529</v>
      </c>
      <c r="D418" s="534" t="s">
        <v>33</v>
      </c>
      <c r="E418" s="534" t="s">
        <v>255</v>
      </c>
      <c r="F418" s="264" t="s">
        <v>473</v>
      </c>
      <c r="G418" s="542" t="s">
        <v>224</v>
      </c>
      <c r="H418" s="537">
        <v>46143</v>
      </c>
      <c r="I418" s="519">
        <v>115000</v>
      </c>
      <c r="J418" s="522">
        <v>50.151023146447834</v>
      </c>
      <c r="K418" s="543">
        <v>-5767367.6618415006</v>
      </c>
    </row>
    <row r="419" spans="2:11" x14ac:dyDescent="0.45">
      <c r="B419" s="514" t="s">
        <v>76</v>
      </c>
      <c r="C419" s="514" t="s">
        <v>529</v>
      </c>
      <c r="D419" s="534" t="s">
        <v>33</v>
      </c>
      <c r="E419" s="534" t="s">
        <v>255</v>
      </c>
      <c r="F419" s="264" t="s">
        <v>473</v>
      </c>
      <c r="G419" s="542" t="s">
        <v>517</v>
      </c>
      <c r="H419" s="537">
        <v>46203</v>
      </c>
      <c r="I419" s="519">
        <v>115000</v>
      </c>
      <c r="J419" s="522">
        <v>450.4</v>
      </c>
      <c r="K419" s="543">
        <v>51796000</v>
      </c>
    </row>
    <row r="420" spans="2:11" x14ac:dyDescent="0.45">
      <c r="B420" s="514" t="s">
        <v>76</v>
      </c>
      <c r="C420" s="514" t="s">
        <v>516</v>
      </c>
      <c r="D420" s="534" t="s">
        <v>33</v>
      </c>
      <c r="E420" s="534" t="s">
        <v>255</v>
      </c>
      <c r="F420" s="264" t="s">
        <v>473</v>
      </c>
      <c r="G420" s="542" t="s">
        <v>224</v>
      </c>
      <c r="H420" s="537">
        <v>45895</v>
      </c>
      <c r="I420" s="519">
        <v>115000</v>
      </c>
      <c r="J420" s="522">
        <v>30.877275000000004</v>
      </c>
      <c r="K420" s="543">
        <v>-3550886.6250000005</v>
      </c>
    </row>
    <row r="421" spans="2:11" x14ac:dyDescent="0.45">
      <c r="B421" s="514" t="s">
        <v>76</v>
      </c>
      <c r="C421" s="514" t="s">
        <v>516</v>
      </c>
      <c r="D421" s="534" t="s">
        <v>33</v>
      </c>
      <c r="E421" s="534" t="s">
        <v>255</v>
      </c>
      <c r="F421" s="264" t="s">
        <v>473</v>
      </c>
      <c r="G421" s="542" t="s">
        <v>517</v>
      </c>
      <c r="H421" s="537">
        <v>46203</v>
      </c>
      <c r="I421" s="519">
        <v>115000</v>
      </c>
      <c r="J421" s="522">
        <v>450.4</v>
      </c>
      <c r="K421" s="543">
        <v>51796000</v>
      </c>
    </row>
    <row r="422" spans="2:11" x14ac:dyDescent="0.45">
      <c r="B422" s="514" t="s">
        <v>76</v>
      </c>
      <c r="C422" s="514" t="s">
        <v>529</v>
      </c>
      <c r="D422" s="534" t="s">
        <v>33</v>
      </c>
      <c r="E422" s="534" t="s">
        <v>255</v>
      </c>
      <c r="F422" s="264" t="s">
        <v>474</v>
      </c>
      <c r="G422" s="542" t="s">
        <v>224</v>
      </c>
      <c r="H422" s="537">
        <v>46143</v>
      </c>
      <c r="I422" s="519">
        <v>115000</v>
      </c>
      <c r="J422" s="522">
        <v>47.625936666346959</v>
      </c>
      <c r="K422" s="543">
        <v>-5476982.7166299</v>
      </c>
    </row>
    <row r="423" spans="2:11" x14ac:dyDescent="0.45">
      <c r="B423" s="514" t="s">
        <v>76</v>
      </c>
      <c r="C423" s="514" t="s">
        <v>529</v>
      </c>
      <c r="D423" s="534" t="s">
        <v>33</v>
      </c>
      <c r="E423" s="534" t="s">
        <v>255</v>
      </c>
      <c r="F423" s="264" t="s">
        <v>474</v>
      </c>
      <c r="G423" s="542" t="s">
        <v>517</v>
      </c>
      <c r="H423" s="537">
        <v>46203</v>
      </c>
      <c r="I423" s="519">
        <v>115000</v>
      </c>
      <c r="J423" s="522">
        <v>35.25</v>
      </c>
      <c r="K423" s="543">
        <v>4053750</v>
      </c>
    </row>
    <row r="424" spans="2:11" x14ac:dyDescent="0.45">
      <c r="B424" s="514" t="s">
        <v>76</v>
      </c>
      <c r="C424" s="514" t="s">
        <v>516</v>
      </c>
      <c r="D424" s="534" t="s">
        <v>33</v>
      </c>
      <c r="E424" s="534" t="s">
        <v>255</v>
      </c>
      <c r="F424" s="264" t="s">
        <v>474</v>
      </c>
      <c r="G424" s="542" t="s">
        <v>224</v>
      </c>
      <c r="H424" s="537">
        <v>45895</v>
      </c>
      <c r="I424" s="519">
        <v>115000</v>
      </c>
      <c r="J424" s="522">
        <v>29.322615000000003</v>
      </c>
      <c r="K424" s="543">
        <v>-3372100.7250000001</v>
      </c>
    </row>
    <row r="425" spans="2:11" x14ac:dyDescent="0.45">
      <c r="B425" s="514" t="s">
        <v>76</v>
      </c>
      <c r="C425" s="514" t="s">
        <v>516</v>
      </c>
      <c r="D425" s="534" t="s">
        <v>33</v>
      </c>
      <c r="E425" s="534" t="s">
        <v>255</v>
      </c>
      <c r="F425" s="264" t="s">
        <v>474</v>
      </c>
      <c r="G425" s="542" t="s">
        <v>517</v>
      </c>
      <c r="H425" s="537">
        <v>46203</v>
      </c>
      <c r="I425" s="519">
        <v>115000</v>
      </c>
      <c r="J425" s="522">
        <v>35.25</v>
      </c>
      <c r="K425" s="543">
        <v>4053750</v>
      </c>
    </row>
    <row r="426" spans="2:11" x14ac:dyDescent="0.45">
      <c r="B426" s="514" t="s">
        <v>76</v>
      </c>
      <c r="C426" s="514" t="s">
        <v>529</v>
      </c>
      <c r="D426" s="534" t="s">
        <v>33</v>
      </c>
      <c r="E426" s="534" t="s">
        <v>255</v>
      </c>
      <c r="F426" s="264" t="s">
        <v>471</v>
      </c>
      <c r="G426" s="542" t="s">
        <v>224</v>
      </c>
      <c r="H426" s="537">
        <v>45895</v>
      </c>
      <c r="I426" s="519">
        <v>115000</v>
      </c>
      <c r="J426" s="522">
        <v>150.31278685711564</v>
      </c>
      <c r="K426" s="543">
        <v>-17285970.488568299</v>
      </c>
    </row>
    <row r="427" spans="2:11" x14ac:dyDescent="0.45">
      <c r="B427" s="514" t="s">
        <v>76</v>
      </c>
      <c r="C427" s="514" t="s">
        <v>529</v>
      </c>
      <c r="D427" s="534" t="s">
        <v>33</v>
      </c>
      <c r="E427" s="534" t="s">
        <v>255</v>
      </c>
      <c r="F427" s="264" t="s">
        <v>471</v>
      </c>
      <c r="G427" s="542" t="s">
        <v>517</v>
      </c>
      <c r="H427" s="537">
        <v>46203</v>
      </c>
      <c r="I427" s="519">
        <v>115000</v>
      </c>
      <c r="J427" s="522">
        <v>32.299999999999997</v>
      </c>
      <c r="K427" s="543">
        <v>3714499.9999999995</v>
      </c>
    </row>
    <row r="428" spans="2:11" x14ac:dyDescent="0.45">
      <c r="B428" s="514" t="s">
        <v>76</v>
      </c>
      <c r="C428" s="514" t="s">
        <v>516</v>
      </c>
      <c r="D428" s="534" t="s">
        <v>33</v>
      </c>
      <c r="E428" s="534" t="s">
        <v>255</v>
      </c>
      <c r="F428" s="264" t="s">
        <v>471</v>
      </c>
      <c r="G428" s="542" t="s">
        <v>224</v>
      </c>
      <c r="H428" s="537">
        <v>45895</v>
      </c>
      <c r="I428" s="519">
        <v>115000</v>
      </c>
      <c r="J428" s="522">
        <v>92.804564999999997</v>
      </c>
      <c r="K428" s="543">
        <v>-10672524.975</v>
      </c>
    </row>
    <row r="429" spans="2:11" x14ac:dyDescent="0.45">
      <c r="B429" s="514" t="s">
        <v>76</v>
      </c>
      <c r="C429" s="514" t="s">
        <v>516</v>
      </c>
      <c r="D429" s="534" t="s">
        <v>33</v>
      </c>
      <c r="E429" s="534" t="s">
        <v>255</v>
      </c>
      <c r="F429" s="264" t="s">
        <v>471</v>
      </c>
      <c r="G429" s="542" t="s">
        <v>517</v>
      </c>
      <c r="H429" s="537">
        <v>46203</v>
      </c>
      <c r="I429" s="519">
        <v>115000</v>
      </c>
      <c r="J429" s="522">
        <v>32.299999999999997</v>
      </c>
      <c r="K429" s="543">
        <v>3714499.9999999995</v>
      </c>
    </row>
    <row r="430" spans="2:11" x14ac:dyDescent="0.45">
      <c r="B430" s="514" t="s">
        <v>76</v>
      </c>
      <c r="C430" s="514" t="s">
        <v>529</v>
      </c>
      <c r="D430" s="534" t="s">
        <v>33</v>
      </c>
      <c r="E430" s="534" t="s">
        <v>255</v>
      </c>
      <c r="F430" s="264" t="s">
        <v>472</v>
      </c>
      <c r="G430" s="542" t="s">
        <v>224</v>
      </c>
      <c r="H430" s="537">
        <v>46143</v>
      </c>
      <c r="I430" s="519">
        <v>115000</v>
      </c>
      <c r="J430" s="522">
        <v>85.782799032315665</v>
      </c>
      <c r="K430" s="543">
        <v>-9865021.8887163009</v>
      </c>
    </row>
    <row r="431" spans="2:11" x14ac:dyDescent="0.45">
      <c r="B431" s="514" t="s">
        <v>76</v>
      </c>
      <c r="C431" s="514" t="s">
        <v>529</v>
      </c>
      <c r="D431" s="534" t="s">
        <v>33</v>
      </c>
      <c r="E431" s="534" t="s">
        <v>255</v>
      </c>
      <c r="F431" s="264" t="s">
        <v>472</v>
      </c>
      <c r="G431" s="542" t="s">
        <v>517</v>
      </c>
      <c r="H431" s="537">
        <v>46203</v>
      </c>
      <c r="I431" s="519">
        <v>115000</v>
      </c>
      <c r="J431" s="522">
        <v>40.299999999999997</v>
      </c>
      <c r="K431" s="543">
        <v>4634500</v>
      </c>
    </row>
    <row r="432" spans="2:11" x14ac:dyDescent="0.45">
      <c r="B432" s="514" t="s">
        <v>76</v>
      </c>
      <c r="C432" s="514" t="s">
        <v>516</v>
      </c>
      <c r="D432" s="534" t="s">
        <v>33</v>
      </c>
      <c r="E432" s="534" t="s">
        <v>255</v>
      </c>
      <c r="F432" s="264" t="s">
        <v>472</v>
      </c>
      <c r="G432" s="542" t="s">
        <v>224</v>
      </c>
      <c r="H432" s="537">
        <v>45895</v>
      </c>
      <c r="I432" s="519">
        <v>115000</v>
      </c>
      <c r="J432" s="522">
        <v>52.815255000000001</v>
      </c>
      <c r="K432" s="543">
        <v>-6073754.3250000002</v>
      </c>
    </row>
    <row r="433" spans="2:11" x14ac:dyDescent="0.45">
      <c r="B433" s="514" t="s">
        <v>76</v>
      </c>
      <c r="C433" s="514" t="s">
        <v>516</v>
      </c>
      <c r="D433" s="534" t="s">
        <v>33</v>
      </c>
      <c r="E433" s="534" t="s">
        <v>255</v>
      </c>
      <c r="F433" s="264" t="s">
        <v>472</v>
      </c>
      <c r="G433" s="542" t="s">
        <v>517</v>
      </c>
      <c r="H433" s="537">
        <v>46203</v>
      </c>
      <c r="I433" s="519">
        <v>115000</v>
      </c>
      <c r="J433" s="522">
        <v>40.299999999999997</v>
      </c>
      <c r="K433" s="543">
        <v>4634500</v>
      </c>
    </row>
    <row r="434" spans="2:11" x14ac:dyDescent="0.45">
      <c r="B434" s="514" t="s">
        <v>76</v>
      </c>
      <c r="C434" s="514" t="s">
        <v>520</v>
      </c>
      <c r="D434" s="534" t="s">
        <v>33</v>
      </c>
      <c r="E434" s="534" t="s">
        <v>255</v>
      </c>
      <c r="F434" s="550" t="s">
        <v>203</v>
      </c>
      <c r="G434" s="540" t="s">
        <v>224</v>
      </c>
      <c r="H434" s="537">
        <v>45397</v>
      </c>
      <c r="I434" s="519">
        <v>138462</v>
      </c>
      <c r="J434" s="522">
        <v>72.222848146061736</v>
      </c>
      <c r="K434" s="551">
        <v>-10000120</v>
      </c>
    </row>
    <row r="435" spans="2:11" x14ac:dyDescent="0.45">
      <c r="B435" s="514" t="s">
        <v>76</v>
      </c>
      <c r="C435" s="514" t="s">
        <v>520</v>
      </c>
      <c r="D435" s="534" t="s">
        <v>33</v>
      </c>
      <c r="E435" s="534" t="s">
        <v>255</v>
      </c>
      <c r="F435" s="550" t="s">
        <v>203</v>
      </c>
      <c r="G435" s="536" t="s">
        <v>225</v>
      </c>
      <c r="H435" s="537">
        <v>46197</v>
      </c>
      <c r="I435" s="519">
        <v>12000</v>
      </c>
      <c r="J435" s="522">
        <v>833.34333333333336</v>
      </c>
      <c r="K435" s="551">
        <v>-10000120</v>
      </c>
    </row>
    <row r="436" spans="2:11" x14ac:dyDescent="0.45">
      <c r="B436" s="514" t="s">
        <v>76</v>
      </c>
      <c r="C436" s="514" t="s">
        <v>520</v>
      </c>
      <c r="D436" s="534" t="s">
        <v>33</v>
      </c>
      <c r="E436" s="534" t="s">
        <v>255</v>
      </c>
      <c r="F436" s="550" t="s">
        <v>203</v>
      </c>
      <c r="G436" s="536" t="s">
        <v>225</v>
      </c>
      <c r="H436" s="537">
        <v>46198</v>
      </c>
      <c r="I436" s="519">
        <v>5000</v>
      </c>
      <c r="J436" s="522">
        <v>2000.0239999999999</v>
      </c>
      <c r="K436" s="551">
        <v>-10000120</v>
      </c>
    </row>
    <row r="437" spans="2:11" x14ac:dyDescent="0.45">
      <c r="B437" s="514" t="s">
        <v>76</v>
      </c>
      <c r="C437" s="514" t="s">
        <v>520</v>
      </c>
      <c r="D437" s="534" t="s">
        <v>33</v>
      </c>
      <c r="E437" s="534" t="s">
        <v>255</v>
      </c>
      <c r="F437" s="550" t="s">
        <v>203</v>
      </c>
      <c r="G437" s="536" t="s">
        <v>225</v>
      </c>
      <c r="H437" s="537">
        <v>46203</v>
      </c>
      <c r="I437" s="519">
        <v>5000</v>
      </c>
      <c r="J437" s="522">
        <v>2000.0239999999999</v>
      </c>
      <c r="K437" s="551">
        <v>-10000120</v>
      </c>
    </row>
    <row r="438" spans="2:11" x14ac:dyDescent="0.45">
      <c r="B438" s="514" t="s">
        <v>76</v>
      </c>
      <c r="C438" s="515" t="s">
        <v>520</v>
      </c>
      <c r="D438" s="534" t="s">
        <v>33</v>
      </c>
      <c r="E438" s="534" t="s">
        <v>255</v>
      </c>
      <c r="F438" s="264" t="s">
        <v>203</v>
      </c>
      <c r="G438" s="540" t="s">
        <v>517</v>
      </c>
      <c r="H438" s="537">
        <v>46203</v>
      </c>
      <c r="I438" s="519">
        <v>116462</v>
      </c>
      <c r="J438" s="522">
        <v>876.45</v>
      </c>
      <c r="K438" s="543">
        <v>102073119.90000001</v>
      </c>
    </row>
    <row r="439" spans="2:11" x14ac:dyDescent="0.45">
      <c r="B439" s="514" t="s">
        <v>76</v>
      </c>
      <c r="C439" s="514" t="s">
        <v>516</v>
      </c>
      <c r="D439" s="534" t="s">
        <v>33</v>
      </c>
      <c r="E439" s="534" t="s">
        <v>255</v>
      </c>
      <c r="F439" s="264" t="s">
        <v>159</v>
      </c>
      <c r="G439" s="554" t="s">
        <v>224</v>
      </c>
      <c r="H439" s="537">
        <v>45191</v>
      </c>
      <c r="I439" s="519">
        <v>50000</v>
      </c>
      <c r="J439" s="522">
        <v>164.33</v>
      </c>
      <c r="K439" s="556">
        <v>-8216500.0000000009</v>
      </c>
    </row>
    <row r="440" spans="2:11" x14ac:dyDescent="0.45">
      <c r="B440" s="514" t="s">
        <v>76</v>
      </c>
      <c r="C440" s="514" t="s">
        <v>516</v>
      </c>
      <c r="D440" s="534" t="s">
        <v>33</v>
      </c>
      <c r="E440" s="534" t="s">
        <v>255</v>
      </c>
      <c r="F440" s="264" t="s">
        <v>159</v>
      </c>
      <c r="G440" s="542" t="s">
        <v>517</v>
      </c>
      <c r="H440" s="537">
        <v>46203</v>
      </c>
      <c r="I440" s="519">
        <v>50000</v>
      </c>
      <c r="J440" s="522">
        <v>207.05</v>
      </c>
      <c r="K440" s="543">
        <v>10352500</v>
      </c>
    </row>
    <row r="441" spans="2:11" x14ac:dyDescent="0.45">
      <c r="B441" s="520" t="s">
        <v>79</v>
      </c>
      <c r="C441" s="514" t="s">
        <v>516</v>
      </c>
      <c r="D441" s="534" t="s">
        <v>33</v>
      </c>
      <c r="E441" s="534" t="s">
        <v>255</v>
      </c>
      <c r="F441" s="554" t="s">
        <v>159</v>
      </c>
      <c r="G441" s="542" t="s">
        <v>224</v>
      </c>
      <c r="H441" s="537">
        <v>45602</v>
      </c>
      <c r="I441" s="519">
        <v>12000</v>
      </c>
      <c r="J441" s="522">
        <v>418.12</v>
      </c>
      <c r="K441" s="541">
        <v>-5017440</v>
      </c>
    </row>
    <row r="442" spans="2:11" x14ac:dyDescent="0.45">
      <c r="B442" s="520" t="s">
        <v>79</v>
      </c>
      <c r="C442" s="514" t="s">
        <v>516</v>
      </c>
      <c r="D442" s="534" t="s">
        <v>33</v>
      </c>
      <c r="E442" s="534" t="s">
        <v>255</v>
      </c>
      <c r="F442" s="554" t="s">
        <v>159</v>
      </c>
      <c r="G442" s="542" t="s">
        <v>517</v>
      </c>
      <c r="H442" s="537">
        <v>46203</v>
      </c>
      <c r="I442" s="519">
        <v>12000</v>
      </c>
      <c r="J442" s="522">
        <v>207.05</v>
      </c>
      <c r="K442" s="543">
        <v>2484600</v>
      </c>
    </row>
    <row r="443" spans="2:11" x14ac:dyDescent="0.45">
      <c r="B443" s="514" t="s">
        <v>76</v>
      </c>
      <c r="C443" s="514" t="s">
        <v>516</v>
      </c>
      <c r="D443" s="534" t="s">
        <v>33</v>
      </c>
      <c r="E443" s="534" t="s">
        <v>15</v>
      </c>
      <c r="F443" s="557" t="s">
        <v>232</v>
      </c>
      <c r="G443" s="542" t="s">
        <v>224</v>
      </c>
      <c r="H443" s="537">
        <v>45712</v>
      </c>
      <c r="I443" s="519">
        <v>4716</v>
      </c>
      <c r="J443" s="522">
        <v>31810</v>
      </c>
      <c r="K443" s="541">
        <v>-150015960</v>
      </c>
    </row>
    <row r="444" spans="2:11" x14ac:dyDescent="0.45">
      <c r="B444" s="514" t="s">
        <v>76</v>
      </c>
      <c r="C444" s="514" t="s">
        <v>516</v>
      </c>
      <c r="D444" s="534" t="s">
        <v>33</v>
      </c>
      <c r="E444" s="534" t="s">
        <v>15</v>
      </c>
      <c r="F444" s="264" t="s">
        <v>232</v>
      </c>
      <c r="G444" s="542" t="s">
        <v>517</v>
      </c>
      <c r="H444" s="537">
        <v>45869</v>
      </c>
      <c r="I444" s="519">
        <v>4716</v>
      </c>
      <c r="J444" s="522">
        <v>48406.52173913044</v>
      </c>
      <c r="K444" s="541">
        <v>228285156.52173916</v>
      </c>
    </row>
    <row r="445" spans="2:11" x14ac:dyDescent="0.45">
      <c r="B445" s="514" t="s">
        <v>77</v>
      </c>
      <c r="C445" s="514" t="s">
        <v>516</v>
      </c>
      <c r="D445" s="534" t="s">
        <v>33</v>
      </c>
      <c r="E445" s="534" t="s">
        <v>19</v>
      </c>
      <c r="F445" s="535" t="s">
        <v>111</v>
      </c>
      <c r="G445" s="536" t="s">
        <v>224</v>
      </c>
      <c r="H445" s="537">
        <v>45139</v>
      </c>
      <c r="I445" s="519">
        <v>242412.122</v>
      </c>
      <c r="J445" s="522">
        <v>82.5</v>
      </c>
      <c r="K445" s="538">
        <v>-19999000.065000001</v>
      </c>
    </row>
    <row r="446" spans="2:11" x14ac:dyDescent="0.45">
      <c r="B446" s="514" t="s">
        <v>77</v>
      </c>
      <c r="C446" s="514" t="s">
        <v>516</v>
      </c>
      <c r="D446" s="534" t="s">
        <v>33</v>
      </c>
      <c r="E446" s="534" t="s">
        <v>19</v>
      </c>
      <c r="F446" s="535" t="s">
        <v>111</v>
      </c>
      <c r="G446" s="536" t="s">
        <v>517</v>
      </c>
      <c r="H446" s="537">
        <v>46203</v>
      </c>
      <c r="I446" s="519">
        <v>242412.122</v>
      </c>
      <c r="J446" s="522">
        <v>110.59</v>
      </c>
      <c r="K446" s="538">
        <v>26808356.57198</v>
      </c>
    </row>
    <row r="447" spans="2:11" x14ac:dyDescent="0.45">
      <c r="B447" s="514" t="s">
        <v>79</v>
      </c>
      <c r="C447" s="514" t="s">
        <v>516</v>
      </c>
      <c r="D447" s="534" t="s">
        <v>33</v>
      </c>
      <c r="E447" s="534" t="s">
        <v>19</v>
      </c>
      <c r="F447" s="535" t="s">
        <v>111</v>
      </c>
      <c r="G447" s="535" t="s">
        <v>224</v>
      </c>
      <c r="H447" s="537">
        <v>45082</v>
      </c>
      <c r="I447" s="519">
        <v>126644.526</v>
      </c>
      <c r="J447" s="522">
        <v>79</v>
      </c>
      <c r="K447" s="541">
        <v>-10004917.554</v>
      </c>
    </row>
    <row r="448" spans="2:11" x14ac:dyDescent="0.45">
      <c r="B448" s="514" t="s">
        <v>79</v>
      </c>
      <c r="C448" s="514" t="s">
        <v>516</v>
      </c>
      <c r="D448" s="534" t="s">
        <v>33</v>
      </c>
      <c r="E448" s="534" t="s">
        <v>19</v>
      </c>
      <c r="F448" s="535" t="s">
        <v>111</v>
      </c>
      <c r="G448" s="535" t="s">
        <v>224</v>
      </c>
      <c r="H448" s="537">
        <v>45100</v>
      </c>
      <c r="I448" s="519">
        <v>126086.174</v>
      </c>
      <c r="J448" s="522">
        <v>79.36</v>
      </c>
      <c r="K448" s="541">
        <v>-10006198.76864</v>
      </c>
    </row>
    <row r="449" spans="2:11" x14ac:dyDescent="0.45">
      <c r="B449" s="514" t="s">
        <v>79</v>
      </c>
      <c r="C449" s="514" t="s">
        <v>516</v>
      </c>
      <c r="D449" s="534" t="s">
        <v>33</v>
      </c>
      <c r="E449" s="534" t="s">
        <v>19</v>
      </c>
      <c r="F449" s="535" t="s">
        <v>111</v>
      </c>
      <c r="G449" s="536" t="s">
        <v>224</v>
      </c>
      <c r="H449" s="537">
        <v>45195</v>
      </c>
      <c r="I449" s="519">
        <v>140365.25099999999</v>
      </c>
      <c r="J449" s="522">
        <v>82.95</v>
      </c>
      <c r="K449" s="541">
        <v>-11643297.570449999</v>
      </c>
    </row>
    <row r="450" spans="2:11" x14ac:dyDescent="0.45">
      <c r="B450" s="514" t="s">
        <v>79</v>
      </c>
      <c r="C450" s="514" t="s">
        <v>516</v>
      </c>
      <c r="D450" s="534" t="s">
        <v>33</v>
      </c>
      <c r="E450" s="534" t="s">
        <v>19</v>
      </c>
      <c r="F450" s="535" t="s">
        <v>111</v>
      </c>
      <c r="G450" s="536" t="s">
        <v>517</v>
      </c>
      <c r="H450" s="537">
        <v>46203</v>
      </c>
      <c r="I450" s="519">
        <v>393095.951</v>
      </c>
      <c r="J450" s="522">
        <v>110.59</v>
      </c>
      <c r="K450" s="538">
        <v>43472481.221090004</v>
      </c>
    </row>
    <row r="451" spans="2:11" x14ac:dyDescent="0.45">
      <c r="B451" s="514" t="s">
        <v>78</v>
      </c>
      <c r="C451" s="514" t="s">
        <v>516</v>
      </c>
      <c r="D451" s="534" t="s">
        <v>33</v>
      </c>
      <c r="E451" s="534" t="s">
        <v>19</v>
      </c>
      <c r="F451" s="547" t="s">
        <v>111</v>
      </c>
      <c r="G451" s="536" t="s">
        <v>224</v>
      </c>
      <c r="H451" s="537">
        <v>45224</v>
      </c>
      <c r="I451" s="519">
        <v>183499.511</v>
      </c>
      <c r="J451" s="522">
        <v>81.739999999999995</v>
      </c>
      <c r="K451" s="538">
        <v>-14999250.029139999</v>
      </c>
    </row>
    <row r="452" spans="2:11" x14ac:dyDescent="0.45">
      <c r="B452" s="514" t="s">
        <v>78</v>
      </c>
      <c r="C452" s="514" t="s">
        <v>516</v>
      </c>
      <c r="D452" s="534" t="s">
        <v>33</v>
      </c>
      <c r="E452" s="534" t="s">
        <v>19</v>
      </c>
      <c r="F452" s="547" t="s">
        <v>111</v>
      </c>
      <c r="G452" s="536" t="s">
        <v>517</v>
      </c>
      <c r="H452" s="537">
        <v>46203</v>
      </c>
      <c r="I452" s="519">
        <v>183499.511</v>
      </c>
      <c r="J452" s="522">
        <v>110.59</v>
      </c>
      <c r="K452" s="538">
        <v>20293210.921489999</v>
      </c>
    </row>
    <row r="453" spans="2:11" x14ac:dyDescent="0.45">
      <c r="B453" s="514" t="s">
        <v>76</v>
      </c>
      <c r="C453" s="514" t="s">
        <v>530</v>
      </c>
      <c r="D453" s="534" t="s">
        <v>33</v>
      </c>
      <c r="E453" s="534" t="s">
        <v>19</v>
      </c>
      <c r="F453" s="554" t="s">
        <v>111</v>
      </c>
      <c r="G453" s="536" t="s">
        <v>224</v>
      </c>
      <c r="H453" s="537">
        <v>45988</v>
      </c>
      <c r="I453" s="519">
        <v>1618023.03</v>
      </c>
      <c r="J453" s="522">
        <v>124.86</v>
      </c>
      <c r="K453" s="538">
        <v>-202026355.52579999</v>
      </c>
    </row>
    <row r="454" spans="2:11" x14ac:dyDescent="0.45">
      <c r="B454" s="514" t="s">
        <v>76</v>
      </c>
      <c r="C454" s="514" t="s">
        <v>530</v>
      </c>
      <c r="D454" s="534" t="s">
        <v>33</v>
      </c>
      <c r="E454" s="534" t="s">
        <v>19</v>
      </c>
      <c r="F454" s="554" t="s">
        <v>111</v>
      </c>
      <c r="G454" s="536" t="s">
        <v>517</v>
      </c>
      <c r="H454" s="537">
        <v>46203</v>
      </c>
      <c r="I454" s="519">
        <v>1618023.03</v>
      </c>
      <c r="J454" s="522">
        <v>126.85</v>
      </c>
      <c r="K454" s="538">
        <v>205246221.35549998</v>
      </c>
    </row>
    <row r="455" spans="2:11" x14ac:dyDescent="0.45">
      <c r="B455" s="514" t="s">
        <v>78</v>
      </c>
      <c r="C455" s="514" t="s">
        <v>530</v>
      </c>
      <c r="D455" s="534" t="s">
        <v>33</v>
      </c>
      <c r="E455" s="534" t="s">
        <v>19</v>
      </c>
      <c r="F455" s="97" t="s">
        <v>278</v>
      </c>
      <c r="G455" s="535" t="s">
        <v>224</v>
      </c>
      <c r="H455" s="537">
        <v>45497</v>
      </c>
      <c r="I455" s="519">
        <v>27779.277999999998</v>
      </c>
      <c r="J455" s="522">
        <v>540.05899999999997</v>
      </c>
      <c r="K455" s="541">
        <v>-15002449.097401999</v>
      </c>
    </row>
    <row r="456" spans="2:11" x14ac:dyDescent="0.45">
      <c r="B456" s="514" t="s">
        <v>78</v>
      </c>
      <c r="C456" s="514" t="s">
        <v>530</v>
      </c>
      <c r="D456" s="534" t="s">
        <v>33</v>
      </c>
      <c r="E456" s="534" t="s">
        <v>19</v>
      </c>
      <c r="F456" s="97" t="s">
        <v>278</v>
      </c>
      <c r="G456" s="536" t="s">
        <v>517</v>
      </c>
      <c r="H456" s="537">
        <v>46203</v>
      </c>
      <c r="I456" s="519">
        <v>27779.277999999998</v>
      </c>
      <c r="J456" s="522">
        <v>564.48699999999997</v>
      </c>
      <c r="K456" s="538">
        <v>15681041.300385999</v>
      </c>
    </row>
    <row r="457" spans="2:11" x14ac:dyDescent="0.45">
      <c r="B457" s="514" t="s">
        <v>76</v>
      </c>
      <c r="C457" s="514" t="s">
        <v>523</v>
      </c>
      <c r="D457" s="534" t="s">
        <v>33</v>
      </c>
      <c r="E457" s="534" t="s">
        <v>19</v>
      </c>
      <c r="F457" s="554" t="s">
        <v>278</v>
      </c>
      <c r="G457" s="542" t="s">
        <v>224</v>
      </c>
      <c r="H457" s="537">
        <v>44776</v>
      </c>
      <c r="I457" s="519">
        <v>83001.862999999998</v>
      </c>
      <c r="J457" s="522">
        <v>301.18299999999999</v>
      </c>
      <c r="K457" s="543">
        <v>-24998750.103928998</v>
      </c>
    </row>
    <row r="458" spans="2:11" x14ac:dyDescent="0.45">
      <c r="B458" s="514" t="s">
        <v>76</v>
      </c>
      <c r="C458" s="514" t="s">
        <v>523</v>
      </c>
      <c r="D458" s="534" t="s">
        <v>33</v>
      </c>
      <c r="E458" s="534" t="s">
        <v>19</v>
      </c>
      <c r="F458" s="535" t="s">
        <v>278</v>
      </c>
      <c r="G458" s="542" t="s">
        <v>517</v>
      </c>
      <c r="H458" s="537">
        <v>46203</v>
      </c>
      <c r="I458" s="519">
        <v>83001.862999999998</v>
      </c>
      <c r="J458" s="522">
        <v>519.40300000000002</v>
      </c>
      <c r="K458" s="543">
        <v>43111416.647789001</v>
      </c>
    </row>
    <row r="459" spans="2:11" x14ac:dyDescent="0.45">
      <c r="B459" s="514" t="s">
        <v>79</v>
      </c>
      <c r="C459" s="514" t="s">
        <v>523</v>
      </c>
      <c r="D459" s="534" t="s">
        <v>33</v>
      </c>
      <c r="E459" s="534" t="s">
        <v>19</v>
      </c>
      <c r="F459" s="535" t="s">
        <v>278</v>
      </c>
      <c r="G459" s="536" t="s">
        <v>224</v>
      </c>
      <c r="H459" s="537">
        <v>44778</v>
      </c>
      <c r="I459" s="519">
        <v>49917.631999999998</v>
      </c>
      <c r="J459" s="522">
        <v>300.48</v>
      </c>
      <c r="K459" s="538">
        <v>-14999250.06336</v>
      </c>
    </row>
    <row r="460" spans="2:11" x14ac:dyDescent="0.45">
      <c r="B460" s="514" t="s">
        <v>79</v>
      </c>
      <c r="C460" s="514" t="s">
        <v>523</v>
      </c>
      <c r="D460" s="534" t="s">
        <v>33</v>
      </c>
      <c r="E460" s="534" t="s">
        <v>19</v>
      </c>
      <c r="F460" s="535" t="s">
        <v>278</v>
      </c>
      <c r="G460" s="536" t="s">
        <v>517</v>
      </c>
      <c r="H460" s="537">
        <v>46203</v>
      </c>
      <c r="I460" s="519">
        <v>49917.631999999998</v>
      </c>
      <c r="J460" s="522">
        <v>519.40300000000002</v>
      </c>
      <c r="K460" s="538">
        <v>25927367.813696001</v>
      </c>
    </row>
    <row r="461" spans="2:11" x14ac:dyDescent="0.45">
      <c r="B461" s="514" t="s">
        <v>79</v>
      </c>
      <c r="C461" s="514" t="s">
        <v>523</v>
      </c>
      <c r="D461" s="534" t="s">
        <v>33</v>
      </c>
      <c r="E461" s="534" t="s">
        <v>19</v>
      </c>
      <c r="F461" s="535" t="s">
        <v>278</v>
      </c>
      <c r="G461" s="536" t="s">
        <v>224</v>
      </c>
      <c r="H461" s="537">
        <v>44700</v>
      </c>
      <c r="I461" s="519">
        <v>5395.5110000000004</v>
      </c>
      <c r="J461" s="522">
        <v>277.995</v>
      </c>
      <c r="K461" s="538">
        <v>-1499925.0804450002</v>
      </c>
    </row>
    <row r="462" spans="2:11" x14ac:dyDescent="0.45">
      <c r="B462" s="514" t="s">
        <v>79</v>
      </c>
      <c r="C462" s="514" t="s">
        <v>523</v>
      </c>
      <c r="D462" s="534" t="s">
        <v>33</v>
      </c>
      <c r="E462" s="534" t="s">
        <v>19</v>
      </c>
      <c r="F462" s="535" t="s">
        <v>278</v>
      </c>
      <c r="G462" s="536" t="s">
        <v>224</v>
      </c>
      <c r="H462" s="537">
        <v>45118</v>
      </c>
      <c r="I462" s="519">
        <v>64382.332999999999</v>
      </c>
      <c r="J462" s="522">
        <v>357.22300000000001</v>
      </c>
      <c r="K462" s="541">
        <v>-22998850.141259</v>
      </c>
    </row>
    <row r="463" spans="2:11" x14ac:dyDescent="0.45">
      <c r="B463" s="514" t="s">
        <v>79</v>
      </c>
      <c r="C463" s="514" t="s">
        <v>523</v>
      </c>
      <c r="D463" s="534" t="s">
        <v>33</v>
      </c>
      <c r="E463" s="534" t="s">
        <v>19</v>
      </c>
      <c r="F463" s="535" t="s">
        <v>278</v>
      </c>
      <c r="G463" s="536" t="s">
        <v>224</v>
      </c>
      <c r="H463" s="537">
        <v>45226</v>
      </c>
      <c r="I463" s="519">
        <v>39730.587</v>
      </c>
      <c r="J463" s="522">
        <v>377.524</v>
      </c>
      <c r="K463" s="541">
        <v>-14999250.126588</v>
      </c>
    </row>
    <row r="464" spans="2:11" x14ac:dyDescent="0.45">
      <c r="B464" s="514" t="s">
        <v>79</v>
      </c>
      <c r="C464" s="514" t="s">
        <v>523</v>
      </c>
      <c r="D464" s="534" t="s">
        <v>33</v>
      </c>
      <c r="E464" s="534" t="s">
        <v>19</v>
      </c>
      <c r="F464" s="535" t="s">
        <v>278</v>
      </c>
      <c r="G464" s="536" t="s">
        <v>225</v>
      </c>
      <c r="H464" s="537">
        <v>46195</v>
      </c>
      <c r="I464" s="519">
        <v>63345.7</v>
      </c>
      <c r="J464" s="522">
        <v>521.58699999999999</v>
      </c>
      <c r="K464" s="541">
        <v>33040293.625899997</v>
      </c>
    </row>
    <row r="465" spans="2:11" x14ac:dyDescent="0.45">
      <c r="B465" s="514" t="s">
        <v>79</v>
      </c>
      <c r="C465" s="514" t="s">
        <v>523</v>
      </c>
      <c r="D465" s="534" t="s">
        <v>33</v>
      </c>
      <c r="E465" s="534" t="s">
        <v>19</v>
      </c>
      <c r="F465" s="535" t="s">
        <v>278</v>
      </c>
      <c r="G465" s="536" t="s">
        <v>517</v>
      </c>
      <c r="H465" s="537">
        <v>46203</v>
      </c>
      <c r="I465" s="519">
        <v>46162.731</v>
      </c>
      <c r="J465" s="522">
        <v>519.40300000000002</v>
      </c>
      <c r="K465" s="538">
        <v>23977060.969593</v>
      </c>
    </row>
    <row r="466" spans="2:11" ht="23.25" x14ac:dyDescent="0.45">
      <c r="B466" s="515" t="s">
        <v>76</v>
      </c>
      <c r="C466" s="514" t="s">
        <v>530</v>
      </c>
      <c r="D466" s="539" t="s">
        <v>33</v>
      </c>
      <c r="E466" s="539" t="s">
        <v>19</v>
      </c>
      <c r="F466" s="535" t="s">
        <v>279</v>
      </c>
      <c r="G466" s="535" t="s">
        <v>224</v>
      </c>
      <c r="H466" s="537">
        <v>46029</v>
      </c>
      <c r="I466" s="519">
        <v>2170488.1370000001</v>
      </c>
      <c r="J466" s="522">
        <v>87.44</v>
      </c>
      <c r="K466" s="541">
        <v>-189787482.69927999</v>
      </c>
    </row>
    <row r="467" spans="2:11" ht="23.25" x14ac:dyDescent="0.45">
      <c r="B467" s="515" t="s">
        <v>76</v>
      </c>
      <c r="C467" s="514" t="s">
        <v>530</v>
      </c>
      <c r="D467" s="539" t="s">
        <v>33</v>
      </c>
      <c r="E467" s="539" t="s">
        <v>19</v>
      </c>
      <c r="F467" s="535" t="s">
        <v>279</v>
      </c>
      <c r="G467" s="540" t="s">
        <v>517</v>
      </c>
      <c r="H467" s="537">
        <v>46203</v>
      </c>
      <c r="I467" s="519">
        <v>2170488.1370000001</v>
      </c>
      <c r="J467" s="522">
        <v>86.54</v>
      </c>
      <c r="K467" s="541">
        <v>187834043.37598002</v>
      </c>
    </row>
    <row r="468" spans="2:11" x14ac:dyDescent="0.45">
      <c r="B468" s="514" t="s">
        <v>78</v>
      </c>
      <c r="C468" s="514" t="s">
        <v>530</v>
      </c>
      <c r="D468" s="534" t="s">
        <v>33</v>
      </c>
      <c r="E468" s="534" t="s">
        <v>19</v>
      </c>
      <c r="F468" s="97" t="s">
        <v>279</v>
      </c>
      <c r="G468" s="535" t="s">
        <v>224</v>
      </c>
      <c r="H468" s="537">
        <v>45497</v>
      </c>
      <c r="I468" s="519">
        <v>262503.98800000001</v>
      </c>
      <c r="J468" s="522">
        <v>76.2</v>
      </c>
      <c r="K468" s="541">
        <v>-20002803.885600001</v>
      </c>
    </row>
    <row r="469" spans="2:11" x14ac:dyDescent="0.45">
      <c r="B469" s="514" t="s">
        <v>78</v>
      </c>
      <c r="C469" s="514" t="s">
        <v>530</v>
      </c>
      <c r="D469" s="534" t="s">
        <v>33</v>
      </c>
      <c r="E469" s="534" t="s">
        <v>19</v>
      </c>
      <c r="F469" s="97" t="s">
        <v>279</v>
      </c>
      <c r="G469" s="535" t="s">
        <v>225</v>
      </c>
      <c r="H469" s="537">
        <v>46195</v>
      </c>
      <c r="I469" s="519">
        <v>115647.045</v>
      </c>
      <c r="J469" s="522">
        <v>86.78</v>
      </c>
      <c r="K469" s="541">
        <v>10035850.565099999</v>
      </c>
    </row>
    <row r="470" spans="2:11" x14ac:dyDescent="0.45">
      <c r="B470" s="514" t="s">
        <v>78</v>
      </c>
      <c r="C470" s="514" t="s">
        <v>530</v>
      </c>
      <c r="D470" s="534" t="s">
        <v>33</v>
      </c>
      <c r="E470" s="534" t="s">
        <v>19</v>
      </c>
      <c r="F470" s="97" t="s">
        <v>279</v>
      </c>
      <c r="G470" s="536" t="s">
        <v>517</v>
      </c>
      <c r="H470" s="537">
        <v>46203</v>
      </c>
      <c r="I470" s="519">
        <v>146856.94300000003</v>
      </c>
      <c r="J470" s="522">
        <v>86.54</v>
      </c>
      <c r="K470" s="538">
        <v>12708999.847220004</v>
      </c>
    </row>
    <row r="471" spans="2:11" x14ac:dyDescent="0.45">
      <c r="B471" s="514" t="s">
        <v>79</v>
      </c>
      <c r="C471" s="514" t="s">
        <v>523</v>
      </c>
      <c r="D471" s="534" t="s">
        <v>33</v>
      </c>
      <c r="E471" s="534" t="s">
        <v>19</v>
      </c>
      <c r="F471" s="535" t="s">
        <v>279</v>
      </c>
      <c r="G471" s="536" t="s">
        <v>224</v>
      </c>
      <c r="H471" s="537">
        <v>44831</v>
      </c>
      <c r="I471" s="519">
        <v>293240.46999999997</v>
      </c>
      <c r="J471" s="522">
        <v>51.15</v>
      </c>
      <c r="K471" s="538">
        <v>-14999250.040499998</v>
      </c>
    </row>
    <row r="472" spans="2:11" x14ac:dyDescent="0.45">
      <c r="B472" s="514" t="s">
        <v>79</v>
      </c>
      <c r="C472" s="514" t="s">
        <v>523</v>
      </c>
      <c r="D472" s="534" t="s">
        <v>33</v>
      </c>
      <c r="E472" s="534" t="s">
        <v>19</v>
      </c>
      <c r="F472" s="560" t="s">
        <v>279</v>
      </c>
      <c r="G472" s="536" t="s">
        <v>517</v>
      </c>
      <c r="H472" s="537">
        <v>46203</v>
      </c>
      <c r="I472" s="519">
        <v>293240.46999999997</v>
      </c>
      <c r="J472" s="522">
        <v>77.17</v>
      </c>
      <c r="K472" s="538">
        <v>22629367.069899999</v>
      </c>
    </row>
    <row r="473" spans="2:11" x14ac:dyDescent="0.45">
      <c r="B473" s="514" t="s">
        <v>76</v>
      </c>
      <c r="C473" s="514" t="s">
        <v>516</v>
      </c>
      <c r="D473" s="534" t="s">
        <v>33</v>
      </c>
      <c r="E473" s="534" t="s">
        <v>19</v>
      </c>
      <c r="F473" s="535" t="s">
        <v>368</v>
      </c>
      <c r="G473" s="542" t="s">
        <v>224</v>
      </c>
      <c r="H473" s="537">
        <v>45988</v>
      </c>
      <c r="I473" s="519">
        <v>11049240.617000001</v>
      </c>
      <c r="J473" s="522">
        <v>24.98</v>
      </c>
      <c r="K473" s="543">
        <v>-276010030.61265999</v>
      </c>
    </row>
    <row r="474" spans="2:11" x14ac:dyDescent="0.45">
      <c r="B474" s="514" t="s">
        <v>76</v>
      </c>
      <c r="C474" s="514" t="s">
        <v>516</v>
      </c>
      <c r="D474" s="534" t="s">
        <v>33</v>
      </c>
      <c r="E474" s="534" t="s">
        <v>19</v>
      </c>
      <c r="F474" s="535" t="s">
        <v>368</v>
      </c>
      <c r="G474" s="542" t="s">
        <v>225</v>
      </c>
      <c r="H474" s="537">
        <v>46197</v>
      </c>
      <c r="I474" s="519">
        <v>1728990.7520000001</v>
      </c>
      <c r="J474" s="522">
        <v>24.93</v>
      </c>
      <c r="K474" s="543">
        <v>-43103739.447360002</v>
      </c>
    </row>
    <row r="475" spans="2:11" x14ac:dyDescent="0.45">
      <c r="B475" s="514" t="s">
        <v>76</v>
      </c>
      <c r="C475" s="514" t="s">
        <v>516</v>
      </c>
      <c r="D475" s="534" t="s">
        <v>33</v>
      </c>
      <c r="E475" s="534" t="s">
        <v>19</v>
      </c>
      <c r="F475" s="535" t="s">
        <v>368</v>
      </c>
      <c r="G475" s="542" t="s">
        <v>517</v>
      </c>
      <c r="H475" s="537">
        <v>46203</v>
      </c>
      <c r="I475" s="519">
        <v>9320249.8650000002</v>
      </c>
      <c r="J475" s="522">
        <v>24.87</v>
      </c>
      <c r="K475" s="543">
        <v>231794614.14255002</v>
      </c>
    </row>
    <row r="476" spans="2:11" x14ac:dyDescent="0.45">
      <c r="B476" s="514" t="s">
        <v>76</v>
      </c>
      <c r="C476" s="514" t="s">
        <v>516</v>
      </c>
      <c r="D476" s="534" t="s">
        <v>33</v>
      </c>
      <c r="E476" s="534" t="s">
        <v>19</v>
      </c>
      <c r="F476" s="535" t="s">
        <v>180</v>
      </c>
      <c r="G476" s="542" t="s">
        <v>224</v>
      </c>
      <c r="H476" s="537">
        <v>45497</v>
      </c>
      <c r="I476" s="519">
        <v>2814042.7829999998</v>
      </c>
      <c r="J476" s="522">
        <v>12.436999999999999</v>
      </c>
      <c r="K476" s="543">
        <v>-34998250.092170998</v>
      </c>
    </row>
    <row r="477" spans="2:11" x14ac:dyDescent="0.45">
      <c r="B477" s="514" t="s">
        <v>76</v>
      </c>
      <c r="C477" s="514" t="s">
        <v>516</v>
      </c>
      <c r="D477" s="534" t="s">
        <v>33</v>
      </c>
      <c r="E477" s="534" t="s">
        <v>19</v>
      </c>
      <c r="F477" s="535" t="s">
        <v>180</v>
      </c>
      <c r="G477" s="542" t="s">
        <v>224</v>
      </c>
      <c r="H477" s="537">
        <v>45965</v>
      </c>
      <c r="I477" s="519">
        <v>4238181.4139999999</v>
      </c>
      <c r="J477" s="522">
        <v>15.336</v>
      </c>
      <c r="K477" s="543">
        <v>-64996750.165104002</v>
      </c>
    </row>
    <row r="478" spans="2:11" x14ac:dyDescent="0.45">
      <c r="B478" s="514" t="s">
        <v>76</v>
      </c>
      <c r="C478" s="514" t="s">
        <v>516</v>
      </c>
      <c r="D478" s="534" t="s">
        <v>33</v>
      </c>
      <c r="E478" s="534" t="s">
        <v>19</v>
      </c>
      <c r="F478" s="535" t="s">
        <v>180</v>
      </c>
      <c r="G478" s="542" t="s">
        <v>517</v>
      </c>
      <c r="H478" s="537">
        <v>46203</v>
      </c>
      <c r="I478" s="519">
        <v>7052224.1969999997</v>
      </c>
      <c r="J478" s="522">
        <v>16.245000000000001</v>
      </c>
      <c r="K478" s="543">
        <v>114563382.080265</v>
      </c>
    </row>
    <row r="479" spans="2:11" x14ac:dyDescent="0.45">
      <c r="B479" s="514" t="s">
        <v>79</v>
      </c>
      <c r="C479" s="514" t="s">
        <v>516</v>
      </c>
      <c r="D479" s="534" t="s">
        <v>33</v>
      </c>
      <c r="E479" s="534" t="s">
        <v>19</v>
      </c>
      <c r="F479" s="535" t="s">
        <v>180</v>
      </c>
      <c r="G479" s="536" t="s">
        <v>224</v>
      </c>
      <c r="H479" s="537">
        <v>45967</v>
      </c>
      <c r="I479" s="519">
        <v>3915742.08</v>
      </c>
      <c r="J479" s="522">
        <v>15.32</v>
      </c>
      <c r="K479" s="538">
        <v>-59989168.665600002</v>
      </c>
    </row>
    <row r="480" spans="2:11" x14ac:dyDescent="0.45">
      <c r="B480" s="514" t="s">
        <v>79</v>
      </c>
      <c r="C480" s="514" t="s">
        <v>516</v>
      </c>
      <c r="D480" s="534" t="s">
        <v>33</v>
      </c>
      <c r="E480" s="534" t="s">
        <v>19</v>
      </c>
      <c r="F480" s="535" t="s">
        <v>180</v>
      </c>
      <c r="G480" s="536" t="s">
        <v>517</v>
      </c>
      <c r="H480" s="537">
        <v>46203</v>
      </c>
      <c r="I480" s="519">
        <v>3915742.08</v>
      </c>
      <c r="J480" s="522">
        <v>16.245000000000001</v>
      </c>
      <c r="K480" s="538">
        <v>63611230.089600004</v>
      </c>
    </row>
    <row r="481" spans="2:11" x14ac:dyDescent="0.45">
      <c r="B481" s="514" t="s">
        <v>78</v>
      </c>
      <c r="C481" s="514" t="s">
        <v>516</v>
      </c>
      <c r="D481" s="534" t="s">
        <v>33</v>
      </c>
      <c r="E481" s="534" t="s">
        <v>19</v>
      </c>
      <c r="F481" s="535" t="s">
        <v>180</v>
      </c>
      <c r="G481" s="535" t="s">
        <v>224</v>
      </c>
      <c r="H481" s="537">
        <v>45497</v>
      </c>
      <c r="I481" s="519">
        <v>1366820.78</v>
      </c>
      <c r="J481" s="522">
        <v>12.436999999999999</v>
      </c>
      <c r="K481" s="541">
        <v>-16999150.040860001</v>
      </c>
    </row>
    <row r="482" spans="2:11" x14ac:dyDescent="0.45">
      <c r="B482" s="514" t="s">
        <v>78</v>
      </c>
      <c r="C482" s="514" t="s">
        <v>516</v>
      </c>
      <c r="D482" s="534" t="s">
        <v>33</v>
      </c>
      <c r="E482" s="534" t="s">
        <v>19</v>
      </c>
      <c r="F482" s="535" t="s">
        <v>180</v>
      </c>
      <c r="G482" s="542" t="s">
        <v>517</v>
      </c>
      <c r="H482" s="537">
        <v>46203</v>
      </c>
      <c r="I482" s="519">
        <v>1366820.78</v>
      </c>
      <c r="J482" s="522">
        <v>16.245000000000001</v>
      </c>
      <c r="K482" s="538">
        <v>22204003.5711</v>
      </c>
    </row>
    <row r="483" spans="2:11" x14ac:dyDescent="0.45">
      <c r="B483" s="514" t="s">
        <v>78</v>
      </c>
      <c r="C483" s="514" t="s">
        <v>527</v>
      </c>
      <c r="D483" s="534" t="s">
        <v>33</v>
      </c>
      <c r="E483" s="534" t="s">
        <v>486</v>
      </c>
      <c r="F483" s="535" t="s">
        <v>531</v>
      </c>
      <c r="G483" s="535" t="s">
        <v>224</v>
      </c>
      <c r="H483" s="537">
        <v>45910</v>
      </c>
      <c r="I483" s="519">
        <v>12500</v>
      </c>
      <c r="J483" s="522">
        <v>141.61000000000001</v>
      </c>
      <c r="K483" s="538">
        <v>-1770125</v>
      </c>
    </row>
    <row r="484" spans="2:11" x14ac:dyDescent="0.45">
      <c r="B484" s="514" t="s">
        <v>78</v>
      </c>
      <c r="C484" s="514" t="s">
        <v>527</v>
      </c>
      <c r="D484" s="534" t="s">
        <v>33</v>
      </c>
      <c r="E484" s="534" t="s">
        <v>486</v>
      </c>
      <c r="F484" s="535" t="s">
        <v>531</v>
      </c>
      <c r="G484" s="535" t="s">
        <v>225</v>
      </c>
      <c r="H484" s="537">
        <v>46198</v>
      </c>
      <c r="I484" s="519">
        <v>6000</v>
      </c>
      <c r="J484" s="522">
        <v>251.49600000000001</v>
      </c>
      <c r="K484" s="538">
        <v>1508976</v>
      </c>
    </row>
    <row r="485" spans="2:11" x14ac:dyDescent="0.45">
      <c r="B485" s="514" t="s">
        <v>78</v>
      </c>
      <c r="C485" s="514" t="s">
        <v>527</v>
      </c>
      <c r="D485" s="534" t="s">
        <v>33</v>
      </c>
      <c r="E485" s="534" t="s">
        <v>486</v>
      </c>
      <c r="F485" s="535" t="s">
        <v>531</v>
      </c>
      <c r="G485" s="535" t="s">
        <v>517</v>
      </c>
      <c r="H485" s="537">
        <v>46203</v>
      </c>
      <c r="I485" s="519">
        <v>6500</v>
      </c>
      <c r="J485" s="522">
        <v>158.86000000000001</v>
      </c>
      <c r="K485" s="541">
        <v>1032590.0000000001</v>
      </c>
    </row>
    <row r="486" spans="2:11" x14ac:dyDescent="0.45">
      <c r="B486" s="514" t="s">
        <v>78</v>
      </c>
      <c r="C486" s="514" t="s">
        <v>527</v>
      </c>
      <c r="D486" s="534" t="s">
        <v>33</v>
      </c>
      <c r="E486" s="534" t="s">
        <v>486</v>
      </c>
      <c r="F486" s="535" t="s">
        <v>533</v>
      </c>
      <c r="G486" s="535" t="s">
        <v>224</v>
      </c>
      <c r="H486" s="537">
        <v>45721</v>
      </c>
      <c r="I486" s="519">
        <v>3000</v>
      </c>
      <c r="J486" s="522">
        <v>337.58</v>
      </c>
      <c r="K486" s="541">
        <v>-1012740</v>
      </c>
    </row>
    <row r="487" spans="2:11" x14ac:dyDescent="0.45">
      <c r="B487" s="514" t="s">
        <v>78</v>
      </c>
      <c r="C487" s="514" t="s">
        <v>527</v>
      </c>
      <c r="D487" s="534" t="s">
        <v>33</v>
      </c>
      <c r="E487" s="534" t="s">
        <v>486</v>
      </c>
      <c r="F487" s="535" t="s">
        <v>533</v>
      </c>
      <c r="G487" s="535" t="s">
        <v>519</v>
      </c>
      <c r="H487" s="537">
        <v>45862</v>
      </c>
      <c r="I487" s="519">
        <v>3000</v>
      </c>
      <c r="J487" s="522">
        <v>3</v>
      </c>
      <c r="K487" s="541">
        <v>9000</v>
      </c>
    </row>
    <row r="488" spans="2:11" x14ac:dyDescent="0.45">
      <c r="B488" s="514" t="s">
        <v>78</v>
      </c>
      <c r="C488" s="514" t="s">
        <v>527</v>
      </c>
      <c r="D488" s="534" t="s">
        <v>33</v>
      </c>
      <c r="E488" s="534" t="s">
        <v>486</v>
      </c>
      <c r="F488" s="535" t="s">
        <v>533</v>
      </c>
      <c r="G488" s="535" t="s">
        <v>224</v>
      </c>
      <c r="H488" s="537">
        <v>45973</v>
      </c>
      <c r="I488" s="519">
        <v>2000</v>
      </c>
      <c r="J488" s="522">
        <v>278.92649999999998</v>
      </c>
      <c r="K488" s="541">
        <v>-557853</v>
      </c>
    </row>
    <row r="489" spans="2:11" x14ac:dyDescent="0.45">
      <c r="B489" s="514" t="s">
        <v>78</v>
      </c>
      <c r="C489" s="514" t="s">
        <v>527</v>
      </c>
      <c r="D489" s="534" t="s">
        <v>33</v>
      </c>
      <c r="E489" s="534" t="s">
        <v>486</v>
      </c>
      <c r="F489" s="535" t="s">
        <v>533</v>
      </c>
      <c r="G489" s="536" t="s">
        <v>517</v>
      </c>
      <c r="H489" s="537">
        <v>46203</v>
      </c>
      <c r="I489" s="519">
        <v>5000</v>
      </c>
      <c r="J489" s="522">
        <v>274.89999999999998</v>
      </c>
      <c r="K489" s="538">
        <v>1374500</v>
      </c>
    </row>
    <row r="490" spans="2:11" x14ac:dyDescent="0.45">
      <c r="B490" s="520" t="s">
        <v>78</v>
      </c>
      <c r="C490" s="520" t="s">
        <v>527</v>
      </c>
      <c r="D490" s="534" t="s">
        <v>33</v>
      </c>
      <c r="E490" s="534" t="s">
        <v>486</v>
      </c>
      <c r="F490" s="535" t="s">
        <v>534</v>
      </c>
      <c r="G490" s="535" t="s">
        <v>224</v>
      </c>
      <c r="H490" s="537">
        <v>46024</v>
      </c>
      <c r="I490" s="519">
        <v>10000</v>
      </c>
      <c r="J490" s="522">
        <v>105.40119799999999</v>
      </c>
      <c r="K490" s="541">
        <v>-1054011.98</v>
      </c>
    </row>
    <row r="491" spans="2:11" x14ac:dyDescent="0.45">
      <c r="B491" s="520" t="s">
        <v>78</v>
      </c>
      <c r="C491" s="520" t="s">
        <v>527</v>
      </c>
      <c r="D491" s="534" t="s">
        <v>33</v>
      </c>
      <c r="E491" s="534" t="s">
        <v>486</v>
      </c>
      <c r="F491" s="535" t="s">
        <v>534</v>
      </c>
      <c r="G491" s="535" t="s">
        <v>517</v>
      </c>
      <c r="H491" s="537">
        <v>46203</v>
      </c>
      <c r="I491" s="519">
        <v>10000</v>
      </c>
      <c r="J491" s="522">
        <v>121.85</v>
      </c>
      <c r="K491" s="541">
        <v>1218500</v>
      </c>
    </row>
    <row r="492" spans="2:11" x14ac:dyDescent="0.45">
      <c r="B492" s="514" t="s">
        <v>78</v>
      </c>
      <c r="C492" s="514" t="s">
        <v>527</v>
      </c>
      <c r="D492" s="534" t="s">
        <v>33</v>
      </c>
      <c r="E492" s="534" t="s">
        <v>486</v>
      </c>
      <c r="F492" s="264" t="s">
        <v>535</v>
      </c>
      <c r="G492" s="536" t="s">
        <v>224</v>
      </c>
      <c r="H492" s="537">
        <v>45768</v>
      </c>
      <c r="I492" s="519">
        <v>3000</v>
      </c>
      <c r="J492" s="522">
        <v>374.5</v>
      </c>
      <c r="K492" s="541">
        <v>-1123500</v>
      </c>
    </row>
    <row r="493" spans="2:11" x14ac:dyDescent="0.45">
      <c r="B493" s="514" t="s">
        <v>78</v>
      </c>
      <c r="C493" s="514" t="s">
        <v>527</v>
      </c>
      <c r="D493" s="534" t="s">
        <v>33</v>
      </c>
      <c r="E493" s="534" t="s">
        <v>486</v>
      </c>
      <c r="F493" s="264" t="s">
        <v>535</v>
      </c>
      <c r="G493" s="536" t="s">
        <v>519</v>
      </c>
      <c r="H493" s="537">
        <v>45897</v>
      </c>
      <c r="I493" s="519">
        <v>3000</v>
      </c>
      <c r="J493" s="522">
        <v>3.5</v>
      </c>
      <c r="K493" s="541">
        <v>10500</v>
      </c>
    </row>
    <row r="494" spans="2:11" x14ac:dyDescent="0.45">
      <c r="B494" s="514" t="s">
        <v>78</v>
      </c>
      <c r="C494" s="514" t="s">
        <v>527</v>
      </c>
      <c r="D494" s="534" t="s">
        <v>33</v>
      </c>
      <c r="E494" s="534" t="s">
        <v>486</v>
      </c>
      <c r="F494" s="264" t="s">
        <v>535</v>
      </c>
      <c r="G494" s="536" t="s">
        <v>224</v>
      </c>
      <c r="H494" s="537">
        <v>46055</v>
      </c>
      <c r="I494" s="519">
        <v>1000</v>
      </c>
      <c r="J494" s="522">
        <v>281.90454999999997</v>
      </c>
      <c r="K494" s="541">
        <v>-281904.55</v>
      </c>
    </row>
    <row r="495" spans="2:11" x14ac:dyDescent="0.45">
      <c r="B495" s="514" t="s">
        <v>78</v>
      </c>
      <c r="C495" s="514" t="s">
        <v>527</v>
      </c>
      <c r="D495" s="534" t="s">
        <v>33</v>
      </c>
      <c r="E495" s="534" t="s">
        <v>486</v>
      </c>
      <c r="F495" s="264" t="s">
        <v>535</v>
      </c>
      <c r="G495" s="542" t="s">
        <v>517</v>
      </c>
      <c r="H495" s="537">
        <v>46203</v>
      </c>
      <c r="I495" s="519">
        <v>4000</v>
      </c>
      <c r="J495" s="522">
        <v>191.7</v>
      </c>
      <c r="K495" s="541">
        <v>766800</v>
      </c>
    </row>
    <row r="496" spans="2:11" x14ac:dyDescent="0.45">
      <c r="B496" s="520" t="s">
        <v>78</v>
      </c>
      <c r="C496" s="520" t="s">
        <v>527</v>
      </c>
      <c r="D496" s="534" t="s">
        <v>33</v>
      </c>
      <c r="E496" s="534" t="s">
        <v>486</v>
      </c>
      <c r="F496" s="535" t="s">
        <v>536</v>
      </c>
      <c r="G496" s="535" t="s">
        <v>224</v>
      </c>
      <c r="H496" s="537">
        <v>45973</v>
      </c>
      <c r="I496" s="519">
        <v>500</v>
      </c>
      <c r="J496" s="522">
        <v>1289.5</v>
      </c>
      <c r="K496" s="541">
        <v>-644750</v>
      </c>
    </row>
    <row r="497" spans="2:11" x14ac:dyDescent="0.45">
      <c r="B497" s="520" t="s">
        <v>78</v>
      </c>
      <c r="C497" s="520" t="s">
        <v>527</v>
      </c>
      <c r="D497" s="534" t="s">
        <v>33</v>
      </c>
      <c r="E497" s="534" t="s">
        <v>486</v>
      </c>
      <c r="F497" s="535" t="s">
        <v>536</v>
      </c>
      <c r="G497" s="535" t="s">
        <v>528</v>
      </c>
      <c r="H497" s="537">
        <v>46003</v>
      </c>
      <c r="I497" s="519">
        <v>2000</v>
      </c>
      <c r="J497" s="522">
        <v>0</v>
      </c>
      <c r="K497" s="541">
        <v>0</v>
      </c>
    </row>
    <row r="498" spans="2:11" x14ac:dyDescent="0.45">
      <c r="B498" s="520" t="s">
        <v>78</v>
      </c>
      <c r="C498" s="520" t="s">
        <v>527</v>
      </c>
      <c r="D498" s="534" t="s">
        <v>33</v>
      </c>
      <c r="E498" s="534" t="s">
        <v>486</v>
      </c>
      <c r="F498" s="535" t="s">
        <v>536</v>
      </c>
      <c r="G498" s="535" t="s">
        <v>224</v>
      </c>
      <c r="H498" s="537">
        <v>46055</v>
      </c>
      <c r="I498" s="519">
        <v>3500</v>
      </c>
      <c r="J498" s="522">
        <v>244.4971942857143</v>
      </c>
      <c r="K498" s="541">
        <v>-855740.18</v>
      </c>
    </row>
    <row r="499" spans="2:11" x14ac:dyDescent="0.45">
      <c r="B499" s="514" t="s">
        <v>78</v>
      </c>
      <c r="C499" s="514" t="s">
        <v>527</v>
      </c>
      <c r="D499" s="534" t="s">
        <v>33</v>
      </c>
      <c r="E499" s="534" t="s">
        <v>486</v>
      </c>
      <c r="F499" s="535" t="s">
        <v>536</v>
      </c>
      <c r="G499" s="536" t="s">
        <v>517</v>
      </c>
      <c r="H499" s="537">
        <v>46203</v>
      </c>
      <c r="I499" s="519">
        <v>6000</v>
      </c>
      <c r="J499" s="522">
        <v>179.7</v>
      </c>
      <c r="K499" s="538">
        <v>1078200</v>
      </c>
    </row>
    <row r="500" spans="2:11" x14ac:dyDescent="0.45">
      <c r="B500" s="514" t="s">
        <v>78</v>
      </c>
      <c r="C500" s="514" t="s">
        <v>527</v>
      </c>
      <c r="D500" s="534" t="s">
        <v>33</v>
      </c>
      <c r="E500" s="534" t="s">
        <v>486</v>
      </c>
      <c r="F500" s="535" t="s">
        <v>537</v>
      </c>
      <c r="G500" s="536" t="s">
        <v>224</v>
      </c>
      <c r="H500" s="537">
        <v>45910</v>
      </c>
      <c r="I500" s="519">
        <v>2500</v>
      </c>
      <c r="J500" s="522">
        <v>789</v>
      </c>
      <c r="K500" s="538">
        <v>-1972500</v>
      </c>
    </row>
    <row r="501" spans="2:11" x14ac:dyDescent="0.45">
      <c r="B501" s="514" t="s">
        <v>78</v>
      </c>
      <c r="C501" s="514" t="s">
        <v>527</v>
      </c>
      <c r="D501" s="534" t="s">
        <v>33</v>
      </c>
      <c r="E501" s="534" t="s">
        <v>486</v>
      </c>
      <c r="F501" s="535" t="s">
        <v>537</v>
      </c>
      <c r="G501" s="536" t="s">
        <v>224</v>
      </c>
      <c r="H501" s="537">
        <v>45917</v>
      </c>
      <c r="I501" s="519">
        <v>25</v>
      </c>
      <c r="J501" s="522">
        <v>773.5</v>
      </c>
      <c r="K501" s="538">
        <v>-19337.5</v>
      </c>
    </row>
    <row r="502" spans="2:11" x14ac:dyDescent="0.45">
      <c r="B502" s="514" t="s">
        <v>78</v>
      </c>
      <c r="C502" s="514" t="s">
        <v>527</v>
      </c>
      <c r="D502" s="534" t="s">
        <v>33</v>
      </c>
      <c r="E502" s="534" t="s">
        <v>486</v>
      </c>
      <c r="F502" s="535" t="s">
        <v>537</v>
      </c>
      <c r="G502" s="536" t="s">
        <v>517</v>
      </c>
      <c r="H502" s="537">
        <v>46203</v>
      </c>
      <c r="I502" s="519">
        <v>2525</v>
      </c>
      <c r="J502" s="522">
        <v>512.29999999999995</v>
      </c>
      <c r="K502" s="538">
        <v>1293557.5</v>
      </c>
    </row>
    <row r="503" spans="2:11" x14ac:dyDescent="0.45">
      <c r="B503" s="514" t="s">
        <v>78</v>
      </c>
      <c r="C503" s="514" t="s">
        <v>527</v>
      </c>
      <c r="D503" s="534" t="s">
        <v>33</v>
      </c>
      <c r="E503" s="534" t="s">
        <v>486</v>
      </c>
      <c r="F503" s="264" t="s">
        <v>664</v>
      </c>
      <c r="G503" s="535" t="s">
        <v>224</v>
      </c>
      <c r="H503" s="537">
        <v>45848</v>
      </c>
      <c r="I503" s="519">
        <v>2700</v>
      </c>
      <c r="J503" s="522">
        <v>461.92</v>
      </c>
      <c r="K503" s="541">
        <v>-1247184</v>
      </c>
    </row>
    <row r="504" spans="2:11" x14ac:dyDescent="0.45">
      <c r="B504" s="514" t="s">
        <v>78</v>
      </c>
      <c r="C504" s="514" t="s">
        <v>527</v>
      </c>
      <c r="D504" s="534" t="s">
        <v>33</v>
      </c>
      <c r="E504" s="534" t="s">
        <v>486</v>
      </c>
      <c r="F504" s="264" t="s">
        <v>664</v>
      </c>
      <c r="G504" s="536" t="s">
        <v>225</v>
      </c>
      <c r="H504" s="537">
        <v>46133</v>
      </c>
      <c r="I504" s="519">
        <v>2700</v>
      </c>
      <c r="J504" s="522">
        <v>483.38130000000001</v>
      </c>
      <c r="K504" s="538">
        <v>1305129.51</v>
      </c>
    </row>
    <row r="505" spans="2:11" x14ac:dyDescent="0.45">
      <c r="B505" s="520" t="s">
        <v>78</v>
      </c>
      <c r="C505" s="520" t="s">
        <v>527</v>
      </c>
      <c r="D505" s="534" t="s">
        <v>33</v>
      </c>
      <c r="E505" s="534" t="s">
        <v>486</v>
      </c>
      <c r="F505" s="535" t="s">
        <v>485</v>
      </c>
      <c r="G505" s="535" t="s">
        <v>224</v>
      </c>
      <c r="H505" s="537">
        <v>46058</v>
      </c>
      <c r="I505" s="519">
        <v>650</v>
      </c>
      <c r="J505" s="522">
        <v>582.66</v>
      </c>
      <c r="K505" s="541">
        <v>-378729</v>
      </c>
    </row>
    <row r="506" spans="2:11" x14ac:dyDescent="0.45">
      <c r="B506" s="520" t="s">
        <v>78</v>
      </c>
      <c r="C506" s="520" t="s">
        <v>527</v>
      </c>
      <c r="D506" s="534" t="s">
        <v>33</v>
      </c>
      <c r="E506" s="534" t="s">
        <v>486</v>
      </c>
      <c r="F506" s="535" t="s">
        <v>485</v>
      </c>
      <c r="G506" s="535" t="s">
        <v>224</v>
      </c>
      <c r="H506" s="537">
        <v>46147</v>
      </c>
      <c r="I506" s="519">
        <v>2225</v>
      </c>
      <c r="J506" s="522">
        <v>580.95000000000005</v>
      </c>
      <c r="K506" s="541">
        <v>-1292613.75</v>
      </c>
    </row>
    <row r="507" spans="2:11" x14ac:dyDescent="0.45">
      <c r="B507" s="520" t="s">
        <v>78</v>
      </c>
      <c r="C507" s="520" t="s">
        <v>527</v>
      </c>
      <c r="D507" s="534" t="s">
        <v>33</v>
      </c>
      <c r="E507" s="534" t="s">
        <v>486</v>
      </c>
      <c r="F507" s="535" t="s">
        <v>485</v>
      </c>
      <c r="G507" s="535" t="s">
        <v>517</v>
      </c>
      <c r="H507" s="537">
        <v>46203</v>
      </c>
      <c r="I507" s="519">
        <v>2875</v>
      </c>
      <c r="J507" s="522">
        <v>603</v>
      </c>
      <c r="K507" s="541">
        <v>1733625</v>
      </c>
    </row>
    <row r="508" spans="2:11" x14ac:dyDescent="0.45">
      <c r="B508" s="514" t="s">
        <v>77</v>
      </c>
      <c r="C508" s="514" t="s">
        <v>538</v>
      </c>
      <c r="D508" s="534" t="s">
        <v>33</v>
      </c>
      <c r="E508" s="534" t="s">
        <v>20</v>
      </c>
      <c r="F508" s="535" t="s">
        <v>281</v>
      </c>
      <c r="G508" s="542" t="s">
        <v>224</v>
      </c>
      <c r="H508" s="537">
        <v>45933</v>
      </c>
      <c r="I508" s="519">
        <v>6045934.4850000003</v>
      </c>
      <c r="J508" s="522"/>
      <c r="K508" s="541">
        <v>-750000000</v>
      </c>
    </row>
    <row r="509" spans="2:11" x14ac:dyDescent="0.45">
      <c r="B509" s="514" t="s">
        <v>77</v>
      </c>
      <c r="C509" s="514" t="s">
        <v>538</v>
      </c>
      <c r="D509" s="534" t="s">
        <v>33</v>
      </c>
      <c r="E509" s="534" t="s">
        <v>20</v>
      </c>
      <c r="F509" s="535" t="s">
        <v>281</v>
      </c>
      <c r="G509" s="542" t="s">
        <v>517</v>
      </c>
      <c r="H509" s="537">
        <v>46203</v>
      </c>
      <c r="I509" s="519">
        <v>6045934.4850000003</v>
      </c>
      <c r="J509" s="522">
        <v>161.56700000000001</v>
      </c>
      <c r="K509" s="541">
        <v>976823496.93799508</v>
      </c>
    </row>
    <row r="510" spans="2:11" x14ac:dyDescent="0.45">
      <c r="B510" s="514" t="s">
        <v>76</v>
      </c>
      <c r="C510" s="514" t="s">
        <v>538</v>
      </c>
      <c r="D510" s="534" t="s">
        <v>33</v>
      </c>
      <c r="E510" s="534" t="s">
        <v>20</v>
      </c>
      <c r="F510" s="535" t="s">
        <v>281</v>
      </c>
      <c r="G510" s="542" t="s">
        <v>224</v>
      </c>
      <c r="H510" s="537">
        <v>46007</v>
      </c>
      <c r="I510" s="519">
        <v>2341480.8509999998</v>
      </c>
      <c r="J510" s="522">
        <v>64.062022944128714</v>
      </c>
      <c r="K510" s="541">
        <v>-150000000</v>
      </c>
    </row>
    <row r="511" spans="2:11" x14ac:dyDescent="0.45">
      <c r="B511" s="514" t="s">
        <v>76</v>
      </c>
      <c r="C511" s="514" t="s">
        <v>538</v>
      </c>
      <c r="D511" s="534" t="s">
        <v>33</v>
      </c>
      <c r="E511" s="534" t="s">
        <v>20</v>
      </c>
      <c r="F511" s="535" t="s">
        <v>281</v>
      </c>
      <c r="G511" s="542" t="s">
        <v>517</v>
      </c>
      <c r="H511" s="537">
        <v>46203</v>
      </c>
      <c r="I511" s="519">
        <v>2341480.8509999998</v>
      </c>
      <c r="J511" s="522">
        <v>125.3582</v>
      </c>
      <c r="K511" s="541">
        <v>293523824.81582814</v>
      </c>
    </row>
    <row r="512" spans="2:11" x14ac:dyDescent="0.45">
      <c r="B512" s="514" t="s">
        <v>76</v>
      </c>
      <c r="C512" s="514" t="s">
        <v>538</v>
      </c>
      <c r="D512" s="534" t="s">
        <v>33</v>
      </c>
      <c r="E512" s="534" t="s">
        <v>20</v>
      </c>
      <c r="F512" s="535" t="s">
        <v>281</v>
      </c>
      <c r="G512" s="542" t="s">
        <v>224</v>
      </c>
      <c r="H512" s="537">
        <v>45777</v>
      </c>
      <c r="I512" s="519">
        <v>276847.77500000002</v>
      </c>
      <c r="J512" s="522">
        <v>99.327600000000004</v>
      </c>
      <c r="K512" s="541">
        <v>-27498625.056090005</v>
      </c>
    </row>
    <row r="513" spans="2:11" x14ac:dyDescent="0.45">
      <c r="B513" s="514" t="s">
        <v>76</v>
      </c>
      <c r="C513" s="514" t="s">
        <v>538</v>
      </c>
      <c r="D513" s="534" t="s">
        <v>33</v>
      </c>
      <c r="E513" s="534" t="s">
        <v>20</v>
      </c>
      <c r="F513" s="535" t="s">
        <v>281</v>
      </c>
      <c r="G513" s="542" t="s">
        <v>224</v>
      </c>
      <c r="H513" s="537">
        <v>45825</v>
      </c>
      <c r="I513" s="519">
        <v>251252.44200000001</v>
      </c>
      <c r="J513" s="522">
        <v>109.4462</v>
      </c>
      <c r="K513" s="541">
        <v>-27498625.017620403</v>
      </c>
    </row>
    <row r="514" spans="2:11" x14ac:dyDescent="0.45">
      <c r="B514" s="514" t="s">
        <v>76</v>
      </c>
      <c r="C514" s="514" t="s">
        <v>538</v>
      </c>
      <c r="D514" s="534" t="s">
        <v>33</v>
      </c>
      <c r="E514" s="534" t="s">
        <v>20</v>
      </c>
      <c r="F514" s="535" t="s">
        <v>281</v>
      </c>
      <c r="G514" s="542" t="s">
        <v>224</v>
      </c>
      <c r="H514" s="537">
        <v>45903</v>
      </c>
      <c r="I514" s="519">
        <v>1233164.412</v>
      </c>
      <c r="J514" s="522">
        <v>121.63828159517143</v>
      </c>
      <c r="K514" s="541">
        <v>-150000000</v>
      </c>
    </row>
    <row r="515" spans="2:11" x14ac:dyDescent="0.45">
      <c r="B515" s="514" t="s">
        <v>76</v>
      </c>
      <c r="C515" s="514" t="s">
        <v>538</v>
      </c>
      <c r="D515" s="534" t="s">
        <v>33</v>
      </c>
      <c r="E515" s="534" t="s">
        <v>20</v>
      </c>
      <c r="F515" s="535" t="s">
        <v>281</v>
      </c>
      <c r="G515" s="542" t="s">
        <v>517</v>
      </c>
      <c r="H515" s="537">
        <v>46203</v>
      </c>
      <c r="I515" s="519">
        <v>1761264.6290000002</v>
      </c>
      <c r="J515" s="522">
        <v>161.5675</v>
      </c>
      <c r="K515" s="541">
        <v>284563122.94595754</v>
      </c>
    </row>
    <row r="516" spans="2:11" x14ac:dyDescent="0.45">
      <c r="B516" s="514" t="s">
        <v>79</v>
      </c>
      <c r="C516" s="514" t="s">
        <v>538</v>
      </c>
      <c r="D516" s="534" t="s">
        <v>33</v>
      </c>
      <c r="E516" s="534" t="s">
        <v>20</v>
      </c>
      <c r="F516" s="535" t="s">
        <v>281</v>
      </c>
      <c r="G516" s="542" t="s">
        <v>224</v>
      </c>
      <c r="H516" s="537">
        <v>45737</v>
      </c>
      <c r="I516" s="519">
        <v>99995</v>
      </c>
      <c r="J516" s="522">
        <v>100</v>
      </c>
      <c r="K516" s="541">
        <v>-10000000</v>
      </c>
    </row>
    <row r="517" spans="2:11" x14ac:dyDescent="0.45">
      <c r="B517" s="514" t="s">
        <v>79</v>
      </c>
      <c r="C517" s="514" t="s">
        <v>538</v>
      </c>
      <c r="D517" s="534" t="s">
        <v>33</v>
      </c>
      <c r="E517" s="534" t="s">
        <v>20</v>
      </c>
      <c r="F517" s="535" t="s">
        <v>281</v>
      </c>
      <c r="G517" s="542" t="s">
        <v>224</v>
      </c>
      <c r="H517" s="537">
        <v>45825</v>
      </c>
      <c r="I517" s="519">
        <v>91364.524000000005</v>
      </c>
      <c r="J517" s="522">
        <v>109.4462</v>
      </c>
      <c r="K517" s="541">
        <v>-10000000</v>
      </c>
    </row>
    <row r="518" spans="2:11" x14ac:dyDescent="0.45">
      <c r="B518" s="514" t="s">
        <v>79</v>
      </c>
      <c r="C518" s="514" t="s">
        <v>538</v>
      </c>
      <c r="D518" s="534" t="s">
        <v>33</v>
      </c>
      <c r="E518" s="534" t="s">
        <v>20</v>
      </c>
      <c r="F518" s="535" t="s">
        <v>281</v>
      </c>
      <c r="G518" s="542" t="s">
        <v>224</v>
      </c>
      <c r="H518" s="537">
        <v>45902</v>
      </c>
      <c r="I518" s="519">
        <v>822109.60800000001</v>
      </c>
      <c r="J518" s="522">
        <v>121.6322</v>
      </c>
      <c r="K518" s="541">
        <v>-100000000</v>
      </c>
    </row>
    <row r="519" spans="2:11" x14ac:dyDescent="0.45">
      <c r="B519" s="514" t="s">
        <v>79</v>
      </c>
      <c r="C519" s="514" t="s">
        <v>538</v>
      </c>
      <c r="D519" s="534" t="s">
        <v>33</v>
      </c>
      <c r="E519" s="534" t="s">
        <v>20</v>
      </c>
      <c r="F519" s="535" t="s">
        <v>281</v>
      </c>
      <c r="G519" s="542" t="s">
        <v>224</v>
      </c>
      <c r="H519" s="537">
        <v>45936</v>
      </c>
      <c r="I519" s="519">
        <v>807457.73199999996</v>
      </c>
      <c r="J519" s="522">
        <v>123.893</v>
      </c>
      <c r="K519" s="541">
        <v>-100000000</v>
      </c>
    </row>
    <row r="520" spans="2:11" x14ac:dyDescent="0.45">
      <c r="B520" s="514" t="s">
        <v>79</v>
      </c>
      <c r="C520" s="514" t="s">
        <v>538</v>
      </c>
      <c r="D520" s="534" t="s">
        <v>33</v>
      </c>
      <c r="E520" s="534" t="s">
        <v>20</v>
      </c>
      <c r="F520" s="535" t="s">
        <v>281</v>
      </c>
      <c r="G520" s="542" t="s">
        <v>517</v>
      </c>
      <c r="H520" s="537">
        <v>46081</v>
      </c>
      <c r="I520" s="519">
        <v>1820926.8640000001</v>
      </c>
      <c r="J520" s="522">
        <v>161.5675</v>
      </c>
      <c r="K520" s="541">
        <v>294202601.09931999</v>
      </c>
    </row>
    <row r="521" spans="2:11" x14ac:dyDescent="0.45">
      <c r="B521" s="514" t="s">
        <v>78</v>
      </c>
      <c r="C521" s="514" t="s">
        <v>538</v>
      </c>
      <c r="D521" s="534" t="s">
        <v>33</v>
      </c>
      <c r="E521" s="534" t="s">
        <v>20</v>
      </c>
      <c r="F521" s="535" t="s">
        <v>281</v>
      </c>
      <c r="G521" s="542" t="s">
        <v>224</v>
      </c>
      <c r="H521" s="537">
        <v>45936</v>
      </c>
      <c r="I521" s="519">
        <v>1211186.5970000001</v>
      </c>
      <c r="J521" s="522">
        <v>123.893</v>
      </c>
      <c r="K521" s="541">
        <v>-150000000</v>
      </c>
    </row>
    <row r="522" spans="2:11" x14ac:dyDescent="0.45">
      <c r="B522" s="514" t="s">
        <v>78</v>
      </c>
      <c r="C522" s="514" t="s">
        <v>538</v>
      </c>
      <c r="D522" s="534" t="s">
        <v>33</v>
      </c>
      <c r="E522" s="534" t="s">
        <v>20</v>
      </c>
      <c r="F522" s="535" t="s">
        <v>281</v>
      </c>
      <c r="G522" s="542" t="s">
        <v>517</v>
      </c>
      <c r="H522" s="537">
        <v>46203</v>
      </c>
      <c r="I522" s="519">
        <v>1211186.5970000001</v>
      </c>
      <c r="J522" s="522">
        <v>161.5675</v>
      </c>
      <c r="K522" s="541">
        <v>195688390.5107975</v>
      </c>
    </row>
    <row r="523" spans="2:11" x14ac:dyDescent="0.45">
      <c r="B523" s="520" t="s">
        <v>76</v>
      </c>
      <c r="C523" s="520" t="s">
        <v>539</v>
      </c>
      <c r="D523" s="534" t="s">
        <v>33</v>
      </c>
      <c r="E523" s="534" t="s">
        <v>20</v>
      </c>
      <c r="F523" s="535" t="s">
        <v>241</v>
      </c>
      <c r="G523" s="535" t="s">
        <v>224</v>
      </c>
      <c r="H523" s="537">
        <v>45538</v>
      </c>
      <c r="I523" s="519"/>
      <c r="J523" s="522"/>
      <c r="K523" s="541">
        <v>-50000000</v>
      </c>
    </row>
    <row r="524" spans="2:11" x14ac:dyDescent="0.45">
      <c r="B524" s="514" t="s">
        <v>76</v>
      </c>
      <c r="C524" s="514" t="s">
        <v>539</v>
      </c>
      <c r="D524" s="534" t="s">
        <v>33</v>
      </c>
      <c r="E524" s="534" t="s">
        <v>20</v>
      </c>
      <c r="F524" s="535" t="s">
        <v>241</v>
      </c>
      <c r="G524" s="542" t="s">
        <v>519</v>
      </c>
      <c r="H524" s="537">
        <v>45559</v>
      </c>
      <c r="I524" s="519"/>
      <c r="J524" s="522"/>
      <c r="K524" s="541">
        <v>5390</v>
      </c>
    </row>
    <row r="525" spans="2:11" x14ac:dyDescent="0.45">
      <c r="B525" s="514" t="s">
        <v>76</v>
      </c>
      <c r="C525" s="514" t="s">
        <v>539</v>
      </c>
      <c r="D525" s="534" t="s">
        <v>33</v>
      </c>
      <c r="E525" s="534" t="s">
        <v>20</v>
      </c>
      <c r="F525" s="535" t="s">
        <v>241</v>
      </c>
      <c r="G525" s="542" t="s">
        <v>519</v>
      </c>
      <c r="H525" s="537">
        <v>45632</v>
      </c>
      <c r="I525" s="519"/>
      <c r="J525" s="522"/>
      <c r="K525" s="541">
        <v>713</v>
      </c>
    </row>
    <row r="526" spans="2:11" x14ac:dyDescent="0.45">
      <c r="B526" s="514" t="s">
        <v>76</v>
      </c>
      <c r="C526" s="514" t="s">
        <v>539</v>
      </c>
      <c r="D526" s="534" t="s">
        <v>33</v>
      </c>
      <c r="E526" s="534" t="s">
        <v>20</v>
      </c>
      <c r="F526" s="535" t="s">
        <v>241</v>
      </c>
      <c r="G526" s="542" t="s">
        <v>519</v>
      </c>
      <c r="H526" s="537">
        <v>45637</v>
      </c>
      <c r="I526" s="519"/>
      <c r="J526" s="522"/>
      <c r="K526" s="541">
        <v>775</v>
      </c>
    </row>
    <row r="527" spans="2:11" x14ac:dyDescent="0.45">
      <c r="B527" s="514" t="s">
        <v>76</v>
      </c>
      <c r="C527" s="514" t="s">
        <v>539</v>
      </c>
      <c r="D527" s="534" t="s">
        <v>33</v>
      </c>
      <c r="E527" s="534" t="s">
        <v>20</v>
      </c>
      <c r="F527" s="535" t="s">
        <v>241</v>
      </c>
      <c r="G527" s="542" t="s">
        <v>519</v>
      </c>
      <c r="H527" s="537">
        <v>45664</v>
      </c>
      <c r="I527" s="519"/>
      <c r="J527" s="522"/>
      <c r="K527" s="541">
        <v>2290.75</v>
      </c>
    </row>
    <row r="528" spans="2:11" x14ac:dyDescent="0.45">
      <c r="B528" s="520" t="s">
        <v>76</v>
      </c>
      <c r="C528" s="520" t="s">
        <v>539</v>
      </c>
      <c r="D528" s="534" t="s">
        <v>33</v>
      </c>
      <c r="E528" s="534" t="s">
        <v>20</v>
      </c>
      <c r="F528" s="535" t="s">
        <v>241</v>
      </c>
      <c r="G528" s="535" t="s">
        <v>224</v>
      </c>
      <c r="H528" s="537">
        <v>45673</v>
      </c>
      <c r="I528" s="519"/>
      <c r="J528" s="522"/>
      <c r="K528" s="541">
        <v>-30000000</v>
      </c>
    </row>
    <row r="529" spans="2:11" x14ac:dyDescent="0.45">
      <c r="B529" s="514" t="s">
        <v>76</v>
      </c>
      <c r="C529" s="514" t="s">
        <v>539</v>
      </c>
      <c r="D529" s="534" t="s">
        <v>33</v>
      </c>
      <c r="E529" s="534" t="s">
        <v>20</v>
      </c>
      <c r="F529" s="535" t="s">
        <v>241</v>
      </c>
      <c r="G529" s="542" t="s">
        <v>519</v>
      </c>
      <c r="H529" s="537">
        <v>45688</v>
      </c>
      <c r="I529" s="519"/>
      <c r="J529" s="522"/>
      <c r="K529" s="541">
        <v>3555</v>
      </c>
    </row>
    <row r="530" spans="2:11" x14ac:dyDescent="0.45">
      <c r="B530" s="514" t="s">
        <v>76</v>
      </c>
      <c r="C530" s="514" t="s">
        <v>539</v>
      </c>
      <c r="D530" s="534" t="s">
        <v>33</v>
      </c>
      <c r="E530" s="534" t="s">
        <v>20</v>
      </c>
      <c r="F530" s="535" t="s">
        <v>241</v>
      </c>
      <c r="G530" s="542" t="s">
        <v>519</v>
      </c>
      <c r="H530" s="537">
        <v>45694</v>
      </c>
      <c r="I530" s="519"/>
      <c r="J530" s="522"/>
      <c r="K530" s="541">
        <v>523</v>
      </c>
    </row>
    <row r="531" spans="2:11" x14ac:dyDescent="0.45">
      <c r="B531" s="514" t="s">
        <v>76</v>
      </c>
      <c r="C531" s="514" t="s">
        <v>539</v>
      </c>
      <c r="D531" s="534" t="s">
        <v>33</v>
      </c>
      <c r="E531" s="534" t="s">
        <v>20</v>
      </c>
      <c r="F531" s="535" t="s">
        <v>241</v>
      </c>
      <c r="G531" s="542" t="s">
        <v>519</v>
      </c>
      <c r="H531" s="537">
        <v>45698</v>
      </c>
      <c r="I531" s="519"/>
      <c r="J531" s="522"/>
      <c r="K531" s="541">
        <v>950</v>
      </c>
    </row>
    <row r="532" spans="2:11" x14ac:dyDescent="0.45">
      <c r="B532" s="514" t="s">
        <v>76</v>
      </c>
      <c r="C532" s="514" t="s">
        <v>539</v>
      </c>
      <c r="D532" s="534" t="s">
        <v>33</v>
      </c>
      <c r="E532" s="534" t="s">
        <v>20</v>
      </c>
      <c r="F532" s="535" t="s">
        <v>241</v>
      </c>
      <c r="G532" s="542" t="s">
        <v>519</v>
      </c>
      <c r="H532" s="537">
        <v>45705</v>
      </c>
      <c r="I532" s="519"/>
      <c r="J532" s="522"/>
      <c r="K532" s="541">
        <v>545</v>
      </c>
    </row>
    <row r="533" spans="2:11" x14ac:dyDescent="0.45">
      <c r="B533" s="520" t="s">
        <v>76</v>
      </c>
      <c r="C533" s="520" t="s">
        <v>539</v>
      </c>
      <c r="D533" s="534" t="s">
        <v>33</v>
      </c>
      <c r="E533" s="534" t="s">
        <v>20</v>
      </c>
      <c r="F533" s="535" t="s">
        <v>241</v>
      </c>
      <c r="G533" s="535" t="s">
        <v>224</v>
      </c>
      <c r="H533" s="537">
        <v>45705</v>
      </c>
      <c r="I533" s="519"/>
      <c r="J533" s="522"/>
      <c r="K533" s="541">
        <v>-30000000</v>
      </c>
    </row>
    <row r="534" spans="2:11" x14ac:dyDescent="0.45">
      <c r="B534" s="514" t="s">
        <v>76</v>
      </c>
      <c r="C534" s="514" t="s">
        <v>539</v>
      </c>
      <c r="D534" s="534" t="s">
        <v>33</v>
      </c>
      <c r="E534" s="534" t="s">
        <v>20</v>
      </c>
      <c r="F534" s="535" t="s">
        <v>241</v>
      </c>
      <c r="G534" s="542" t="s">
        <v>519</v>
      </c>
      <c r="H534" s="537">
        <v>45706</v>
      </c>
      <c r="I534" s="519"/>
      <c r="J534" s="522"/>
      <c r="K534" s="541">
        <v>1290</v>
      </c>
    </row>
    <row r="535" spans="2:11" x14ac:dyDescent="0.45">
      <c r="B535" s="514" t="s">
        <v>76</v>
      </c>
      <c r="C535" s="514" t="s">
        <v>539</v>
      </c>
      <c r="D535" s="534" t="s">
        <v>33</v>
      </c>
      <c r="E535" s="534" t="s">
        <v>20</v>
      </c>
      <c r="F535" s="535" t="s">
        <v>241</v>
      </c>
      <c r="G535" s="542" t="s">
        <v>519</v>
      </c>
      <c r="H535" s="537">
        <v>45721</v>
      </c>
      <c r="I535" s="519"/>
      <c r="J535" s="522"/>
      <c r="K535" s="541">
        <v>1276</v>
      </c>
    </row>
    <row r="536" spans="2:11" x14ac:dyDescent="0.45">
      <c r="B536" s="514" t="s">
        <v>76</v>
      </c>
      <c r="C536" s="514" t="s">
        <v>539</v>
      </c>
      <c r="D536" s="534" t="s">
        <v>33</v>
      </c>
      <c r="E536" s="534" t="s">
        <v>20</v>
      </c>
      <c r="F536" s="535" t="s">
        <v>241</v>
      </c>
      <c r="G536" s="542" t="s">
        <v>519</v>
      </c>
      <c r="H536" s="537">
        <v>45847</v>
      </c>
      <c r="I536" s="519"/>
      <c r="J536" s="522"/>
      <c r="K536" s="541">
        <v>4701</v>
      </c>
    </row>
    <row r="537" spans="2:11" x14ac:dyDescent="0.45">
      <c r="B537" s="514" t="s">
        <v>76</v>
      </c>
      <c r="C537" s="514" t="s">
        <v>539</v>
      </c>
      <c r="D537" s="534" t="s">
        <v>33</v>
      </c>
      <c r="E537" s="534" t="s">
        <v>20</v>
      </c>
      <c r="F537" s="535" t="s">
        <v>241</v>
      </c>
      <c r="G537" s="542" t="s">
        <v>519</v>
      </c>
      <c r="H537" s="537">
        <v>45862</v>
      </c>
      <c r="I537" s="519"/>
      <c r="J537" s="522"/>
      <c r="K537" s="541">
        <v>5862</v>
      </c>
    </row>
    <row r="538" spans="2:11" x14ac:dyDescent="0.45">
      <c r="B538" s="514" t="s">
        <v>76</v>
      </c>
      <c r="C538" s="514" t="s">
        <v>539</v>
      </c>
      <c r="D538" s="534" t="s">
        <v>33</v>
      </c>
      <c r="E538" s="534" t="s">
        <v>20</v>
      </c>
      <c r="F538" s="535" t="s">
        <v>241</v>
      </c>
      <c r="G538" s="542" t="s">
        <v>519</v>
      </c>
      <c r="H538" s="537">
        <v>45868</v>
      </c>
      <c r="I538" s="519"/>
      <c r="J538" s="522"/>
      <c r="K538" s="541">
        <v>4169</v>
      </c>
    </row>
    <row r="539" spans="2:11" x14ac:dyDescent="0.45">
      <c r="B539" s="514" t="s">
        <v>76</v>
      </c>
      <c r="C539" s="514" t="s">
        <v>539</v>
      </c>
      <c r="D539" s="534" t="s">
        <v>33</v>
      </c>
      <c r="E539" s="534" t="s">
        <v>20</v>
      </c>
      <c r="F539" s="535" t="s">
        <v>241</v>
      </c>
      <c r="G539" s="542" t="s">
        <v>519</v>
      </c>
      <c r="H539" s="537">
        <v>45881</v>
      </c>
      <c r="I539" s="519"/>
      <c r="J539" s="522"/>
      <c r="K539" s="541">
        <v>4152</v>
      </c>
    </row>
    <row r="540" spans="2:11" x14ac:dyDescent="0.45">
      <c r="B540" s="514" t="s">
        <v>76</v>
      </c>
      <c r="C540" s="514" t="s">
        <v>539</v>
      </c>
      <c r="D540" s="534" t="s">
        <v>33</v>
      </c>
      <c r="E540" s="534" t="s">
        <v>20</v>
      </c>
      <c r="F540" s="535" t="s">
        <v>241</v>
      </c>
      <c r="G540" s="542" t="s">
        <v>519</v>
      </c>
      <c r="H540" s="537">
        <v>45888</v>
      </c>
      <c r="I540" s="519"/>
      <c r="J540" s="522"/>
      <c r="K540" s="541">
        <v>1039</v>
      </c>
    </row>
    <row r="541" spans="2:11" x14ac:dyDescent="0.45">
      <c r="B541" s="514" t="s">
        <v>76</v>
      </c>
      <c r="C541" s="514" t="s">
        <v>539</v>
      </c>
      <c r="D541" s="534" t="s">
        <v>33</v>
      </c>
      <c r="E541" s="534" t="s">
        <v>20</v>
      </c>
      <c r="F541" s="535" t="s">
        <v>241</v>
      </c>
      <c r="G541" s="542" t="s">
        <v>519</v>
      </c>
      <c r="H541" s="537">
        <v>45890</v>
      </c>
      <c r="I541" s="519"/>
      <c r="J541" s="522"/>
      <c r="K541" s="541">
        <v>2720</v>
      </c>
    </row>
    <row r="542" spans="2:11" x14ac:dyDescent="0.45">
      <c r="B542" s="514" t="s">
        <v>76</v>
      </c>
      <c r="C542" s="514" t="s">
        <v>539</v>
      </c>
      <c r="D542" s="534" t="s">
        <v>33</v>
      </c>
      <c r="E542" s="534" t="s">
        <v>20</v>
      </c>
      <c r="F542" s="535" t="s">
        <v>241</v>
      </c>
      <c r="G542" s="542" t="s">
        <v>519</v>
      </c>
      <c r="H542" s="537">
        <v>45895</v>
      </c>
      <c r="I542" s="519"/>
      <c r="J542" s="522"/>
      <c r="K542" s="541">
        <v>1680</v>
      </c>
    </row>
    <row r="543" spans="2:11" x14ac:dyDescent="0.45">
      <c r="B543" s="514" t="s">
        <v>76</v>
      </c>
      <c r="C543" s="514" t="s">
        <v>539</v>
      </c>
      <c r="D543" s="534" t="s">
        <v>33</v>
      </c>
      <c r="E543" s="534" t="s">
        <v>20</v>
      </c>
      <c r="F543" s="535" t="s">
        <v>241</v>
      </c>
      <c r="G543" s="542" t="s">
        <v>519</v>
      </c>
      <c r="H543" s="537">
        <v>45901</v>
      </c>
      <c r="I543" s="519"/>
      <c r="J543" s="522"/>
      <c r="K543" s="541">
        <v>1498</v>
      </c>
    </row>
    <row r="544" spans="2:11" x14ac:dyDescent="0.45">
      <c r="B544" s="514" t="s">
        <v>76</v>
      </c>
      <c r="C544" s="514" t="s">
        <v>539</v>
      </c>
      <c r="D544" s="534" t="s">
        <v>33</v>
      </c>
      <c r="E544" s="534" t="s">
        <v>20</v>
      </c>
      <c r="F544" s="535" t="s">
        <v>241</v>
      </c>
      <c r="G544" s="542" t="s">
        <v>519</v>
      </c>
      <c r="H544" s="537">
        <v>45902</v>
      </c>
      <c r="I544" s="519"/>
      <c r="J544" s="522"/>
      <c r="K544" s="541">
        <v>4170</v>
      </c>
    </row>
    <row r="545" spans="2:11" x14ac:dyDescent="0.45">
      <c r="B545" s="514" t="s">
        <v>76</v>
      </c>
      <c r="C545" s="514" t="s">
        <v>539</v>
      </c>
      <c r="D545" s="534" t="s">
        <v>33</v>
      </c>
      <c r="E545" s="534" t="s">
        <v>20</v>
      </c>
      <c r="F545" s="535" t="s">
        <v>241</v>
      </c>
      <c r="G545" s="542" t="s">
        <v>519</v>
      </c>
      <c r="H545" s="537">
        <v>45909</v>
      </c>
      <c r="I545" s="519"/>
      <c r="J545" s="522"/>
      <c r="K545" s="541">
        <v>1299.5999999999999</v>
      </c>
    </row>
    <row r="546" spans="2:11" x14ac:dyDescent="0.45">
      <c r="B546" s="514" t="s">
        <v>76</v>
      </c>
      <c r="C546" s="514" t="s">
        <v>539</v>
      </c>
      <c r="D546" s="534" t="s">
        <v>33</v>
      </c>
      <c r="E546" s="534" t="s">
        <v>20</v>
      </c>
      <c r="F546" s="535" t="s">
        <v>241</v>
      </c>
      <c r="G546" s="542" t="s">
        <v>519</v>
      </c>
      <c r="H546" s="537">
        <v>45910</v>
      </c>
      <c r="I546" s="519"/>
      <c r="J546" s="522"/>
      <c r="K546" s="541">
        <v>10744</v>
      </c>
    </row>
    <row r="547" spans="2:11" x14ac:dyDescent="0.45">
      <c r="B547" s="514" t="s">
        <v>76</v>
      </c>
      <c r="C547" s="514" t="s">
        <v>539</v>
      </c>
      <c r="D547" s="534" t="s">
        <v>33</v>
      </c>
      <c r="E547" s="534" t="s">
        <v>20</v>
      </c>
      <c r="F547" s="535" t="s">
        <v>241</v>
      </c>
      <c r="G547" s="542" t="s">
        <v>519</v>
      </c>
      <c r="H547" s="537">
        <v>45918</v>
      </c>
      <c r="I547" s="519"/>
      <c r="J547" s="522"/>
      <c r="K547" s="541">
        <v>1362.5</v>
      </c>
    </row>
    <row r="548" spans="2:11" x14ac:dyDescent="0.45">
      <c r="B548" s="514" t="s">
        <v>76</v>
      </c>
      <c r="C548" s="514" t="s">
        <v>539</v>
      </c>
      <c r="D548" s="534" t="s">
        <v>33</v>
      </c>
      <c r="E548" s="534" t="s">
        <v>20</v>
      </c>
      <c r="F548" s="535" t="s">
        <v>241</v>
      </c>
      <c r="G548" s="542" t="s">
        <v>519</v>
      </c>
      <c r="H548" s="537">
        <v>45924</v>
      </c>
      <c r="I548" s="519"/>
      <c r="J548" s="522"/>
      <c r="K548" s="541">
        <v>5444</v>
      </c>
    </row>
    <row r="549" spans="2:11" x14ac:dyDescent="0.45">
      <c r="B549" s="514" t="s">
        <v>76</v>
      </c>
      <c r="C549" s="514" t="s">
        <v>539</v>
      </c>
      <c r="D549" s="534" t="s">
        <v>33</v>
      </c>
      <c r="E549" s="534" t="s">
        <v>20</v>
      </c>
      <c r="F549" s="535" t="s">
        <v>241</v>
      </c>
      <c r="G549" s="542" t="s">
        <v>519</v>
      </c>
      <c r="H549" s="537">
        <v>45925</v>
      </c>
      <c r="I549" s="519"/>
      <c r="J549" s="522"/>
      <c r="K549" s="541">
        <v>3627</v>
      </c>
    </row>
    <row r="550" spans="2:11" x14ac:dyDescent="0.45">
      <c r="B550" s="514" t="s">
        <v>76</v>
      </c>
      <c r="C550" s="514" t="s">
        <v>539</v>
      </c>
      <c r="D550" s="534" t="s">
        <v>33</v>
      </c>
      <c r="E550" s="534" t="s">
        <v>20</v>
      </c>
      <c r="F550" s="535" t="s">
        <v>241</v>
      </c>
      <c r="G550" s="542" t="s">
        <v>519</v>
      </c>
      <c r="H550" s="537">
        <v>45936</v>
      </c>
      <c r="I550" s="519"/>
      <c r="J550" s="522"/>
      <c r="K550" s="541">
        <v>2985</v>
      </c>
    </row>
    <row r="551" spans="2:11" x14ac:dyDescent="0.45">
      <c r="B551" s="514" t="s">
        <v>76</v>
      </c>
      <c r="C551" s="514" t="s">
        <v>539</v>
      </c>
      <c r="D551" s="534" t="s">
        <v>33</v>
      </c>
      <c r="E551" s="534" t="s">
        <v>20</v>
      </c>
      <c r="F551" s="535" t="s">
        <v>241</v>
      </c>
      <c r="G551" s="542" t="s">
        <v>519</v>
      </c>
      <c r="H551" s="537">
        <v>45943</v>
      </c>
      <c r="I551" s="519"/>
      <c r="J551" s="522"/>
      <c r="K551" s="541">
        <v>2648</v>
      </c>
    </row>
    <row r="552" spans="2:11" x14ac:dyDescent="0.45">
      <c r="B552" s="520" t="s">
        <v>76</v>
      </c>
      <c r="C552" s="520" t="s">
        <v>539</v>
      </c>
      <c r="D552" s="534" t="s">
        <v>33</v>
      </c>
      <c r="E552" s="534" t="s">
        <v>20</v>
      </c>
      <c r="F552" s="535" t="s">
        <v>241</v>
      </c>
      <c r="G552" s="535" t="s">
        <v>224</v>
      </c>
      <c r="H552" s="537">
        <v>45959</v>
      </c>
      <c r="I552" s="519"/>
      <c r="J552" s="522"/>
      <c r="K552" s="541">
        <v>-35000000</v>
      </c>
    </row>
    <row r="553" spans="2:11" x14ac:dyDescent="0.45">
      <c r="B553" s="514" t="s">
        <v>76</v>
      </c>
      <c r="C553" s="514" t="s">
        <v>539</v>
      </c>
      <c r="D553" s="534" t="s">
        <v>33</v>
      </c>
      <c r="E553" s="534" t="s">
        <v>20</v>
      </c>
      <c r="F553" s="535" t="s">
        <v>241</v>
      </c>
      <c r="G553" s="542" t="s">
        <v>519</v>
      </c>
      <c r="H553" s="537">
        <v>45972</v>
      </c>
      <c r="I553" s="519"/>
      <c r="J553" s="522"/>
      <c r="K553" s="541">
        <v>10896</v>
      </c>
    </row>
    <row r="554" spans="2:11" x14ac:dyDescent="0.45">
      <c r="B554" s="514" t="s">
        <v>76</v>
      </c>
      <c r="C554" s="514" t="s">
        <v>539</v>
      </c>
      <c r="D554" s="534" t="s">
        <v>33</v>
      </c>
      <c r="E554" s="534" t="s">
        <v>20</v>
      </c>
      <c r="F554" s="535" t="s">
        <v>241</v>
      </c>
      <c r="G554" s="542" t="s">
        <v>519</v>
      </c>
      <c r="H554" s="537">
        <v>45978</v>
      </c>
      <c r="I554" s="519"/>
      <c r="J554" s="522"/>
      <c r="K554" s="541">
        <v>1380</v>
      </c>
    </row>
    <row r="555" spans="2:11" x14ac:dyDescent="0.45">
      <c r="B555" s="514" t="s">
        <v>76</v>
      </c>
      <c r="C555" s="514" t="s">
        <v>539</v>
      </c>
      <c r="D555" s="534" t="s">
        <v>33</v>
      </c>
      <c r="E555" s="534" t="s">
        <v>20</v>
      </c>
      <c r="F555" s="535" t="s">
        <v>241</v>
      </c>
      <c r="G555" s="542" t="s">
        <v>519</v>
      </c>
      <c r="H555" s="537">
        <v>45989</v>
      </c>
      <c r="I555" s="519"/>
      <c r="J555" s="522"/>
      <c r="K555" s="541">
        <v>4536</v>
      </c>
    </row>
    <row r="556" spans="2:11" x14ac:dyDescent="0.45">
      <c r="B556" s="514" t="s">
        <v>76</v>
      </c>
      <c r="C556" s="514" t="s">
        <v>539</v>
      </c>
      <c r="D556" s="534" t="s">
        <v>33</v>
      </c>
      <c r="E556" s="534" t="s">
        <v>20</v>
      </c>
      <c r="F556" s="535" t="s">
        <v>241</v>
      </c>
      <c r="G556" s="542" t="s">
        <v>519</v>
      </c>
      <c r="H556" s="537">
        <v>46001</v>
      </c>
      <c r="I556" s="519"/>
      <c r="J556" s="522"/>
      <c r="K556" s="541">
        <v>1275</v>
      </c>
    </row>
    <row r="557" spans="2:11" x14ac:dyDescent="0.45">
      <c r="B557" s="514" t="s">
        <v>76</v>
      </c>
      <c r="C557" s="514" t="s">
        <v>539</v>
      </c>
      <c r="D557" s="534" t="s">
        <v>33</v>
      </c>
      <c r="E557" s="534" t="s">
        <v>20</v>
      </c>
      <c r="F557" s="535" t="s">
        <v>241</v>
      </c>
      <c r="G557" s="542" t="s">
        <v>519</v>
      </c>
      <c r="H557" s="537">
        <v>46063</v>
      </c>
      <c r="I557" s="519"/>
      <c r="J557" s="522"/>
      <c r="K557" s="541">
        <v>1222</v>
      </c>
    </row>
    <row r="558" spans="2:11" x14ac:dyDescent="0.45">
      <c r="B558" s="514" t="s">
        <v>76</v>
      </c>
      <c r="C558" s="514" t="s">
        <v>539</v>
      </c>
      <c r="D558" s="534" t="s">
        <v>33</v>
      </c>
      <c r="E558" s="534" t="s">
        <v>20</v>
      </c>
      <c r="F558" s="535" t="s">
        <v>241</v>
      </c>
      <c r="G558" s="542" t="s">
        <v>519</v>
      </c>
      <c r="H558" s="537">
        <v>46065</v>
      </c>
      <c r="I558" s="519"/>
      <c r="J558" s="522"/>
      <c r="K558" s="541">
        <v>2532</v>
      </c>
    </row>
    <row r="559" spans="2:11" x14ac:dyDescent="0.45">
      <c r="B559" s="514" t="s">
        <v>76</v>
      </c>
      <c r="C559" s="514" t="s">
        <v>539</v>
      </c>
      <c r="D559" s="534" t="s">
        <v>33</v>
      </c>
      <c r="E559" s="534" t="s">
        <v>20</v>
      </c>
      <c r="F559" s="535" t="s">
        <v>241</v>
      </c>
      <c r="G559" s="542" t="s">
        <v>519</v>
      </c>
      <c r="H559" s="537">
        <v>46066</v>
      </c>
      <c r="I559" s="519"/>
      <c r="J559" s="522"/>
      <c r="K559" s="541">
        <v>1604</v>
      </c>
    </row>
    <row r="560" spans="2:11" x14ac:dyDescent="0.45">
      <c r="B560" s="520" t="s">
        <v>76</v>
      </c>
      <c r="C560" s="520" t="s">
        <v>539</v>
      </c>
      <c r="D560" s="534" t="s">
        <v>33</v>
      </c>
      <c r="E560" s="534" t="s">
        <v>20</v>
      </c>
      <c r="F560" s="535" t="s">
        <v>241</v>
      </c>
      <c r="G560" s="535" t="s">
        <v>517</v>
      </c>
      <c r="H560" s="537">
        <v>46203</v>
      </c>
      <c r="I560" s="519"/>
      <c r="J560" s="522"/>
      <c r="K560" s="541">
        <v>159942275.22</v>
      </c>
    </row>
    <row r="561" spans="2:11" x14ac:dyDescent="0.45">
      <c r="B561" s="520" t="s">
        <v>78</v>
      </c>
      <c r="C561" s="520" t="s">
        <v>539</v>
      </c>
      <c r="D561" s="534" t="s">
        <v>33</v>
      </c>
      <c r="E561" s="534" t="s">
        <v>20</v>
      </c>
      <c r="F561" s="535" t="s">
        <v>241</v>
      </c>
      <c r="G561" s="535" t="s">
        <v>224</v>
      </c>
      <c r="H561" s="537">
        <v>45629</v>
      </c>
      <c r="I561" s="519"/>
      <c r="J561" s="522"/>
      <c r="K561" s="541">
        <v>-50000000</v>
      </c>
    </row>
    <row r="562" spans="2:11" x14ac:dyDescent="0.45">
      <c r="B562" s="520" t="s">
        <v>78</v>
      </c>
      <c r="C562" s="520" t="s">
        <v>539</v>
      </c>
      <c r="D562" s="534" t="s">
        <v>33</v>
      </c>
      <c r="E562" s="534" t="s">
        <v>20</v>
      </c>
      <c r="F562" s="535" t="s">
        <v>241</v>
      </c>
      <c r="G562" s="535" t="s">
        <v>519</v>
      </c>
      <c r="H562" s="537">
        <v>45664</v>
      </c>
      <c r="I562" s="519"/>
      <c r="J562" s="522"/>
      <c r="K562" s="541">
        <v>2630.75</v>
      </c>
    </row>
    <row r="563" spans="2:11" x14ac:dyDescent="0.45">
      <c r="B563" s="520" t="s">
        <v>78</v>
      </c>
      <c r="C563" s="520" t="s">
        <v>539</v>
      </c>
      <c r="D563" s="534" t="s">
        <v>33</v>
      </c>
      <c r="E563" s="534" t="s">
        <v>20</v>
      </c>
      <c r="F563" s="535" t="s">
        <v>241</v>
      </c>
      <c r="G563" s="535" t="s">
        <v>519</v>
      </c>
      <c r="H563" s="537">
        <v>45688</v>
      </c>
      <c r="I563" s="519"/>
      <c r="J563" s="522"/>
      <c r="K563" s="541">
        <v>2891.25</v>
      </c>
    </row>
    <row r="564" spans="2:11" x14ac:dyDescent="0.45">
      <c r="B564" s="520" t="s">
        <v>78</v>
      </c>
      <c r="C564" s="520" t="s">
        <v>539</v>
      </c>
      <c r="D564" s="534" t="s">
        <v>33</v>
      </c>
      <c r="E564" s="534" t="s">
        <v>20</v>
      </c>
      <c r="F564" s="535" t="s">
        <v>241</v>
      </c>
      <c r="G564" s="535" t="s">
        <v>519</v>
      </c>
      <c r="H564" s="537">
        <v>45694</v>
      </c>
      <c r="I564" s="519"/>
      <c r="J564" s="522"/>
      <c r="K564" s="541">
        <v>444</v>
      </c>
    </row>
    <row r="565" spans="2:11" x14ac:dyDescent="0.45">
      <c r="B565" s="520" t="s">
        <v>78</v>
      </c>
      <c r="C565" s="520" t="s">
        <v>539</v>
      </c>
      <c r="D565" s="534" t="s">
        <v>33</v>
      </c>
      <c r="E565" s="534" t="s">
        <v>20</v>
      </c>
      <c r="F565" s="535" t="s">
        <v>241</v>
      </c>
      <c r="G565" s="535" t="s">
        <v>224</v>
      </c>
      <c r="H565" s="537">
        <v>45705</v>
      </c>
      <c r="I565" s="519"/>
      <c r="J565" s="522"/>
      <c r="K565" s="541">
        <v>-30000000</v>
      </c>
    </row>
    <row r="566" spans="2:11" x14ac:dyDescent="0.45">
      <c r="B566" s="520" t="s">
        <v>78</v>
      </c>
      <c r="C566" s="520" t="s">
        <v>539</v>
      </c>
      <c r="D566" s="534" t="s">
        <v>33</v>
      </c>
      <c r="E566" s="534" t="s">
        <v>20</v>
      </c>
      <c r="F566" s="535" t="s">
        <v>241</v>
      </c>
      <c r="G566" s="535" t="s">
        <v>519</v>
      </c>
      <c r="H566" s="537">
        <v>45706</v>
      </c>
      <c r="I566" s="519"/>
      <c r="J566" s="522"/>
      <c r="K566" s="541">
        <v>580.5</v>
      </c>
    </row>
    <row r="567" spans="2:11" x14ac:dyDescent="0.45">
      <c r="B567" s="520" t="s">
        <v>78</v>
      </c>
      <c r="C567" s="520" t="s">
        <v>539</v>
      </c>
      <c r="D567" s="534" t="s">
        <v>33</v>
      </c>
      <c r="E567" s="534" t="s">
        <v>20</v>
      </c>
      <c r="F567" s="535" t="s">
        <v>241</v>
      </c>
      <c r="G567" s="535" t="s">
        <v>519</v>
      </c>
      <c r="H567" s="537">
        <v>45721</v>
      </c>
      <c r="I567" s="519"/>
      <c r="J567" s="522"/>
      <c r="K567" s="541">
        <v>928</v>
      </c>
    </row>
    <row r="568" spans="2:11" x14ac:dyDescent="0.45">
      <c r="B568" s="520" t="s">
        <v>78</v>
      </c>
      <c r="C568" s="520" t="s">
        <v>539</v>
      </c>
      <c r="D568" s="534" t="s">
        <v>33</v>
      </c>
      <c r="E568" s="534" t="s">
        <v>20</v>
      </c>
      <c r="F568" s="535" t="s">
        <v>241</v>
      </c>
      <c r="G568" s="535" t="s">
        <v>519</v>
      </c>
      <c r="H568" s="537">
        <v>45847</v>
      </c>
      <c r="I568" s="519"/>
      <c r="J568" s="522"/>
      <c r="K568" s="541">
        <v>3420</v>
      </c>
    </row>
    <row r="569" spans="2:11" x14ac:dyDescent="0.45">
      <c r="B569" s="520" t="s">
        <v>78</v>
      </c>
      <c r="C569" s="520" t="s">
        <v>539</v>
      </c>
      <c r="D569" s="534" t="s">
        <v>33</v>
      </c>
      <c r="E569" s="534" t="s">
        <v>20</v>
      </c>
      <c r="F569" s="535" t="s">
        <v>241</v>
      </c>
      <c r="G569" s="535" t="s">
        <v>519</v>
      </c>
      <c r="H569" s="537">
        <v>45862</v>
      </c>
      <c r="I569" s="519"/>
      <c r="J569" s="522"/>
      <c r="K569" s="541">
        <v>4170</v>
      </c>
    </row>
    <row r="570" spans="2:11" x14ac:dyDescent="0.45">
      <c r="B570" s="520" t="s">
        <v>78</v>
      </c>
      <c r="C570" s="520" t="s">
        <v>539</v>
      </c>
      <c r="D570" s="534" t="s">
        <v>33</v>
      </c>
      <c r="E570" s="534" t="s">
        <v>20</v>
      </c>
      <c r="F570" s="535" t="s">
        <v>241</v>
      </c>
      <c r="G570" s="535" t="s">
        <v>519</v>
      </c>
      <c r="H570" s="537">
        <v>45868</v>
      </c>
      <c r="I570" s="519"/>
      <c r="J570" s="522"/>
      <c r="K570" s="541">
        <v>2965</v>
      </c>
    </row>
    <row r="571" spans="2:11" x14ac:dyDescent="0.45">
      <c r="B571" s="520" t="s">
        <v>78</v>
      </c>
      <c r="C571" s="520" t="s">
        <v>539</v>
      </c>
      <c r="D571" s="534" t="s">
        <v>33</v>
      </c>
      <c r="E571" s="534" t="s">
        <v>20</v>
      </c>
      <c r="F571" s="535" t="s">
        <v>241</v>
      </c>
      <c r="G571" s="535" t="s">
        <v>519</v>
      </c>
      <c r="H571" s="537">
        <v>45881</v>
      </c>
      <c r="I571" s="519"/>
      <c r="J571" s="522"/>
      <c r="K571" s="541">
        <v>2810</v>
      </c>
    </row>
    <row r="572" spans="2:11" x14ac:dyDescent="0.45">
      <c r="B572" s="520" t="s">
        <v>78</v>
      </c>
      <c r="C572" s="520" t="s">
        <v>539</v>
      </c>
      <c r="D572" s="534" t="s">
        <v>33</v>
      </c>
      <c r="E572" s="534" t="s">
        <v>20</v>
      </c>
      <c r="F572" s="535" t="s">
        <v>241</v>
      </c>
      <c r="G572" s="535" t="s">
        <v>519</v>
      </c>
      <c r="H572" s="537">
        <v>45890</v>
      </c>
      <c r="I572" s="519"/>
      <c r="J572" s="522"/>
      <c r="K572" s="541">
        <v>1936</v>
      </c>
    </row>
    <row r="573" spans="2:11" x14ac:dyDescent="0.45">
      <c r="B573" s="520" t="s">
        <v>78</v>
      </c>
      <c r="C573" s="520" t="s">
        <v>539</v>
      </c>
      <c r="D573" s="534" t="s">
        <v>33</v>
      </c>
      <c r="E573" s="534" t="s">
        <v>20</v>
      </c>
      <c r="F573" s="535" t="s">
        <v>241</v>
      </c>
      <c r="G573" s="535" t="s">
        <v>519</v>
      </c>
      <c r="H573" s="537">
        <v>45895</v>
      </c>
      <c r="I573" s="519"/>
      <c r="J573" s="522"/>
      <c r="K573" s="541">
        <v>1161</v>
      </c>
    </row>
    <row r="574" spans="2:11" x14ac:dyDescent="0.45">
      <c r="B574" s="520" t="s">
        <v>78</v>
      </c>
      <c r="C574" s="520" t="s">
        <v>539</v>
      </c>
      <c r="D574" s="534" t="s">
        <v>33</v>
      </c>
      <c r="E574" s="534" t="s">
        <v>20</v>
      </c>
      <c r="F574" s="535" t="s">
        <v>241</v>
      </c>
      <c r="G574" s="535" t="s">
        <v>519</v>
      </c>
      <c r="H574" s="537">
        <v>45901</v>
      </c>
      <c r="I574" s="519"/>
      <c r="J574" s="522"/>
      <c r="K574" s="541">
        <v>1066</v>
      </c>
    </row>
    <row r="575" spans="2:11" x14ac:dyDescent="0.45">
      <c r="B575" s="520" t="s">
        <v>78</v>
      </c>
      <c r="C575" s="520" t="s">
        <v>539</v>
      </c>
      <c r="D575" s="534" t="s">
        <v>33</v>
      </c>
      <c r="E575" s="534" t="s">
        <v>20</v>
      </c>
      <c r="F575" s="535" t="s">
        <v>241</v>
      </c>
      <c r="G575" s="535" t="s">
        <v>519</v>
      </c>
      <c r="H575" s="537">
        <v>45902</v>
      </c>
      <c r="I575" s="519"/>
      <c r="J575" s="522"/>
      <c r="K575" s="541">
        <v>2970</v>
      </c>
    </row>
    <row r="576" spans="2:11" x14ac:dyDescent="0.45">
      <c r="B576" s="520" t="s">
        <v>78</v>
      </c>
      <c r="C576" s="520" t="s">
        <v>539</v>
      </c>
      <c r="D576" s="534" t="s">
        <v>33</v>
      </c>
      <c r="E576" s="534" t="s">
        <v>20</v>
      </c>
      <c r="F576" s="535" t="s">
        <v>241</v>
      </c>
      <c r="G576" s="535" t="s">
        <v>519</v>
      </c>
      <c r="H576" s="537">
        <v>45910</v>
      </c>
      <c r="I576" s="519"/>
      <c r="J576" s="522"/>
      <c r="K576" s="541">
        <v>7816</v>
      </c>
    </row>
    <row r="577" spans="2:11" x14ac:dyDescent="0.45">
      <c r="B577" s="520" t="s">
        <v>78</v>
      </c>
      <c r="C577" s="520" t="s">
        <v>539</v>
      </c>
      <c r="D577" s="534" t="s">
        <v>33</v>
      </c>
      <c r="E577" s="534" t="s">
        <v>20</v>
      </c>
      <c r="F577" s="535" t="s">
        <v>241</v>
      </c>
      <c r="G577" s="535" t="s">
        <v>519</v>
      </c>
      <c r="H577" s="537">
        <v>45924</v>
      </c>
      <c r="I577" s="519"/>
      <c r="J577" s="522"/>
      <c r="K577" s="541">
        <v>3884</v>
      </c>
    </row>
    <row r="578" spans="2:11" x14ac:dyDescent="0.45">
      <c r="B578" s="520" t="s">
        <v>78</v>
      </c>
      <c r="C578" s="520" t="s">
        <v>539</v>
      </c>
      <c r="D578" s="534" t="s">
        <v>33</v>
      </c>
      <c r="E578" s="534" t="s">
        <v>20</v>
      </c>
      <c r="F578" s="535" t="s">
        <v>241</v>
      </c>
      <c r="G578" s="535" t="s">
        <v>519</v>
      </c>
      <c r="H578" s="537">
        <v>45925</v>
      </c>
      <c r="I578" s="519"/>
      <c r="J578" s="522"/>
      <c r="K578" s="541">
        <v>1950</v>
      </c>
    </row>
    <row r="579" spans="2:11" x14ac:dyDescent="0.45">
      <c r="B579" s="520" t="s">
        <v>78</v>
      </c>
      <c r="C579" s="520" t="s">
        <v>539</v>
      </c>
      <c r="D579" s="534" t="s">
        <v>33</v>
      </c>
      <c r="E579" s="534" t="s">
        <v>20</v>
      </c>
      <c r="F579" s="535" t="s">
        <v>241</v>
      </c>
      <c r="G579" s="535" t="s">
        <v>519</v>
      </c>
      <c r="H579" s="537">
        <v>45936</v>
      </c>
      <c r="I579" s="519"/>
      <c r="J579" s="522"/>
      <c r="K579" s="541">
        <v>2123</v>
      </c>
    </row>
    <row r="580" spans="2:11" x14ac:dyDescent="0.45">
      <c r="B580" s="520" t="s">
        <v>78</v>
      </c>
      <c r="C580" s="520" t="s">
        <v>539</v>
      </c>
      <c r="D580" s="534" t="s">
        <v>33</v>
      </c>
      <c r="E580" s="534" t="s">
        <v>20</v>
      </c>
      <c r="F580" s="535" t="s">
        <v>241</v>
      </c>
      <c r="G580" s="535" t="s">
        <v>519</v>
      </c>
      <c r="H580" s="537">
        <v>45943</v>
      </c>
      <c r="I580" s="519"/>
      <c r="J580" s="522"/>
      <c r="K580" s="541">
        <v>1928</v>
      </c>
    </row>
    <row r="581" spans="2:11" x14ac:dyDescent="0.45">
      <c r="B581" s="520" t="s">
        <v>78</v>
      </c>
      <c r="C581" s="520" t="s">
        <v>539</v>
      </c>
      <c r="D581" s="534" t="s">
        <v>33</v>
      </c>
      <c r="E581" s="534" t="s">
        <v>20</v>
      </c>
      <c r="F581" s="535" t="s">
        <v>241</v>
      </c>
      <c r="G581" s="535" t="s">
        <v>224</v>
      </c>
      <c r="H581" s="537">
        <v>45959</v>
      </c>
      <c r="I581" s="519"/>
      <c r="J581" s="522"/>
      <c r="K581" s="541">
        <v>-15000000</v>
      </c>
    </row>
    <row r="582" spans="2:11" x14ac:dyDescent="0.45">
      <c r="B582" s="520" t="s">
        <v>78</v>
      </c>
      <c r="C582" s="520" t="s">
        <v>539</v>
      </c>
      <c r="D582" s="534" t="s">
        <v>33</v>
      </c>
      <c r="E582" s="534" t="s">
        <v>20</v>
      </c>
      <c r="F582" s="535" t="s">
        <v>241</v>
      </c>
      <c r="G582" s="535" t="s">
        <v>519</v>
      </c>
      <c r="H582" s="537">
        <v>45972</v>
      </c>
      <c r="I582" s="519"/>
      <c r="J582" s="522"/>
      <c r="K582" s="541">
        <v>7758</v>
      </c>
    </row>
    <row r="583" spans="2:11" x14ac:dyDescent="0.45">
      <c r="B583" s="520" t="s">
        <v>78</v>
      </c>
      <c r="C583" s="520" t="s">
        <v>539</v>
      </c>
      <c r="D583" s="534" t="s">
        <v>33</v>
      </c>
      <c r="E583" s="534" t="s">
        <v>20</v>
      </c>
      <c r="F583" s="535" t="s">
        <v>241</v>
      </c>
      <c r="G583" s="535" t="s">
        <v>519</v>
      </c>
      <c r="H583" s="537">
        <v>45978</v>
      </c>
      <c r="I583" s="519"/>
      <c r="J583" s="522"/>
      <c r="K583" s="541">
        <v>900.75</v>
      </c>
    </row>
    <row r="584" spans="2:11" x14ac:dyDescent="0.45">
      <c r="B584" s="520" t="s">
        <v>78</v>
      </c>
      <c r="C584" s="520" t="s">
        <v>539</v>
      </c>
      <c r="D584" s="534" t="s">
        <v>33</v>
      </c>
      <c r="E584" s="534" t="s">
        <v>20</v>
      </c>
      <c r="F584" s="535" t="s">
        <v>241</v>
      </c>
      <c r="G584" s="535" t="s">
        <v>519</v>
      </c>
      <c r="H584" s="537">
        <v>45989</v>
      </c>
      <c r="I584" s="519"/>
      <c r="J584" s="522"/>
      <c r="K584" s="541">
        <v>3140</v>
      </c>
    </row>
    <row r="585" spans="2:11" x14ac:dyDescent="0.45">
      <c r="B585" s="520" t="s">
        <v>78</v>
      </c>
      <c r="C585" s="520" t="s">
        <v>539</v>
      </c>
      <c r="D585" s="534" t="s">
        <v>33</v>
      </c>
      <c r="E585" s="534" t="s">
        <v>20</v>
      </c>
      <c r="F585" s="535" t="s">
        <v>241</v>
      </c>
      <c r="G585" s="535" t="s">
        <v>519</v>
      </c>
      <c r="H585" s="537">
        <v>46063</v>
      </c>
      <c r="I585" s="519"/>
      <c r="J585" s="522"/>
      <c r="K585" s="541">
        <v>797</v>
      </c>
    </row>
    <row r="586" spans="2:11" x14ac:dyDescent="0.45">
      <c r="B586" s="520" t="s">
        <v>78</v>
      </c>
      <c r="C586" s="520" t="s">
        <v>539</v>
      </c>
      <c r="D586" s="534" t="s">
        <v>33</v>
      </c>
      <c r="E586" s="534" t="s">
        <v>20</v>
      </c>
      <c r="F586" s="535" t="s">
        <v>241</v>
      </c>
      <c r="G586" s="535" t="s">
        <v>519</v>
      </c>
      <c r="H586" s="537">
        <v>46065</v>
      </c>
      <c r="I586" s="519"/>
      <c r="J586" s="522"/>
      <c r="K586" s="541">
        <v>900.75</v>
      </c>
    </row>
    <row r="587" spans="2:11" x14ac:dyDescent="0.45">
      <c r="B587" s="520" t="s">
        <v>78</v>
      </c>
      <c r="C587" s="520" t="s">
        <v>539</v>
      </c>
      <c r="D587" s="534" t="s">
        <v>33</v>
      </c>
      <c r="E587" s="534" t="s">
        <v>20</v>
      </c>
      <c r="F587" s="535" t="s">
        <v>241</v>
      </c>
      <c r="G587" s="535" t="s">
        <v>519</v>
      </c>
      <c r="H587" s="537">
        <v>46066</v>
      </c>
      <c r="I587" s="519"/>
      <c r="J587" s="522"/>
      <c r="K587" s="541">
        <v>1048</v>
      </c>
    </row>
    <row r="588" spans="2:11" x14ac:dyDescent="0.45">
      <c r="B588" s="520" t="s">
        <v>78</v>
      </c>
      <c r="C588" s="520" t="s">
        <v>539</v>
      </c>
      <c r="D588" s="534" t="s">
        <v>33</v>
      </c>
      <c r="E588" s="534" t="s">
        <v>20</v>
      </c>
      <c r="F588" s="535" t="s">
        <v>241</v>
      </c>
      <c r="G588" s="535" t="s">
        <v>517</v>
      </c>
      <c r="H588" s="537">
        <v>46203</v>
      </c>
      <c r="I588" s="519"/>
      <c r="J588" s="522"/>
      <c r="K588" s="541">
        <v>103890192.28</v>
      </c>
    </row>
    <row r="589" spans="2:11" x14ac:dyDescent="0.45">
      <c r="B589" s="514" t="s">
        <v>76</v>
      </c>
      <c r="C589" s="514" t="s">
        <v>516</v>
      </c>
      <c r="D589" s="534" t="s">
        <v>33</v>
      </c>
      <c r="E589" s="534" t="s">
        <v>20</v>
      </c>
      <c r="F589" s="535" t="s">
        <v>289</v>
      </c>
      <c r="G589" s="535" t="s">
        <v>224</v>
      </c>
      <c r="H589" s="537">
        <v>45867</v>
      </c>
      <c r="I589" s="519"/>
      <c r="J589" s="522"/>
      <c r="K589" s="541">
        <v>-75000000</v>
      </c>
    </row>
    <row r="590" spans="2:11" x14ac:dyDescent="0.45">
      <c r="B590" s="514" t="s">
        <v>76</v>
      </c>
      <c r="C590" s="514" t="s">
        <v>516</v>
      </c>
      <c r="D590" s="534" t="s">
        <v>33</v>
      </c>
      <c r="E590" s="534" t="s">
        <v>20</v>
      </c>
      <c r="F590" s="535" t="s">
        <v>289</v>
      </c>
      <c r="G590" s="542" t="s">
        <v>517</v>
      </c>
      <c r="H590" s="537">
        <v>46203</v>
      </c>
      <c r="I590" s="519"/>
      <c r="J590" s="522"/>
      <c r="K590" s="541">
        <v>93278083</v>
      </c>
    </row>
    <row r="591" spans="2:11" x14ac:dyDescent="0.45">
      <c r="B591" s="514" t="s">
        <v>79</v>
      </c>
      <c r="C591" s="514" t="s">
        <v>516</v>
      </c>
      <c r="D591" s="534" t="s">
        <v>33</v>
      </c>
      <c r="E591" s="534" t="s">
        <v>20</v>
      </c>
      <c r="F591" s="535" t="s">
        <v>289</v>
      </c>
      <c r="G591" s="535" t="s">
        <v>224</v>
      </c>
      <c r="H591" s="537">
        <v>45867</v>
      </c>
      <c r="I591" s="519"/>
      <c r="J591" s="522"/>
      <c r="K591" s="541">
        <v>-50000000</v>
      </c>
    </row>
    <row r="592" spans="2:11" x14ac:dyDescent="0.45">
      <c r="B592" s="514" t="s">
        <v>79</v>
      </c>
      <c r="C592" s="514" t="s">
        <v>516</v>
      </c>
      <c r="D592" s="534" t="s">
        <v>33</v>
      </c>
      <c r="E592" s="534" t="s">
        <v>20</v>
      </c>
      <c r="F592" s="535" t="s">
        <v>289</v>
      </c>
      <c r="G592" s="542" t="s">
        <v>517</v>
      </c>
      <c r="H592" s="537">
        <v>46203</v>
      </c>
      <c r="I592" s="519"/>
      <c r="J592" s="522"/>
      <c r="K592" s="541">
        <v>65666338</v>
      </c>
    </row>
    <row r="593" spans="2:11" x14ac:dyDescent="0.45">
      <c r="B593" s="514" t="s">
        <v>76</v>
      </c>
      <c r="C593" s="514" t="s">
        <v>516</v>
      </c>
      <c r="D593" s="534" t="s">
        <v>33</v>
      </c>
      <c r="E593" s="534" t="s">
        <v>18</v>
      </c>
      <c r="F593" s="560" t="s">
        <v>367</v>
      </c>
      <c r="G593" s="542" t="s">
        <v>224</v>
      </c>
      <c r="H593" s="537">
        <v>45046</v>
      </c>
      <c r="I593" s="519">
        <v>499855.50699999998</v>
      </c>
      <c r="J593" s="522">
        <v>100</v>
      </c>
      <c r="K593" s="543">
        <v>-49985550.699999996</v>
      </c>
    </row>
    <row r="594" spans="2:11" x14ac:dyDescent="0.45">
      <c r="B594" s="514" t="s">
        <v>76</v>
      </c>
      <c r="C594" s="514" t="s">
        <v>516</v>
      </c>
      <c r="D594" s="534" t="s">
        <v>33</v>
      </c>
      <c r="E594" s="534" t="s">
        <v>18</v>
      </c>
      <c r="F594" s="560" t="s">
        <v>367</v>
      </c>
      <c r="G594" s="542" t="s">
        <v>224</v>
      </c>
      <c r="H594" s="537">
        <v>45443</v>
      </c>
      <c r="I594" s="519">
        <v>144363.02799999999</v>
      </c>
      <c r="J594" s="522">
        <v>138.53270000000001</v>
      </c>
      <c r="K594" s="543">
        <v>-19999000.0490156</v>
      </c>
    </row>
    <row r="595" spans="2:11" x14ac:dyDescent="0.45">
      <c r="B595" s="514" t="s">
        <v>76</v>
      </c>
      <c r="C595" s="514" t="s">
        <v>516</v>
      </c>
      <c r="D595" s="534" t="s">
        <v>33</v>
      </c>
      <c r="E595" s="534" t="s">
        <v>18</v>
      </c>
      <c r="F595" s="560" t="s">
        <v>367</v>
      </c>
      <c r="G595" s="542" t="s">
        <v>224</v>
      </c>
      <c r="H595" s="537">
        <v>45518</v>
      </c>
      <c r="I595" s="519">
        <v>67543.607000000004</v>
      </c>
      <c r="J595" s="522">
        <v>148.04509999999999</v>
      </c>
      <c r="K595" s="543">
        <v>-9999500.0526756998</v>
      </c>
    </row>
    <row r="596" spans="2:11" x14ac:dyDescent="0.45">
      <c r="B596" s="514" t="s">
        <v>76</v>
      </c>
      <c r="C596" s="514" t="s">
        <v>516</v>
      </c>
      <c r="D596" s="534" t="s">
        <v>33</v>
      </c>
      <c r="E596" s="534" t="s">
        <v>18</v>
      </c>
      <c r="F596" s="560" t="s">
        <v>367</v>
      </c>
      <c r="G596" s="542" t="s">
        <v>224</v>
      </c>
      <c r="H596" s="537">
        <v>45853</v>
      </c>
      <c r="I596" s="519">
        <v>254130.62</v>
      </c>
      <c r="J596" s="522">
        <v>157.38999999999999</v>
      </c>
      <c r="K596" s="543">
        <v>-39997618.281799994</v>
      </c>
    </row>
    <row r="597" spans="2:11" x14ac:dyDescent="0.45">
      <c r="B597" s="514" t="s">
        <v>76</v>
      </c>
      <c r="C597" s="514" t="s">
        <v>516</v>
      </c>
      <c r="D597" s="534" t="s">
        <v>33</v>
      </c>
      <c r="E597" s="534" t="s">
        <v>18</v>
      </c>
      <c r="F597" s="560" t="s">
        <v>367</v>
      </c>
      <c r="G597" s="542" t="s">
        <v>224</v>
      </c>
      <c r="H597" s="537">
        <v>45961</v>
      </c>
      <c r="I597" s="519">
        <v>282737.51</v>
      </c>
      <c r="J597" s="522">
        <v>159.15029999999999</v>
      </c>
      <c r="K597" s="543">
        <v>-44997759.537753001</v>
      </c>
    </row>
    <row r="598" spans="2:11" x14ac:dyDescent="0.45">
      <c r="B598" s="514" t="s">
        <v>76</v>
      </c>
      <c r="C598" s="514" t="s">
        <v>516</v>
      </c>
      <c r="D598" s="534" t="s">
        <v>33</v>
      </c>
      <c r="E598" s="534" t="s">
        <v>18</v>
      </c>
      <c r="F598" s="560" t="s">
        <v>367</v>
      </c>
      <c r="G598" s="542" t="s">
        <v>224</v>
      </c>
      <c r="H598" s="537">
        <v>45989</v>
      </c>
      <c r="I598" s="519">
        <v>767615.45</v>
      </c>
      <c r="J598" s="522">
        <v>156.32040000000001</v>
      </c>
      <c r="K598" s="543">
        <v>-119993954.19018</v>
      </c>
    </row>
    <row r="599" spans="2:11" x14ac:dyDescent="0.45">
      <c r="B599" s="514" t="s">
        <v>76</v>
      </c>
      <c r="C599" s="514" t="s">
        <v>516</v>
      </c>
      <c r="D599" s="534" t="s">
        <v>33</v>
      </c>
      <c r="E599" s="534" t="s">
        <v>18</v>
      </c>
      <c r="F599" s="560" t="s">
        <v>367</v>
      </c>
      <c r="G599" s="542" t="s">
        <v>517</v>
      </c>
      <c r="H599" s="537">
        <v>46203</v>
      </c>
      <c r="I599" s="519">
        <v>2053614.0260000001</v>
      </c>
      <c r="J599" s="522">
        <v>150.166</v>
      </c>
      <c r="K599" s="538">
        <v>308383003.82831603</v>
      </c>
    </row>
    <row r="600" spans="2:11" x14ac:dyDescent="0.45">
      <c r="B600" s="514" t="s">
        <v>79</v>
      </c>
      <c r="C600" s="514" t="s">
        <v>516</v>
      </c>
      <c r="D600" s="534" t="s">
        <v>33</v>
      </c>
      <c r="E600" s="534" t="s">
        <v>18</v>
      </c>
      <c r="F600" s="560" t="s">
        <v>367</v>
      </c>
      <c r="G600" s="536" t="s">
        <v>224</v>
      </c>
      <c r="H600" s="537">
        <v>45050</v>
      </c>
      <c r="I600" s="519">
        <v>499855.50699999998</v>
      </c>
      <c r="J600" s="522">
        <v>100</v>
      </c>
      <c r="K600" s="543">
        <v>-49985550.699999996</v>
      </c>
    </row>
    <row r="601" spans="2:11" x14ac:dyDescent="0.45">
      <c r="B601" s="514" t="s">
        <v>79</v>
      </c>
      <c r="C601" s="514" t="s">
        <v>516</v>
      </c>
      <c r="D601" s="534" t="s">
        <v>33</v>
      </c>
      <c r="E601" s="534" t="s">
        <v>18</v>
      </c>
      <c r="F601" s="560" t="s">
        <v>367</v>
      </c>
      <c r="G601" s="536" t="s">
        <v>224</v>
      </c>
      <c r="H601" s="537">
        <v>45853</v>
      </c>
      <c r="I601" s="519">
        <v>190597.68</v>
      </c>
      <c r="J601" s="522">
        <v>157.38999999999999</v>
      </c>
      <c r="K601" s="543">
        <v>-29998168.855199996</v>
      </c>
    </row>
    <row r="602" spans="2:11" x14ac:dyDescent="0.45">
      <c r="B602" s="514" t="s">
        <v>79</v>
      </c>
      <c r="C602" s="514" t="s">
        <v>516</v>
      </c>
      <c r="D602" s="534" t="s">
        <v>33</v>
      </c>
      <c r="E602" s="534" t="s">
        <v>18</v>
      </c>
      <c r="F602" s="560" t="s">
        <v>367</v>
      </c>
      <c r="G602" s="536" t="s">
        <v>224</v>
      </c>
      <c r="H602" s="537">
        <v>45961</v>
      </c>
      <c r="I602" s="519">
        <v>188491.63399999999</v>
      </c>
      <c r="J602" s="522">
        <v>159.15029999999999</v>
      </c>
      <c r="K602" s="543">
        <v>-29998500.098590195</v>
      </c>
    </row>
    <row r="603" spans="2:11" x14ac:dyDescent="0.45">
      <c r="B603" s="514" t="s">
        <v>79</v>
      </c>
      <c r="C603" s="514" t="s">
        <v>516</v>
      </c>
      <c r="D603" s="534" t="s">
        <v>33</v>
      </c>
      <c r="E603" s="534" t="s">
        <v>18</v>
      </c>
      <c r="F603" s="560" t="s">
        <v>367</v>
      </c>
      <c r="G603" s="536" t="s">
        <v>224</v>
      </c>
      <c r="H603" s="537">
        <v>45989</v>
      </c>
      <c r="I603" s="519">
        <v>511743.83</v>
      </c>
      <c r="J603" s="522">
        <v>156.32040000000001</v>
      </c>
      <c r="K603" s="543">
        <v>-79996000.203132004</v>
      </c>
    </row>
    <row r="604" spans="2:11" x14ac:dyDescent="0.45">
      <c r="B604" s="514" t="s">
        <v>79</v>
      </c>
      <c r="C604" s="514" t="s">
        <v>516</v>
      </c>
      <c r="D604" s="534" t="s">
        <v>33</v>
      </c>
      <c r="E604" s="534" t="s">
        <v>18</v>
      </c>
      <c r="F604" s="560" t="s">
        <v>367</v>
      </c>
      <c r="G604" s="536" t="s">
        <v>517</v>
      </c>
      <c r="H604" s="537">
        <v>46203</v>
      </c>
      <c r="I604" s="519">
        <v>1416918.692</v>
      </c>
      <c r="J604" s="522">
        <v>150.166</v>
      </c>
      <c r="K604" s="538">
        <v>212773012.302872</v>
      </c>
    </row>
    <row r="605" spans="2:11" x14ac:dyDescent="0.45">
      <c r="B605" s="520" t="s">
        <v>76</v>
      </c>
      <c r="C605" s="520" t="s">
        <v>540</v>
      </c>
      <c r="D605" s="534" t="s">
        <v>33</v>
      </c>
      <c r="E605" s="534" t="s">
        <v>18</v>
      </c>
      <c r="F605" s="535" t="s">
        <v>371</v>
      </c>
      <c r="G605" s="535" t="s">
        <v>224</v>
      </c>
      <c r="H605" s="537">
        <v>46017</v>
      </c>
      <c r="I605" s="519"/>
      <c r="J605" s="522"/>
      <c r="K605" s="541">
        <v>-175000000</v>
      </c>
    </row>
    <row r="606" spans="2:11" x14ac:dyDescent="0.45">
      <c r="B606" s="520" t="s">
        <v>76</v>
      </c>
      <c r="C606" s="520" t="s">
        <v>540</v>
      </c>
      <c r="D606" s="534" t="s">
        <v>33</v>
      </c>
      <c r="E606" s="534" t="s">
        <v>18</v>
      </c>
      <c r="F606" s="535" t="s">
        <v>371</v>
      </c>
      <c r="G606" s="535" t="s">
        <v>517</v>
      </c>
      <c r="H606" s="537">
        <v>46212</v>
      </c>
      <c r="I606" s="519"/>
      <c r="J606" s="522"/>
      <c r="K606" s="541">
        <v>181533677</v>
      </c>
    </row>
    <row r="607" spans="2:11" x14ac:dyDescent="0.45">
      <c r="B607" s="520" t="s">
        <v>79</v>
      </c>
      <c r="C607" s="520" t="s">
        <v>540</v>
      </c>
      <c r="D607" s="534" t="s">
        <v>33</v>
      </c>
      <c r="E607" s="534" t="s">
        <v>18</v>
      </c>
      <c r="F607" s="535" t="s">
        <v>371</v>
      </c>
      <c r="G607" s="535" t="s">
        <v>224</v>
      </c>
      <c r="H607" s="537">
        <v>46017</v>
      </c>
      <c r="I607" s="519"/>
      <c r="J607" s="522"/>
      <c r="K607" s="541">
        <v>-75000000</v>
      </c>
    </row>
    <row r="608" spans="2:11" x14ac:dyDescent="0.45">
      <c r="B608" s="520" t="s">
        <v>79</v>
      </c>
      <c r="C608" s="520" t="s">
        <v>540</v>
      </c>
      <c r="D608" s="534" t="s">
        <v>33</v>
      </c>
      <c r="E608" s="534" t="s">
        <v>18</v>
      </c>
      <c r="F608" s="535" t="s">
        <v>371</v>
      </c>
      <c r="G608" s="535" t="s">
        <v>517</v>
      </c>
      <c r="H608" s="537">
        <v>46212</v>
      </c>
      <c r="I608" s="519"/>
      <c r="J608" s="522"/>
      <c r="K608" s="541">
        <v>77695353</v>
      </c>
    </row>
    <row r="609" spans="2:11" x14ac:dyDescent="0.45">
      <c r="B609" s="515" t="s">
        <v>77</v>
      </c>
      <c r="C609" s="514" t="s">
        <v>516</v>
      </c>
      <c r="D609" s="534" t="s">
        <v>33</v>
      </c>
      <c r="E609" s="534" t="s">
        <v>18</v>
      </c>
      <c r="F609" s="550" t="s">
        <v>419</v>
      </c>
      <c r="G609" s="540" t="s">
        <v>224</v>
      </c>
      <c r="H609" s="537">
        <v>46129</v>
      </c>
      <c r="I609" s="519">
        <v>132634.709</v>
      </c>
      <c r="J609" s="522">
        <v>160.874</v>
      </c>
      <c r="K609" s="551">
        <v>-21337476.175666001</v>
      </c>
    </row>
    <row r="610" spans="2:11" x14ac:dyDescent="0.45">
      <c r="B610" s="515" t="s">
        <v>77</v>
      </c>
      <c r="C610" s="514" t="s">
        <v>516</v>
      </c>
      <c r="D610" s="534" t="s">
        <v>33</v>
      </c>
      <c r="E610" s="534" t="s">
        <v>18</v>
      </c>
      <c r="F610" s="550" t="s">
        <v>419</v>
      </c>
      <c r="G610" s="540" t="s">
        <v>517</v>
      </c>
      <c r="H610" s="537">
        <v>46203</v>
      </c>
      <c r="I610" s="519">
        <v>132634.709</v>
      </c>
      <c r="J610" s="522">
        <v>163.352</v>
      </c>
      <c r="K610" s="551">
        <v>21666144.984568</v>
      </c>
    </row>
    <row r="611" spans="2:11" x14ac:dyDescent="0.45">
      <c r="B611" s="515" t="s">
        <v>76</v>
      </c>
      <c r="C611" s="514" t="s">
        <v>516</v>
      </c>
      <c r="D611" s="534" t="s">
        <v>33</v>
      </c>
      <c r="E611" s="534" t="s">
        <v>18</v>
      </c>
      <c r="F611" s="550" t="s">
        <v>419</v>
      </c>
      <c r="G611" s="540" t="s">
        <v>224</v>
      </c>
      <c r="H611" s="537">
        <v>46114</v>
      </c>
      <c r="I611" s="519">
        <v>127182.13099999999</v>
      </c>
      <c r="J611" s="522">
        <v>147.41900000000001</v>
      </c>
      <c r="K611" s="551">
        <v>-18749062.569889002</v>
      </c>
    </row>
    <row r="612" spans="2:11" x14ac:dyDescent="0.45">
      <c r="B612" s="515" t="s">
        <v>76</v>
      </c>
      <c r="C612" s="514" t="s">
        <v>516</v>
      </c>
      <c r="D612" s="534" t="s">
        <v>33</v>
      </c>
      <c r="E612" s="534" t="s">
        <v>18</v>
      </c>
      <c r="F612" s="550" t="s">
        <v>419</v>
      </c>
      <c r="G612" s="540" t="s">
        <v>224</v>
      </c>
      <c r="H612" s="537">
        <v>46129</v>
      </c>
      <c r="I612" s="519">
        <v>76436.187999999995</v>
      </c>
      <c r="J612" s="522">
        <v>160.874</v>
      </c>
      <c r="K612" s="551">
        <v>-12296595.308311999</v>
      </c>
    </row>
    <row r="613" spans="2:11" x14ac:dyDescent="0.45">
      <c r="B613" s="515" t="s">
        <v>76</v>
      </c>
      <c r="C613" s="514" t="s">
        <v>516</v>
      </c>
      <c r="D613" s="534" t="s">
        <v>33</v>
      </c>
      <c r="E613" s="534" t="s">
        <v>18</v>
      </c>
      <c r="F613" s="550" t="s">
        <v>419</v>
      </c>
      <c r="G613" s="540" t="s">
        <v>224</v>
      </c>
      <c r="H613" s="537">
        <v>46135</v>
      </c>
      <c r="I613" s="519">
        <v>115883.027</v>
      </c>
      <c r="J613" s="522">
        <v>161.79300000000001</v>
      </c>
      <c r="K613" s="551">
        <v>-18749062.587411001</v>
      </c>
    </row>
    <row r="614" spans="2:11" x14ac:dyDescent="0.45">
      <c r="B614" s="515" t="s">
        <v>76</v>
      </c>
      <c r="C614" s="514" t="s">
        <v>516</v>
      </c>
      <c r="D614" s="534" t="s">
        <v>33</v>
      </c>
      <c r="E614" s="534" t="s">
        <v>18</v>
      </c>
      <c r="F614" s="550" t="s">
        <v>419</v>
      </c>
      <c r="G614" s="540" t="s">
        <v>224</v>
      </c>
      <c r="H614" s="537">
        <v>46142</v>
      </c>
      <c r="I614" s="519">
        <v>116036.50599999999</v>
      </c>
      <c r="J614" s="522">
        <v>161.57900000000001</v>
      </c>
      <c r="K614" s="551">
        <v>-18749062.602974001</v>
      </c>
    </row>
    <row r="615" spans="2:11" x14ac:dyDescent="0.45">
      <c r="B615" s="515" t="s">
        <v>76</v>
      </c>
      <c r="C615" s="514" t="s">
        <v>516</v>
      </c>
      <c r="D615" s="534" t="s">
        <v>33</v>
      </c>
      <c r="E615" s="534" t="s">
        <v>18</v>
      </c>
      <c r="F615" s="550" t="s">
        <v>419</v>
      </c>
      <c r="G615" s="540" t="s">
        <v>224</v>
      </c>
      <c r="H615" s="537">
        <v>46149</v>
      </c>
      <c r="I615" s="519">
        <v>113157.478</v>
      </c>
      <c r="J615" s="522">
        <v>165.69</v>
      </c>
      <c r="K615" s="551">
        <v>-18749062.529819999</v>
      </c>
    </row>
    <row r="616" spans="2:11" x14ac:dyDescent="0.45">
      <c r="B616" s="515" t="s">
        <v>76</v>
      </c>
      <c r="C616" s="514" t="s">
        <v>516</v>
      </c>
      <c r="D616" s="534" t="s">
        <v>33</v>
      </c>
      <c r="E616" s="534" t="s">
        <v>18</v>
      </c>
      <c r="F616" s="550" t="s">
        <v>419</v>
      </c>
      <c r="G616" s="540" t="s">
        <v>224</v>
      </c>
      <c r="H616" s="537">
        <v>46156</v>
      </c>
      <c r="I616" s="519">
        <v>115567.31</v>
      </c>
      <c r="J616" s="522">
        <v>162.23500000000001</v>
      </c>
      <c r="K616" s="551">
        <v>-18749062.53785</v>
      </c>
    </row>
    <row r="617" spans="2:11" x14ac:dyDescent="0.45">
      <c r="B617" s="515" t="s">
        <v>76</v>
      </c>
      <c r="C617" s="514" t="s">
        <v>516</v>
      </c>
      <c r="D617" s="534" t="s">
        <v>33</v>
      </c>
      <c r="E617" s="534" t="s">
        <v>18</v>
      </c>
      <c r="F617" s="550" t="s">
        <v>419</v>
      </c>
      <c r="G617" s="540" t="s">
        <v>224</v>
      </c>
      <c r="H617" s="537">
        <v>46163</v>
      </c>
      <c r="I617" s="519">
        <v>115126.63099999999</v>
      </c>
      <c r="J617" s="522">
        <v>162.85599999999999</v>
      </c>
      <c r="K617" s="551">
        <v>-18749062.618136</v>
      </c>
    </row>
    <row r="618" spans="2:11" x14ac:dyDescent="0.45">
      <c r="B618" s="515" t="s">
        <v>76</v>
      </c>
      <c r="C618" s="514" t="s">
        <v>516</v>
      </c>
      <c r="D618" s="534" t="s">
        <v>33</v>
      </c>
      <c r="E618" s="534" t="s">
        <v>18</v>
      </c>
      <c r="F618" s="550" t="s">
        <v>419</v>
      </c>
      <c r="G618" s="540" t="s">
        <v>224</v>
      </c>
      <c r="H618" s="537">
        <v>46171</v>
      </c>
      <c r="I618" s="519">
        <v>115523.87300000001</v>
      </c>
      <c r="J618" s="522">
        <v>162.29599999999999</v>
      </c>
      <c r="K618" s="551">
        <v>-18749062.492408</v>
      </c>
    </row>
    <row r="619" spans="2:11" x14ac:dyDescent="0.45">
      <c r="B619" s="515" t="s">
        <v>76</v>
      </c>
      <c r="C619" s="514" t="s">
        <v>516</v>
      </c>
      <c r="D619" s="534" t="s">
        <v>33</v>
      </c>
      <c r="E619" s="534" t="s">
        <v>18</v>
      </c>
      <c r="F619" s="550" t="s">
        <v>419</v>
      </c>
      <c r="G619" s="540" t="s">
        <v>224</v>
      </c>
      <c r="H619" s="537">
        <v>46177</v>
      </c>
      <c r="I619" s="519">
        <v>116631.287</v>
      </c>
      <c r="J619" s="522">
        <v>160.755</v>
      </c>
      <c r="K619" s="551">
        <v>-18749062.541685</v>
      </c>
    </row>
    <row r="620" spans="2:11" x14ac:dyDescent="0.45">
      <c r="B620" s="515" t="s">
        <v>76</v>
      </c>
      <c r="C620" s="514" t="s">
        <v>516</v>
      </c>
      <c r="D620" s="534" t="s">
        <v>33</v>
      </c>
      <c r="E620" s="534" t="s">
        <v>18</v>
      </c>
      <c r="F620" s="550" t="s">
        <v>419</v>
      </c>
      <c r="G620" s="540" t="s">
        <v>224</v>
      </c>
      <c r="H620" s="537">
        <v>46184</v>
      </c>
      <c r="I620" s="519">
        <v>119464.914</v>
      </c>
      <c r="J620" s="522">
        <v>156.94200000000001</v>
      </c>
      <c r="K620" s="551">
        <v>-18749062.532988001</v>
      </c>
    </row>
    <row r="621" spans="2:11" x14ac:dyDescent="0.45">
      <c r="B621" s="515" t="s">
        <v>76</v>
      </c>
      <c r="C621" s="514" t="s">
        <v>516</v>
      </c>
      <c r="D621" s="534" t="s">
        <v>33</v>
      </c>
      <c r="E621" s="534" t="s">
        <v>18</v>
      </c>
      <c r="F621" s="550" t="s">
        <v>419</v>
      </c>
      <c r="G621" s="540" t="s">
        <v>224</v>
      </c>
      <c r="H621" s="537">
        <v>46191</v>
      </c>
      <c r="I621" s="519">
        <v>114618.485</v>
      </c>
      <c r="J621" s="522">
        <v>163.578</v>
      </c>
      <c r="K621" s="551">
        <v>-18749062.539330002</v>
      </c>
    </row>
    <row r="622" spans="2:11" x14ac:dyDescent="0.45">
      <c r="B622" s="515" t="s">
        <v>76</v>
      </c>
      <c r="C622" s="514" t="s">
        <v>516</v>
      </c>
      <c r="D622" s="534" t="s">
        <v>33</v>
      </c>
      <c r="E622" s="534" t="s">
        <v>18</v>
      </c>
      <c r="F622" s="550" t="s">
        <v>419</v>
      </c>
      <c r="G622" s="540" t="s">
        <v>224</v>
      </c>
      <c r="H622" s="537">
        <v>46198</v>
      </c>
      <c r="I622" s="519">
        <v>114473.624</v>
      </c>
      <c r="J622" s="522">
        <v>163.785</v>
      </c>
      <c r="K622" s="551">
        <v>-18749062.506839998</v>
      </c>
    </row>
    <row r="623" spans="2:11" x14ac:dyDescent="0.45">
      <c r="B623" s="515" t="s">
        <v>76</v>
      </c>
      <c r="C623" s="514" t="s">
        <v>516</v>
      </c>
      <c r="D623" s="534" t="s">
        <v>33</v>
      </c>
      <c r="E623" s="534" t="s">
        <v>18</v>
      </c>
      <c r="F623" s="550" t="s">
        <v>419</v>
      </c>
      <c r="G623" s="540" t="s">
        <v>517</v>
      </c>
      <c r="H623" s="537">
        <v>46203</v>
      </c>
      <c r="I623" s="519">
        <v>1360101.4540000004</v>
      </c>
      <c r="J623" s="522">
        <v>163.352</v>
      </c>
      <c r="K623" s="551">
        <v>222175292.71380806</v>
      </c>
    </row>
    <row r="624" spans="2:11" x14ac:dyDescent="0.45">
      <c r="B624" s="515" t="s">
        <v>79</v>
      </c>
      <c r="C624" s="515" t="s">
        <v>516</v>
      </c>
      <c r="D624" s="539" t="s">
        <v>33</v>
      </c>
      <c r="E624" s="539" t="s">
        <v>18</v>
      </c>
      <c r="F624" s="535" t="s">
        <v>419</v>
      </c>
      <c r="G624" s="540" t="s">
        <v>224</v>
      </c>
      <c r="H624" s="537">
        <v>46129</v>
      </c>
      <c r="I624" s="519">
        <v>24406.690999999999</v>
      </c>
      <c r="J624" s="522">
        <v>160.874</v>
      </c>
      <c r="K624" s="551">
        <v>-3926402.0079339999</v>
      </c>
    </row>
    <row r="625" spans="2:11" x14ac:dyDescent="0.45">
      <c r="B625" s="515" t="s">
        <v>79</v>
      </c>
      <c r="C625" s="515" t="s">
        <v>516</v>
      </c>
      <c r="D625" s="539" t="s">
        <v>33</v>
      </c>
      <c r="E625" s="539" t="s">
        <v>18</v>
      </c>
      <c r="F625" s="535" t="s">
        <v>419</v>
      </c>
      <c r="G625" s="540" t="s">
        <v>517</v>
      </c>
      <c r="H625" s="537">
        <v>46203</v>
      </c>
      <c r="I625" s="519">
        <v>24406.690999999999</v>
      </c>
      <c r="J625" s="522">
        <v>163.352</v>
      </c>
      <c r="K625" s="551">
        <v>3986881.7882320001</v>
      </c>
    </row>
    <row r="626" spans="2:11" x14ac:dyDescent="0.45">
      <c r="B626" s="514" t="s">
        <v>76</v>
      </c>
      <c r="C626" s="520" t="s">
        <v>516</v>
      </c>
      <c r="D626" s="534" t="s">
        <v>33</v>
      </c>
      <c r="E626" s="534" t="s">
        <v>18</v>
      </c>
      <c r="F626" s="264" t="s">
        <v>548</v>
      </c>
      <c r="G626" s="535" t="s">
        <v>224</v>
      </c>
      <c r="H626" s="537">
        <v>45443</v>
      </c>
      <c r="I626" s="519">
        <v>272225.45868045324</v>
      </c>
      <c r="J626" s="522">
        <v>128.56989999999999</v>
      </c>
      <c r="K626" s="541">
        <v>-35000000</v>
      </c>
    </row>
    <row r="627" spans="2:11" x14ac:dyDescent="0.45">
      <c r="B627" s="514" t="s">
        <v>76</v>
      </c>
      <c r="C627" s="520" t="s">
        <v>516</v>
      </c>
      <c r="D627" s="534" t="s">
        <v>33</v>
      </c>
      <c r="E627" s="534" t="s">
        <v>18</v>
      </c>
      <c r="F627" s="264" t="s">
        <v>548</v>
      </c>
      <c r="G627" s="535" t="s">
        <v>224</v>
      </c>
      <c r="H627" s="537">
        <v>45854</v>
      </c>
      <c r="I627" s="519"/>
      <c r="J627" s="522"/>
      <c r="K627" s="541">
        <v>-25000000</v>
      </c>
    </row>
    <row r="628" spans="2:11" x14ac:dyDescent="0.45">
      <c r="B628" s="514" t="s">
        <v>76</v>
      </c>
      <c r="C628" s="520" t="s">
        <v>516</v>
      </c>
      <c r="D628" s="534" t="s">
        <v>33</v>
      </c>
      <c r="E628" s="534" t="s">
        <v>18</v>
      </c>
      <c r="F628" s="264" t="s">
        <v>548</v>
      </c>
      <c r="G628" s="535" t="s">
        <v>224</v>
      </c>
      <c r="H628" s="537">
        <v>45962</v>
      </c>
      <c r="I628" s="519"/>
      <c r="J628" s="522"/>
      <c r="K628" s="541">
        <v>-50000000</v>
      </c>
    </row>
    <row r="629" spans="2:11" x14ac:dyDescent="0.45">
      <c r="B629" s="514" t="s">
        <v>76</v>
      </c>
      <c r="C629" s="520" t="s">
        <v>516</v>
      </c>
      <c r="D629" s="534" t="s">
        <v>33</v>
      </c>
      <c r="E629" s="534" t="s">
        <v>18</v>
      </c>
      <c r="F629" s="264" t="s">
        <v>548</v>
      </c>
      <c r="G629" s="535" t="s">
        <v>224</v>
      </c>
      <c r="H629" s="537">
        <v>46113</v>
      </c>
      <c r="I629" s="519"/>
      <c r="J629" s="522"/>
      <c r="K629" s="541">
        <v>-100058861.66</v>
      </c>
    </row>
    <row r="630" spans="2:11" x14ac:dyDescent="0.45">
      <c r="B630" s="514" t="s">
        <v>76</v>
      </c>
      <c r="C630" s="520" t="s">
        <v>516</v>
      </c>
      <c r="D630" s="534" t="s">
        <v>33</v>
      </c>
      <c r="E630" s="534" t="s">
        <v>18</v>
      </c>
      <c r="F630" s="264" t="s">
        <v>548</v>
      </c>
      <c r="G630" s="535" t="s">
        <v>224</v>
      </c>
      <c r="H630" s="537">
        <v>46174</v>
      </c>
      <c r="I630" s="519"/>
      <c r="J630" s="522"/>
      <c r="K630" s="541">
        <v>-250000000</v>
      </c>
    </row>
    <row r="631" spans="2:11" x14ac:dyDescent="0.45">
      <c r="B631" s="514" t="s">
        <v>76</v>
      </c>
      <c r="C631" s="520" t="s">
        <v>516</v>
      </c>
      <c r="D631" s="534" t="s">
        <v>33</v>
      </c>
      <c r="E631" s="534" t="s">
        <v>18</v>
      </c>
      <c r="F631" s="264" t="s">
        <v>548</v>
      </c>
      <c r="G631" s="536" t="s">
        <v>517</v>
      </c>
      <c r="H631" s="537">
        <v>46203</v>
      </c>
      <c r="I631" s="519">
        <v>3416657.4166999999</v>
      </c>
      <c r="J631" s="522">
        <v>142.529</v>
      </c>
      <c r="K631" s="541">
        <v>486972764.94483429</v>
      </c>
    </row>
    <row r="632" spans="2:11" x14ac:dyDescent="0.45">
      <c r="B632" s="514" t="s">
        <v>79</v>
      </c>
      <c r="C632" s="520" t="s">
        <v>516</v>
      </c>
      <c r="D632" s="534" t="s">
        <v>33</v>
      </c>
      <c r="E632" s="534" t="s">
        <v>18</v>
      </c>
      <c r="F632" s="264" t="s">
        <v>548</v>
      </c>
      <c r="G632" s="535" t="s">
        <v>224</v>
      </c>
      <c r="H632" s="537">
        <v>45446</v>
      </c>
      <c r="I632" s="519">
        <v>170498.1912</v>
      </c>
      <c r="J632" s="522">
        <v>117.30329723286823</v>
      </c>
      <c r="K632" s="541">
        <v>-20000000</v>
      </c>
    </row>
    <row r="633" spans="2:11" x14ac:dyDescent="0.45">
      <c r="B633" s="514" t="s">
        <v>79</v>
      </c>
      <c r="C633" s="520" t="s">
        <v>516</v>
      </c>
      <c r="D633" s="534" t="s">
        <v>33</v>
      </c>
      <c r="E633" s="534" t="s">
        <v>18</v>
      </c>
      <c r="F633" s="264" t="s">
        <v>548</v>
      </c>
      <c r="G633" s="535" t="s">
        <v>224</v>
      </c>
      <c r="H633" s="537">
        <v>45658</v>
      </c>
      <c r="I633" s="519">
        <v>815373.27610000002</v>
      </c>
      <c r="J633" s="522">
        <v>122.64319999999999</v>
      </c>
      <c r="K633" s="541">
        <v>-99999987.775387511</v>
      </c>
    </row>
    <row r="634" spans="2:11" x14ac:dyDescent="0.45">
      <c r="B634" s="514" t="s">
        <v>79</v>
      </c>
      <c r="C634" s="520" t="s">
        <v>516</v>
      </c>
      <c r="D634" s="534" t="s">
        <v>33</v>
      </c>
      <c r="E634" s="534" t="s">
        <v>18</v>
      </c>
      <c r="F634" s="264" t="s">
        <v>548</v>
      </c>
      <c r="G634" s="535" t="s">
        <v>224</v>
      </c>
      <c r="H634" s="537">
        <v>45870</v>
      </c>
      <c r="I634" s="519"/>
      <c r="J634" s="522"/>
      <c r="K634" s="541">
        <v>-25000000</v>
      </c>
    </row>
    <row r="635" spans="2:11" x14ac:dyDescent="0.45">
      <c r="B635" s="514" t="s">
        <v>79</v>
      </c>
      <c r="C635" s="520" t="s">
        <v>516</v>
      </c>
      <c r="D635" s="534" t="s">
        <v>33</v>
      </c>
      <c r="E635" s="534" t="s">
        <v>18</v>
      </c>
      <c r="F635" s="264" t="s">
        <v>548</v>
      </c>
      <c r="G635" s="535" t="s">
        <v>224</v>
      </c>
      <c r="H635" s="537">
        <v>45962</v>
      </c>
      <c r="I635" s="519"/>
      <c r="J635" s="522"/>
      <c r="K635" s="541">
        <v>-50000000</v>
      </c>
    </row>
    <row r="636" spans="2:11" x14ac:dyDescent="0.45">
      <c r="B636" s="514" t="s">
        <v>79</v>
      </c>
      <c r="C636" s="520" t="s">
        <v>516</v>
      </c>
      <c r="D636" s="534" t="s">
        <v>33</v>
      </c>
      <c r="E636" s="534" t="s">
        <v>18</v>
      </c>
      <c r="F636" s="264" t="s">
        <v>548</v>
      </c>
      <c r="G636" s="535" t="s">
        <v>224</v>
      </c>
      <c r="H636" s="537">
        <v>46023</v>
      </c>
      <c r="I636" s="519">
        <v>384062.15600000002</v>
      </c>
      <c r="J636" s="522">
        <v>139.3004</v>
      </c>
      <c r="K636" s="541">
        <v>-53500011.9556624</v>
      </c>
    </row>
    <row r="637" spans="2:11" x14ac:dyDescent="0.45">
      <c r="B637" s="514" t="s">
        <v>79</v>
      </c>
      <c r="C637" s="520" t="s">
        <v>516</v>
      </c>
      <c r="D637" s="534" t="s">
        <v>33</v>
      </c>
      <c r="E637" s="534" t="s">
        <v>18</v>
      </c>
      <c r="F637" s="264" t="s">
        <v>548</v>
      </c>
      <c r="G637" s="536" t="s">
        <v>517</v>
      </c>
      <c r="H637" s="537">
        <v>46203</v>
      </c>
      <c r="I637" s="519">
        <v>1918953.2</v>
      </c>
      <c r="J637" s="522">
        <v>142.52900018614315</v>
      </c>
      <c r="K637" s="541">
        <v>273506481</v>
      </c>
    </row>
    <row r="638" spans="2:11" x14ac:dyDescent="0.45">
      <c r="B638" s="520" t="s">
        <v>76</v>
      </c>
      <c r="C638" s="520" t="s">
        <v>541</v>
      </c>
      <c r="D638" s="534" t="s">
        <v>33</v>
      </c>
      <c r="E638" s="534" t="s">
        <v>18</v>
      </c>
      <c r="F638" s="535" t="s">
        <v>248</v>
      </c>
      <c r="G638" s="535" t="s">
        <v>224</v>
      </c>
      <c r="H638" s="537">
        <v>45663</v>
      </c>
      <c r="I638" s="519"/>
      <c r="J638" s="522"/>
      <c r="K638" s="541">
        <v>-200000000</v>
      </c>
    </row>
    <row r="639" spans="2:11" x14ac:dyDescent="0.45">
      <c r="B639" s="520" t="s">
        <v>76</v>
      </c>
      <c r="C639" s="520" t="s">
        <v>541</v>
      </c>
      <c r="D639" s="534" t="s">
        <v>33</v>
      </c>
      <c r="E639" s="534" t="s">
        <v>18</v>
      </c>
      <c r="F639" s="535" t="s">
        <v>248</v>
      </c>
      <c r="G639" s="535" t="s">
        <v>224</v>
      </c>
      <c r="H639" s="537">
        <v>45847</v>
      </c>
      <c r="I639" s="519"/>
      <c r="J639" s="522"/>
      <c r="K639" s="541">
        <v>-30000000</v>
      </c>
    </row>
    <row r="640" spans="2:11" x14ac:dyDescent="0.45">
      <c r="B640" s="520" t="s">
        <v>76</v>
      </c>
      <c r="C640" s="520" t="s">
        <v>541</v>
      </c>
      <c r="D640" s="534" t="s">
        <v>33</v>
      </c>
      <c r="E640" s="534" t="s">
        <v>18</v>
      </c>
      <c r="F640" s="535" t="s">
        <v>248</v>
      </c>
      <c r="G640" s="535" t="s">
        <v>224</v>
      </c>
      <c r="H640" s="537">
        <v>46022</v>
      </c>
      <c r="I640" s="519"/>
      <c r="J640" s="522"/>
      <c r="K640" s="541">
        <v>-100000000</v>
      </c>
    </row>
    <row r="641" spans="2:11" x14ac:dyDescent="0.45">
      <c r="B641" s="520" t="s">
        <v>76</v>
      </c>
      <c r="C641" s="520" t="s">
        <v>541</v>
      </c>
      <c r="D641" s="534" t="s">
        <v>33</v>
      </c>
      <c r="E641" s="534" t="s">
        <v>18</v>
      </c>
      <c r="F641" s="535" t="s">
        <v>248</v>
      </c>
      <c r="G641" s="535" t="s">
        <v>517</v>
      </c>
      <c r="H641" s="537">
        <v>46212</v>
      </c>
      <c r="I641" s="519"/>
      <c r="J641" s="522"/>
      <c r="K641" s="541">
        <v>400475678</v>
      </c>
    </row>
    <row r="642" spans="2:11" x14ac:dyDescent="0.45">
      <c r="B642" s="514" t="s">
        <v>79</v>
      </c>
      <c r="C642" s="514" t="s">
        <v>516</v>
      </c>
      <c r="D642" s="534" t="s">
        <v>33</v>
      </c>
      <c r="E642" s="534" t="s">
        <v>18</v>
      </c>
      <c r="F642" s="535" t="s">
        <v>299</v>
      </c>
      <c r="G642" s="542" t="s">
        <v>224</v>
      </c>
      <c r="H642" s="537">
        <v>45900</v>
      </c>
      <c r="I642" s="519"/>
      <c r="J642" s="522"/>
      <c r="K642" s="538">
        <v>-100000000</v>
      </c>
    </row>
    <row r="643" spans="2:11" x14ac:dyDescent="0.45">
      <c r="B643" s="514" t="s">
        <v>79</v>
      </c>
      <c r="C643" s="514" t="s">
        <v>516</v>
      </c>
      <c r="D643" s="534" t="s">
        <v>33</v>
      </c>
      <c r="E643" s="534" t="s">
        <v>18</v>
      </c>
      <c r="F643" s="535" t="s">
        <v>299</v>
      </c>
      <c r="G643" s="542" t="s">
        <v>224</v>
      </c>
      <c r="H643" s="537">
        <v>46022</v>
      </c>
      <c r="I643" s="519"/>
      <c r="J643" s="522"/>
      <c r="K643" s="538">
        <v>-50000425.079999998</v>
      </c>
    </row>
    <row r="644" spans="2:11" x14ac:dyDescent="0.45">
      <c r="B644" s="514" t="s">
        <v>79</v>
      </c>
      <c r="C644" s="514" t="s">
        <v>516</v>
      </c>
      <c r="D644" s="534" t="s">
        <v>33</v>
      </c>
      <c r="E644" s="534" t="s">
        <v>18</v>
      </c>
      <c r="F644" s="535" t="s">
        <v>299</v>
      </c>
      <c r="G644" s="542" t="s">
        <v>517</v>
      </c>
      <c r="H644" s="537">
        <v>46112</v>
      </c>
      <c r="I644" s="519">
        <v>12993094.824999999</v>
      </c>
      <c r="J644" s="522">
        <v>12.321099999999999</v>
      </c>
      <c r="K644" s="538">
        <v>160089220.64830747</v>
      </c>
    </row>
    <row r="645" spans="2:11" x14ac:dyDescent="0.45">
      <c r="B645" s="520" t="s">
        <v>76</v>
      </c>
      <c r="C645" s="514" t="s">
        <v>516</v>
      </c>
      <c r="D645" s="534" t="s">
        <v>33</v>
      </c>
      <c r="E645" s="534" t="s">
        <v>18</v>
      </c>
      <c r="F645" s="535" t="s">
        <v>262</v>
      </c>
      <c r="G645" s="542" t="s">
        <v>224</v>
      </c>
      <c r="H645" s="537">
        <v>45625</v>
      </c>
      <c r="I645" s="519">
        <v>99995</v>
      </c>
      <c r="J645" s="522">
        <v>1000.0500025001251</v>
      </c>
      <c r="K645" s="541">
        <v>-100000000</v>
      </c>
    </row>
    <row r="646" spans="2:11" x14ac:dyDescent="0.45">
      <c r="B646" s="520" t="s">
        <v>76</v>
      </c>
      <c r="C646" s="514" t="s">
        <v>516</v>
      </c>
      <c r="D646" s="534" t="s">
        <v>33</v>
      </c>
      <c r="E646" s="534" t="s">
        <v>18</v>
      </c>
      <c r="F646" s="535" t="s">
        <v>262</v>
      </c>
      <c r="G646" s="536" t="s">
        <v>517</v>
      </c>
      <c r="H646" s="537">
        <v>46129</v>
      </c>
      <c r="I646" s="519">
        <v>99995</v>
      </c>
      <c r="J646" s="522">
        <v>1112.93</v>
      </c>
      <c r="K646" s="541">
        <v>111287435.35000001</v>
      </c>
    </row>
    <row r="647" spans="2:11" x14ac:dyDescent="0.45">
      <c r="B647" s="520" t="s">
        <v>76</v>
      </c>
      <c r="C647" s="520" t="s">
        <v>542</v>
      </c>
      <c r="D647" s="534" t="s">
        <v>33</v>
      </c>
      <c r="E647" s="534" t="s">
        <v>18</v>
      </c>
      <c r="F647" s="535" t="s">
        <v>246</v>
      </c>
      <c r="G647" s="535" t="s">
        <v>224</v>
      </c>
      <c r="H647" s="537">
        <v>45673</v>
      </c>
      <c r="I647" s="519"/>
      <c r="J647" s="522"/>
      <c r="K647" s="541">
        <v>-102087227.09</v>
      </c>
    </row>
    <row r="648" spans="2:11" x14ac:dyDescent="0.45">
      <c r="B648" s="520" t="s">
        <v>76</v>
      </c>
      <c r="C648" s="520" t="s">
        <v>542</v>
      </c>
      <c r="D648" s="534" t="s">
        <v>33</v>
      </c>
      <c r="E648" s="534" t="s">
        <v>18</v>
      </c>
      <c r="F648" s="535" t="s">
        <v>246</v>
      </c>
      <c r="G648" s="535" t="s">
        <v>517</v>
      </c>
      <c r="H648" s="537">
        <v>46203</v>
      </c>
      <c r="I648" s="519"/>
      <c r="J648" s="522"/>
      <c r="K648" s="541">
        <v>116910162</v>
      </c>
    </row>
    <row r="649" spans="2:11" x14ac:dyDescent="0.45">
      <c r="B649" s="520" t="s">
        <v>79</v>
      </c>
      <c r="C649" s="520" t="s">
        <v>542</v>
      </c>
      <c r="D649" s="534" t="s">
        <v>33</v>
      </c>
      <c r="E649" s="534" t="s">
        <v>18</v>
      </c>
      <c r="F649" s="535" t="s">
        <v>246</v>
      </c>
      <c r="G649" s="535" t="s">
        <v>224</v>
      </c>
      <c r="H649" s="537">
        <v>45670</v>
      </c>
      <c r="I649" s="519"/>
      <c r="J649" s="522"/>
      <c r="K649" s="541">
        <v>-50000000</v>
      </c>
    </row>
    <row r="650" spans="2:11" x14ac:dyDescent="0.45">
      <c r="B650" s="520" t="s">
        <v>79</v>
      </c>
      <c r="C650" s="520" t="s">
        <v>542</v>
      </c>
      <c r="D650" s="534" t="s">
        <v>33</v>
      </c>
      <c r="E650" s="534" t="s">
        <v>18</v>
      </c>
      <c r="F650" s="535" t="s">
        <v>246</v>
      </c>
      <c r="G650" s="535" t="s">
        <v>517</v>
      </c>
      <c r="H650" s="537">
        <v>46198</v>
      </c>
      <c r="I650" s="519"/>
      <c r="J650" s="522"/>
      <c r="K650" s="541">
        <v>59266352</v>
      </c>
    </row>
    <row r="651" spans="2:11" x14ac:dyDescent="0.45">
      <c r="B651" s="514" t="s">
        <v>76</v>
      </c>
      <c r="C651" s="514" t="s">
        <v>516</v>
      </c>
      <c r="D651" s="534" t="s">
        <v>33</v>
      </c>
      <c r="E651" s="534" t="s">
        <v>18</v>
      </c>
      <c r="F651" s="535" t="s">
        <v>185</v>
      </c>
      <c r="G651" s="542" t="s">
        <v>224</v>
      </c>
      <c r="H651" s="537">
        <v>45511</v>
      </c>
      <c r="I651" s="519">
        <v>1819414.1240000001</v>
      </c>
      <c r="J651" s="522">
        <v>13.74</v>
      </c>
      <c r="K651" s="543">
        <v>-24998750.063760001</v>
      </c>
    </row>
    <row r="652" spans="2:11" x14ac:dyDescent="0.45">
      <c r="B652" s="514" t="s">
        <v>76</v>
      </c>
      <c r="C652" s="514" t="s">
        <v>516</v>
      </c>
      <c r="D652" s="534" t="s">
        <v>33</v>
      </c>
      <c r="E652" s="534" t="s">
        <v>18</v>
      </c>
      <c r="F652" s="535" t="s">
        <v>185</v>
      </c>
      <c r="G652" s="542" t="s">
        <v>224</v>
      </c>
      <c r="H652" s="537">
        <v>45581</v>
      </c>
      <c r="I652" s="519">
        <v>413772.41399999999</v>
      </c>
      <c r="J652" s="522">
        <v>14.5</v>
      </c>
      <c r="K652" s="543">
        <v>-5999700.0029999996</v>
      </c>
    </row>
    <row r="653" spans="2:11" x14ac:dyDescent="0.45">
      <c r="B653" s="514" t="s">
        <v>76</v>
      </c>
      <c r="C653" s="514" t="s">
        <v>516</v>
      </c>
      <c r="D653" s="534" t="s">
        <v>33</v>
      </c>
      <c r="E653" s="534" t="s">
        <v>18</v>
      </c>
      <c r="F653" s="535" t="s">
        <v>185</v>
      </c>
      <c r="G653" s="542" t="s">
        <v>224</v>
      </c>
      <c r="H653" s="537">
        <v>45848</v>
      </c>
      <c r="I653" s="519">
        <v>1012095.144</v>
      </c>
      <c r="J653" s="522">
        <v>14.82</v>
      </c>
      <c r="K653" s="543">
        <v>-14999250.034080001</v>
      </c>
    </row>
    <row r="654" spans="2:11" x14ac:dyDescent="0.45">
      <c r="B654" s="514" t="s">
        <v>76</v>
      </c>
      <c r="C654" s="514" t="s">
        <v>516</v>
      </c>
      <c r="D654" s="534" t="s">
        <v>33</v>
      </c>
      <c r="E654" s="534" t="s">
        <v>18</v>
      </c>
      <c r="F654" s="535" t="s">
        <v>185</v>
      </c>
      <c r="G654" s="542" t="s">
        <v>517</v>
      </c>
      <c r="H654" s="537">
        <v>46203</v>
      </c>
      <c r="I654" s="519">
        <v>3245281.682</v>
      </c>
      <c r="J654" s="522">
        <v>15.87</v>
      </c>
      <c r="K654" s="543">
        <v>51502620.293339998</v>
      </c>
    </row>
    <row r="655" spans="2:11" x14ac:dyDescent="0.45">
      <c r="B655" s="514" t="s">
        <v>79</v>
      </c>
      <c r="C655" s="514" t="s">
        <v>516</v>
      </c>
      <c r="D655" s="534" t="s">
        <v>33</v>
      </c>
      <c r="E655" s="534" t="s">
        <v>18</v>
      </c>
      <c r="F655" s="535" t="s">
        <v>185</v>
      </c>
      <c r="G655" s="536" t="s">
        <v>224</v>
      </c>
      <c r="H655" s="537">
        <v>45511</v>
      </c>
      <c r="I655" s="519">
        <v>727765.64899999998</v>
      </c>
      <c r="J655" s="522">
        <v>13.74</v>
      </c>
      <c r="K655" s="538">
        <v>-9999500.0172600001</v>
      </c>
    </row>
    <row r="656" spans="2:11" x14ac:dyDescent="0.45">
      <c r="B656" s="514" t="s">
        <v>79</v>
      </c>
      <c r="C656" s="514" t="s">
        <v>516</v>
      </c>
      <c r="D656" s="534" t="s">
        <v>33</v>
      </c>
      <c r="E656" s="534" t="s">
        <v>18</v>
      </c>
      <c r="F656" s="535" t="s">
        <v>185</v>
      </c>
      <c r="G656" s="536" t="s">
        <v>224</v>
      </c>
      <c r="H656" s="537">
        <v>45547</v>
      </c>
      <c r="I656" s="519">
        <v>343625.43</v>
      </c>
      <c r="J656" s="522">
        <v>14.55</v>
      </c>
      <c r="K656" s="538">
        <v>-4999750.0065000001</v>
      </c>
    </row>
    <row r="657" spans="2:11" x14ac:dyDescent="0.45">
      <c r="B657" s="514" t="s">
        <v>79</v>
      </c>
      <c r="C657" s="514" t="s">
        <v>516</v>
      </c>
      <c r="D657" s="534" t="s">
        <v>33</v>
      </c>
      <c r="E657" s="534" t="s">
        <v>18</v>
      </c>
      <c r="F657" s="535" t="s">
        <v>185</v>
      </c>
      <c r="G657" s="536" t="s">
        <v>224</v>
      </c>
      <c r="H657" s="537">
        <v>45561</v>
      </c>
      <c r="I657" s="519">
        <v>340350.57900000003</v>
      </c>
      <c r="J657" s="522">
        <v>14.71</v>
      </c>
      <c r="K657" s="538">
        <v>-5006557.0170900011</v>
      </c>
    </row>
    <row r="658" spans="2:11" x14ac:dyDescent="0.45">
      <c r="B658" s="514" t="s">
        <v>79</v>
      </c>
      <c r="C658" s="514" t="s">
        <v>516</v>
      </c>
      <c r="D658" s="534" t="s">
        <v>33</v>
      </c>
      <c r="E658" s="534" t="s">
        <v>18</v>
      </c>
      <c r="F658" s="535" t="s">
        <v>185</v>
      </c>
      <c r="G658" s="536" t="s">
        <v>224</v>
      </c>
      <c r="H658" s="537">
        <v>45586</v>
      </c>
      <c r="I658" s="519">
        <v>699265.73600000003</v>
      </c>
      <c r="J658" s="522">
        <v>14.3</v>
      </c>
      <c r="K658" s="538">
        <v>-9999500.0248000007</v>
      </c>
    </row>
    <row r="659" spans="2:11" x14ac:dyDescent="0.45">
      <c r="B659" s="514" t="s">
        <v>79</v>
      </c>
      <c r="C659" s="514" t="s">
        <v>516</v>
      </c>
      <c r="D659" s="534" t="s">
        <v>33</v>
      </c>
      <c r="E659" s="534" t="s">
        <v>18</v>
      </c>
      <c r="F659" s="535" t="s">
        <v>185</v>
      </c>
      <c r="G659" s="536" t="s">
        <v>224</v>
      </c>
      <c r="H659" s="537">
        <v>45812</v>
      </c>
      <c r="I659" s="519">
        <v>2989977.4410000001</v>
      </c>
      <c r="J659" s="522">
        <v>14.18</v>
      </c>
      <c r="K659" s="538">
        <v>-42397880.11338</v>
      </c>
    </row>
    <row r="660" spans="2:11" x14ac:dyDescent="0.45">
      <c r="B660" s="514" t="s">
        <v>79</v>
      </c>
      <c r="C660" s="514" t="s">
        <v>516</v>
      </c>
      <c r="D660" s="534" t="s">
        <v>33</v>
      </c>
      <c r="E660" s="534" t="s">
        <v>18</v>
      </c>
      <c r="F660" s="535" t="s">
        <v>185</v>
      </c>
      <c r="G660" s="535" t="s">
        <v>517</v>
      </c>
      <c r="H660" s="537">
        <v>46203</v>
      </c>
      <c r="I660" s="519">
        <v>5100984.835</v>
      </c>
      <c r="J660" s="522">
        <v>15.87</v>
      </c>
      <c r="K660" s="538">
        <v>80952629.33145</v>
      </c>
    </row>
    <row r="661" spans="2:11" x14ac:dyDescent="0.45">
      <c r="B661" s="514" t="s">
        <v>78</v>
      </c>
      <c r="C661" s="514" t="s">
        <v>516</v>
      </c>
      <c r="D661" s="534" t="s">
        <v>33</v>
      </c>
      <c r="E661" s="534" t="s">
        <v>18</v>
      </c>
      <c r="F661" s="535" t="s">
        <v>185</v>
      </c>
      <c r="G661" s="536" t="s">
        <v>224</v>
      </c>
      <c r="H661" s="537">
        <v>45581</v>
      </c>
      <c r="I661" s="519">
        <v>68962.069000000003</v>
      </c>
      <c r="J661" s="522">
        <v>14.5</v>
      </c>
      <c r="K661" s="538">
        <v>-999950.00050000008</v>
      </c>
    </row>
    <row r="662" spans="2:11" x14ac:dyDescent="0.45">
      <c r="B662" s="514" t="s">
        <v>78</v>
      </c>
      <c r="C662" s="514" t="s">
        <v>516</v>
      </c>
      <c r="D662" s="534" t="s">
        <v>33</v>
      </c>
      <c r="E662" s="534" t="s">
        <v>18</v>
      </c>
      <c r="F662" s="535" t="s">
        <v>185</v>
      </c>
      <c r="G662" s="536" t="s">
        <v>224</v>
      </c>
      <c r="H662" s="537">
        <v>45590</v>
      </c>
      <c r="I662" s="519">
        <v>143981.28099999999</v>
      </c>
      <c r="J662" s="522">
        <v>13.89</v>
      </c>
      <c r="K662" s="538">
        <v>-1999899.99309</v>
      </c>
    </row>
    <row r="663" spans="2:11" x14ac:dyDescent="0.45">
      <c r="B663" s="514" t="s">
        <v>78</v>
      </c>
      <c r="C663" s="514" t="s">
        <v>516</v>
      </c>
      <c r="D663" s="534" t="s">
        <v>33</v>
      </c>
      <c r="E663" s="534" t="s">
        <v>18</v>
      </c>
      <c r="F663" s="535" t="s">
        <v>185</v>
      </c>
      <c r="G663" s="536" t="s">
        <v>224</v>
      </c>
      <c r="H663" s="537">
        <v>45593</v>
      </c>
      <c r="I663" s="519">
        <v>143259.31200000001</v>
      </c>
      <c r="J663" s="522">
        <v>13.96</v>
      </c>
      <c r="K663" s="538">
        <v>-1999899.9955200001</v>
      </c>
    </row>
    <row r="664" spans="2:11" x14ac:dyDescent="0.45">
      <c r="B664" s="514" t="s">
        <v>78</v>
      </c>
      <c r="C664" s="514" t="s">
        <v>516</v>
      </c>
      <c r="D664" s="534" t="s">
        <v>33</v>
      </c>
      <c r="E664" s="534" t="s">
        <v>18</v>
      </c>
      <c r="F664" s="535" t="s">
        <v>185</v>
      </c>
      <c r="G664" s="536" t="s">
        <v>224</v>
      </c>
      <c r="H664" s="537">
        <v>45594</v>
      </c>
      <c r="I664" s="519">
        <v>283673.76</v>
      </c>
      <c r="J664" s="522">
        <v>14.1</v>
      </c>
      <c r="K664" s="538">
        <v>-3999800.0159999998</v>
      </c>
    </row>
    <row r="665" spans="2:11" x14ac:dyDescent="0.45">
      <c r="B665" s="514" t="s">
        <v>78</v>
      </c>
      <c r="C665" s="514" t="s">
        <v>516</v>
      </c>
      <c r="D665" s="534" t="s">
        <v>33</v>
      </c>
      <c r="E665" s="534" t="s">
        <v>18</v>
      </c>
      <c r="F665" s="535" t="s">
        <v>185</v>
      </c>
      <c r="G665" s="536" t="s">
        <v>224</v>
      </c>
      <c r="H665" s="537">
        <v>45812</v>
      </c>
      <c r="I665" s="519">
        <v>634665.02300000004</v>
      </c>
      <c r="J665" s="522">
        <v>14.18</v>
      </c>
      <c r="K665" s="538">
        <v>-8999550.0261400007</v>
      </c>
    </row>
    <row r="666" spans="2:11" x14ac:dyDescent="0.45">
      <c r="B666" s="514" t="s">
        <v>78</v>
      </c>
      <c r="C666" s="514" t="s">
        <v>516</v>
      </c>
      <c r="D666" s="534" t="s">
        <v>33</v>
      </c>
      <c r="E666" s="534" t="s">
        <v>18</v>
      </c>
      <c r="F666" s="535" t="s">
        <v>185</v>
      </c>
      <c r="G666" s="536" t="s">
        <v>224</v>
      </c>
      <c r="H666" s="537">
        <v>45849</v>
      </c>
      <c r="I666" s="519">
        <v>1017588.198</v>
      </c>
      <c r="J666" s="522">
        <v>14.74</v>
      </c>
      <c r="K666" s="538">
        <v>-14999250.038519999</v>
      </c>
    </row>
    <row r="667" spans="2:11" x14ac:dyDescent="0.45">
      <c r="B667" s="514" t="s">
        <v>78</v>
      </c>
      <c r="C667" s="514" t="s">
        <v>516</v>
      </c>
      <c r="D667" s="534" t="s">
        <v>33</v>
      </c>
      <c r="E667" s="534" t="s">
        <v>18</v>
      </c>
      <c r="F667" s="535" t="s">
        <v>185</v>
      </c>
      <c r="G667" s="536" t="s">
        <v>224</v>
      </c>
      <c r="H667" s="537">
        <v>45940</v>
      </c>
      <c r="I667" s="519">
        <v>115851.81200000001</v>
      </c>
      <c r="J667" s="522">
        <v>15.45</v>
      </c>
      <c r="K667" s="538">
        <v>-1789910.4953999999</v>
      </c>
    </row>
    <row r="668" spans="2:11" x14ac:dyDescent="0.45">
      <c r="B668" s="514" t="s">
        <v>78</v>
      </c>
      <c r="C668" s="514" t="s">
        <v>516</v>
      </c>
      <c r="D668" s="534" t="s">
        <v>33</v>
      </c>
      <c r="E668" s="534" t="s">
        <v>18</v>
      </c>
      <c r="F668" s="535" t="s">
        <v>185</v>
      </c>
      <c r="G668" s="535" t="s">
        <v>517</v>
      </c>
      <c r="H668" s="537">
        <v>46203</v>
      </c>
      <c r="I668" s="519">
        <v>2407981.4550000001</v>
      </c>
      <c r="J668" s="522">
        <v>15.87</v>
      </c>
      <c r="K668" s="538">
        <v>38214665.690849997</v>
      </c>
    </row>
    <row r="669" spans="2:11" x14ac:dyDescent="0.45">
      <c r="B669" s="514" t="s">
        <v>309</v>
      </c>
      <c r="C669" s="514" t="s">
        <v>516</v>
      </c>
      <c r="D669" s="534" t="s">
        <v>33</v>
      </c>
      <c r="E669" s="534" t="s">
        <v>18</v>
      </c>
      <c r="F669" s="535" t="s">
        <v>185</v>
      </c>
      <c r="G669" s="536" t="s">
        <v>224</v>
      </c>
      <c r="H669" s="537">
        <v>45972</v>
      </c>
      <c r="I669" s="519">
        <v>3184554.148</v>
      </c>
      <c r="J669" s="522">
        <v>15.7</v>
      </c>
      <c r="K669" s="538">
        <v>-49997500.123599999</v>
      </c>
    </row>
    <row r="670" spans="2:11" x14ac:dyDescent="0.45">
      <c r="B670" s="514" t="s">
        <v>309</v>
      </c>
      <c r="C670" s="514" t="s">
        <v>516</v>
      </c>
      <c r="D670" s="534" t="s">
        <v>33</v>
      </c>
      <c r="E670" s="534" t="s">
        <v>18</v>
      </c>
      <c r="F670" s="535" t="s">
        <v>185</v>
      </c>
      <c r="G670" s="536" t="s">
        <v>517</v>
      </c>
      <c r="H670" s="537">
        <v>46203</v>
      </c>
      <c r="I670" s="519">
        <v>3184554.148</v>
      </c>
      <c r="J670" s="522">
        <v>15.87</v>
      </c>
      <c r="K670" s="538">
        <v>50538874.328759998</v>
      </c>
    </row>
    <row r="671" spans="2:11" x14ac:dyDescent="0.45">
      <c r="B671" s="514" t="s">
        <v>310</v>
      </c>
      <c r="C671" s="514" t="s">
        <v>516</v>
      </c>
      <c r="D671" s="534" t="s">
        <v>33</v>
      </c>
      <c r="E671" s="534" t="s">
        <v>18</v>
      </c>
      <c r="F671" s="535" t="s">
        <v>185</v>
      </c>
      <c r="G671" s="536" t="s">
        <v>224</v>
      </c>
      <c r="H671" s="537">
        <v>45972</v>
      </c>
      <c r="I671" s="519">
        <v>3184554.148</v>
      </c>
      <c r="J671" s="522">
        <v>15.7</v>
      </c>
      <c r="K671" s="538">
        <v>-49997500.123599999</v>
      </c>
    </row>
    <row r="672" spans="2:11" x14ac:dyDescent="0.45">
      <c r="B672" s="514" t="s">
        <v>310</v>
      </c>
      <c r="C672" s="514" t="s">
        <v>516</v>
      </c>
      <c r="D672" s="534" t="s">
        <v>33</v>
      </c>
      <c r="E672" s="534" t="s">
        <v>18</v>
      </c>
      <c r="F672" s="535" t="s">
        <v>185</v>
      </c>
      <c r="G672" s="536" t="s">
        <v>517</v>
      </c>
      <c r="H672" s="537">
        <v>46203</v>
      </c>
      <c r="I672" s="519">
        <v>3184554.148</v>
      </c>
      <c r="J672" s="522">
        <v>15.87</v>
      </c>
      <c r="K672" s="538">
        <v>50538874.328759998</v>
      </c>
    </row>
    <row r="673" spans="2:11" x14ac:dyDescent="0.45">
      <c r="B673" s="514" t="s">
        <v>76</v>
      </c>
      <c r="C673" s="514" t="s">
        <v>530</v>
      </c>
      <c r="D673" s="534" t="s">
        <v>33</v>
      </c>
      <c r="E673" s="534" t="s">
        <v>18</v>
      </c>
      <c r="F673" s="535" t="s">
        <v>268</v>
      </c>
      <c r="G673" s="535" t="s">
        <v>224</v>
      </c>
      <c r="H673" s="537">
        <v>45722</v>
      </c>
      <c r="I673" s="519">
        <v>933861.353</v>
      </c>
      <c r="J673" s="522">
        <v>34.799999999999997</v>
      </c>
      <c r="K673" s="538">
        <v>-32498375.084399998</v>
      </c>
    </row>
    <row r="674" spans="2:11" x14ac:dyDescent="0.45">
      <c r="B674" s="514" t="s">
        <v>76</v>
      </c>
      <c r="C674" s="514" t="s">
        <v>530</v>
      </c>
      <c r="D674" s="534" t="s">
        <v>33</v>
      </c>
      <c r="E674" s="534" t="s">
        <v>18</v>
      </c>
      <c r="F674" s="535" t="s">
        <v>268</v>
      </c>
      <c r="G674" s="535" t="s">
        <v>224</v>
      </c>
      <c r="H674" s="537">
        <v>45848</v>
      </c>
      <c r="I674" s="519">
        <v>639354.22100000002</v>
      </c>
      <c r="J674" s="522">
        <v>39.1</v>
      </c>
      <c r="K674" s="538">
        <v>-24998750.041100003</v>
      </c>
    </row>
    <row r="675" spans="2:11" x14ac:dyDescent="0.45">
      <c r="B675" s="514" t="s">
        <v>76</v>
      </c>
      <c r="C675" s="514" t="s">
        <v>530</v>
      </c>
      <c r="D675" s="534" t="s">
        <v>33</v>
      </c>
      <c r="E675" s="534" t="s">
        <v>18</v>
      </c>
      <c r="F675" s="535" t="s">
        <v>268</v>
      </c>
      <c r="G675" s="535" t="s">
        <v>224</v>
      </c>
      <c r="H675" s="537">
        <v>45965</v>
      </c>
      <c r="I675" s="519">
        <v>1484706.7590000001</v>
      </c>
      <c r="J675" s="522">
        <v>40.409999999999997</v>
      </c>
      <c r="K675" s="538">
        <v>-59997000.131189995</v>
      </c>
    </row>
    <row r="676" spans="2:11" x14ac:dyDescent="0.45">
      <c r="B676" s="514" t="s">
        <v>76</v>
      </c>
      <c r="C676" s="514" t="s">
        <v>530</v>
      </c>
      <c r="D676" s="534" t="s">
        <v>33</v>
      </c>
      <c r="E676" s="534" t="s">
        <v>18</v>
      </c>
      <c r="F676" s="535" t="s">
        <v>268</v>
      </c>
      <c r="G676" s="535" t="s">
        <v>224</v>
      </c>
      <c r="H676" s="537">
        <v>46104</v>
      </c>
      <c r="I676" s="519">
        <v>2726145.0449999999</v>
      </c>
      <c r="J676" s="522">
        <v>36.68</v>
      </c>
      <c r="K676" s="538">
        <v>-99995000.250599995</v>
      </c>
    </row>
    <row r="677" spans="2:11" x14ac:dyDescent="0.45">
      <c r="B677" s="514" t="s">
        <v>76</v>
      </c>
      <c r="C677" s="514" t="s">
        <v>530</v>
      </c>
      <c r="D677" s="534" t="s">
        <v>33</v>
      </c>
      <c r="E677" s="534" t="s">
        <v>18</v>
      </c>
      <c r="F677" s="535" t="s">
        <v>268</v>
      </c>
      <c r="G677" s="535" t="s">
        <v>225</v>
      </c>
      <c r="H677" s="537">
        <v>46202</v>
      </c>
      <c r="I677" s="519">
        <v>933861</v>
      </c>
      <c r="J677" s="522">
        <v>39.58</v>
      </c>
      <c r="K677" s="538">
        <v>36962218.379999995</v>
      </c>
    </row>
    <row r="678" spans="2:11" x14ac:dyDescent="0.45">
      <c r="B678" s="514" t="s">
        <v>76</v>
      </c>
      <c r="C678" s="514" t="s">
        <v>530</v>
      </c>
      <c r="D678" s="534" t="s">
        <v>33</v>
      </c>
      <c r="E678" s="534" t="s">
        <v>18</v>
      </c>
      <c r="F678" s="535" t="s">
        <v>268</v>
      </c>
      <c r="G678" s="536" t="s">
        <v>517</v>
      </c>
      <c r="H678" s="537">
        <v>46203</v>
      </c>
      <c r="I678" s="519">
        <v>4850206.3780000005</v>
      </c>
      <c r="J678" s="522">
        <v>39.43</v>
      </c>
      <c r="K678" s="538">
        <v>191243637.48454002</v>
      </c>
    </row>
    <row r="679" spans="2:11" x14ac:dyDescent="0.45">
      <c r="B679" s="514" t="s">
        <v>79</v>
      </c>
      <c r="C679" s="514" t="s">
        <v>530</v>
      </c>
      <c r="D679" s="534" t="s">
        <v>33</v>
      </c>
      <c r="E679" s="534" t="s">
        <v>18</v>
      </c>
      <c r="F679" s="535" t="s">
        <v>268</v>
      </c>
      <c r="G679" s="536" t="s">
        <v>224</v>
      </c>
      <c r="H679" s="537">
        <v>45967</v>
      </c>
      <c r="I679" s="519">
        <v>993739.13300000003</v>
      </c>
      <c r="J679" s="522">
        <v>40.25</v>
      </c>
      <c r="K679" s="538">
        <v>-39998000.103250004</v>
      </c>
    </row>
    <row r="680" spans="2:11" x14ac:dyDescent="0.45">
      <c r="B680" s="514" t="s">
        <v>79</v>
      </c>
      <c r="C680" s="514" t="s">
        <v>530</v>
      </c>
      <c r="D680" s="534" t="s">
        <v>33</v>
      </c>
      <c r="E680" s="534" t="s">
        <v>18</v>
      </c>
      <c r="F680" s="535" t="s">
        <v>268</v>
      </c>
      <c r="G680" s="536" t="s">
        <v>517</v>
      </c>
      <c r="H680" s="537">
        <v>46203</v>
      </c>
      <c r="I680" s="519">
        <v>993739.13300000003</v>
      </c>
      <c r="J680" s="522">
        <v>39.43</v>
      </c>
      <c r="K680" s="538">
        <v>39183134.014190003</v>
      </c>
    </row>
    <row r="681" spans="2:11" x14ac:dyDescent="0.45">
      <c r="B681" s="514" t="s">
        <v>78</v>
      </c>
      <c r="C681" s="514" t="s">
        <v>530</v>
      </c>
      <c r="D681" s="534" t="s">
        <v>33</v>
      </c>
      <c r="E681" s="534" t="s">
        <v>18</v>
      </c>
      <c r="F681" s="535" t="s">
        <v>268</v>
      </c>
      <c r="G681" s="536" t="s">
        <v>224</v>
      </c>
      <c r="H681" s="537">
        <v>45849</v>
      </c>
      <c r="I681" s="519">
        <v>602441.424</v>
      </c>
      <c r="J681" s="522">
        <v>39.1</v>
      </c>
      <c r="K681" s="543">
        <v>-23555459.678400002</v>
      </c>
    </row>
    <row r="682" spans="2:11" x14ac:dyDescent="0.45">
      <c r="B682" s="514" t="s">
        <v>78</v>
      </c>
      <c r="C682" s="514" t="s">
        <v>530</v>
      </c>
      <c r="D682" s="534" t="s">
        <v>33</v>
      </c>
      <c r="E682" s="534" t="s">
        <v>18</v>
      </c>
      <c r="F682" s="535" t="s">
        <v>268</v>
      </c>
      <c r="G682" s="535" t="s">
        <v>517</v>
      </c>
      <c r="H682" s="537">
        <v>46203</v>
      </c>
      <c r="I682" s="519">
        <v>602441.424</v>
      </c>
      <c r="J682" s="522">
        <v>39.43</v>
      </c>
      <c r="K682" s="543">
        <v>23754265.34832</v>
      </c>
    </row>
    <row r="683" spans="2:11" x14ac:dyDescent="0.45">
      <c r="B683" s="514" t="s">
        <v>76</v>
      </c>
      <c r="C683" s="514" t="s">
        <v>530</v>
      </c>
      <c r="D683" s="534" t="s">
        <v>33</v>
      </c>
      <c r="E683" s="534" t="s">
        <v>18</v>
      </c>
      <c r="F683" s="264" t="s">
        <v>418</v>
      </c>
      <c r="G683" s="542" t="s">
        <v>224</v>
      </c>
      <c r="H683" s="537">
        <v>46114</v>
      </c>
      <c r="I683" s="519">
        <v>34045.997000000003</v>
      </c>
      <c r="J683" s="522">
        <v>367.13200000000001</v>
      </c>
      <c r="K683" s="521">
        <v>-12499374.970604001</v>
      </c>
    </row>
    <row r="684" spans="2:11" x14ac:dyDescent="0.45">
      <c r="B684" s="514" t="s">
        <v>76</v>
      </c>
      <c r="C684" s="514" t="s">
        <v>530</v>
      </c>
      <c r="D684" s="534" t="s">
        <v>33</v>
      </c>
      <c r="E684" s="534" t="s">
        <v>18</v>
      </c>
      <c r="F684" s="264" t="s">
        <v>418</v>
      </c>
      <c r="G684" s="540" t="s">
        <v>517</v>
      </c>
      <c r="H684" s="537">
        <v>46203</v>
      </c>
      <c r="I684" s="519">
        <v>34045.997000000003</v>
      </c>
      <c r="J684" s="522">
        <v>403.62799999999999</v>
      </c>
      <c r="K684" s="519">
        <v>13741917.677116001</v>
      </c>
    </row>
    <row r="685" spans="2:11" x14ac:dyDescent="0.45">
      <c r="B685" s="514" t="s">
        <v>76</v>
      </c>
      <c r="C685" s="514" t="s">
        <v>530</v>
      </c>
      <c r="D685" s="534" t="s">
        <v>33</v>
      </c>
      <c r="E685" s="534" t="s">
        <v>18</v>
      </c>
      <c r="F685" s="264" t="s">
        <v>418</v>
      </c>
      <c r="G685" s="542" t="s">
        <v>224</v>
      </c>
      <c r="H685" s="537">
        <v>43907</v>
      </c>
      <c r="I685" s="519">
        <v>383.77600000000001</v>
      </c>
      <c r="J685" s="522">
        <v>109.926</v>
      </c>
      <c r="K685" s="543">
        <v>-42186.960576000005</v>
      </c>
    </row>
    <row r="686" spans="2:11" x14ac:dyDescent="0.45">
      <c r="B686" s="514" t="s">
        <v>76</v>
      </c>
      <c r="C686" s="514" t="s">
        <v>530</v>
      </c>
      <c r="D686" s="534" t="s">
        <v>33</v>
      </c>
      <c r="E686" s="534" t="s">
        <v>18</v>
      </c>
      <c r="F686" s="264" t="s">
        <v>418</v>
      </c>
      <c r="G686" s="542" t="s">
        <v>224</v>
      </c>
      <c r="H686" s="537">
        <v>43920</v>
      </c>
      <c r="I686" s="519">
        <v>1126.4190000000001</v>
      </c>
      <c r="J686" s="522">
        <v>99.873999999999995</v>
      </c>
      <c r="K686" s="543">
        <v>-112499.971206</v>
      </c>
    </row>
    <row r="687" spans="2:11" x14ac:dyDescent="0.45">
      <c r="B687" s="514" t="s">
        <v>76</v>
      </c>
      <c r="C687" s="514" t="s">
        <v>530</v>
      </c>
      <c r="D687" s="534" t="s">
        <v>33</v>
      </c>
      <c r="E687" s="534" t="s">
        <v>18</v>
      </c>
      <c r="F687" s="264" t="s">
        <v>418</v>
      </c>
      <c r="G687" s="542" t="s">
        <v>224</v>
      </c>
      <c r="H687" s="537">
        <v>43928</v>
      </c>
      <c r="I687" s="519">
        <v>543.83600000000001</v>
      </c>
      <c r="J687" s="522">
        <v>103.432</v>
      </c>
      <c r="K687" s="543">
        <v>-56250.045152000006</v>
      </c>
    </row>
    <row r="688" spans="2:11" x14ac:dyDescent="0.45">
      <c r="B688" s="514" t="s">
        <v>76</v>
      </c>
      <c r="C688" s="514" t="s">
        <v>530</v>
      </c>
      <c r="D688" s="534" t="s">
        <v>33</v>
      </c>
      <c r="E688" s="534" t="s">
        <v>18</v>
      </c>
      <c r="F688" s="264" t="s">
        <v>418</v>
      </c>
      <c r="G688" s="542" t="s">
        <v>224</v>
      </c>
      <c r="H688" s="537">
        <v>43934</v>
      </c>
      <c r="I688" s="519">
        <v>527.64400000000001</v>
      </c>
      <c r="J688" s="522">
        <v>106.60599999999999</v>
      </c>
      <c r="K688" s="543">
        <v>-56250.016263999998</v>
      </c>
    </row>
    <row r="689" spans="2:11" x14ac:dyDescent="0.45">
      <c r="B689" s="514" t="s">
        <v>76</v>
      </c>
      <c r="C689" s="514" t="s">
        <v>530</v>
      </c>
      <c r="D689" s="534" t="s">
        <v>33</v>
      </c>
      <c r="E689" s="534" t="s">
        <v>18</v>
      </c>
      <c r="F689" s="264" t="s">
        <v>418</v>
      </c>
      <c r="G689" s="542" t="s">
        <v>224</v>
      </c>
      <c r="H689" s="537">
        <v>43941</v>
      </c>
      <c r="I689" s="519">
        <v>504.09500000000003</v>
      </c>
      <c r="J689" s="522">
        <v>111.586</v>
      </c>
      <c r="K689" s="543">
        <v>-56249.944670000004</v>
      </c>
    </row>
    <row r="690" spans="2:11" x14ac:dyDescent="0.45">
      <c r="B690" s="514" t="s">
        <v>76</v>
      </c>
      <c r="C690" s="514" t="s">
        <v>530</v>
      </c>
      <c r="D690" s="534" t="s">
        <v>33</v>
      </c>
      <c r="E690" s="534" t="s">
        <v>18</v>
      </c>
      <c r="F690" s="264" t="s">
        <v>418</v>
      </c>
      <c r="G690" s="542" t="s">
        <v>224</v>
      </c>
      <c r="H690" s="537">
        <v>43948</v>
      </c>
      <c r="I690" s="519">
        <v>504.24</v>
      </c>
      <c r="J690" s="522">
        <v>111.554</v>
      </c>
      <c r="K690" s="543">
        <v>-56249.988960000002</v>
      </c>
    </row>
    <row r="691" spans="2:11" x14ac:dyDescent="0.45">
      <c r="B691" s="514" t="s">
        <v>76</v>
      </c>
      <c r="C691" s="514" t="s">
        <v>530</v>
      </c>
      <c r="D691" s="534" t="s">
        <v>33</v>
      </c>
      <c r="E691" s="534" t="s">
        <v>18</v>
      </c>
      <c r="F691" s="264" t="s">
        <v>418</v>
      </c>
      <c r="G691" s="542" t="s">
        <v>224</v>
      </c>
      <c r="H691" s="537">
        <v>43955</v>
      </c>
      <c r="I691" s="519">
        <v>505.81799999999998</v>
      </c>
      <c r="J691" s="522">
        <v>111.206</v>
      </c>
      <c r="K691" s="543">
        <v>-56249.996507999997</v>
      </c>
    </row>
    <row r="692" spans="2:11" x14ac:dyDescent="0.45">
      <c r="B692" s="514" t="s">
        <v>76</v>
      </c>
      <c r="C692" s="514" t="s">
        <v>530</v>
      </c>
      <c r="D692" s="534" t="s">
        <v>33</v>
      </c>
      <c r="E692" s="534" t="s">
        <v>18</v>
      </c>
      <c r="F692" s="264" t="s">
        <v>418</v>
      </c>
      <c r="G692" s="542" t="s">
        <v>224</v>
      </c>
      <c r="H692" s="537">
        <v>43962</v>
      </c>
      <c r="I692" s="519">
        <v>506.67899999999997</v>
      </c>
      <c r="J692" s="522">
        <v>111.017</v>
      </c>
      <c r="K692" s="543">
        <v>-56249.982542999998</v>
      </c>
    </row>
    <row r="693" spans="2:11" x14ac:dyDescent="0.45">
      <c r="B693" s="514" t="s">
        <v>76</v>
      </c>
      <c r="C693" s="514" t="s">
        <v>530</v>
      </c>
      <c r="D693" s="534" t="s">
        <v>33</v>
      </c>
      <c r="E693" s="534" t="s">
        <v>18</v>
      </c>
      <c r="F693" s="264" t="s">
        <v>418</v>
      </c>
      <c r="G693" s="542" t="s">
        <v>224</v>
      </c>
      <c r="H693" s="537">
        <v>43969</v>
      </c>
      <c r="I693" s="519">
        <v>1051.097</v>
      </c>
      <c r="J693" s="522">
        <v>107.03100000000001</v>
      </c>
      <c r="K693" s="543">
        <v>-112499.963007</v>
      </c>
    </row>
    <row r="694" spans="2:11" x14ac:dyDescent="0.45">
      <c r="B694" s="514" t="s">
        <v>76</v>
      </c>
      <c r="C694" s="514" t="s">
        <v>530</v>
      </c>
      <c r="D694" s="534" t="s">
        <v>33</v>
      </c>
      <c r="E694" s="534" t="s">
        <v>18</v>
      </c>
      <c r="F694" s="264" t="s">
        <v>418</v>
      </c>
      <c r="G694" s="542" t="s">
        <v>224</v>
      </c>
      <c r="H694" s="537">
        <v>43977</v>
      </c>
      <c r="I694" s="519">
        <v>1019.798</v>
      </c>
      <c r="J694" s="522">
        <v>110.316</v>
      </c>
      <c r="K694" s="543">
        <v>-112500.03616800001</v>
      </c>
    </row>
    <row r="695" spans="2:11" x14ac:dyDescent="0.45">
      <c r="B695" s="514" t="s">
        <v>76</v>
      </c>
      <c r="C695" s="514" t="s">
        <v>530</v>
      </c>
      <c r="D695" s="534" t="s">
        <v>33</v>
      </c>
      <c r="E695" s="534" t="s">
        <v>18</v>
      </c>
      <c r="F695" s="264" t="s">
        <v>418</v>
      </c>
      <c r="G695" s="542" t="s">
        <v>224</v>
      </c>
      <c r="H695" s="537">
        <v>43983</v>
      </c>
      <c r="I695" s="519">
        <v>960.74199999999996</v>
      </c>
      <c r="J695" s="522">
        <v>117.09699999999999</v>
      </c>
      <c r="K695" s="543">
        <v>-112500.00597399999</v>
      </c>
    </row>
    <row r="696" spans="2:11" x14ac:dyDescent="0.45">
      <c r="B696" s="514" t="s">
        <v>76</v>
      </c>
      <c r="C696" s="514" t="s">
        <v>530</v>
      </c>
      <c r="D696" s="534" t="s">
        <v>33</v>
      </c>
      <c r="E696" s="534" t="s">
        <v>18</v>
      </c>
      <c r="F696" s="264" t="s">
        <v>418</v>
      </c>
      <c r="G696" s="542" t="s">
        <v>224</v>
      </c>
      <c r="H696" s="537">
        <v>43990</v>
      </c>
      <c r="I696" s="519">
        <v>1606.817</v>
      </c>
      <c r="J696" s="522">
        <v>120.58</v>
      </c>
      <c r="K696" s="543">
        <v>-193749.99385999999</v>
      </c>
    </row>
    <row r="697" spans="2:11" x14ac:dyDescent="0.45">
      <c r="B697" s="514" t="s">
        <v>76</v>
      </c>
      <c r="C697" s="514" t="s">
        <v>530</v>
      </c>
      <c r="D697" s="534" t="s">
        <v>33</v>
      </c>
      <c r="E697" s="534" t="s">
        <v>18</v>
      </c>
      <c r="F697" s="264" t="s">
        <v>418</v>
      </c>
      <c r="G697" s="542" t="s">
        <v>224</v>
      </c>
      <c r="H697" s="537">
        <v>43998</v>
      </c>
      <c r="I697" s="519">
        <v>3571.1880000000001</v>
      </c>
      <c r="J697" s="522">
        <v>119.008</v>
      </c>
      <c r="K697" s="543">
        <v>-424999.94150399999</v>
      </c>
    </row>
    <row r="698" spans="2:11" x14ac:dyDescent="0.45">
      <c r="B698" s="514" t="s">
        <v>76</v>
      </c>
      <c r="C698" s="514" t="s">
        <v>530</v>
      </c>
      <c r="D698" s="534" t="s">
        <v>33</v>
      </c>
      <c r="E698" s="534" t="s">
        <v>18</v>
      </c>
      <c r="F698" s="264" t="s">
        <v>418</v>
      </c>
      <c r="G698" s="542" t="s">
        <v>224</v>
      </c>
      <c r="H698" s="537">
        <v>44005</v>
      </c>
      <c r="I698" s="519">
        <v>3426.8939999999998</v>
      </c>
      <c r="J698" s="522">
        <v>124.01900000000001</v>
      </c>
      <c r="K698" s="543">
        <v>-424999.96698600001</v>
      </c>
    </row>
    <row r="699" spans="2:11" x14ac:dyDescent="0.45">
      <c r="B699" s="514" t="s">
        <v>76</v>
      </c>
      <c r="C699" s="514" t="s">
        <v>530</v>
      </c>
      <c r="D699" s="534" t="s">
        <v>33</v>
      </c>
      <c r="E699" s="534" t="s">
        <v>18</v>
      </c>
      <c r="F699" s="264" t="s">
        <v>418</v>
      </c>
      <c r="G699" s="542" t="s">
        <v>224</v>
      </c>
      <c r="H699" s="537">
        <v>44012</v>
      </c>
      <c r="I699" s="519">
        <v>3427.8620000000001</v>
      </c>
      <c r="J699" s="522">
        <v>124.01900000000001</v>
      </c>
      <c r="K699" s="543">
        <v>-425120.01737800002</v>
      </c>
    </row>
    <row r="700" spans="2:11" x14ac:dyDescent="0.45">
      <c r="B700" s="514" t="s">
        <v>76</v>
      </c>
      <c r="C700" s="514" t="s">
        <v>530</v>
      </c>
      <c r="D700" s="534" t="s">
        <v>33</v>
      </c>
      <c r="E700" s="534" t="s">
        <v>18</v>
      </c>
      <c r="F700" s="264" t="s">
        <v>418</v>
      </c>
      <c r="G700" s="542" t="s">
        <v>224</v>
      </c>
      <c r="H700" s="537">
        <v>44019</v>
      </c>
      <c r="I700" s="519">
        <v>3319.2649999999999</v>
      </c>
      <c r="J700" s="522">
        <v>128.03399999999999</v>
      </c>
      <c r="K700" s="543">
        <v>-424978.77500999998</v>
      </c>
    </row>
    <row r="701" spans="2:11" x14ac:dyDescent="0.45">
      <c r="B701" s="514" t="s">
        <v>76</v>
      </c>
      <c r="C701" s="514" t="s">
        <v>530</v>
      </c>
      <c r="D701" s="534" t="s">
        <v>33</v>
      </c>
      <c r="E701" s="534" t="s">
        <v>18</v>
      </c>
      <c r="F701" s="264" t="s">
        <v>418</v>
      </c>
      <c r="G701" s="542" t="s">
        <v>224</v>
      </c>
      <c r="H701" s="537">
        <v>44026</v>
      </c>
      <c r="I701" s="519">
        <v>1676.4449999999999</v>
      </c>
      <c r="J701" s="522">
        <v>126.75</v>
      </c>
      <c r="K701" s="543">
        <v>-212489.40375</v>
      </c>
    </row>
    <row r="702" spans="2:11" x14ac:dyDescent="0.45">
      <c r="B702" s="514" t="s">
        <v>76</v>
      </c>
      <c r="C702" s="514" t="s">
        <v>530</v>
      </c>
      <c r="D702" s="534" t="s">
        <v>33</v>
      </c>
      <c r="E702" s="534" t="s">
        <v>18</v>
      </c>
      <c r="F702" s="264" t="s">
        <v>418</v>
      </c>
      <c r="G702" s="542" t="s">
        <v>224</v>
      </c>
      <c r="H702" s="537">
        <v>44033</v>
      </c>
      <c r="I702" s="519">
        <v>1616.258</v>
      </c>
      <c r="J702" s="522">
        <v>131.47</v>
      </c>
      <c r="K702" s="543">
        <v>-212489.43926000001</v>
      </c>
    </row>
    <row r="703" spans="2:11" x14ac:dyDescent="0.45">
      <c r="B703" s="514" t="s">
        <v>76</v>
      </c>
      <c r="C703" s="514" t="s">
        <v>530</v>
      </c>
      <c r="D703" s="534" t="s">
        <v>33</v>
      </c>
      <c r="E703" s="534" t="s">
        <v>18</v>
      </c>
      <c r="F703" s="264" t="s">
        <v>418</v>
      </c>
      <c r="G703" s="542" t="s">
        <v>224</v>
      </c>
      <c r="H703" s="537">
        <v>44040</v>
      </c>
      <c r="I703" s="519">
        <v>1621.6110000000001</v>
      </c>
      <c r="J703" s="522">
        <v>131.06</v>
      </c>
      <c r="K703" s="543">
        <v>-212528.33766000002</v>
      </c>
    </row>
    <row r="704" spans="2:11" x14ac:dyDescent="0.45">
      <c r="B704" s="514" t="s">
        <v>76</v>
      </c>
      <c r="C704" s="514" t="s">
        <v>530</v>
      </c>
      <c r="D704" s="534" t="s">
        <v>33</v>
      </c>
      <c r="E704" s="534" t="s">
        <v>18</v>
      </c>
      <c r="F704" s="264" t="s">
        <v>418</v>
      </c>
      <c r="G704" s="561" t="s">
        <v>517</v>
      </c>
      <c r="H704" s="537">
        <v>46203</v>
      </c>
      <c r="I704" s="519">
        <v>27900.484</v>
      </c>
      <c r="J704" s="522">
        <v>403.62799999999999</v>
      </c>
      <c r="K704" s="543">
        <v>11261416.555952</v>
      </c>
    </row>
    <row r="705" spans="2:11" x14ac:dyDescent="0.45">
      <c r="B705" s="514" t="s">
        <v>77</v>
      </c>
      <c r="C705" s="514" t="s">
        <v>516</v>
      </c>
      <c r="D705" s="534" t="s">
        <v>33</v>
      </c>
      <c r="E705" s="534" t="s">
        <v>18</v>
      </c>
      <c r="F705" s="264" t="s">
        <v>420</v>
      </c>
      <c r="G705" s="542" t="s">
        <v>224</v>
      </c>
      <c r="H705" s="537">
        <v>46129</v>
      </c>
      <c r="I705" s="519">
        <v>612631.86199999996</v>
      </c>
      <c r="J705" s="522">
        <v>20.77</v>
      </c>
      <c r="K705" s="521">
        <v>-12724363.773739999</v>
      </c>
    </row>
    <row r="706" spans="2:11" x14ac:dyDescent="0.45">
      <c r="B706" s="514" t="s">
        <v>77</v>
      </c>
      <c r="C706" s="514" t="s">
        <v>516</v>
      </c>
      <c r="D706" s="534" t="s">
        <v>33</v>
      </c>
      <c r="E706" s="534" t="s">
        <v>18</v>
      </c>
      <c r="F706" s="264" t="s">
        <v>420</v>
      </c>
      <c r="G706" s="542" t="s">
        <v>517</v>
      </c>
      <c r="H706" s="537">
        <v>46203</v>
      </c>
      <c r="I706" s="519">
        <v>612631.86199999996</v>
      </c>
      <c r="J706" s="522">
        <v>21.344999999999999</v>
      </c>
      <c r="K706" s="519">
        <v>13076627.094389999</v>
      </c>
    </row>
    <row r="707" spans="2:11" x14ac:dyDescent="0.45">
      <c r="B707" s="514" t="s">
        <v>76</v>
      </c>
      <c r="C707" s="514" t="s">
        <v>516</v>
      </c>
      <c r="D707" s="534" t="s">
        <v>33</v>
      </c>
      <c r="E707" s="534" t="s">
        <v>18</v>
      </c>
      <c r="F707" s="264" t="s">
        <v>420</v>
      </c>
      <c r="G707" s="542" t="s">
        <v>224</v>
      </c>
      <c r="H707" s="537">
        <v>46129</v>
      </c>
      <c r="I707" s="519">
        <v>590967.08100000001</v>
      </c>
      <c r="J707" s="522">
        <v>20.77</v>
      </c>
      <c r="K707" s="521">
        <v>-12274386.272369999</v>
      </c>
    </row>
    <row r="708" spans="2:11" x14ac:dyDescent="0.45">
      <c r="B708" s="514" t="s">
        <v>76</v>
      </c>
      <c r="C708" s="514" t="s">
        <v>516</v>
      </c>
      <c r="D708" s="534" t="s">
        <v>33</v>
      </c>
      <c r="E708" s="534" t="s">
        <v>18</v>
      </c>
      <c r="F708" s="264" t="s">
        <v>420</v>
      </c>
      <c r="G708" s="542" t="s">
        <v>224</v>
      </c>
      <c r="H708" s="537">
        <v>46135</v>
      </c>
      <c r="I708" s="519">
        <v>601394.103</v>
      </c>
      <c r="J708" s="522">
        <v>20.783999999999999</v>
      </c>
      <c r="K708" s="521">
        <v>-12499375.036751999</v>
      </c>
    </row>
    <row r="709" spans="2:11" x14ac:dyDescent="0.45">
      <c r="B709" s="514" t="s">
        <v>76</v>
      </c>
      <c r="C709" s="514" t="s">
        <v>516</v>
      </c>
      <c r="D709" s="534" t="s">
        <v>33</v>
      </c>
      <c r="E709" s="534" t="s">
        <v>18</v>
      </c>
      <c r="F709" s="264" t="s">
        <v>420</v>
      </c>
      <c r="G709" s="542" t="s">
        <v>224</v>
      </c>
      <c r="H709" s="537">
        <v>46142</v>
      </c>
      <c r="I709" s="519">
        <v>597313.15300000005</v>
      </c>
      <c r="J709" s="522">
        <v>20.925999999999998</v>
      </c>
      <c r="K709" s="521">
        <v>-12499375.039678</v>
      </c>
    </row>
    <row r="710" spans="2:11" x14ac:dyDescent="0.45">
      <c r="B710" s="514" t="s">
        <v>76</v>
      </c>
      <c r="C710" s="514" t="s">
        <v>516</v>
      </c>
      <c r="D710" s="534" t="s">
        <v>33</v>
      </c>
      <c r="E710" s="534" t="s">
        <v>18</v>
      </c>
      <c r="F710" s="264" t="s">
        <v>420</v>
      </c>
      <c r="G710" s="542" t="s">
        <v>224</v>
      </c>
      <c r="H710" s="537">
        <v>46149</v>
      </c>
      <c r="I710" s="519">
        <v>585642.83499999996</v>
      </c>
      <c r="J710" s="522">
        <v>21.343</v>
      </c>
      <c r="K710" s="521">
        <v>-12499375.027404999</v>
      </c>
    </row>
    <row r="711" spans="2:11" x14ac:dyDescent="0.45">
      <c r="B711" s="514" t="s">
        <v>76</v>
      </c>
      <c r="C711" s="514" t="s">
        <v>516</v>
      </c>
      <c r="D711" s="534" t="s">
        <v>33</v>
      </c>
      <c r="E711" s="534" t="s">
        <v>18</v>
      </c>
      <c r="F711" s="264" t="s">
        <v>420</v>
      </c>
      <c r="G711" s="542" t="s">
        <v>224</v>
      </c>
      <c r="H711" s="537">
        <v>46156</v>
      </c>
      <c r="I711" s="519">
        <v>601828.44799999997</v>
      </c>
      <c r="J711" s="522">
        <v>20.768999999999998</v>
      </c>
      <c r="K711" s="521">
        <v>-12499375.036511999</v>
      </c>
    </row>
    <row r="712" spans="2:11" x14ac:dyDescent="0.45">
      <c r="B712" s="514" t="s">
        <v>76</v>
      </c>
      <c r="C712" s="514" t="s">
        <v>516</v>
      </c>
      <c r="D712" s="534" t="s">
        <v>33</v>
      </c>
      <c r="E712" s="534" t="s">
        <v>18</v>
      </c>
      <c r="F712" s="264" t="s">
        <v>420</v>
      </c>
      <c r="G712" s="542" t="s">
        <v>224</v>
      </c>
      <c r="H712" s="537">
        <v>46163</v>
      </c>
      <c r="I712" s="519">
        <v>603484.696</v>
      </c>
      <c r="J712" s="522">
        <v>20.712</v>
      </c>
      <c r="K712" s="521">
        <v>-12499375.023552001</v>
      </c>
    </row>
    <row r="713" spans="2:11" x14ac:dyDescent="0.45">
      <c r="B713" s="514" t="s">
        <v>76</v>
      </c>
      <c r="C713" s="514" t="s">
        <v>516</v>
      </c>
      <c r="D713" s="534" t="s">
        <v>33</v>
      </c>
      <c r="E713" s="534" t="s">
        <v>18</v>
      </c>
      <c r="F713" s="264" t="s">
        <v>420</v>
      </c>
      <c r="G713" s="542" t="s">
        <v>224</v>
      </c>
      <c r="H713" s="537">
        <v>46171</v>
      </c>
      <c r="I713" s="519">
        <v>602379.52000000002</v>
      </c>
      <c r="J713" s="522">
        <v>20.75</v>
      </c>
      <c r="K713" s="521">
        <v>-12499375.040000001</v>
      </c>
    </row>
    <row r="714" spans="2:11" x14ac:dyDescent="0.45">
      <c r="B714" s="514" t="s">
        <v>76</v>
      </c>
      <c r="C714" s="514" t="s">
        <v>516</v>
      </c>
      <c r="D714" s="534" t="s">
        <v>33</v>
      </c>
      <c r="E714" s="534" t="s">
        <v>18</v>
      </c>
      <c r="F714" s="264" t="s">
        <v>420</v>
      </c>
      <c r="G714" s="540" t="s">
        <v>517</v>
      </c>
      <c r="H714" s="537">
        <v>46203</v>
      </c>
      <c r="I714" s="519">
        <v>4183009.8359999997</v>
      </c>
      <c r="J714" s="522">
        <v>21.344999999999999</v>
      </c>
      <c r="K714" s="519">
        <v>89286344.94941999</v>
      </c>
    </row>
    <row r="715" spans="2:11" x14ac:dyDescent="0.45">
      <c r="B715" s="514" t="s">
        <v>76</v>
      </c>
      <c r="C715" s="520" t="s">
        <v>516</v>
      </c>
      <c r="D715" s="534" t="s">
        <v>33</v>
      </c>
      <c r="E715" s="534" t="s">
        <v>18</v>
      </c>
      <c r="F715" s="535" t="s">
        <v>261</v>
      </c>
      <c r="G715" s="542" t="s">
        <v>224</v>
      </c>
      <c r="H715" s="537">
        <v>45510</v>
      </c>
      <c r="I715" s="519">
        <v>9999500.0250000004</v>
      </c>
      <c r="J715" s="522">
        <v>10</v>
      </c>
      <c r="K715" s="541">
        <v>-99995000.25</v>
      </c>
    </row>
    <row r="716" spans="2:11" x14ac:dyDescent="0.45">
      <c r="B716" s="514" t="s">
        <v>76</v>
      </c>
      <c r="C716" s="520" t="s">
        <v>516</v>
      </c>
      <c r="D716" s="534" t="s">
        <v>33</v>
      </c>
      <c r="E716" s="534" t="s">
        <v>18</v>
      </c>
      <c r="F716" s="535" t="s">
        <v>261</v>
      </c>
      <c r="G716" s="542" t="s">
        <v>224</v>
      </c>
      <c r="H716" s="537">
        <v>45581</v>
      </c>
      <c r="I716" s="519">
        <v>8896352.3350000009</v>
      </c>
      <c r="J716" s="522">
        <v>11.24</v>
      </c>
      <c r="K716" s="541">
        <v>-99995000.245400012</v>
      </c>
    </row>
    <row r="717" spans="2:11" x14ac:dyDescent="0.45">
      <c r="B717" s="514" t="s">
        <v>76</v>
      </c>
      <c r="C717" s="514" t="s">
        <v>516</v>
      </c>
      <c r="D717" s="534" t="s">
        <v>33</v>
      </c>
      <c r="E717" s="534" t="s">
        <v>18</v>
      </c>
      <c r="F717" s="535" t="s">
        <v>261</v>
      </c>
      <c r="G717" s="562" t="s">
        <v>517</v>
      </c>
      <c r="H717" s="537">
        <v>46203</v>
      </c>
      <c r="I717" s="519">
        <v>18895852.359999999</v>
      </c>
      <c r="J717" s="522">
        <v>11.511900000000001</v>
      </c>
      <c r="K717" s="538">
        <v>217527162.78308401</v>
      </c>
    </row>
    <row r="718" spans="2:11" x14ac:dyDescent="0.45">
      <c r="B718" s="514" t="s">
        <v>79</v>
      </c>
      <c r="C718" s="520" t="s">
        <v>516</v>
      </c>
      <c r="D718" s="534" t="s">
        <v>33</v>
      </c>
      <c r="E718" s="534" t="s">
        <v>18</v>
      </c>
      <c r="F718" s="535" t="s">
        <v>261</v>
      </c>
      <c r="G718" s="542" t="s">
        <v>224</v>
      </c>
      <c r="H718" s="537">
        <v>45510</v>
      </c>
      <c r="I718" s="519">
        <v>4999750.0120000001</v>
      </c>
      <c r="J718" s="522">
        <v>10</v>
      </c>
      <c r="K718" s="541">
        <v>-49997500.120000005</v>
      </c>
    </row>
    <row r="719" spans="2:11" x14ac:dyDescent="0.45">
      <c r="B719" s="514" t="s">
        <v>79</v>
      </c>
      <c r="C719" s="520" t="s">
        <v>516</v>
      </c>
      <c r="D719" s="534" t="s">
        <v>33</v>
      </c>
      <c r="E719" s="534" t="s">
        <v>18</v>
      </c>
      <c r="F719" s="535" t="s">
        <v>261</v>
      </c>
      <c r="G719" s="542" t="s">
        <v>224</v>
      </c>
      <c r="H719" s="537">
        <v>45544</v>
      </c>
      <c r="I719" s="519">
        <v>956706.85199999996</v>
      </c>
      <c r="J719" s="522">
        <v>10.452</v>
      </c>
      <c r="K719" s="541">
        <v>-9999500.0171039999</v>
      </c>
    </row>
    <row r="720" spans="2:11" x14ac:dyDescent="0.45">
      <c r="B720" s="514" t="s">
        <v>79</v>
      </c>
      <c r="C720" s="520" t="s">
        <v>516</v>
      </c>
      <c r="D720" s="534" t="s">
        <v>33</v>
      </c>
      <c r="E720" s="534" t="s">
        <v>18</v>
      </c>
      <c r="F720" s="535" t="s">
        <v>261</v>
      </c>
      <c r="G720" s="542" t="s">
        <v>224</v>
      </c>
      <c r="H720" s="537">
        <v>45581</v>
      </c>
      <c r="I720" s="519">
        <v>3558540.9339999999</v>
      </c>
      <c r="J720" s="522">
        <v>11.24</v>
      </c>
      <c r="K720" s="541">
        <v>-39998000.098159999</v>
      </c>
    </row>
    <row r="721" spans="2:11" x14ac:dyDescent="0.45">
      <c r="B721" s="514" t="s">
        <v>79</v>
      </c>
      <c r="C721" s="514" t="s">
        <v>516</v>
      </c>
      <c r="D721" s="534" t="s">
        <v>33</v>
      </c>
      <c r="E721" s="534" t="s">
        <v>18</v>
      </c>
      <c r="F721" s="535" t="s">
        <v>261</v>
      </c>
      <c r="G721" s="562" t="s">
        <v>517</v>
      </c>
      <c r="H721" s="537">
        <v>46203</v>
      </c>
      <c r="I721" s="519">
        <v>9514997.7980000004</v>
      </c>
      <c r="J721" s="522">
        <v>11.511900000000001</v>
      </c>
      <c r="K721" s="541">
        <v>109535703.1507962</v>
      </c>
    </row>
    <row r="722" spans="2:11" x14ac:dyDescent="0.45">
      <c r="B722" s="514" t="s">
        <v>76</v>
      </c>
      <c r="C722" s="514" t="s">
        <v>516</v>
      </c>
      <c r="D722" s="534" t="s">
        <v>33</v>
      </c>
      <c r="E722" s="534" t="s">
        <v>21</v>
      </c>
      <c r="F722" s="535" t="s">
        <v>21</v>
      </c>
      <c r="G722" s="542" t="s">
        <v>517</v>
      </c>
      <c r="H722" s="537">
        <v>46203</v>
      </c>
      <c r="I722" s="519"/>
      <c r="J722" s="522"/>
      <c r="K722" s="543">
        <v>1694178.29</v>
      </c>
    </row>
    <row r="723" spans="2:11" x14ac:dyDescent="0.45">
      <c r="B723" s="514" t="s">
        <v>79</v>
      </c>
      <c r="C723" s="514" t="s">
        <v>516</v>
      </c>
      <c r="D723" s="534" t="s">
        <v>33</v>
      </c>
      <c r="E723" s="534" t="s">
        <v>21</v>
      </c>
      <c r="F723" s="535" t="s">
        <v>21</v>
      </c>
      <c r="G723" s="542" t="s">
        <v>517</v>
      </c>
      <c r="H723" s="537">
        <v>46203</v>
      </c>
      <c r="I723" s="519"/>
      <c r="J723" s="522"/>
      <c r="K723" s="538">
        <v>753681.25</v>
      </c>
    </row>
    <row r="724" spans="2:11" x14ac:dyDescent="0.45">
      <c r="B724" s="520" t="s">
        <v>76</v>
      </c>
      <c r="C724" s="514" t="s">
        <v>543</v>
      </c>
      <c r="D724" s="534" t="s">
        <v>33</v>
      </c>
      <c r="E724" s="534" t="s">
        <v>22</v>
      </c>
      <c r="F724" s="535" t="s">
        <v>240</v>
      </c>
      <c r="G724" s="535" t="s">
        <v>224</v>
      </c>
      <c r="H724" s="537">
        <v>45589</v>
      </c>
      <c r="I724" s="519"/>
      <c r="J724" s="522"/>
      <c r="K724" s="541">
        <v>-10000000</v>
      </c>
    </row>
    <row r="725" spans="2:11" x14ac:dyDescent="0.45">
      <c r="B725" s="520" t="s">
        <v>76</v>
      </c>
      <c r="C725" s="514" t="s">
        <v>543</v>
      </c>
      <c r="D725" s="534" t="s">
        <v>33</v>
      </c>
      <c r="E725" s="534" t="s">
        <v>22</v>
      </c>
      <c r="F725" s="535" t="s">
        <v>240</v>
      </c>
      <c r="G725" s="536" t="s">
        <v>517</v>
      </c>
      <c r="H725" s="537">
        <v>46203</v>
      </c>
      <c r="I725" s="519"/>
      <c r="J725" s="522"/>
      <c r="K725" s="541">
        <v>11248249</v>
      </c>
    </row>
  </sheetData>
  <conditionalFormatting sqref="D5:E725">
    <cfRule type="expression" dxfId="12" priority="2">
      <formula>FormatFormulas</formula>
    </cfRule>
  </conditionalFormatting>
  <conditionalFormatting sqref="F705:F718">
    <cfRule type="expression" dxfId="11" priority="36">
      <formula>FormatFormulas</formula>
    </cfRule>
  </conditionalFormatting>
  <conditionalFormatting sqref="G5:G566">
    <cfRule type="cellIs" dxfId="10" priority="1" operator="equal">
      <formula>"Closing"</formula>
    </cfRule>
  </conditionalFormatting>
  <conditionalFormatting sqref="G568">
    <cfRule type="cellIs" dxfId="9" priority="313" operator="equal">
      <formula>"Closing"</formula>
    </cfRule>
  </conditionalFormatting>
  <conditionalFormatting sqref="G570">
    <cfRule type="cellIs" dxfId="8" priority="312" operator="equal">
      <formula>"Closing"</formula>
    </cfRule>
  </conditionalFormatting>
  <conditionalFormatting sqref="G572">
    <cfRule type="cellIs" dxfId="7" priority="311" operator="equal">
      <formula>"Closing"</formula>
    </cfRule>
  </conditionalFormatting>
  <conditionalFormatting sqref="G577:G579">
    <cfRule type="cellIs" dxfId="6" priority="309" operator="equal">
      <formula>"Closing"</formula>
    </cfRule>
  </conditionalFormatting>
  <conditionalFormatting sqref="G584:G634">
    <cfRule type="cellIs" dxfId="5" priority="3" operator="equal">
      <formula>"Closing"</formula>
    </cfRule>
  </conditionalFormatting>
  <conditionalFormatting sqref="G637:G650">
    <cfRule type="cellIs" dxfId="4" priority="132" operator="equal">
      <formula>"Closing"</formula>
    </cfRule>
  </conditionalFormatting>
  <conditionalFormatting sqref="G653:G658">
    <cfRule type="cellIs" dxfId="3" priority="151" operator="equal">
      <formula>"Closing"</formula>
    </cfRule>
  </conditionalFormatting>
  <conditionalFormatting sqref="G660:G725">
    <cfRule type="cellIs" dxfId="2" priority="21" operator="equal">
      <formula>"Closing"</formula>
    </cfRule>
  </conditionalFormatting>
  <dataValidations count="1">
    <dataValidation type="list" allowBlank="1" showInputMessage="1" showErrorMessage="1" sqref="G466:G725 G5:G463" xr:uid="{EC7AC0F9-B117-4CEC-AB5A-74FE31507D0A}">
      <formula1>Transaction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73F5-39EE-4C43-9DFC-52A07F751731}">
  <dimension ref="A1:N98"/>
  <sheetViews>
    <sheetView workbookViewId="0">
      <selection activeCell="G35" sqref="G35"/>
    </sheetView>
  </sheetViews>
  <sheetFormatPr defaultColWidth="9.19921875" defaultRowHeight="13.15" x14ac:dyDescent="0.4"/>
  <cols>
    <col min="1" max="1" width="9.19921875" style="207"/>
    <col min="2" max="2" width="15.73046875" style="207" bestFit="1" customWidth="1"/>
    <col min="3" max="3" width="9.19921875" style="215" bestFit="1" customWidth="1"/>
    <col min="4" max="4" width="18.53125" style="215" bestFit="1" customWidth="1"/>
    <col min="5" max="5" width="34.53125" style="215" bestFit="1" customWidth="1"/>
    <col min="6" max="6" width="10.46484375" style="215" bestFit="1" customWidth="1"/>
    <col min="7" max="7" width="9.19921875" style="207"/>
    <col min="8" max="8" width="15.73046875" style="207" bestFit="1" customWidth="1"/>
    <col min="9" max="9" width="9.19921875" style="207" bestFit="1" customWidth="1"/>
    <col min="10" max="10" width="18.53125" style="207" bestFit="1" customWidth="1"/>
    <col min="11" max="11" width="36.73046875" style="207" bestFit="1" customWidth="1"/>
    <col min="12" max="12" width="9.796875" style="207" bestFit="1" customWidth="1"/>
    <col min="13" max="16384" width="9.19921875" style="207"/>
  </cols>
  <sheetData>
    <row r="1" spans="2:13" x14ac:dyDescent="0.4">
      <c r="B1" s="598" t="s">
        <v>33</v>
      </c>
      <c r="C1" s="598"/>
      <c r="D1" s="598"/>
      <c r="E1" s="598"/>
      <c r="F1" s="598"/>
      <c r="G1" s="598"/>
      <c r="H1" s="598"/>
      <c r="I1" s="598"/>
      <c r="J1" s="598"/>
      <c r="K1" s="598"/>
      <c r="L1" s="598"/>
    </row>
    <row r="2" spans="2:13" s="263" customFormat="1" x14ac:dyDescent="0.4">
      <c r="B2" s="216" t="s">
        <v>559</v>
      </c>
      <c r="C2" s="215"/>
      <c r="D2" s="215"/>
      <c r="E2" s="215"/>
      <c r="F2" s="215"/>
      <c r="G2" s="316"/>
      <c r="H2" s="216" t="s">
        <v>560</v>
      </c>
      <c r="I2" s="207"/>
      <c r="J2" s="207"/>
      <c r="K2" s="207"/>
      <c r="L2" s="207"/>
      <c r="M2" s="207"/>
    </row>
    <row r="3" spans="2:13" x14ac:dyDescent="0.4">
      <c r="B3" s="276" t="s">
        <v>237</v>
      </c>
      <c r="C3" s="276" t="s">
        <v>236</v>
      </c>
      <c r="D3" s="276" t="s">
        <v>0</v>
      </c>
      <c r="E3" s="276" t="s">
        <v>235</v>
      </c>
      <c r="F3" s="276" t="s">
        <v>225</v>
      </c>
      <c r="H3" s="276" t="s">
        <v>237</v>
      </c>
      <c r="I3" s="276" t="s">
        <v>236</v>
      </c>
      <c r="J3" s="276" t="s">
        <v>0</v>
      </c>
      <c r="K3" s="276" t="s">
        <v>235</v>
      </c>
      <c r="L3" s="276" t="s">
        <v>224</v>
      </c>
    </row>
    <row r="4" spans="2:13" x14ac:dyDescent="0.4">
      <c r="B4" s="275" t="s">
        <v>78</v>
      </c>
      <c r="C4" s="263">
        <v>46188</v>
      </c>
      <c r="D4" s="339" t="s">
        <v>486</v>
      </c>
      <c r="E4" s="1" t="s">
        <v>532</v>
      </c>
      <c r="F4" s="484">
        <v>7.6062000000000005E-2</v>
      </c>
      <c r="G4" s="280"/>
      <c r="H4" s="275" t="s">
        <v>76</v>
      </c>
      <c r="I4" s="263">
        <v>46174</v>
      </c>
      <c r="J4" s="437" t="s">
        <v>18</v>
      </c>
      <c r="K4" s="1" t="s">
        <v>548</v>
      </c>
      <c r="L4" s="436">
        <v>25</v>
      </c>
    </row>
    <row r="5" spans="2:13" x14ac:dyDescent="0.4">
      <c r="B5" s="275" t="s">
        <v>78</v>
      </c>
      <c r="C5" s="263">
        <v>46192</v>
      </c>
      <c r="D5" s="339" t="s">
        <v>486</v>
      </c>
      <c r="E5" s="1" t="s">
        <v>532</v>
      </c>
      <c r="F5" s="484">
        <v>7.8592499999999996E-2</v>
      </c>
      <c r="G5" s="327"/>
      <c r="H5" s="238" t="s">
        <v>76</v>
      </c>
      <c r="I5" s="263">
        <v>46177</v>
      </c>
      <c r="J5" s="437" t="s">
        <v>18</v>
      </c>
      <c r="K5" s="1" t="s">
        <v>419</v>
      </c>
      <c r="L5" s="529">
        <v>1.8749062541685</v>
      </c>
      <c r="M5" s="214"/>
    </row>
    <row r="6" spans="2:13" x14ac:dyDescent="0.4">
      <c r="B6" s="275" t="s">
        <v>79</v>
      </c>
      <c r="C6" s="263">
        <v>46195</v>
      </c>
      <c r="D6" s="339" t="s">
        <v>19</v>
      </c>
      <c r="E6" s="9" t="s">
        <v>278</v>
      </c>
      <c r="F6" s="484">
        <v>3.3040293625899997</v>
      </c>
      <c r="G6" s="328"/>
      <c r="H6" s="238" t="s">
        <v>76</v>
      </c>
      <c r="I6" s="212">
        <v>46184</v>
      </c>
      <c r="J6" s="437" t="s">
        <v>18</v>
      </c>
      <c r="K6" s="1" t="s">
        <v>419</v>
      </c>
      <c r="L6" s="530">
        <v>1.8749062532988001</v>
      </c>
      <c r="M6" s="214"/>
    </row>
    <row r="7" spans="2:13" x14ac:dyDescent="0.4">
      <c r="B7" s="275" t="s">
        <v>78</v>
      </c>
      <c r="C7" s="263">
        <v>46195</v>
      </c>
      <c r="D7" s="126" t="s">
        <v>19</v>
      </c>
      <c r="E7" s="9" t="s">
        <v>279</v>
      </c>
      <c r="F7" s="484">
        <v>1.00358505651</v>
      </c>
      <c r="G7" s="211"/>
      <c r="H7" s="275" t="s">
        <v>76</v>
      </c>
      <c r="I7" s="528">
        <v>46190</v>
      </c>
      <c r="J7" s="437" t="s">
        <v>255</v>
      </c>
      <c r="K7" s="1" t="s">
        <v>545</v>
      </c>
      <c r="L7" s="529">
        <v>0.51789154552852001</v>
      </c>
      <c r="M7" s="214"/>
    </row>
    <row r="8" spans="2:13" x14ac:dyDescent="0.4">
      <c r="B8" s="275" t="s">
        <v>79</v>
      </c>
      <c r="C8" s="263">
        <v>46195</v>
      </c>
      <c r="D8" s="339" t="s">
        <v>19</v>
      </c>
      <c r="E8" s="1" t="s">
        <v>279</v>
      </c>
      <c r="F8" s="484">
        <v>4.7241341334759994</v>
      </c>
      <c r="G8" s="214"/>
      <c r="H8" s="275" t="s">
        <v>76</v>
      </c>
      <c r="I8" s="528">
        <v>46190</v>
      </c>
      <c r="J8" s="437" t="s">
        <v>255</v>
      </c>
      <c r="K8" s="1" t="s">
        <v>546</v>
      </c>
      <c r="L8" s="529">
        <v>1.0034018550079999</v>
      </c>
      <c r="M8" s="214"/>
    </row>
    <row r="9" spans="2:13" x14ac:dyDescent="0.4">
      <c r="B9" s="275" t="s">
        <v>76</v>
      </c>
      <c r="C9" s="263">
        <v>46197</v>
      </c>
      <c r="D9" s="126" t="s">
        <v>255</v>
      </c>
      <c r="E9" s="79" t="s">
        <v>203</v>
      </c>
      <c r="F9" s="484">
        <v>1.0000119999999999</v>
      </c>
      <c r="G9" s="214"/>
      <c r="H9" s="275" t="s">
        <v>76</v>
      </c>
      <c r="I9" s="528">
        <v>46191</v>
      </c>
      <c r="J9" s="437" t="s">
        <v>255</v>
      </c>
      <c r="K9" s="1" t="s">
        <v>545</v>
      </c>
      <c r="L9" s="529">
        <v>0.36817016197858399</v>
      </c>
      <c r="M9" s="214"/>
    </row>
    <row r="10" spans="2:13" x14ac:dyDescent="0.4">
      <c r="B10" s="221" t="s">
        <v>76</v>
      </c>
      <c r="C10" s="338">
        <v>46197</v>
      </c>
      <c r="D10" s="339" t="s">
        <v>19</v>
      </c>
      <c r="E10" s="1" t="s">
        <v>368</v>
      </c>
      <c r="F10" s="321">
        <v>4.3103739447359999</v>
      </c>
      <c r="G10" s="214"/>
      <c r="H10" s="238" t="s">
        <v>76</v>
      </c>
      <c r="I10" s="212">
        <v>46191</v>
      </c>
      <c r="J10" s="437" t="s">
        <v>18</v>
      </c>
      <c r="K10" s="1" t="s">
        <v>419</v>
      </c>
      <c r="L10" s="530">
        <v>1.8749062539330001</v>
      </c>
      <c r="M10" s="214"/>
    </row>
    <row r="11" spans="2:13" x14ac:dyDescent="0.4">
      <c r="B11" s="275" t="s">
        <v>76</v>
      </c>
      <c r="C11" s="263">
        <v>46198</v>
      </c>
      <c r="D11" s="339" t="s">
        <v>255</v>
      </c>
      <c r="E11" s="9" t="s">
        <v>203</v>
      </c>
      <c r="F11" s="484">
        <v>1.0000119999999999</v>
      </c>
      <c r="G11" s="214"/>
      <c r="H11" s="238" t="s">
        <v>76</v>
      </c>
      <c r="I11" s="212">
        <v>46198</v>
      </c>
      <c r="J11" s="437" t="s">
        <v>18</v>
      </c>
      <c r="K11" s="1" t="s">
        <v>419</v>
      </c>
      <c r="L11" s="530">
        <v>1.8749062506839997</v>
      </c>
      <c r="M11" s="214"/>
    </row>
    <row r="12" spans="2:13" x14ac:dyDescent="0.4">
      <c r="B12" s="221" t="s">
        <v>78</v>
      </c>
      <c r="C12" s="338">
        <v>46198</v>
      </c>
      <c r="D12" s="339" t="s">
        <v>486</v>
      </c>
      <c r="E12" s="437" t="s">
        <v>531</v>
      </c>
      <c r="F12" s="321">
        <v>0.15089759999999999</v>
      </c>
      <c r="G12" s="213"/>
      <c r="H12" s="210"/>
      <c r="I12" s="212"/>
      <c r="J12" s="212"/>
      <c r="K12" s="212"/>
      <c r="L12" s="212"/>
      <c r="M12" s="214"/>
    </row>
    <row r="13" spans="2:13" x14ac:dyDescent="0.4">
      <c r="B13" s="275" t="s">
        <v>79</v>
      </c>
      <c r="C13" s="212">
        <v>46202</v>
      </c>
      <c r="D13" s="126" t="s">
        <v>18</v>
      </c>
      <c r="E13" s="315" t="s">
        <v>264</v>
      </c>
      <c r="F13" s="484">
        <v>3.3278911127447999</v>
      </c>
      <c r="G13" s="214"/>
      <c r="H13" s="210"/>
      <c r="I13" s="212"/>
      <c r="J13" s="212"/>
      <c r="K13" s="212"/>
      <c r="L13" s="212"/>
      <c r="M13" s="211"/>
    </row>
    <row r="14" spans="2:13" x14ac:dyDescent="0.4">
      <c r="B14" s="275" t="s">
        <v>79</v>
      </c>
      <c r="C14" s="263">
        <v>46202</v>
      </c>
      <c r="D14" s="126" t="s">
        <v>18</v>
      </c>
      <c r="E14" s="79" t="s">
        <v>264</v>
      </c>
      <c r="F14" s="484">
        <v>0.5073839036651</v>
      </c>
      <c r="G14" s="213"/>
      <c r="H14" s="210"/>
      <c r="I14" s="212"/>
      <c r="J14" s="212"/>
      <c r="K14" s="212"/>
      <c r="L14" s="212"/>
      <c r="M14" s="211"/>
    </row>
    <row r="15" spans="2:13" x14ac:dyDescent="0.4">
      <c r="B15" s="275" t="s">
        <v>76</v>
      </c>
      <c r="C15" s="263">
        <v>46202</v>
      </c>
      <c r="D15" s="126" t="s">
        <v>18</v>
      </c>
      <c r="E15" s="79" t="s">
        <v>264</v>
      </c>
      <c r="F15" s="484">
        <v>3.9526520669327998</v>
      </c>
      <c r="G15" s="214"/>
      <c r="H15" s="210"/>
      <c r="I15" s="212"/>
      <c r="J15" s="212"/>
      <c r="K15" s="212"/>
      <c r="L15" s="212"/>
      <c r="M15" s="211"/>
    </row>
    <row r="16" spans="2:13" x14ac:dyDescent="0.4">
      <c r="B16" s="275" t="s">
        <v>76</v>
      </c>
      <c r="C16" s="263">
        <v>46202</v>
      </c>
      <c r="D16" s="339" t="s">
        <v>18</v>
      </c>
      <c r="E16" s="79" t="s">
        <v>264</v>
      </c>
      <c r="F16" s="484">
        <v>0.8517010204505</v>
      </c>
      <c r="G16" s="214"/>
      <c r="H16" s="210"/>
      <c r="I16" s="212"/>
      <c r="J16" s="212"/>
      <c r="K16" s="212"/>
      <c r="L16" s="212"/>
      <c r="M16" s="211"/>
    </row>
    <row r="17" spans="1:14" x14ac:dyDescent="0.4">
      <c r="B17" s="275" t="s">
        <v>76</v>
      </c>
      <c r="C17" s="263">
        <v>46202</v>
      </c>
      <c r="D17" s="339" t="s">
        <v>18</v>
      </c>
      <c r="E17" s="1" t="s">
        <v>268</v>
      </c>
      <c r="F17" s="484">
        <v>3.6962218379999996</v>
      </c>
      <c r="G17" s="214"/>
      <c r="H17" s="209"/>
      <c r="I17" s="212"/>
      <c r="J17" s="212"/>
      <c r="K17" s="212"/>
      <c r="L17" s="212"/>
      <c r="M17" s="211"/>
    </row>
    <row r="18" spans="1:14" x14ac:dyDescent="0.4">
      <c r="B18" s="339" t="s">
        <v>76</v>
      </c>
      <c r="C18" s="338">
        <v>46202</v>
      </c>
      <c r="D18" s="126" t="s">
        <v>18</v>
      </c>
      <c r="E18" s="437" t="s">
        <v>268</v>
      </c>
      <c r="F18" s="321">
        <v>1.0250607620000001</v>
      </c>
      <c r="G18" s="214"/>
      <c r="H18" s="209"/>
      <c r="I18" s="212"/>
      <c r="J18" s="212"/>
      <c r="K18" s="212"/>
      <c r="L18" s="212"/>
      <c r="M18" s="211"/>
    </row>
    <row r="19" spans="1:14" x14ac:dyDescent="0.4">
      <c r="B19" s="221" t="s">
        <v>79</v>
      </c>
      <c r="C19" s="338">
        <v>46202</v>
      </c>
      <c r="D19" s="126" t="s">
        <v>18</v>
      </c>
      <c r="E19" s="437" t="s">
        <v>268</v>
      </c>
      <c r="F19" s="321">
        <v>0.92550868600000014</v>
      </c>
      <c r="G19" s="214"/>
      <c r="H19" s="9"/>
      <c r="I19" s="212"/>
      <c r="J19" s="212"/>
      <c r="K19" s="212"/>
      <c r="L19" s="212"/>
      <c r="M19" s="211"/>
    </row>
    <row r="20" spans="1:14" x14ac:dyDescent="0.4">
      <c r="B20" s="221" t="s">
        <v>78</v>
      </c>
      <c r="C20" s="338">
        <v>46202</v>
      </c>
      <c r="D20" s="126" t="s">
        <v>18</v>
      </c>
      <c r="E20" s="437" t="s">
        <v>268</v>
      </c>
      <c r="F20" s="321">
        <v>0.29093860081</v>
      </c>
      <c r="G20" s="213"/>
      <c r="H20" s="9"/>
      <c r="I20" s="212"/>
      <c r="J20" s="212"/>
      <c r="K20" s="212"/>
      <c r="L20" s="212"/>
      <c r="M20" s="211"/>
    </row>
    <row r="21" spans="1:14" x14ac:dyDescent="0.4">
      <c r="B21" s="275" t="s">
        <v>76</v>
      </c>
      <c r="C21" s="263">
        <v>46203</v>
      </c>
      <c r="D21" s="339" t="s">
        <v>255</v>
      </c>
      <c r="E21" s="9" t="s">
        <v>203</v>
      </c>
      <c r="F21" s="484">
        <v>1.0000119999999999</v>
      </c>
      <c r="G21" s="214"/>
      <c r="H21" s="9"/>
      <c r="I21" s="212"/>
      <c r="J21" s="212"/>
      <c r="K21" s="212"/>
      <c r="L21" s="212"/>
      <c r="M21" s="211"/>
    </row>
    <row r="22" spans="1:14" x14ac:dyDescent="0.4">
      <c r="B22" s="275" t="s">
        <v>78</v>
      </c>
      <c r="C22" s="212">
        <v>46203</v>
      </c>
      <c r="D22" s="126" t="s">
        <v>18</v>
      </c>
      <c r="E22" s="1" t="s">
        <v>264</v>
      </c>
      <c r="F22" s="484">
        <v>0.96253226027280003</v>
      </c>
      <c r="G22" s="211"/>
      <c r="H22" s="210"/>
      <c r="I22" s="212"/>
      <c r="J22" s="212"/>
      <c r="K22" s="212"/>
      <c r="L22" s="212"/>
      <c r="M22" s="211"/>
    </row>
    <row r="23" spans="1:14" x14ac:dyDescent="0.4">
      <c r="B23" s="339"/>
      <c r="C23" s="338"/>
      <c r="D23" s="126"/>
      <c r="E23" s="126"/>
      <c r="F23" s="321"/>
      <c r="G23" s="213"/>
      <c r="H23" s="15"/>
      <c r="I23" s="12"/>
      <c r="J23" s="15"/>
      <c r="K23" s="15"/>
      <c r="L23" s="322"/>
      <c r="M23" s="211"/>
    </row>
    <row r="24" spans="1:14" x14ac:dyDescent="0.4">
      <c r="A24" s="598" t="s">
        <v>374</v>
      </c>
      <c r="B24" s="598"/>
      <c r="C24" s="598"/>
      <c r="D24" s="598"/>
      <c r="E24" s="598"/>
      <c r="F24" s="598"/>
      <c r="G24" s="598"/>
      <c r="H24" s="598"/>
      <c r="I24" s="598"/>
      <c r="J24" s="598"/>
      <c r="K24" s="598"/>
      <c r="L24" s="317"/>
      <c r="M24" s="211"/>
    </row>
    <row r="25" spans="1:14" x14ac:dyDescent="0.4">
      <c r="B25" s="216" t="s">
        <v>654</v>
      </c>
      <c r="G25" s="316"/>
      <c r="H25" s="216" t="s">
        <v>655</v>
      </c>
      <c r="M25" s="211"/>
    </row>
    <row r="26" spans="1:14" x14ac:dyDescent="0.4">
      <c r="B26" s="276" t="s">
        <v>237</v>
      </c>
      <c r="C26" s="276" t="s">
        <v>236</v>
      </c>
      <c r="D26" s="276" t="s">
        <v>0</v>
      </c>
      <c r="E26" s="276" t="s">
        <v>235</v>
      </c>
      <c r="F26" s="276" t="s">
        <v>225</v>
      </c>
      <c r="H26" s="276" t="s">
        <v>237</v>
      </c>
      <c r="I26" s="276" t="s">
        <v>236</v>
      </c>
      <c r="J26" s="276" t="s">
        <v>0</v>
      </c>
      <c r="K26" s="276" t="s">
        <v>235</v>
      </c>
      <c r="L26" s="276" t="s">
        <v>224</v>
      </c>
      <c r="M26" s="211"/>
    </row>
    <row r="27" spans="1:14" ht="14.25" x14ac:dyDescent="0.45">
      <c r="B27" s="275" t="s">
        <v>76</v>
      </c>
      <c r="C27" s="12">
        <v>46175</v>
      </c>
      <c r="D27" s="506" t="s">
        <v>26</v>
      </c>
      <c r="E27" s="126" t="s">
        <v>653</v>
      </c>
      <c r="F27" s="412">
        <f>31220025.06/(10^7)</f>
        <v>3.1220025059999998</v>
      </c>
      <c r="G27"/>
      <c r="H27" s="275" t="s">
        <v>76</v>
      </c>
      <c r="I27" s="507">
        <v>46178</v>
      </c>
      <c r="J27" s="506" t="s">
        <v>28</v>
      </c>
      <c r="K27" s="126" t="s">
        <v>656</v>
      </c>
      <c r="L27" s="412">
        <f>12499375.94/(10^7)</f>
        <v>1.2499375939999999</v>
      </c>
      <c r="M27" s="211"/>
    </row>
    <row r="28" spans="1:14" ht="14.25" x14ac:dyDescent="0.45">
      <c r="B28" s="275" t="s">
        <v>76</v>
      </c>
      <c r="C28" s="12">
        <v>46182</v>
      </c>
      <c r="D28" s="506" t="s">
        <v>26</v>
      </c>
      <c r="E28" s="126" t="s">
        <v>653</v>
      </c>
      <c r="F28" s="412">
        <f>18721747.52/(10^7)</f>
        <v>1.8721747520000001</v>
      </c>
      <c r="G28"/>
      <c r="H28" s="275" t="s">
        <v>78</v>
      </c>
      <c r="I28" s="507">
        <v>46204</v>
      </c>
      <c r="J28" s="506" t="s">
        <v>28</v>
      </c>
      <c r="K28" s="126" t="s">
        <v>660</v>
      </c>
      <c r="L28" s="412">
        <f>119994000.19/(10^7)</f>
        <v>11.999400018999999</v>
      </c>
      <c r="M28" s="211"/>
    </row>
    <row r="29" spans="1:14" ht="14.25" x14ac:dyDescent="0.45">
      <c r="B29" s="275" t="s">
        <v>76</v>
      </c>
      <c r="C29" s="12">
        <v>46189</v>
      </c>
      <c r="D29" s="506" t="s">
        <v>26</v>
      </c>
      <c r="E29" s="126" t="s">
        <v>653</v>
      </c>
      <c r="F29" s="412">
        <f>18757606.01/10^7</f>
        <v>1.8757606010000001</v>
      </c>
      <c r="G29"/>
      <c r="H29" s="275" t="s">
        <v>76</v>
      </c>
      <c r="I29" s="507">
        <v>46205</v>
      </c>
      <c r="J29" s="506" t="s">
        <v>26</v>
      </c>
      <c r="K29" s="126" t="s">
        <v>657</v>
      </c>
      <c r="L29" s="412">
        <f>149992500.38/(10^7)</f>
        <v>14.999250038</v>
      </c>
      <c r="M29" s="211"/>
    </row>
    <row r="30" spans="1:14" ht="14.25" x14ac:dyDescent="0.45">
      <c r="B30" s="275" t="s">
        <v>76</v>
      </c>
      <c r="C30" s="12">
        <v>46196</v>
      </c>
      <c r="D30" s="506" t="s">
        <v>26</v>
      </c>
      <c r="E30" s="126" t="s">
        <v>653</v>
      </c>
      <c r="F30" s="412">
        <f>18761810.28/(10^7)</f>
        <v>1.8761810280000002</v>
      </c>
      <c r="G30"/>
      <c r="H30" s="275" t="s">
        <v>76</v>
      </c>
      <c r="I30" s="507">
        <v>46205</v>
      </c>
      <c r="J30" s="506" t="s">
        <v>28</v>
      </c>
      <c r="K30" s="126" t="s">
        <v>658</v>
      </c>
      <c r="L30" s="412">
        <f>49997500.58/(10^7)</f>
        <v>4.9997500580000001</v>
      </c>
      <c r="M30" s="211"/>
    </row>
    <row r="31" spans="1:14" ht="14.25" x14ac:dyDescent="0.45">
      <c r="B31" s="275" t="s">
        <v>76</v>
      </c>
      <c r="C31" s="12">
        <v>46203</v>
      </c>
      <c r="D31" s="506" t="s">
        <v>26</v>
      </c>
      <c r="E31" s="126" t="s">
        <v>653</v>
      </c>
      <c r="F31" s="412">
        <f>18746289.4/(10^7)</f>
        <v>1.8746289399999998</v>
      </c>
      <c r="G31"/>
      <c r="H31" s="275" t="s">
        <v>76</v>
      </c>
      <c r="I31" s="507">
        <v>46205</v>
      </c>
      <c r="J31" s="506" t="s">
        <v>26</v>
      </c>
      <c r="K31" s="126" t="s">
        <v>659</v>
      </c>
      <c r="L31" s="412">
        <f>177991100.44/(10^7)</f>
        <v>17.799110043999999</v>
      </c>
      <c r="M31" s="211"/>
      <c r="N31" s="238"/>
    </row>
    <row r="32" spans="1:14" ht="14.25" x14ac:dyDescent="0.45">
      <c r="B32" s="275" t="s">
        <v>76</v>
      </c>
      <c r="C32" s="507">
        <v>46210</v>
      </c>
      <c r="D32" s="506" t="s">
        <v>28</v>
      </c>
      <c r="E32" s="126" t="s">
        <v>663</v>
      </c>
      <c r="F32" s="484">
        <v>2.5</v>
      </c>
      <c r="G32"/>
      <c r="H32" s="275" t="s">
        <v>661</v>
      </c>
      <c r="I32" s="507">
        <v>46206</v>
      </c>
      <c r="J32" s="506" t="s">
        <v>28</v>
      </c>
      <c r="K32" s="126" t="s">
        <v>662</v>
      </c>
      <c r="L32" s="412">
        <f>2488491.15/(10^7)</f>
        <v>0.24884911499999998</v>
      </c>
      <c r="M32" s="211"/>
      <c r="N32" s="238"/>
    </row>
    <row r="33" spans="1:13" ht="14.25" x14ac:dyDescent="0.45">
      <c r="B33" s="275"/>
      <c r="C33" s="12"/>
      <c r="D33" s="506"/>
      <c r="E33" s="126"/>
      <c r="F33" s="412"/>
      <c r="G33"/>
      <c r="H33" s="275" t="s">
        <v>79</v>
      </c>
      <c r="I33" s="507">
        <v>46206</v>
      </c>
      <c r="J33" s="506" t="s">
        <v>28</v>
      </c>
      <c r="K33" s="126" t="s">
        <v>662</v>
      </c>
      <c r="L33" s="533">
        <f>250049.35/(10^7)</f>
        <v>2.5004934999999999E-2</v>
      </c>
      <c r="M33" s="213"/>
    </row>
    <row r="34" spans="1:13" ht="14.25" x14ac:dyDescent="0.45">
      <c r="B34" s="275"/>
      <c r="C34" s="263"/>
      <c r="D34" s="210"/>
      <c r="E34" s="9"/>
      <c r="F34" s="321"/>
      <c r="G34"/>
      <c r="H34" s="275"/>
      <c r="I34" s="507"/>
      <c r="J34" s="506"/>
      <c r="K34" s="508"/>
      <c r="L34" s="506"/>
      <c r="M34" s="211"/>
    </row>
    <row r="35" spans="1:13" x14ac:dyDescent="0.4">
      <c r="B35" s="275"/>
      <c r="C35" s="263"/>
      <c r="D35" s="210"/>
      <c r="E35" s="9"/>
      <c r="F35" s="321"/>
      <c r="G35" s="211"/>
      <c r="H35" s="210"/>
      <c r="I35" s="212"/>
      <c r="J35" s="212"/>
      <c r="K35" s="212"/>
      <c r="L35" s="212"/>
      <c r="M35" s="211"/>
    </row>
    <row r="36" spans="1:13" x14ac:dyDescent="0.4">
      <c r="B36" s="563"/>
      <c r="C36" s="563"/>
      <c r="D36" s="563"/>
      <c r="E36" s="563"/>
      <c r="F36" s="563"/>
      <c r="G36" s="563"/>
      <c r="H36" s="563"/>
      <c r="I36" s="563"/>
      <c r="J36" s="563"/>
      <c r="K36" s="563"/>
      <c r="L36" s="317"/>
      <c r="M36" s="211"/>
    </row>
    <row r="37" spans="1:13" x14ac:dyDescent="0.4">
      <c r="B37" s="216" t="s">
        <v>559</v>
      </c>
      <c r="G37" s="316"/>
      <c r="H37" s="216" t="s">
        <v>560</v>
      </c>
      <c r="M37" s="211"/>
    </row>
    <row r="38" spans="1:13" x14ac:dyDescent="0.4">
      <c r="B38" s="276" t="s">
        <v>237</v>
      </c>
      <c r="C38" s="276" t="s">
        <v>236</v>
      </c>
      <c r="D38" s="276" t="s">
        <v>0</v>
      </c>
      <c r="E38" s="276" t="s">
        <v>235</v>
      </c>
      <c r="F38" s="276" t="s">
        <v>225</v>
      </c>
      <c r="H38" s="276" t="s">
        <v>237</v>
      </c>
      <c r="I38" s="276" t="s">
        <v>236</v>
      </c>
      <c r="J38" s="276" t="s">
        <v>0</v>
      </c>
      <c r="K38" s="276" t="s">
        <v>235</v>
      </c>
      <c r="L38" s="276" t="s">
        <v>224</v>
      </c>
      <c r="M38" s="211"/>
    </row>
    <row r="39" spans="1:13" x14ac:dyDescent="0.4">
      <c r="G39" s="213"/>
      <c r="H39" s="9"/>
      <c r="I39" s="212"/>
      <c r="J39" s="212"/>
      <c r="K39" s="212"/>
      <c r="L39" s="329"/>
      <c r="M39" s="211"/>
    </row>
    <row r="40" spans="1:13" x14ac:dyDescent="0.4">
      <c r="A40" s="563" t="s">
        <v>376</v>
      </c>
      <c r="G40" s="213"/>
      <c r="H40" s="9"/>
      <c r="I40" s="212"/>
      <c r="J40" s="212"/>
      <c r="K40" s="212"/>
      <c r="L40" s="329"/>
      <c r="M40" s="211"/>
    </row>
    <row r="41" spans="1:13" x14ac:dyDescent="0.4">
      <c r="B41" s="563"/>
      <c r="C41" s="563"/>
      <c r="D41" s="563"/>
      <c r="E41" s="563"/>
      <c r="F41" s="563"/>
      <c r="G41" s="563"/>
      <c r="H41" s="563"/>
      <c r="I41" s="563"/>
      <c r="J41" s="563"/>
      <c r="K41" s="563"/>
      <c r="L41" s="317"/>
      <c r="M41" s="211"/>
    </row>
    <row r="42" spans="1:13" x14ac:dyDescent="0.4">
      <c r="B42" s="216" t="s">
        <v>559</v>
      </c>
      <c r="G42" s="316"/>
      <c r="H42" s="216" t="s">
        <v>560</v>
      </c>
      <c r="M42" s="211"/>
    </row>
    <row r="43" spans="1:13" x14ac:dyDescent="0.4">
      <c r="B43" s="276" t="s">
        <v>237</v>
      </c>
      <c r="C43" s="276" t="s">
        <v>236</v>
      </c>
      <c r="D43" s="276" t="s">
        <v>0</v>
      </c>
      <c r="E43" s="276" t="s">
        <v>235</v>
      </c>
      <c r="F43" s="276" t="s">
        <v>225</v>
      </c>
      <c r="H43" s="276" t="s">
        <v>237</v>
      </c>
      <c r="I43" s="276" t="s">
        <v>236</v>
      </c>
      <c r="J43" s="276" t="s">
        <v>0</v>
      </c>
      <c r="K43" s="276" t="s">
        <v>235</v>
      </c>
      <c r="L43" s="276" t="s">
        <v>224</v>
      </c>
      <c r="M43" s="211"/>
    </row>
    <row r="44" spans="1:13" x14ac:dyDescent="0.4">
      <c r="G44" s="214"/>
      <c r="H44" s="9"/>
      <c r="I44" s="212"/>
      <c r="J44" s="212"/>
      <c r="K44" s="212"/>
      <c r="L44" s="212"/>
      <c r="M44" s="211"/>
    </row>
    <row r="45" spans="1:13" x14ac:dyDescent="0.4">
      <c r="A45" s="563" t="s">
        <v>32</v>
      </c>
      <c r="G45" s="213"/>
      <c r="H45" s="9"/>
      <c r="I45" s="212"/>
      <c r="J45" s="212"/>
      <c r="K45" s="212"/>
      <c r="L45" s="212"/>
      <c r="M45" s="211"/>
    </row>
    <row r="46" spans="1:13" x14ac:dyDescent="0.4">
      <c r="G46" s="213"/>
      <c r="H46" s="210"/>
      <c r="I46" s="212"/>
      <c r="J46" s="212"/>
      <c r="K46" s="212"/>
      <c r="L46" s="212"/>
      <c r="M46" s="211"/>
    </row>
    <row r="47" spans="1:13" x14ac:dyDescent="0.4">
      <c r="G47" s="213"/>
      <c r="H47" s="210"/>
      <c r="I47" s="212"/>
      <c r="J47" s="212"/>
      <c r="K47" s="212"/>
      <c r="L47" s="212"/>
      <c r="M47" s="211"/>
    </row>
    <row r="48" spans="1:13" x14ac:dyDescent="0.4">
      <c r="G48" s="213"/>
      <c r="H48" s="210"/>
      <c r="I48" s="212"/>
      <c r="J48" s="212"/>
      <c r="K48" s="212"/>
      <c r="L48" s="212"/>
      <c r="M48" s="211"/>
    </row>
    <row r="49" spans="2:13" x14ac:dyDescent="0.4">
      <c r="G49" s="214"/>
      <c r="H49" s="210"/>
      <c r="I49" s="212"/>
      <c r="J49" s="212"/>
      <c r="K49" s="212"/>
      <c r="L49" s="212"/>
      <c r="M49" s="211"/>
    </row>
    <row r="50" spans="2:13" x14ac:dyDescent="0.4">
      <c r="G50" s="214"/>
      <c r="H50" s="210"/>
      <c r="I50" s="212"/>
      <c r="J50" s="212"/>
      <c r="K50" s="212"/>
      <c r="L50" s="212"/>
      <c r="M50" s="211"/>
    </row>
    <row r="51" spans="2:13" x14ac:dyDescent="0.4">
      <c r="G51" s="213"/>
      <c r="H51" s="210"/>
      <c r="I51" s="212"/>
      <c r="J51" s="212"/>
      <c r="K51" s="212"/>
      <c r="L51" s="212"/>
      <c r="M51" s="211"/>
    </row>
    <row r="52" spans="2:13" x14ac:dyDescent="0.4">
      <c r="B52" s="220"/>
      <c r="C52" s="278"/>
      <c r="D52" s="277"/>
      <c r="E52" s="279"/>
      <c r="F52" s="220"/>
      <c r="G52" s="211"/>
      <c r="H52" s="210"/>
      <c r="I52" s="212"/>
      <c r="J52" s="212"/>
      <c r="K52" s="212"/>
      <c r="L52" s="212"/>
      <c r="M52" s="211"/>
    </row>
    <row r="53" spans="2:13" x14ac:dyDescent="0.4">
      <c r="B53" s="220"/>
      <c r="C53" s="278"/>
      <c r="D53" s="277"/>
      <c r="E53" s="279"/>
      <c r="F53" s="220"/>
      <c r="G53" s="211"/>
      <c r="H53" s="210"/>
      <c r="I53" s="212"/>
      <c r="J53" s="212"/>
      <c r="K53" s="212"/>
      <c r="L53" s="212"/>
      <c r="M53" s="211"/>
    </row>
    <row r="54" spans="2:13" x14ac:dyDescent="0.4">
      <c r="B54" s="220"/>
      <c r="C54" s="278"/>
      <c r="D54" s="277"/>
      <c r="E54" s="279"/>
      <c r="F54" s="220"/>
      <c r="G54" s="213"/>
      <c r="H54" s="210"/>
      <c r="I54" s="212"/>
      <c r="J54" s="212"/>
      <c r="K54" s="212"/>
      <c r="L54" s="212"/>
      <c r="M54" s="214"/>
    </row>
    <row r="55" spans="2:13" x14ac:dyDescent="0.4">
      <c r="B55" s="220"/>
      <c r="C55" s="278"/>
      <c r="D55" s="277"/>
      <c r="E55" s="279"/>
      <c r="F55" s="220"/>
      <c r="G55" s="211"/>
      <c r="H55" s="210"/>
      <c r="I55" s="212"/>
      <c r="J55" s="212"/>
      <c r="K55" s="212"/>
      <c r="L55" s="212"/>
      <c r="M55" s="211"/>
    </row>
    <row r="56" spans="2:13" x14ac:dyDescent="0.4">
      <c r="B56" s="220"/>
      <c r="C56" s="278"/>
      <c r="D56" s="277"/>
      <c r="E56" s="279"/>
      <c r="F56" s="220"/>
      <c r="G56" s="211"/>
      <c r="H56" s="210"/>
      <c r="I56" s="212"/>
      <c r="J56" s="212"/>
      <c r="K56" s="212"/>
      <c r="L56" s="212"/>
      <c r="M56" s="211"/>
    </row>
    <row r="57" spans="2:13" x14ac:dyDescent="0.4">
      <c r="B57" s="220"/>
      <c r="C57" s="278"/>
      <c r="D57" s="277"/>
      <c r="E57" s="279"/>
      <c r="F57" s="220"/>
      <c r="G57" s="211"/>
      <c r="H57" s="210"/>
      <c r="I57" s="212"/>
      <c r="J57" s="212"/>
      <c r="K57" s="212"/>
      <c r="L57" s="212"/>
      <c r="M57" s="211"/>
    </row>
    <row r="58" spans="2:13" x14ac:dyDescent="0.4">
      <c r="B58" s="220"/>
      <c r="C58" s="281"/>
      <c r="D58" s="280"/>
      <c r="E58" s="280"/>
      <c r="G58" s="214"/>
      <c r="H58" s="210"/>
      <c r="I58" s="212"/>
      <c r="J58" s="212"/>
      <c r="K58" s="212"/>
      <c r="L58" s="212"/>
      <c r="M58" s="211"/>
    </row>
    <row r="59" spans="2:13" x14ac:dyDescent="0.4">
      <c r="B59" s="220"/>
      <c r="C59" s="281"/>
      <c r="D59" s="280"/>
      <c r="E59" s="280"/>
      <c r="G59" s="213"/>
      <c r="H59" s="210"/>
      <c r="I59" s="212"/>
      <c r="J59" s="212"/>
      <c r="K59" s="212"/>
      <c r="L59" s="212"/>
      <c r="M59" s="214"/>
    </row>
    <row r="60" spans="2:13" x14ac:dyDescent="0.4">
      <c r="B60" s="220"/>
      <c r="G60" s="214"/>
      <c r="H60" s="210"/>
      <c r="I60" s="212"/>
      <c r="J60" s="212"/>
      <c r="K60" s="212"/>
      <c r="L60" s="212"/>
      <c r="M60" s="214"/>
    </row>
    <row r="61" spans="2:13" x14ac:dyDescent="0.4">
      <c r="B61" s="220"/>
      <c r="G61" s="214"/>
      <c r="H61" s="210"/>
      <c r="I61" s="212"/>
      <c r="J61" s="212"/>
      <c r="K61" s="212"/>
      <c r="L61" s="212"/>
      <c r="M61" s="213"/>
    </row>
    <row r="62" spans="2:13" x14ac:dyDescent="0.4">
      <c r="B62" s="220"/>
      <c r="G62" s="213"/>
      <c r="H62" s="210"/>
      <c r="I62" s="212"/>
      <c r="J62" s="212"/>
      <c r="K62" s="212"/>
      <c r="L62" s="212"/>
      <c r="M62" s="213"/>
    </row>
    <row r="63" spans="2:13" x14ac:dyDescent="0.4">
      <c r="B63" s="220"/>
      <c r="G63" s="213"/>
      <c r="H63" s="210"/>
      <c r="I63" s="212"/>
      <c r="J63" s="212"/>
      <c r="K63" s="212"/>
      <c r="L63" s="212"/>
      <c r="M63" s="213"/>
    </row>
    <row r="64" spans="2:13" x14ac:dyDescent="0.4">
      <c r="B64" s="220"/>
      <c r="G64" s="213"/>
      <c r="H64" s="9"/>
      <c r="I64" s="212"/>
      <c r="J64" s="212"/>
      <c r="K64" s="212"/>
      <c r="L64" s="212"/>
      <c r="M64" s="213"/>
    </row>
    <row r="65" spans="2:13" x14ac:dyDescent="0.4">
      <c r="B65" s="220"/>
      <c r="C65" s="221"/>
      <c r="D65" s="221"/>
      <c r="E65" s="221"/>
      <c r="F65" s="221"/>
      <c r="G65" s="214"/>
      <c r="H65" s="210"/>
      <c r="I65" s="212"/>
      <c r="J65" s="212"/>
      <c r="K65" s="212"/>
      <c r="L65" s="212"/>
      <c r="M65" s="213"/>
    </row>
    <row r="66" spans="2:13" x14ac:dyDescent="0.4">
      <c r="B66" s="220"/>
      <c r="C66" s="221"/>
      <c r="D66" s="221"/>
      <c r="E66" s="221"/>
      <c r="F66" s="221"/>
      <c r="G66" s="213"/>
      <c r="H66" s="210"/>
      <c r="I66" s="212"/>
      <c r="J66" s="212"/>
      <c r="K66" s="212"/>
      <c r="L66" s="212"/>
      <c r="M66" s="214"/>
    </row>
    <row r="67" spans="2:13" x14ac:dyDescent="0.4">
      <c r="B67" s="220"/>
      <c r="C67" s="221"/>
      <c r="D67" s="221"/>
      <c r="E67" s="221"/>
      <c r="F67" s="221"/>
      <c r="G67" s="214"/>
      <c r="H67" s="210"/>
      <c r="I67" s="212"/>
      <c r="J67" s="212"/>
      <c r="K67" s="212"/>
      <c r="L67" s="212"/>
      <c r="M67" s="213"/>
    </row>
    <row r="68" spans="2:13" x14ac:dyDescent="0.4">
      <c r="B68" s="220"/>
      <c r="C68" s="221"/>
      <c r="D68" s="221"/>
      <c r="E68" s="221"/>
      <c r="F68" s="221"/>
      <c r="G68" s="213"/>
      <c r="H68" s="210"/>
      <c r="I68" s="212"/>
      <c r="J68" s="212"/>
      <c r="K68" s="212"/>
      <c r="L68" s="212"/>
      <c r="M68" s="213"/>
    </row>
    <row r="69" spans="2:13" x14ac:dyDescent="0.4">
      <c r="B69" s="220"/>
      <c r="C69" s="221"/>
      <c r="D69" s="221"/>
      <c r="E69" s="221"/>
      <c r="F69" s="221"/>
      <c r="G69" s="214"/>
      <c r="H69" s="210"/>
      <c r="I69" s="212"/>
      <c r="J69" s="212"/>
      <c r="K69" s="212"/>
      <c r="L69" s="212"/>
      <c r="M69" s="213"/>
    </row>
    <row r="70" spans="2:13" x14ac:dyDescent="0.4">
      <c r="C70" s="221"/>
      <c r="D70" s="221"/>
      <c r="E70" s="221"/>
      <c r="F70" s="221"/>
      <c r="G70" s="213"/>
      <c r="H70" s="9"/>
      <c r="I70" s="212"/>
      <c r="J70" s="212"/>
      <c r="K70" s="212"/>
      <c r="L70" s="212"/>
      <c r="M70" s="213"/>
    </row>
    <row r="71" spans="2:13" x14ac:dyDescent="0.4">
      <c r="C71" s="221"/>
      <c r="D71" s="221"/>
      <c r="E71" s="221"/>
      <c r="F71" s="221"/>
      <c r="G71" s="214"/>
      <c r="H71" s="210"/>
      <c r="I71" s="212"/>
      <c r="J71" s="212"/>
      <c r="K71" s="212"/>
      <c r="L71" s="212"/>
      <c r="M71" s="214"/>
    </row>
    <row r="72" spans="2:13" x14ac:dyDescent="0.4">
      <c r="C72" s="221"/>
      <c r="D72" s="221"/>
      <c r="E72" s="221"/>
      <c r="F72" s="221"/>
      <c r="G72" s="213"/>
      <c r="H72" s="9"/>
      <c r="I72" s="212"/>
      <c r="J72" s="212"/>
      <c r="K72" s="212"/>
      <c r="L72" s="212"/>
      <c r="M72" s="213"/>
    </row>
    <row r="73" spans="2:13" x14ac:dyDescent="0.4">
      <c r="C73" s="221"/>
      <c r="D73" s="221"/>
      <c r="E73" s="221"/>
      <c r="F73" s="221"/>
      <c r="H73" s="209"/>
      <c r="I73" s="212"/>
      <c r="J73" s="212"/>
      <c r="K73" s="212"/>
      <c r="L73" s="212"/>
      <c r="M73" s="213"/>
    </row>
    <row r="74" spans="2:13" x14ac:dyDescent="0.4">
      <c r="C74" s="221"/>
      <c r="D74" s="221"/>
      <c r="E74" s="221"/>
      <c r="F74" s="221"/>
      <c r="H74" s="9"/>
      <c r="I74" s="212"/>
      <c r="J74" s="212"/>
      <c r="K74" s="212"/>
      <c r="L74" s="212"/>
      <c r="M74" s="213"/>
    </row>
    <row r="75" spans="2:13" x14ac:dyDescent="0.4">
      <c r="C75" s="221"/>
      <c r="D75" s="221"/>
      <c r="E75" s="221"/>
      <c r="F75" s="221"/>
      <c r="H75" s="210"/>
      <c r="I75" s="212"/>
      <c r="J75" s="212"/>
      <c r="K75" s="212"/>
      <c r="L75" s="212"/>
      <c r="M75" s="213"/>
    </row>
    <row r="76" spans="2:13" x14ac:dyDescent="0.4">
      <c r="C76" s="221"/>
      <c r="D76" s="221"/>
      <c r="E76" s="221"/>
      <c r="F76" s="221"/>
      <c r="H76" s="9"/>
      <c r="I76" s="212"/>
      <c r="J76" s="212"/>
      <c r="K76" s="212"/>
      <c r="L76" s="212"/>
      <c r="M76" s="213"/>
    </row>
    <row r="77" spans="2:13" x14ac:dyDescent="0.4">
      <c r="B77" s="210"/>
      <c r="C77" s="221"/>
      <c r="D77" s="221"/>
      <c r="E77" s="221"/>
      <c r="F77" s="221"/>
      <c r="H77" s="9"/>
      <c r="I77" s="212"/>
      <c r="J77" s="212"/>
      <c r="K77" s="212"/>
      <c r="L77" s="212"/>
      <c r="M77" s="211"/>
    </row>
    <row r="78" spans="2:13" x14ac:dyDescent="0.4">
      <c r="B78" s="210"/>
      <c r="C78" s="221"/>
      <c r="D78" s="221"/>
      <c r="E78" s="221"/>
      <c r="F78" s="221"/>
      <c r="H78" s="9"/>
      <c r="I78" s="212"/>
      <c r="J78" s="212"/>
      <c r="K78" s="212"/>
      <c r="L78" s="212"/>
      <c r="M78" s="211"/>
    </row>
    <row r="79" spans="2:13" x14ac:dyDescent="0.4">
      <c r="B79" s="210"/>
      <c r="C79" s="221"/>
      <c r="D79" s="221"/>
      <c r="E79" s="221"/>
      <c r="F79" s="221"/>
      <c r="H79" s="9"/>
      <c r="I79" s="212"/>
      <c r="J79" s="212"/>
      <c r="K79" s="212"/>
      <c r="L79" s="212"/>
      <c r="M79" s="211"/>
    </row>
    <row r="80" spans="2:13" x14ac:dyDescent="0.4">
      <c r="B80" s="210"/>
      <c r="C80" s="221"/>
      <c r="D80" s="221"/>
      <c r="E80" s="221"/>
      <c r="F80" s="221"/>
      <c r="H80" s="9"/>
      <c r="I80" s="212"/>
      <c r="J80" s="212"/>
      <c r="K80" s="212"/>
      <c r="L80" s="212"/>
    </row>
    <row r="81" spans="2:12" x14ac:dyDescent="0.4">
      <c r="B81" s="210"/>
      <c r="C81" s="221"/>
      <c r="D81" s="221"/>
      <c r="E81" s="221"/>
      <c r="F81" s="221"/>
      <c r="H81" s="209"/>
      <c r="I81" s="212"/>
      <c r="J81" s="212"/>
      <c r="K81" s="212"/>
      <c r="L81" s="212"/>
    </row>
    <row r="82" spans="2:12" x14ac:dyDescent="0.4">
      <c r="B82" s="210"/>
      <c r="C82" s="221"/>
      <c r="D82" s="221"/>
      <c r="E82" s="221"/>
      <c r="F82" s="221"/>
      <c r="H82" s="9"/>
      <c r="I82" s="212"/>
      <c r="J82" s="212"/>
      <c r="K82" s="212"/>
      <c r="L82" s="212"/>
    </row>
    <row r="83" spans="2:12" x14ac:dyDescent="0.4">
      <c r="B83" s="210"/>
      <c r="C83" s="221"/>
      <c r="D83" s="221"/>
      <c r="E83" s="221"/>
      <c r="F83" s="221"/>
      <c r="H83" s="210"/>
      <c r="I83" s="212"/>
      <c r="J83" s="212"/>
      <c r="K83" s="212"/>
      <c r="L83" s="212"/>
    </row>
    <row r="84" spans="2:12" x14ac:dyDescent="0.4">
      <c r="B84" s="210"/>
      <c r="C84" s="221"/>
      <c r="D84" s="221"/>
      <c r="E84" s="221"/>
      <c r="F84" s="221"/>
      <c r="H84" s="210"/>
      <c r="I84" s="212"/>
      <c r="J84" s="212"/>
      <c r="K84" s="212"/>
      <c r="L84" s="212"/>
    </row>
    <row r="85" spans="2:12" x14ac:dyDescent="0.4">
      <c r="B85" s="210"/>
      <c r="C85" s="221"/>
      <c r="D85" s="221"/>
      <c r="E85" s="221"/>
      <c r="F85" s="221"/>
      <c r="H85" s="210"/>
      <c r="I85" s="212"/>
      <c r="J85" s="212"/>
      <c r="K85" s="212"/>
      <c r="L85" s="212"/>
    </row>
    <row r="86" spans="2:12" x14ac:dyDescent="0.4">
      <c r="B86" s="210"/>
      <c r="C86" s="15"/>
      <c r="D86" s="15"/>
      <c r="E86" s="15"/>
      <c r="F86" s="15"/>
      <c r="H86" s="210"/>
      <c r="I86" s="212"/>
      <c r="J86" s="212"/>
      <c r="K86" s="212"/>
      <c r="L86" s="212"/>
    </row>
    <row r="87" spans="2:12" x14ac:dyDescent="0.4">
      <c r="B87" s="210"/>
    </row>
    <row r="88" spans="2:12" x14ac:dyDescent="0.4">
      <c r="B88" s="210"/>
    </row>
    <row r="89" spans="2:12" x14ac:dyDescent="0.4">
      <c r="B89" s="210"/>
    </row>
    <row r="90" spans="2:12" x14ac:dyDescent="0.4">
      <c r="B90" s="210"/>
    </row>
    <row r="91" spans="2:12" x14ac:dyDescent="0.4">
      <c r="B91" s="210"/>
    </row>
    <row r="92" spans="2:12" x14ac:dyDescent="0.4">
      <c r="B92" s="210"/>
    </row>
    <row r="93" spans="2:12" x14ac:dyDescent="0.4">
      <c r="B93" s="210"/>
    </row>
    <row r="94" spans="2:12" x14ac:dyDescent="0.4">
      <c r="B94" s="210"/>
    </row>
    <row r="95" spans="2:12" x14ac:dyDescent="0.4">
      <c r="B95" s="210"/>
    </row>
    <row r="96" spans="2:12" x14ac:dyDescent="0.4">
      <c r="B96" s="210"/>
    </row>
    <row r="97" spans="2:2" x14ac:dyDescent="0.4">
      <c r="B97" s="210"/>
    </row>
    <row r="98" spans="2:2" x14ac:dyDescent="0.4">
      <c r="B98" s="9"/>
    </row>
  </sheetData>
  <autoFilter ref="A3:N23" xr:uid="{82B973F5-39EE-4C43-9DFC-52A07F751731}"/>
  <sortState xmlns:xlrd2="http://schemas.microsoft.com/office/spreadsheetml/2017/richdata2" ref="B27:F32">
    <sortCondition ref="C27:C32"/>
  </sortState>
  <mergeCells count="2">
    <mergeCell ref="B1:L1"/>
    <mergeCell ref="A24:K24"/>
  </mergeCells>
  <conditionalFormatting sqref="F32:F33">
    <cfRule type="expression" dxfId="1" priority="1">
      <formula>FormatFormulas</formula>
    </cfRule>
  </conditionalFormatting>
  <conditionalFormatting sqref="J22:J23">
    <cfRule type="expression" dxfId="0" priority="39">
      <formula>FormatFormulas</formula>
    </cfRule>
  </conditionalFormatting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FD6C6-F60F-4776-B9BF-AD5AD6BDA113}">
  <dimension ref="A1:L29"/>
  <sheetViews>
    <sheetView showGridLines="0" zoomScale="90" zoomScaleNormal="93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9" sqref="D19"/>
    </sheetView>
  </sheetViews>
  <sheetFormatPr defaultColWidth="8.73046875" defaultRowHeight="11.65" x14ac:dyDescent="0.35"/>
  <cols>
    <col min="1" max="1" width="13" style="1" bestFit="1" customWidth="1"/>
    <col min="2" max="2" width="46.796875" style="1" customWidth="1"/>
    <col min="3" max="3" width="38" style="4" bestFit="1" customWidth="1"/>
    <col min="4" max="4" width="9.53125" style="1" bestFit="1" customWidth="1"/>
    <col min="5" max="5" width="15.73046875" style="1" bestFit="1" customWidth="1"/>
    <col min="6" max="6" width="14.9296875" style="1" bestFit="1" customWidth="1"/>
    <col min="7" max="7" width="12.59765625" style="272" bestFit="1" customWidth="1"/>
    <col min="8" max="8" width="23.73046875" style="1" customWidth="1"/>
    <col min="9" max="9" width="53.53125" style="1" bestFit="1" customWidth="1"/>
    <col min="10" max="10" width="14.46484375" style="1" bestFit="1" customWidth="1"/>
    <col min="11" max="16384" width="8.73046875" style="1"/>
  </cols>
  <sheetData>
    <row r="1" spans="1:12" ht="15" customHeight="1" x14ac:dyDescent="0.35">
      <c r="B1" s="429"/>
    </row>
    <row r="2" spans="1:12" x14ac:dyDescent="0.35">
      <c r="A2" s="175"/>
      <c r="B2" s="599" t="s">
        <v>34</v>
      </c>
      <c r="C2" s="600"/>
      <c r="D2" s="600"/>
      <c r="E2" s="600"/>
      <c r="F2" s="600"/>
      <c r="G2" s="600"/>
      <c r="H2" s="600"/>
      <c r="I2" s="600"/>
      <c r="J2" s="600"/>
    </row>
    <row r="3" spans="1:12" x14ac:dyDescent="0.35">
      <c r="B3" s="350" t="s">
        <v>18</v>
      </c>
      <c r="C3" s="350" t="s">
        <v>388</v>
      </c>
      <c r="D3" s="350" t="s">
        <v>389</v>
      </c>
      <c r="E3" s="350" t="s">
        <v>423</v>
      </c>
      <c r="F3" s="350" t="s">
        <v>390</v>
      </c>
      <c r="G3" s="350" t="s">
        <v>391</v>
      </c>
      <c r="H3" s="354" t="s">
        <v>392</v>
      </c>
      <c r="I3" s="354" t="s">
        <v>424</v>
      </c>
      <c r="J3" s="354" t="s">
        <v>425</v>
      </c>
    </row>
    <row r="4" spans="1:12" ht="26" customHeight="1" x14ac:dyDescent="0.35">
      <c r="A4" s="126"/>
      <c r="B4" s="18" t="s">
        <v>261</v>
      </c>
      <c r="C4" s="18" t="s">
        <v>393</v>
      </c>
      <c r="D4" s="353">
        <v>1248</v>
      </c>
      <c r="E4" s="426" t="s">
        <v>426</v>
      </c>
      <c r="F4" s="18" t="s">
        <v>394</v>
      </c>
      <c r="G4" s="18" t="s">
        <v>394</v>
      </c>
      <c r="H4" s="99">
        <v>1.0500000000000001E-2</v>
      </c>
      <c r="I4" s="427" t="s">
        <v>427</v>
      </c>
      <c r="J4" s="99" t="s">
        <v>428</v>
      </c>
    </row>
    <row r="5" spans="1:12" ht="14.25" x14ac:dyDescent="0.45">
      <c r="A5" s="126"/>
      <c r="B5" s="351" t="s">
        <v>248</v>
      </c>
      <c r="C5" s="18" t="s">
        <v>395</v>
      </c>
      <c r="D5" s="353">
        <v>2742</v>
      </c>
      <c r="E5" s="353" t="s">
        <v>429</v>
      </c>
      <c r="F5" s="18" t="s">
        <v>394</v>
      </c>
      <c r="G5" s="18" t="s">
        <v>394</v>
      </c>
      <c r="H5" s="99">
        <v>2.5000000000000001E-2</v>
      </c>
      <c r="I5" s="351" t="s">
        <v>430</v>
      </c>
      <c r="J5" s="99" t="s">
        <v>431</v>
      </c>
      <c r="L5" s="433"/>
    </row>
    <row r="6" spans="1:12" ht="24" customHeight="1" x14ac:dyDescent="0.45">
      <c r="A6" s="126"/>
      <c r="B6" s="351" t="s">
        <v>178</v>
      </c>
      <c r="C6" s="18" t="s">
        <v>397</v>
      </c>
      <c r="D6" s="353">
        <v>189737.65292164899</v>
      </c>
      <c r="E6" s="353" t="s">
        <v>429</v>
      </c>
      <c r="F6" s="18" t="s">
        <v>394</v>
      </c>
      <c r="G6" s="18" t="s">
        <v>394</v>
      </c>
      <c r="H6" s="99">
        <v>1.4999999999999999E-2</v>
      </c>
      <c r="I6" s="427" t="s">
        <v>432</v>
      </c>
      <c r="J6" s="99" t="s">
        <v>431</v>
      </c>
      <c r="L6" s="433"/>
    </row>
    <row r="7" spans="1:12" ht="24" customHeight="1" x14ac:dyDescent="0.45">
      <c r="A7" s="126"/>
      <c r="B7" s="352" t="s">
        <v>367</v>
      </c>
      <c r="C7" s="18" t="s">
        <v>398</v>
      </c>
      <c r="D7" s="353">
        <v>23050</v>
      </c>
      <c r="E7" s="353" t="s">
        <v>429</v>
      </c>
      <c r="F7" s="18" t="s">
        <v>394</v>
      </c>
      <c r="G7" s="18" t="s">
        <v>394</v>
      </c>
      <c r="H7" s="99" t="s">
        <v>450</v>
      </c>
      <c r="I7" s="427" t="s">
        <v>432</v>
      </c>
      <c r="J7" s="99" t="s">
        <v>431</v>
      </c>
      <c r="L7" s="433"/>
    </row>
    <row r="8" spans="1:12" ht="18" customHeight="1" x14ac:dyDescent="0.45">
      <c r="A8" s="126"/>
      <c r="B8" s="351" t="s">
        <v>371</v>
      </c>
      <c r="C8" s="18" t="s">
        <v>396</v>
      </c>
      <c r="D8" s="353" t="s">
        <v>396</v>
      </c>
      <c r="E8" s="353" t="s">
        <v>396</v>
      </c>
      <c r="F8" s="18" t="s">
        <v>394</v>
      </c>
      <c r="G8" s="18" t="s">
        <v>394</v>
      </c>
      <c r="H8" s="99" t="s">
        <v>396</v>
      </c>
      <c r="I8" s="427" t="s">
        <v>396</v>
      </c>
      <c r="J8" s="99" t="s">
        <v>431</v>
      </c>
      <c r="L8" s="433"/>
    </row>
    <row r="9" spans="1:12" ht="46.5" x14ac:dyDescent="0.45">
      <c r="A9" s="126"/>
      <c r="B9" s="351" t="s">
        <v>246</v>
      </c>
      <c r="C9" s="18" t="s">
        <v>399</v>
      </c>
      <c r="D9" s="353">
        <v>1242</v>
      </c>
      <c r="E9" s="353" t="s">
        <v>396</v>
      </c>
      <c r="F9" s="18" t="s">
        <v>394</v>
      </c>
      <c r="G9" s="351" t="s">
        <v>453</v>
      </c>
      <c r="H9" s="99" t="s">
        <v>396</v>
      </c>
      <c r="I9" s="427" t="s">
        <v>396</v>
      </c>
      <c r="J9" s="99" t="s">
        <v>431</v>
      </c>
      <c r="L9" s="434"/>
    </row>
    <row r="10" spans="1:12" ht="20" customHeight="1" x14ac:dyDescent="0.45">
      <c r="A10" s="126"/>
      <c r="B10" s="18" t="s">
        <v>185</v>
      </c>
      <c r="C10" s="18" t="s">
        <v>400</v>
      </c>
      <c r="D10" s="353">
        <v>6211.4512999999997</v>
      </c>
      <c r="E10" s="426" t="s">
        <v>426</v>
      </c>
      <c r="F10" s="18">
        <v>1.78</v>
      </c>
      <c r="G10" s="18">
        <v>0.51</v>
      </c>
      <c r="H10" s="99" t="s">
        <v>394</v>
      </c>
      <c r="I10" s="428" t="s">
        <v>433</v>
      </c>
      <c r="J10" s="99" t="s">
        <v>431</v>
      </c>
      <c r="L10" s="434"/>
    </row>
    <row r="11" spans="1:12" ht="15.5" customHeight="1" x14ac:dyDescent="0.45">
      <c r="A11" s="126"/>
      <c r="B11" s="18" t="s">
        <v>268</v>
      </c>
      <c r="C11" s="18" t="s">
        <v>434</v>
      </c>
      <c r="D11" s="353">
        <v>35665.816200000001</v>
      </c>
      <c r="E11" s="353" t="s">
        <v>435</v>
      </c>
      <c r="F11" s="18">
        <v>1.56</v>
      </c>
      <c r="G11" s="18">
        <v>0.67</v>
      </c>
      <c r="H11" s="99" t="s">
        <v>394</v>
      </c>
      <c r="I11" s="428" t="s">
        <v>436</v>
      </c>
      <c r="J11" s="99" t="s">
        <v>431</v>
      </c>
      <c r="L11" s="433"/>
    </row>
    <row r="12" spans="1:12" ht="23.25" x14ac:dyDescent="0.45">
      <c r="A12" s="126"/>
      <c r="B12" s="351" t="s">
        <v>446</v>
      </c>
      <c r="C12" s="18" t="s">
        <v>401</v>
      </c>
      <c r="D12" s="353">
        <v>30712.48</v>
      </c>
      <c r="E12" s="353" t="s">
        <v>429</v>
      </c>
      <c r="F12" s="430" t="s">
        <v>394</v>
      </c>
      <c r="G12" s="18">
        <v>0.54999999999999993</v>
      </c>
      <c r="H12" s="99" t="s">
        <v>394</v>
      </c>
      <c r="I12" s="428" t="s">
        <v>437</v>
      </c>
      <c r="J12" s="99" t="s">
        <v>431</v>
      </c>
      <c r="L12" s="433"/>
    </row>
    <row r="13" spans="1:12" ht="14.25" x14ac:dyDescent="0.45">
      <c r="A13" s="126"/>
      <c r="B13" s="18" t="s">
        <v>262</v>
      </c>
      <c r="C13" s="18" t="s">
        <v>402</v>
      </c>
      <c r="D13" s="353">
        <v>20339</v>
      </c>
      <c r="E13" s="353" t="s">
        <v>435</v>
      </c>
      <c r="F13" s="18" t="s">
        <v>394</v>
      </c>
      <c r="G13" s="18" t="s">
        <v>394</v>
      </c>
      <c r="H13" s="99">
        <v>1.2699999999999999E-2</v>
      </c>
      <c r="I13" s="427"/>
      <c r="J13" s="99" t="s">
        <v>431</v>
      </c>
      <c r="L13" s="434"/>
    </row>
    <row r="14" spans="1:12" ht="23.25" x14ac:dyDescent="0.35">
      <c r="A14" s="126"/>
      <c r="B14" s="18" t="s">
        <v>299</v>
      </c>
      <c r="C14" s="351" t="s">
        <v>438</v>
      </c>
      <c r="D14" s="353">
        <v>15400</v>
      </c>
      <c r="E14" s="353" t="s">
        <v>429</v>
      </c>
      <c r="F14" s="18" t="s">
        <v>394</v>
      </c>
      <c r="G14" s="18" t="s">
        <v>394</v>
      </c>
      <c r="H14" s="99">
        <v>0.02</v>
      </c>
      <c r="I14" s="351" t="s">
        <v>439</v>
      </c>
      <c r="J14" s="99" t="s">
        <v>428</v>
      </c>
    </row>
    <row r="15" spans="1:12" ht="23.25" x14ac:dyDescent="0.35">
      <c r="A15" s="126"/>
      <c r="B15" s="18" t="s">
        <v>447</v>
      </c>
      <c r="C15" s="353" t="s">
        <v>448</v>
      </c>
      <c r="D15" s="353">
        <v>16671.9401</v>
      </c>
      <c r="E15" s="353" t="s">
        <v>429</v>
      </c>
      <c r="F15" s="99" t="s">
        <v>394</v>
      </c>
      <c r="G15" s="18">
        <v>1.29</v>
      </c>
      <c r="H15" s="99" t="s">
        <v>394</v>
      </c>
      <c r="I15" s="435" t="s">
        <v>449</v>
      </c>
      <c r="J15" s="99" t="s">
        <v>431</v>
      </c>
    </row>
    <row r="16" spans="1:12" ht="23.25" x14ac:dyDescent="0.35">
      <c r="A16" s="126"/>
      <c r="B16" s="18" t="s">
        <v>463</v>
      </c>
      <c r="C16" s="353" t="s">
        <v>464</v>
      </c>
      <c r="D16" s="353">
        <v>25768.714899999999</v>
      </c>
      <c r="E16" s="353" t="s">
        <v>429</v>
      </c>
      <c r="F16" s="99" t="s">
        <v>394</v>
      </c>
      <c r="G16" s="18">
        <v>0.52</v>
      </c>
      <c r="H16" s="99" t="s">
        <v>394</v>
      </c>
      <c r="I16" s="469" t="s">
        <v>465</v>
      </c>
      <c r="J16" s="99" t="s">
        <v>431</v>
      </c>
    </row>
    <row r="17" spans="1:10" ht="20.55" customHeight="1" x14ac:dyDescent="0.35">
      <c r="A17" s="126"/>
      <c r="B17" s="18" t="s">
        <v>264</v>
      </c>
      <c r="C17" s="18" t="s">
        <v>403</v>
      </c>
      <c r="D17" s="353">
        <v>7413.0331999999999</v>
      </c>
      <c r="E17" s="353" t="s">
        <v>440</v>
      </c>
      <c r="F17" s="18">
        <v>1.84</v>
      </c>
      <c r="G17" s="18">
        <v>1.01</v>
      </c>
      <c r="H17" s="99" t="s">
        <v>394</v>
      </c>
      <c r="I17" s="428" t="s">
        <v>441</v>
      </c>
      <c r="J17" s="99" t="s">
        <v>431</v>
      </c>
    </row>
    <row r="18" spans="1:10" x14ac:dyDescent="0.35">
      <c r="B18" s="425" t="s">
        <v>16</v>
      </c>
      <c r="C18" s="18"/>
      <c r="D18" s="353"/>
      <c r="E18" s="353"/>
      <c r="F18" s="18"/>
      <c r="G18" s="18"/>
      <c r="H18" s="99"/>
      <c r="I18" s="427"/>
      <c r="J18" s="99"/>
    </row>
    <row r="19" spans="1:10" ht="20.55" customHeight="1" x14ac:dyDescent="0.35">
      <c r="A19" s="126"/>
      <c r="B19" s="343" t="s">
        <v>421</v>
      </c>
      <c r="C19" s="431" t="s">
        <v>445</v>
      </c>
      <c r="D19" s="353">
        <v>110.75790000000001</v>
      </c>
      <c r="E19" s="426" t="s">
        <v>426</v>
      </c>
      <c r="F19" s="18">
        <v>0.36</v>
      </c>
      <c r="G19" s="430" t="s">
        <v>394</v>
      </c>
      <c r="H19" s="99"/>
      <c r="I19" s="428" t="s">
        <v>314</v>
      </c>
      <c r="J19" s="99" t="s">
        <v>431</v>
      </c>
    </row>
    <row r="20" spans="1:10" x14ac:dyDescent="0.35">
      <c r="B20" s="350" t="s">
        <v>20</v>
      </c>
      <c r="C20" s="18"/>
      <c r="D20" s="353"/>
      <c r="E20" s="353"/>
      <c r="F20" s="18"/>
      <c r="G20" s="18">
        <v>0</v>
      </c>
      <c r="H20" s="99"/>
      <c r="I20" s="427"/>
      <c r="J20" s="99"/>
    </row>
    <row r="21" spans="1:10" ht="23.25" x14ac:dyDescent="0.35">
      <c r="A21" s="126"/>
      <c r="B21" s="18" t="s">
        <v>241</v>
      </c>
      <c r="C21" s="18" t="s">
        <v>404</v>
      </c>
      <c r="D21" s="353">
        <v>256.60000000000002</v>
      </c>
      <c r="E21" s="353" t="s">
        <v>396</v>
      </c>
      <c r="F21" s="18" t="s">
        <v>394</v>
      </c>
      <c r="G21" s="18" t="s">
        <v>394</v>
      </c>
      <c r="H21" s="427" t="s">
        <v>452</v>
      </c>
      <c r="I21" s="99" t="s">
        <v>432</v>
      </c>
      <c r="J21" s="99" t="s">
        <v>431</v>
      </c>
    </row>
    <row r="22" spans="1:10" ht="34.9" x14ac:dyDescent="0.35">
      <c r="A22" s="126"/>
      <c r="B22" s="18" t="s">
        <v>281</v>
      </c>
      <c r="C22" s="18" t="s">
        <v>405</v>
      </c>
      <c r="D22" s="353" t="s">
        <v>396</v>
      </c>
      <c r="E22" s="353" t="s">
        <v>396</v>
      </c>
      <c r="F22" s="18" t="s">
        <v>394</v>
      </c>
      <c r="G22" s="18" t="s">
        <v>394</v>
      </c>
      <c r="H22" s="427" t="s">
        <v>451</v>
      </c>
      <c r="I22" s="432" t="s">
        <v>394</v>
      </c>
      <c r="J22" s="99" t="s">
        <v>428</v>
      </c>
    </row>
    <row r="23" spans="1:10" x14ac:dyDescent="0.35">
      <c r="A23" s="126"/>
      <c r="B23" s="18" t="s">
        <v>289</v>
      </c>
      <c r="C23" s="18" t="s">
        <v>406</v>
      </c>
      <c r="D23" s="353">
        <v>1123</v>
      </c>
      <c r="E23" s="353" t="s">
        <v>396</v>
      </c>
      <c r="F23" s="18" t="s">
        <v>394</v>
      </c>
      <c r="G23" s="18" t="s">
        <v>394</v>
      </c>
      <c r="H23" s="99" t="s">
        <v>396</v>
      </c>
      <c r="I23" s="99" t="s">
        <v>396</v>
      </c>
      <c r="J23" s="99" t="s">
        <v>431</v>
      </c>
    </row>
    <row r="24" spans="1:10" x14ac:dyDescent="0.35">
      <c r="B24" s="350" t="s">
        <v>19</v>
      </c>
      <c r="C24" s="18"/>
      <c r="D24" s="353"/>
      <c r="E24" s="353"/>
      <c r="F24" s="18"/>
      <c r="G24" s="18">
        <v>0</v>
      </c>
      <c r="H24" s="99"/>
      <c r="I24" s="427"/>
      <c r="J24" s="99"/>
    </row>
    <row r="25" spans="1:10" ht="11.55" customHeight="1" x14ac:dyDescent="0.35">
      <c r="A25" s="126"/>
      <c r="B25" s="18" t="s">
        <v>111</v>
      </c>
      <c r="C25" s="18" t="s">
        <v>407</v>
      </c>
      <c r="D25" s="353">
        <v>9103.6885999999995</v>
      </c>
      <c r="E25" s="353" t="s">
        <v>435</v>
      </c>
      <c r="F25" s="18">
        <v>1.77</v>
      </c>
      <c r="G25" s="18">
        <v>0.67</v>
      </c>
      <c r="H25" s="99" t="s">
        <v>394</v>
      </c>
      <c r="I25" s="428" t="s">
        <v>442</v>
      </c>
      <c r="J25" s="99" t="s">
        <v>431</v>
      </c>
    </row>
    <row r="26" spans="1:10" x14ac:dyDescent="0.35">
      <c r="A26" s="126"/>
      <c r="B26" s="18" t="s">
        <v>278</v>
      </c>
      <c r="C26" s="18" t="s">
        <v>408</v>
      </c>
      <c r="D26" s="353">
        <v>107589.6743</v>
      </c>
      <c r="E26" s="353" t="s">
        <v>435</v>
      </c>
      <c r="F26" s="18">
        <v>1.35</v>
      </c>
      <c r="G26" s="18">
        <v>0.75</v>
      </c>
      <c r="H26" s="99" t="s">
        <v>394</v>
      </c>
      <c r="I26" s="428" t="s">
        <v>443</v>
      </c>
      <c r="J26" s="99" t="s">
        <v>431</v>
      </c>
    </row>
    <row r="27" spans="1:10" x14ac:dyDescent="0.35">
      <c r="A27" s="126"/>
      <c r="B27" s="18" t="s">
        <v>279</v>
      </c>
      <c r="C27" s="18" t="s">
        <v>409</v>
      </c>
      <c r="D27" s="353">
        <v>71150.7503</v>
      </c>
      <c r="E27" s="353" t="s">
        <v>435</v>
      </c>
      <c r="F27" s="18">
        <v>1.43</v>
      </c>
      <c r="G27" s="18">
        <v>0.88</v>
      </c>
      <c r="H27" s="99" t="s">
        <v>394</v>
      </c>
      <c r="I27" s="428" t="s">
        <v>444</v>
      </c>
      <c r="J27" s="99" t="s">
        <v>431</v>
      </c>
    </row>
    <row r="28" spans="1:10" x14ac:dyDescent="0.35">
      <c r="B28" s="350" t="s">
        <v>22</v>
      </c>
      <c r="C28" s="18"/>
      <c r="D28" s="353"/>
      <c r="E28" s="353"/>
      <c r="F28" s="18"/>
      <c r="G28" s="18">
        <v>0</v>
      </c>
      <c r="H28" s="99"/>
      <c r="I28" s="427"/>
      <c r="J28" s="99"/>
    </row>
    <row r="29" spans="1:10" ht="23.25" x14ac:dyDescent="0.35">
      <c r="A29" s="126"/>
      <c r="B29" s="18" t="s">
        <v>240</v>
      </c>
      <c r="C29" s="18" t="s">
        <v>410</v>
      </c>
      <c r="D29" s="353">
        <v>777</v>
      </c>
      <c r="E29" s="353" t="s">
        <v>396</v>
      </c>
      <c r="F29" s="18"/>
      <c r="G29" s="18">
        <v>0</v>
      </c>
      <c r="H29" s="427" t="s">
        <v>454</v>
      </c>
      <c r="I29" s="99" t="s">
        <v>396</v>
      </c>
      <c r="J29" s="99" t="s">
        <v>431</v>
      </c>
    </row>
  </sheetData>
  <autoFilter ref="A2:B29" xr:uid="{00000000-0001-0000-0400-000000000000}"/>
  <mergeCells count="1">
    <mergeCell ref="B2:J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432B2-E222-4C00-BCD9-C561E8D41BA7}">
  <sheetPr codeName="Sheet17"/>
  <dimension ref="A1:B14"/>
  <sheetViews>
    <sheetView workbookViewId="0">
      <selection activeCell="D16" sqref="D16"/>
    </sheetView>
  </sheetViews>
  <sheetFormatPr defaultRowHeight="14.25" x14ac:dyDescent="0.45"/>
  <cols>
    <col min="1" max="1" width="28.265625" bestFit="1" customWidth="1"/>
    <col min="2" max="2" width="14.796875" bestFit="1" customWidth="1"/>
  </cols>
  <sheetData>
    <row r="1" spans="1:2" x14ac:dyDescent="0.45">
      <c r="A1" s="290" t="s">
        <v>340</v>
      </c>
      <c r="B1" s="290" t="s">
        <v>333</v>
      </c>
    </row>
    <row r="2" spans="1:2" x14ac:dyDescent="0.45">
      <c r="A2" s="291" t="s">
        <v>178</v>
      </c>
      <c r="B2" s="292" t="s">
        <v>329</v>
      </c>
    </row>
    <row r="3" spans="1:2" x14ac:dyDescent="0.45">
      <c r="A3" s="291" t="s">
        <v>99</v>
      </c>
      <c r="B3" s="292" t="s">
        <v>328</v>
      </c>
    </row>
    <row r="4" spans="1:2" ht="23.25" x14ac:dyDescent="0.45">
      <c r="A4" s="291" t="s">
        <v>41</v>
      </c>
      <c r="B4" s="292" t="s">
        <v>327</v>
      </c>
    </row>
    <row r="5" spans="1:2" x14ac:dyDescent="0.45">
      <c r="A5" s="291" t="s">
        <v>246</v>
      </c>
      <c r="B5" s="292" t="s">
        <v>327</v>
      </c>
    </row>
    <row r="6" spans="1:2" x14ac:dyDescent="0.45">
      <c r="A6" s="293" t="s">
        <v>185</v>
      </c>
      <c r="B6" s="292" t="s">
        <v>329</v>
      </c>
    </row>
    <row r="7" spans="1:2" x14ac:dyDescent="0.45">
      <c r="A7" s="293" t="s">
        <v>266</v>
      </c>
      <c r="B7" s="292" t="s">
        <v>327</v>
      </c>
    </row>
    <row r="8" spans="1:2" x14ac:dyDescent="0.45">
      <c r="A8" s="293" t="s">
        <v>268</v>
      </c>
      <c r="B8" s="292" t="s">
        <v>338</v>
      </c>
    </row>
    <row r="9" spans="1:2" x14ac:dyDescent="0.45">
      <c r="A9" s="293" t="s">
        <v>186</v>
      </c>
      <c r="B9" s="292" t="s">
        <v>327</v>
      </c>
    </row>
    <row r="10" spans="1:2" x14ac:dyDescent="0.45">
      <c r="A10" s="293" t="s">
        <v>267</v>
      </c>
      <c r="B10" s="292" t="s">
        <v>327</v>
      </c>
    </row>
    <row r="11" spans="1:2" x14ac:dyDescent="0.45">
      <c r="A11" s="293" t="s">
        <v>240</v>
      </c>
      <c r="B11" s="292" t="s">
        <v>327</v>
      </c>
    </row>
    <row r="12" spans="1:2" x14ac:dyDescent="0.45">
      <c r="A12" s="293" t="s">
        <v>44</v>
      </c>
      <c r="B12" s="292" t="s">
        <v>327</v>
      </c>
    </row>
    <row r="13" spans="1:2" x14ac:dyDescent="0.45">
      <c r="A13" s="293" t="s">
        <v>289</v>
      </c>
      <c r="B13" s="292" t="s">
        <v>339</v>
      </c>
    </row>
    <row r="14" spans="1:2" x14ac:dyDescent="0.45">
      <c r="A14" s="293" t="s">
        <v>250</v>
      </c>
      <c r="B14" s="292" t="s">
        <v>327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Portfolio Allocation</vt:lpstr>
      <vt:lpstr>Promoter Holding</vt:lpstr>
      <vt:lpstr>Live Equity Performance</vt:lpstr>
      <vt:lpstr>Asset Allocation</vt:lpstr>
      <vt:lpstr>Stable Growth</vt:lpstr>
      <vt:lpstr>Entrepreneruial Growth</vt:lpstr>
      <vt:lpstr>Thematic,Tactical</vt:lpstr>
      <vt:lpstr>Liquid</vt:lpstr>
      <vt:lpstr>Equity</vt:lpstr>
      <vt:lpstr>Month on Month Equity Change</vt:lpstr>
      <vt:lpstr>Equity Quants</vt:lpstr>
      <vt:lpstr>Attribution Analysis</vt:lpstr>
      <vt:lpstr>Sheet1</vt:lpstr>
      <vt:lpstr>Cash</vt:lpstr>
      <vt:lpstr>Debt</vt:lpstr>
      <vt:lpstr>Alternate</vt:lpstr>
      <vt:lpstr>Private Investments </vt:lpstr>
      <vt:lpstr>Investorwise Summary</vt:lpstr>
      <vt:lpstr>Transactions</vt:lpstr>
      <vt:lpstr>Private Equity Excl Pre IPO</vt:lpstr>
      <vt:lpstr>Pre IPO </vt:lpstr>
      <vt:lpstr>Transactions since inception</vt:lpstr>
      <vt:lpstr>Transactions all Asset class</vt:lpstr>
      <vt:lpstr>Equity Scheme details</vt:lpstr>
      <vt:lpstr>Plan of Action - 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2026-08-12T05:52:36Z</dcterms:modified>
</cp:coreProperties>
</file>