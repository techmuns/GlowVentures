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ortfolio Allocation" sheetId="2" state="visible" r:id="rId4"/>
    <sheet name="Basket Allocation" sheetId="3" state="visible" r:id="rId5"/>
    <sheet name="Basket Detail" sheetId="4" state="visible" r:id="rId6"/>
    <sheet name="Investor Summary" sheetId="5" state="visible" r:id="rId7"/>
    <sheet name="Period Change" sheetId="6" state="visible" r:id="rId8"/>
    <sheet name="Tax Summary" sheetId="7" state="visible" r:id="rId9"/>
    <sheet name="Checks" sheetId="8" state="visible" r:id="rId10"/>
    <sheet name="Holdings" sheetId="9" state="visible" r:id="rId11"/>
    <sheet name="Tax Lots" sheetId="10" state="visible" r:id="rId12"/>
    <sheet name="Transactions" sheetId="11" state="visible" r:id="rId13"/>
    <sheet name="Commitments" sheetId="12" state="visible" r:id="rId14"/>
    <sheet name="Entities" sheetId="13" state="visible" r:id="rId15"/>
    <sheet name="Accounts" sheetId="14" state="visible" r:id="rId16"/>
    <sheet name="Securities" sheetId="15" state="visible" r:id="rId17"/>
    <sheet name="Lists" sheetId="16" state="visible" r:id="rId18"/>
    <sheet name="Column Mapping" sheetId="17" state="visible" r:id="rId19"/>
  </sheets>
  <definedNames>
    <definedName function="false" hidden="true" localSheetId="13" name="_xlnm._FilterDatabase" vbProcedure="false">Accounts!$A$5:$M$55</definedName>
    <definedName function="false" hidden="false" localSheetId="2" name="_xlnm.Print_Area" vbProcedure="false">'Basket Allocation'!$A$1:$R$23</definedName>
    <definedName function="false" hidden="false" localSheetId="3" name="_xlnm.Print_Area" vbProcedure="false">'Basket Detail'!$A$1:$O$89</definedName>
    <definedName function="false" hidden="false" localSheetId="7" name="_xlnm.Print_Area" vbProcedure="false">Checks!$A$1:$G$57</definedName>
    <definedName function="false" hidden="false" localSheetId="16" name="_xlnm.Print_Area" vbProcedure="false">'Column Mapping'!$A$1:$F$75</definedName>
    <definedName function="false" hidden="false" localSheetId="16" name="_xlnm.Print_Titles" vbProcedure="false">'Column Mapping'!$5:$5</definedName>
    <definedName function="false" hidden="true" localSheetId="11" name="_xlnm._FilterDatabase" vbProcedure="false">Commitments!$A$5:$V$35</definedName>
    <definedName function="false" hidden="true" localSheetId="12" name="_xlnm._FilterDatabase" vbProcedure="false">Entities!$A$5:$I$25</definedName>
    <definedName function="false" hidden="true" localSheetId="8" name="_xlnm._FilterDatabase" vbProcedure="false">Holdings!$A$5:$AQ$205</definedName>
    <definedName function="false" hidden="false" localSheetId="4" name="_xlnm.Print_Area" vbProcedure="false">'Investor Summary'!$A$1:$U$35</definedName>
    <definedName function="false" hidden="false" localSheetId="5" name="_xlnm.Print_Area" vbProcedure="false">'Period Change'!$A$1:$O$37</definedName>
    <definedName function="false" hidden="false" localSheetId="1" name="_xlnm.Print_Area" vbProcedure="false">'Portfolio Allocation'!$A$1:$T$52</definedName>
    <definedName function="false" hidden="true" localSheetId="14" name="_xlnm._FilterDatabase" vbProcedure="false">Securities!$A$5:$T$105</definedName>
    <definedName function="false" hidden="true" localSheetId="9" name="_xlnm._FilterDatabase" vbProcedure="false">'Tax Lots'!$A$5:$AR$205</definedName>
    <definedName function="false" hidden="false" localSheetId="6" name="_xlnm.Print_Area" vbProcedure="false">'Tax Summary'!$A$1:$N$40</definedName>
    <definedName function="false" hidden="true" localSheetId="10" name="_xlnm._FilterDatabase" vbProcedure="false">Transactions!$A$5:$T$305</definedName>
    <definedName function="false" hidden="false" name="BasketTol" vbProcedure="false">'Basket Allocation'!$C$13</definedName>
    <definedName function="false" hidden="false" name="ClientName" vbProcedure="false">'Start Here'!$C$6</definedName>
    <definedName function="false" hidden="false" name="Divisor" vbProcedure="false">'Start Here'!$C$10</definedName>
    <definedName function="false" hidden="false" name="GFDate" vbProcedure="false">'Start Here'!$C$11</definedName>
    <definedName function="false" hidden="false" name="L_AccountID" vbProcedure="false">OFFSET(Accounts!$A$6,0,0,COUNTA(Accounts!$A$6:$A$55),1)</definedName>
    <definedName function="false" hidden="false" name="L_AcctType" vbProcedure="false">OFFSET(Lists!$O$6,0,0,COUNTA(Lists!$O$6:$O$65),1)</definedName>
    <definedName function="false" hidden="false" name="L_AssetClass" vbProcedure="false">OFFSET(Lists!$A$6,0,0,COUNTA(Lists!$A$6:$A$65),1)</definedName>
    <definedName function="false" hidden="false" name="L_Basis" vbProcedure="false">OFFSET(Lists!$U$6,0,0,COUNTA(Lists!$U$6:$U$65),1)</definedName>
    <definedName function="false" hidden="false" name="L_BasketCode" vbProcedure="false">OFFSET(Lists!$K$6,0,0,COUNTA(Lists!$K$6:$K$65),1)</definedName>
    <definedName function="false" hidden="false" name="L_BasketName" vbProcedure="false">OFFSET(Lists!$K$6,0,1,COUNTA(Lists!$K$6:$K$65),1)</definedName>
    <definedName function="false" hidden="false" name="L_CatAsset" vbProcedure="false">OFFSET(Lists!$D$6,0,1,COUNTA(Lists!$D$6:$D$65),1)</definedName>
    <definedName function="false" hidden="false" name="L_CatBasket" vbProcedure="false">OFFSET(Lists!$D$6,0,2,COUNTA(Lists!$D$6:$D$65),1)</definedName>
    <definedName function="false" hidden="false" name="L_CatBench" vbProcedure="false">OFFSET(Lists!$D$6,0,4,COUNTA(Lists!$D$6:$D$65),1)</definedName>
    <definedName function="false" hidden="false" name="L_Category" vbProcedure="false">OFFSET(Lists!$D$6,0,0,COUNTA(Lists!$D$6:$D$65),1)</definedName>
    <definedName function="false" hidden="false" name="L_CatLT" vbProcedure="false">OFFSET(Lists!$D$6,0,3,COUNTA(Lists!$D$6:$D$65),1)</definedName>
    <definedName function="false" hidden="false" name="L_CatTax" vbProcedure="false">OFFSET(Lists!$D$6,0,5,COUNTA(Lists!$D$6:$D$65),1)</definedName>
    <definedName function="false" hidden="false" name="L_EntityID" vbProcedure="false">OFFSET(Entities!$A$6,0,0,COUNTA(Entities!$A$6:$A$25),1)</definedName>
    <definedName function="false" hidden="false" name="L_EntType" vbProcedure="false">OFFSET(Lists!$Q$6,0,0,COUNTA(Lists!$Q$6:$Q$65),1)</definedName>
    <definedName function="false" hidden="false" name="L_FY" vbProcedure="false">OFFSET(Lists!$AI$6,0,0,COUNTA(Lists!$AI$6:$AI$65),1)</definedName>
    <definedName function="false" hidden="false" name="L_MCap" vbProcedure="false">OFFSET(Lists!$AG$6,0,0,COUNTA(Lists!$AG$6:$AG$65),1)</definedName>
    <definedName function="false" hidden="false" name="L_Residency" vbProcedure="false">OFFSET(Lists!$S$6,0,0,COUNTA(Lists!$S$6:$S$65),1)</definedName>
    <definedName function="false" hidden="false" name="L_SecurityID" vbProcedure="false">OFFSET(Securities!$A$6,0,0,COUNTA(Securities!$A$6:$A$105),1)</definedName>
    <definedName function="false" hidden="false" name="L_TxnCounts" vbProcedure="false">OFFSET(Lists!$W$6,0,2,COUNTA(Lists!$W$6:$W$65),1)</definedName>
    <definedName function="false" hidden="false" name="L_TxnSign" vbProcedure="false">OFFSET(Lists!$W$6,0,1,COUNTA(Lists!$W$6:$W$65),1)</definedName>
    <definedName function="false" hidden="false" name="L_TxnType" vbProcedure="false">OFFSET(Lists!$W$6,0,0,COUNTA(Lists!$W$6:$W$65),1)</definedName>
    <definedName function="false" hidden="false" name="L_Unit" vbProcedure="false">OFFSET(Lists!$AA$6,0,0,COUNTA(Lists!$AA$6:$AA$65),1)</definedName>
    <definedName function="false" hidden="false" name="L_UnitDiv" vbProcedure="false">OFFSET(Lists!$AA$6,0,1,COUNTA(Lists!$AA$6:$AA$65),1)</definedName>
    <definedName function="false" hidden="false" name="L_UnitSfx" vbProcedure="false">OFFSET(Lists!$AA$6,0,2,COUNTA(Lists!$AA$6:$AA$65),1)</definedName>
    <definedName function="false" hidden="false" name="L_YN" vbProcedure="false">OFFSET(Lists!$AE$6,0,0,COUNTA(Lists!$AE$6:$AE$65),1)</definedName>
    <definedName function="false" hidden="false" name="OverallStatus" vbProcedure="false">Checks!$D$5</definedName>
    <definedName function="false" hidden="false" name="PrevDate" vbProcedure="false">'Start Here'!$C$8</definedName>
    <definedName function="false" hidden="false" name="SoonDays" vbProcedure="false">'Tax Summary'!$C$6</definedName>
    <definedName function="false" hidden="false" name="TaxFY" vbProcedure="false">'Tax Summary'!$C$5</definedName>
    <definedName function="false" hidden="false" name="UnitLabel" vbProcedure="false">'Start Here'!$C$9</definedName>
    <definedName function="false" hidden="false" name="ValDate" vbProcedure="false">'Start Here'!$C$7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<sst xmlns="http://schemas.openxmlformats.org/spreadsheetml/2006/main" count="1721" uniqueCount="1026">
  <si>
    <t xml:space="preserve">Consolidated Client Data Template</t>
  </si>
  <si>
    <t xml:space="preserve">One workbook for any client's portfolio: the registers hold the data in one standard shape, the views present it the way the family reads it.</t>
  </si>
  <si>
    <t xml:space="preserve">DEMO DATA — illustrative only: a fictional family, fictional securities and figures.</t>
  </si>
  <si>
    <t xml:space="preserve">SETTINGS</t>
  </si>
  <si>
    <t xml:space="preserve">Client / family name</t>
  </si>
  <si>
    <t xml:space="preserve">Malhotra Family Office (DEMO)</t>
  </si>
  <si>
    <t xml:space="preserve">Printed at the top of every view.</t>
  </si>
  <si>
    <t xml:space="preserve">Valuation date</t>
  </si>
  <si>
    <t xml:space="preserve">The date the market values are struck at.</t>
  </si>
  <si>
    <t xml:space="preserve">Previous valuation date</t>
  </si>
  <si>
    <t xml:space="preserve">Start of the window the Period Change view measures.</t>
  </si>
  <si>
    <t xml:space="preserve">Show figures in</t>
  </si>
  <si>
    <t xml:space="preserve">₹ Crore</t>
  </si>
  <si>
    <t xml:space="preserve">₹ Crore, ₹ Lakh or ₹. The registers always hold full rupees.</t>
  </si>
  <si>
    <t xml:space="preserve">Divide ₹ by</t>
  </si>
  <si>
    <t xml:space="preserve">Set by 'Show figures in'; every view divides by it.</t>
  </si>
  <si>
    <t xml:space="preserve">Grandfathering date (s.112A)</t>
  </si>
  <si>
    <t xml:space="preserve">Listed equity bought on or before this date is taxed from its FMV on this date.</t>
  </si>
  <si>
    <t xml:space="preserve">Overall status</t>
  </si>
  <si>
    <t xml:space="preserve">WHAT IS IN THIS WORKBOOK — click a name to open it</t>
  </si>
  <si>
    <t xml:space="preserve">View</t>
  </si>
  <si>
    <t xml:space="preserve">What the family owns by asset class and category: cost, value, allocation, gains and returns against the benchmark.</t>
  </si>
  <si>
    <t xml:space="preserve">Stable Growth, Entrepreneurial Growth, Liquidity, Thematic &amp; Tactical against the family's targets.</t>
  </si>
  <si>
    <t xml:space="preserve">Every holding in each basket, largest first, with its return.</t>
  </si>
  <si>
    <t xml:space="preserve">Each entity's money by category, and its share of that entity's portfolio.</t>
  </si>
  <si>
    <t xml:space="preserve">What moved since the previous valuation date: invested, redeemed, market gain, income.</t>
  </si>
  <si>
    <t xml:space="preserve">Capital gains by taxpayer: book and taxable, long- and short-term, grandfathered; lots about to turn long-term.</t>
  </si>
  <si>
    <t xml:space="preserve">Check</t>
  </si>
  <si>
    <t xml:space="preserve">Does everything tie? Every view against the registers, every row check.</t>
  </si>
  <si>
    <t xml:space="preserve">Register</t>
  </si>
  <si>
    <t xml:space="preserve">One row per security per account: the position the views are built from.</t>
  </si>
  <si>
    <t xml:space="preserve">One row per purchase lot: purchase, sale, grandfathering, taxable gain.</t>
  </si>
  <si>
    <t xml:space="preserve">Dated money movements: buys, sells, SIPs, calls, distributions, income.</t>
  </si>
  <si>
    <t xml:space="preserve">Money promised to AIFs and private deals: committed, called, paid, uncalled, TVPI.</t>
  </si>
  <si>
    <t xml:space="preserve">Master data</t>
  </si>
  <si>
    <t xml:space="preserve">The family's taxpayers.</t>
  </si>
  <si>
    <t xml:space="preserve">Where each holding sits, and the date of each provider's statement.</t>
  </si>
  <si>
    <t xml:space="preserve">What each holding is: category, basket, benchmark, price.</t>
  </si>
  <si>
    <t xml:space="preserve">Reference</t>
  </si>
  <si>
    <t xml:space="preserve">The standard classification and every dropdown's values.</t>
  </si>
  <si>
    <t xml:space="preserve">Where each column comes from in the two source formats, and how to convert it.</t>
  </si>
  <si>
    <t xml:space="preserve">HOW TO READ A SHEET</t>
  </si>
  <si>
    <t xml:space="preserve">Typed value</t>
  </si>
  <si>
    <t xml:space="preserve">Yellow cell, blue text: a figure or choice someone types.</t>
  </si>
  <si>
    <t xml:space="preserve">Calculated</t>
  </si>
  <si>
    <t xml:space="preserve">Grey cell, black text: a formula. Do not type over it.</t>
  </si>
  <si>
    <t xml:space="preserve">Header</t>
  </si>
  <si>
    <t xml:space="preserve">Navy: column names. Gold rows on the views are group totals.</t>
  </si>
  <si>
    <t xml:space="preserve">Row check</t>
  </si>
  <si>
    <t xml:space="preserve">Red when a row has a problem; green OK when it ties.</t>
  </si>
  <si>
    <t xml:space="preserve">HOW TO LOAD A NEW CLIENT</t>
  </si>
  <si>
    <t xml:space="preserve">Step 1</t>
  </si>
  <si>
    <t xml:space="preserve">Set the client name, the valuation date and the previous valuation date above.</t>
  </si>
  <si>
    <t xml:space="preserve">Step 2</t>
  </si>
  <si>
    <t xml:space="preserve">Entities: one row per taxpayer. Accounts: one row per demat, PMS, folio, bank account or platform, with its statement date.</t>
  </si>
  <si>
    <t xml:space="preserve">Step 3</t>
  </si>
  <si>
    <t xml:space="preserve">Securities: one row per security or scheme. Pick its category from the dropdown — that sets asset class, basket and benchmark. Type the price at the valuation date.</t>
  </si>
  <si>
    <t xml:space="preserve">Step 4</t>
  </si>
  <si>
    <t xml:space="preserve">Holdings: one row per security per account. Type quantity and invested cost; the market value is quantity × price (or type the statement value in the override column).</t>
  </si>
  <si>
    <t xml:space="preserve">Step 5</t>
  </si>
  <si>
    <t xml:space="preserve">Tax Lots (listed shares and funds): one row per purchase lot, with any sale against it. Leave quantity, cost and realised gain on Holdings equal to the lots' totals.</t>
  </si>
  <si>
    <t xml:space="preserve">Step 6</t>
  </si>
  <si>
    <t xml:space="preserve">Transactions: every dated flow since the previous valuation date, at least. Commitments: every AIF or private deal with a drawdown.</t>
  </si>
  <si>
    <t xml:space="preserve">Step 7</t>
  </si>
  <si>
    <t xml:space="preserve">Open Checks. Every line must read OK before the views are shared. A red row check on a register names the problem on that row.</t>
  </si>
  <si>
    <t xml:space="preserve">Step 8</t>
  </si>
  <si>
    <t xml:space="preserve">Read the views. Change 'Show figures in' to switch between ₹ Crore, ₹ Lakh and ₹.</t>
  </si>
  <si>
    <t xml:space="preserve">Step 9</t>
  </si>
  <si>
    <t xml:space="preserve">Moving from another format? Column Mapping shows where each column comes from.</t>
  </si>
  <si>
    <t xml:space="preserve">CONVENTIONS</t>
  </si>
  <si>
    <t xml:space="preserve">•</t>
  </si>
  <si>
    <t xml:space="preserve">Registers hold full rupees. Views divide by the unit chosen above.</t>
  </si>
  <si>
    <t xml:space="preserve">Dates are real dates (dd-mmm-yyyy), never text. Percentages are fractions (0.125 = 12.5%).</t>
  </si>
  <si>
    <t xml:space="preserve">A blank means 'not reported'; 0 means a measured zero. Never type 0 for a figure you do not have.</t>
  </si>
  <si>
    <t xml:space="preserve">IDs join the sheets: E01 entity, A01 account, S01 security, H001 holding, L001 lot, T001 transaction, C01 commitment. Keep them unique and keep each list without gaps.</t>
  </si>
  <si>
    <t xml:space="preserve">Returns: holdings under a year show an absolute return; a year or more, the XIRR from the statement. Category and portfolio XIRRs are value-weighted and indicative.</t>
  </si>
  <si>
    <t xml:space="preserve">Private equity and pre-IPO shares are shown at cost until a priced round or a listing.</t>
  </si>
  <si>
    <t xml:space="preserve">Store PANs and account numbers masked. This file should never hold a full PAN.</t>
  </si>
  <si>
    <t xml:space="preserve">Category</t>
  </si>
  <si>
    <t xml:space="preserve">Investment date range</t>
  </si>
  <si>
    <t xml:space="preserve">Investment at cost</t>
  </si>
  <si>
    <t xml:space="preserve">Market value</t>
  </si>
  <si>
    <t xml:space="preserve">Allocation (% of portfolio)</t>
  </si>
  <si>
    <t xml:space="preserve">Allocation (% of asset class)</t>
  </si>
  <si>
    <t xml:space="preserve">Dividend / interest</t>
  </si>
  <si>
    <t xml:space="preserve">Gain / (loss) including redeemed</t>
  </si>
  <si>
    <t xml:space="preserve">Gain / (loss) on what is held</t>
  </si>
  <si>
    <t xml:space="preserve">Absolute return (%)</t>
  </si>
  <si>
    <t xml:space="preserve">Annualised return — XIRR (%)</t>
  </si>
  <si>
    <t xml:space="preserve">Portfolio</t>
  </si>
  <si>
    <t xml:space="preserve">Blended index</t>
  </si>
  <si>
    <t xml:space="preserve">Share of value covered</t>
  </si>
  <si>
    <t xml:space="preserve">Total</t>
  </si>
  <si>
    <t xml:space="preserve">Returns: a holding held under a year shows its absolute return; a year or more, the XIRR its statement reports. A category's XIRR is value-weighted across its holdings, so read it as indicative.</t>
  </si>
  <si>
    <t xml:space="preserve">Private equity and pre-IPO shares are shown at cost until a priced round or a listing, so they carry no gain. Cash balances carry no return.</t>
  </si>
  <si>
    <t xml:space="preserve">Blended index: the benchmark return over the holdings that report one — cost-weighted for the absolute return, value-weighted for the XIRR. 'Share of value covered' is the part of the row's value that has an XIRR.</t>
  </si>
  <si>
    <t xml:space="preserve">Gain including redeemed = gain on what is held + realised gain on exits (Holdings). Dividend / interest is what each statement reports as received.</t>
  </si>
  <si>
    <t xml:space="preserve">PRIVATE MARKET COMMITMENTS — AIFs and private deals with a drawdown (first 10 rows of the Commitments sheet; the total covers every row)</t>
  </si>
  <si>
    <t xml:space="preserve">Fund</t>
  </si>
  <si>
    <t xml:space="preserve">Entity</t>
  </si>
  <si>
    <t xml:space="preserve">Committed</t>
  </si>
  <si>
    <t xml:space="preserve">Called to date</t>
  </si>
  <si>
    <t xml:space="preserve">% called</t>
  </si>
  <si>
    <t xml:space="preserve">Paid to date</t>
  </si>
  <si>
    <t xml:space="preserve">Uncalled</t>
  </si>
  <si>
    <t xml:space="preserve">Called, not yet paid</t>
  </si>
  <si>
    <t xml:space="preserve">Distributions received</t>
  </si>
  <si>
    <t xml:space="preserve">Current value</t>
  </si>
  <si>
    <t xml:space="preserve">TVPI (x)</t>
  </si>
  <si>
    <t xml:space="preserve">DPI (x)</t>
  </si>
  <si>
    <t xml:space="preserve">Next call date</t>
  </si>
  <si>
    <t xml:space="preserve">Next call amount</t>
  </si>
  <si>
    <t xml:space="preserve">Total — every commitment</t>
  </si>
  <si>
    <t xml:space="preserve">TVPI = (current value + distributions) ÷ paid; DPI = distributions ÷ paid. The total's next call date is the earliest one. Current value is the Holdings row for the same account and security.</t>
  </si>
  <si>
    <t xml:space="preserve">Basket</t>
  </si>
  <si>
    <t xml:space="preserve">Code</t>
  </si>
  <si>
    <t xml:space="preserve">Market value by asset class</t>
  </si>
  <si>
    <t xml:space="preserve">Basket total</t>
  </si>
  <si>
    <t xml:space="preserve">Actual allocation (%)</t>
  </si>
  <si>
    <t xml:space="preserve">Target allocation (%)</t>
  </si>
  <si>
    <t xml:space="preserve">Gap: actual − target (% points)</t>
  </si>
  <si>
    <t xml:space="preserve">XIRR (%)</t>
  </si>
  <si>
    <t xml:space="preserve">Share of value with an XIRR</t>
  </si>
  <si>
    <t xml:space="preserve">Rebalancing band (± % points)</t>
  </si>
  <si>
    <t xml:space="preserve">A gap inside the band is green; outside it, red. Type the band the family accepts before it rebalances.</t>
  </si>
  <si>
    <t xml:space="preserve">WHAT EACH BASKET HOLDS — the family's own grouping (Lists sheet)</t>
  </si>
  <si>
    <t xml:space="preserve">A security takes its category's default basket (Lists sheet) unless its Securities row overrides it: a direct stock the family treats as core can sit in Stable Growth.</t>
  </si>
  <si>
    <t xml:space="preserve">XIRR is value-weighted over the holdings held a year or more that report one; the last column says how much of the basket's value that covers.</t>
  </si>
  <si>
    <t xml:space="preserve">Basket Detail lists every holding in each basket, largest first.</t>
  </si>
  <si>
    <t xml:space="preserve">Security / product</t>
  </si>
  <si>
    <t xml:space="preserve">Advisor / manager</t>
  </si>
  <si>
    <t xml:space="preserve">First investment</t>
  </si>
  <si>
    <t xml:space="preserve">% of basket</t>
  </si>
  <si>
    <t xml:space="preserve">Return shown</t>
  </si>
  <si>
    <t xml:space="preserve">Return (%)</t>
  </si>
  <si>
    <t xml:space="preserve">Benchmark return (%)</t>
  </si>
  <si>
    <t xml:space="preserve">Alpha (% points)</t>
  </si>
  <si>
    <t xml:space="preserve">Benchmark</t>
  </si>
  <si>
    <t xml:space="preserve">Held under a year</t>
  </si>
  <si>
    <t xml:space="preserve">Shaded rows show the absolute return since the first investment; the others the XIRR the statement reports, against the benchmark's return over the same period.</t>
  </si>
  <si>
    <t xml:space="preserve">A total row shows the basket's XIRR, value-weighted over the holdings that report one; where none does, its absolute return on cost. 'At cost' holdings (private equity, pre-IPO) carry no return until a priced round or a listing, and a holding with no investment date (a bank balance) shows none.</t>
  </si>
  <si>
    <t xml:space="preserve">Family</t>
  </si>
  <si>
    <t xml:space="preserve">Value</t>
  </si>
  <si>
    <t xml:space="preserve">% of theirs</t>
  </si>
  <si>
    <t xml:space="preserve">% of family</t>
  </si>
  <si>
    <t xml:space="preserve">'% of theirs' is the category's share of that entity's own portfolio; on the Total row it is the entity's share of the family. Entities appear in the order of the Entities sheet.</t>
  </si>
  <si>
    <t xml:space="preserve">Money in and out</t>
  </si>
  <si>
    <t xml:space="preserve">Gain in value (market)</t>
  </si>
  <si>
    <t xml:space="preserve">Outside the holding value</t>
  </si>
  <si>
    <t xml:space="preserve">Net gain</t>
  </si>
  <si>
    <t xml:space="preserve">Return for the period (%)</t>
  </si>
  <si>
    <t xml:space="preserve">Transactions in the period</t>
  </si>
  <si>
    <t xml:space="preserve">Invested</t>
  </si>
  <si>
    <t xml:space="preserve">Redeemed / distributed</t>
  </si>
  <si>
    <t xml:space="preserve">Dividend / interest received (gross)</t>
  </si>
  <si>
    <t xml:space="preserve">Fees paid from outside</t>
  </si>
  <si>
    <t xml:space="preserve">How to read a row: value at the start + invested − redeemed or distributed + gain in value = value at the end. Every holding is its own pot; a flow moves money between the family and that pot.</t>
  </si>
  <si>
    <t xml:space="preserve">Dividend and interest are paid out of the holding, so they sit outside its value and are added to the gain (gross, before TDS). Fees charged inside a portfolio are already in its gain in value; fees the family pays from outside are shown separately and taken off.</t>
  </si>
  <si>
    <t xml:space="preserve">Money moved into or out of a bank account listed on Holdings is a Deposit or Withdrawal on that bank row, so it is counted once.</t>
  </si>
  <si>
    <t xml:space="preserve">Return for the period = net gain ÷ (value at the start + half of the money put in less the money taken out, income included) — a Simple Dietz return for this period only, not annualised.</t>
  </si>
  <si>
    <t xml:space="preserve">Values at the start come from each Holdings row's 'Market value at previous date'; transactions count when dated after the previous valuation date and on or before this one.</t>
  </si>
  <si>
    <t xml:space="preserve">Financial year of sale (realised gains)</t>
  </si>
  <si>
    <t xml:space="preserve">2025-26</t>
  </si>
  <si>
    <t xml:space="preserve">Blank = every year. The unrealised columns are always at the valuation date.</t>
  </si>
  <si>
    <t xml:space="preserve">Turning long-term within (days)</t>
  </si>
  <si>
    <t xml:space="preserve">Lists the lots whose long-term date falls within this many days of the valuation date.</t>
  </si>
  <si>
    <t xml:space="preserve">CAPITAL GAINS BY TAXPAYER — from the Tax Lots sheet</t>
  </si>
  <si>
    <t xml:space="preserve">Taxpayer</t>
  </si>
  <si>
    <t xml:space="preserve">Lots on file</t>
  </si>
  <si>
    <t xml:space="preserve">Unrealised — book profit</t>
  </si>
  <si>
    <t xml:space="preserve">Unrealised — taxable gain</t>
  </si>
  <si>
    <t xml:space="preserve">Dividend on lots (DPS × closing qty)</t>
  </si>
  <si>
    <t xml:space="preserve">Turning long-term soon</t>
  </si>
  <si>
    <t xml:space="preserve">Short term</t>
  </si>
  <si>
    <t xml:space="preserve">Long term</t>
  </si>
  <si>
    <t xml:space="preserve">Lots</t>
  </si>
  <si>
    <t xml:space="preserve">Unrealised taxable gain</t>
  </si>
  <si>
    <t xml:space="preserve">Total — every lot</t>
  </si>
  <si>
    <t xml:space="preserve">Security</t>
  </si>
  <si>
    <t xml:space="preserve">Lot</t>
  </si>
  <si>
    <t xml:space="preserve">Purchase date</t>
  </si>
  <si>
    <t xml:space="preserve">Closing quantity</t>
  </si>
  <si>
    <t xml:space="preserve">Becomes long-term on</t>
  </si>
  <si>
    <t xml:space="preserve">Days left</t>
  </si>
  <si>
    <t xml:space="preserve">Book profit = sale (or market) value less purchase cost. Taxable gain uses the grandfathered cost for listed equity bought on or before 31-Jan-2018 (s.112A): the higher of the purchase price and the lower of the 31-Jan-2018 FMV and the sale (or market) price.</t>
  </si>
  <si>
    <t xml:space="preserve">Long-term after 12 months for listed shares, equity funds and listed units; after 24 months for unlisted shares and AIF units (Finance (No. 2) Act 2024). Debt funds bought from 1-Apr-2023 and market-linked debentures are never long-term (s.50AA). Each category's threshold is on the Lists sheet.</t>
  </si>
  <si>
    <t xml:space="preserve">No tax rate, surcharge, cess or the ₹1.25 lakh long-term exemption is applied: these are gains, not tax. Setting off losses is left to the tax adviser.</t>
  </si>
  <si>
    <t xml:space="preserve">Dividend on lots = the dividend per share typed on each lot × its closing quantity: an estimate for the current year, not what was received.</t>
  </si>
  <si>
    <t xml:space="preserve">Only the Tax Lots sheet feeds this view. A PMS or AIF reports its own capital gains on the manager's statement; they are not lots here.</t>
  </si>
  <si>
    <t xml:space="preserve">Lines</t>
  </si>
  <si>
    <t xml:space="preserve">#</t>
  </si>
  <si>
    <t xml:space="preserve">Area</t>
  </si>
  <si>
    <t xml:space="preserve">Result</t>
  </si>
  <si>
    <t xml:space="preserve">Status</t>
  </si>
  <si>
    <t xml:space="preserve">What to do</t>
  </si>
  <si>
    <t xml:space="preserve">The valuation date is later than the previous valuation date.</t>
  </si>
  <si>
    <t xml:space="preserve">Type both dates on Start Here. Period Change counts the flows between them.</t>
  </si>
  <si>
    <t xml:space="preserve">'Show figures in' is one of the units on the Lists sheet.</t>
  </si>
  <si>
    <t xml:space="preserve">Pick the unit from the drop-down on Start Here.</t>
  </si>
  <si>
    <t xml:space="preserve">The tax year on Tax Summary is one of the years on the Lists sheet.</t>
  </si>
  <si>
    <t xml:space="preserve">Pick the year from the drop-down on Tax Summary, or leave it blank for every year.</t>
  </si>
  <si>
    <t xml:space="preserve">The grandfathering date is 31-Jan-2018, the date the Finance Act 2018 fixes.</t>
  </si>
  <si>
    <t xml:space="preserve">Put 31-Jan-2018 back on Start Here; Tax Lots grandfathers cost to the price on that date.</t>
  </si>
  <si>
    <t xml:space="preserve">REGISTERS — every row's own check</t>
  </si>
  <si>
    <t xml:space="preserve">Every row on Entities passes its row check.</t>
  </si>
  <si>
    <t xml:space="preserve">Filter the Row check column on Entities for anything but OK; each message names the problem on that row.</t>
  </si>
  <si>
    <t xml:space="preserve">Every row on Accounts passes its row check.</t>
  </si>
  <si>
    <t xml:space="preserve">Filter the Row check column on Accounts for anything but OK; each message names the problem on that row.</t>
  </si>
  <si>
    <t xml:space="preserve">Every row on Securities passes its row check.</t>
  </si>
  <si>
    <t xml:space="preserve">Filter the Row check column on Securities for anything but OK; each message names the problem on that row.</t>
  </si>
  <si>
    <t xml:space="preserve">Every row on Holdings passes its row check.</t>
  </si>
  <si>
    <t xml:space="preserve">Filter the Row check column on Holdings for anything but OK; each message names the problem on that row.</t>
  </si>
  <si>
    <t xml:space="preserve">Every row on Tax Lots passes its row check.</t>
  </si>
  <si>
    <t xml:space="preserve">Filter the Row check column on Tax Lots for anything but OK; each message names the problem on that row.</t>
  </si>
  <si>
    <t xml:space="preserve">Every row on Transactions passes its row check.</t>
  </si>
  <si>
    <t xml:space="preserve">Filter the Row check column on Transactions for anything but OK; each message names the problem on that row.</t>
  </si>
  <si>
    <t xml:space="preserve">Every row on Commitments passes its row check.</t>
  </si>
  <si>
    <t xml:space="preserve">Filter the Row check column on Commitments for anything but OK; each message names the problem on that row.</t>
  </si>
  <si>
    <t xml:space="preserve">VIEWS — each view adds up to its own total</t>
  </si>
  <si>
    <t xml:space="preserve">Category rows add to the Total row: cost, market value, income, gain incl. redeemed and gain on holdings.</t>
  </si>
  <si>
    <t xml:space="preserve">Look for a holding with no category, asset class or basket; its row check on Holdings says which.</t>
  </si>
  <si>
    <t xml:space="preserve">Asset-class rows add to the Total row, in the same five columns.</t>
  </si>
  <si>
    <t xml:space="preserve">Basket rows add to the Total row: market value, cost and gain.</t>
  </si>
  <si>
    <t xml:space="preserve">Each basket's asset-class columns add to its own total.</t>
  </si>
  <si>
    <t xml:space="preserve">The target weights add to 100%.</t>
  </si>
  <si>
    <t xml:space="preserve">Type the family's target for each basket on Basket Allocation; together they make 100%.</t>
  </si>
  <si>
    <t xml:space="preserve">Each basket's total on Basket Detail equals its row on Basket Allocation (cost and market value).</t>
  </si>
  <si>
    <t xml:space="preserve">A basket code was renamed on the Lists sheet but not on Holdings or Securities.</t>
  </si>
  <si>
    <t xml:space="preserve">The holdings listed under each basket add to its total (a basket with more than 15 holdings is listed in part and counted under Capacity).</t>
  </si>
  <si>
    <t xml:space="preserve">The entity columns add to the Family total.</t>
  </si>
  <si>
    <t xml:space="preserve">Each entity's category rows, and its asset-class rows, add to its own total.</t>
  </si>
  <si>
    <t xml:space="preserve">The Family column's category rows, and its asset-class rows, add to its total.</t>
  </si>
  <si>
    <t xml:space="preserve">Category rows add to the Total row: start value, invested, redeemed, end value, income and fees.</t>
  </si>
  <si>
    <t xml:space="preserve">Asset-class rows add to the Total row, in the same six columns.</t>
  </si>
  <si>
    <t xml:space="preserve">The count of holdings adds up, by category and by asset class.</t>
  </si>
  <si>
    <t xml:space="preserve">Each taxpayer's gains, tax costs, dividends and near-term tax add to the Total row.</t>
  </si>
  <si>
    <t xml:space="preserve">The counts of lots, and of lots turning long-term soon, add to the Total row.</t>
  </si>
  <si>
    <t xml:space="preserve">DATA — what is missing or out of date</t>
  </si>
  <si>
    <t xml:space="preserve">Every holding held at the previous valuation date has its value on that date.</t>
  </si>
  <si>
    <t xml:space="preserve">Type the previous statement's value on Holdings. Without it Period Change counts the whole value as gain.</t>
  </si>
  <si>
    <t xml:space="preserve">Every holding with a return shown as XIRR has its XIRR typed.</t>
  </si>
  <si>
    <t xml:space="preserve">Type the XIRR from the statement, or leave it: the view falls back to the absolute return.</t>
  </si>
  <si>
    <t xml:space="preserve">Every holding has a first investment date.</t>
  </si>
  <si>
    <t xml:space="preserve">A bank balance needs none. For anything else type the first purchase date on Holdings.</t>
  </si>
  <si>
    <t xml:space="preserve">Every account's statement is dated at the valuation date.</t>
  </si>
  <si>
    <t xml:space="preserve">Their values are as of their own date. Load the latest statement when it arrives.</t>
  </si>
  <si>
    <t xml:space="preserve">Every price is dated at the valuation date.</t>
  </si>
  <si>
    <t xml:space="preserve">Usually a fund that reports monthly or quarterly. Update the price when it is published.</t>
  </si>
  <si>
    <t xml:space="preserve">Transactions dated on or before the previous valuation date.</t>
  </si>
  <si>
    <t xml:space="preserve">Nothing to do; Period Change counts only the flows after the previous valuation date.</t>
  </si>
  <si>
    <t xml:space="preserve">Money called and not yet paid.</t>
  </si>
  <si>
    <t xml:space="preserve">Pay the call, or type the payment on Commitments once it is made.</t>
  </si>
  <si>
    <t xml:space="preserve">Lots turning long-term soon.</t>
  </si>
  <si>
    <t xml:space="preserve">Selling one before its long-term date is taxed as short-term.</t>
  </si>
  <si>
    <t xml:space="preserve">CAPACITY — rows the views have room for</t>
  </si>
  <si>
    <t xml:space="preserve">Baskets beyond the 4 the basket views show.</t>
  </si>
  <si>
    <t xml:space="preserve">Add rows to the view by copying its last row down, then widen this check.</t>
  </si>
  <si>
    <t xml:space="preserve">Entities beyond the 8 columns on Investor Summary.</t>
  </si>
  <si>
    <t xml:space="preserve">Commitments beyond the 10 the Portfolio Allocation block lists.</t>
  </si>
  <si>
    <t xml:space="preserve">Baskets holding more than the 15 rows Basket Detail lists.</t>
  </si>
  <si>
    <t xml:space="preserve">Categories beyond the 19 the views show.</t>
  </si>
  <si>
    <t xml:space="preserve">Asset classes beyond the 4 the views show.</t>
  </si>
  <si>
    <t xml:space="preserve">Registers 90% or more full.</t>
  </si>
  <si>
    <t xml:space="preserve">Insert rows above a register's last row, so every formula's range grows with it, and copy the formulas down.</t>
  </si>
  <si>
    <t xml:space="preserve">OK: ties · ERROR: fix before the views are shared · INFO: worth reading, not wrong by itself. Money ties within ₹1; counts exactly.</t>
  </si>
  <si>
    <t xml:space="preserve">Holdings — one row per security per account</t>
  </si>
  <si>
    <t xml:space="preserve">Type quantity and invested cost; market value is quantity × the price on Securities (or the override, for a statement value). Where the security has tax lots, quantity, cost and realised gain equal the lots' totals.</t>
  </si>
  <si>
    <t xml:space="preserve">Total of visible rows →</t>
  </si>
  <si>
    <t xml:space="preserve">IDS — typed</t>
  </si>
  <si>
    <t xml:space="preserve">FROM THE MASTER DATA</t>
  </si>
  <si>
    <t xml:space="preserve">POSITION</t>
  </si>
  <si>
    <t xml:space="preserve">GAIN</t>
  </si>
  <si>
    <t xml:space="preserve">INCOME AND EXITS</t>
  </si>
  <si>
    <t xml:space="preserve">RETURNS AND ALLOCATION</t>
  </si>
  <si>
    <t xml:space="preserve">PREVIOUS VALUE AND SOURCE</t>
  </si>
  <si>
    <t xml:space="preserve">CHECKS</t>
  </si>
  <si>
    <t xml:space="preserve">Holding ID</t>
  </si>
  <si>
    <t xml:space="preserve">Account ID</t>
  </si>
  <si>
    <t xml:space="preserve">Security ID</t>
  </si>
  <si>
    <t xml:space="preserve">Asset class</t>
  </si>
  <si>
    <t xml:space="preserve">First investment date</t>
  </si>
  <si>
    <t xml:space="preserve">Last investment date</t>
  </si>
  <si>
    <t xml:space="preserve">Quantity / units</t>
  </si>
  <si>
    <t xml:space="preserve">Invested cost (₹)</t>
  </si>
  <si>
    <t xml:space="preserve">Average cost (₹ per unit)</t>
  </si>
  <si>
    <t xml:space="preserve">Price (₹ per unit)</t>
  </si>
  <si>
    <t xml:space="preserve">Valuation basis</t>
  </si>
  <si>
    <t xml:space="preserve">Market value override (₹)</t>
  </si>
  <si>
    <t xml:space="preserve">Market value (₹)</t>
  </si>
  <si>
    <t xml:space="preserve">Unrealised gain (₹)</t>
  </si>
  <si>
    <t xml:space="preserve">Dividend / interest received (₹)</t>
  </si>
  <si>
    <t xml:space="preserve">Realised gain on exits (₹)</t>
  </si>
  <si>
    <t xml:space="preserve">Scheme XIRR (%)</t>
  </si>
  <si>
    <t xml:space="preserve">Benchmark absolute (%)</t>
  </si>
  <si>
    <t xml:space="preserve">Benchmark XIRR (%)</t>
  </si>
  <si>
    <t xml:space="preserve">Alpha (XIRR, % pts)</t>
  </si>
  <si>
    <t xml:space="preserve">Market value at previous date (₹)</t>
  </si>
  <si>
    <t xml:space="preserve">Statement date</t>
  </si>
  <si>
    <t xml:space="preserve">Source document / notes</t>
  </si>
  <si>
    <t xml:space="preserve">Tax lots: closing quantity</t>
  </si>
  <si>
    <t xml:space="preserve">helper: account row</t>
  </si>
  <si>
    <t xml:space="preserve">helper: security row</t>
  </si>
  <si>
    <t xml:space="preserve">helper: entity ID</t>
  </si>
  <si>
    <t xml:space="preserve">helper: basket rank key</t>
  </si>
  <si>
    <t xml:space="preserve">helper: MV x XIRR (XIRR set)</t>
  </si>
  <si>
    <t xml:space="preserve">helper: MV in the XIRR set</t>
  </si>
  <si>
    <t xml:space="preserve">helper: MV x bench XIRR (XIRR set)</t>
  </si>
  <si>
    <t xml:space="preserve">helper: cost x bench abs</t>
  </si>
  <si>
    <t xml:space="preserve">helper: cost with bench abs</t>
  </si>
  <si>
    <t xml:space="preserve">H001</t>
  </si>
  <si>
    <t xml:space="preserve">A01</t>
  </si>
  <si>
    <t xml:space="preserve">S01</t>
  </si>
  <si>
    <t xml:space="preserve">Demat holding statement</t>
  </si>
  <si>
    <t xml:space="preserve">H002</t>
  </si>
  <si>
    <t xml:space="preserve">S02</t>
  </si>
  <si>
    <t xml:space="preserve">H003</t>
  </si>
  <si>
    <t xml:space="preserve">S03</t>
  </si>
  <si>
    <t xml:space="preserve">H004</t>
  </si>
  <si>
    <t xml:space="preserve">A02</t>
  </si>
  <si>
    <t xml:space="preserve">S09</t>
  </si>
  <si>
    <t xml:space="preserve">PMS quarterly statement</t>
  </si>
  <si>
    <t xml:space="preserve">H005</t>
  </si>
  <si>
    <t xml:space="preserve">A09</t>
  </si>
  <si>
    <t xml:space="preserve">S19</t>
  </si>
  <si>
    <t xml:space="preserve">Share certificates; shareholders' agreement on file</t>
  </si>
  <si>
    <t xml:space="preserve">H006</t>
  </si>
  <si>
    <t xml:space="preserve">A03</t>
  </si>
  <si>
    <t xml:space="preserve">S06</t>
  </si>
  <si>
    <t xml:space="preserve">Consolidated account statement</t>
  </si>
  <si>
    <t xml:space="preserve">H007</t>
  </si>
  <si>
    <t xml:space="preserve">S07</t>
  </si>
  <si>
    <t xml:space="preserve">H008</t>
  </si>
  <si>
    <t xml:space="preserve">S08</t>
  </si>
  <si>
    <t xml:space="preserve">H009</t>
  </si>
  <si>
    <t xml:space="preserve">A04</t>
  </si>
  <si>
    <t xml:space="preserve">S04</t>
  </si>
  <si>
    <t xml:space="preserve">H010</t>
  </si>
  <si>
    <t xml:space="preserve">S05</t>
  </si>
  <si>
    <t xml:space="preserve">H011</t>
  </si>
  <si>
    <t xml:space="preserve">S11</t>
  </si>
  <si>
    <t xml:space="preserve">H012</t>
  </si>
  <si>
    <t xml:space="preserve">A05</t>
  </si>
  <si>
    <t xml:space="preserve">S10</t>
  </si>
  <si>
    <t xml:space="preserve">Fund account statement</t>
  </si>
  <si>
    <t xml:space="preserve">H013</t>
  </si>
  <si>
    <t xml:space="preserve">A10</t>
  </si>
  <si>
    <t xml:space="preserve">S13</t>
  </si>
  <si>
    <t xml:space="preserve">H014</t>
  </si>
  <si>
    <t xml:space="preserve">S12</t>
  </si>
  <si>
    <t xml:space="preserve">H015</t>
  </si>
  <si>
    <t xml:space="preserve">A06</t>
  </si>
  <si>
    <t xml:space="preserve">S18</t>
  </si>
  <si>
    <t xml:space="preserve">Fund statement 31-Mar-2026 (NAV); units include call notice 6 of 22-Apr-2026</t>
  </si>
  <si>
    <t xml:space="preserve">H016</t>
  </si>
  <si>
    <t xml:space="preserve">A08</t>
  </si>
  <si>
    <t xml:space="preserve">S17</t>
  </si>
  <si>
    <t xml:space="preserve">Platform holding statement</t>
  </si>
  <si>
    <t xml:space="preserve">H017</t>
  </si>
  <si>
    <t xml:space="preserve">S14</t>
  </si>
  <si>
    <t xml:space="preserve">H018</t>
  </si>
  <si>
    <t xml:space="preserve">S16</t>
  </si>
  <si>
    <t xml:space="preserve">H019</t>
  </si>
  <si>
    <t xml:space="preserve">S21</t>
  </si>
  <si>
    <t xml:space="preserve">H020</t>
  </si>
  <si>
    <t xml:space="preserve">A07</t>
  </si>
  <si>
    <t xml:space="preserve">S15</t>
  </si>
  <si>
    <t xml:space="preserve">Bank statement</t>
  </si>
  <si>
    <t xml:space="preserve">H021</t>
  </si>
  <si>
    <t xml:space="preserve">A13</t>
  </si>
  <si>
    <t xml:space="preserve">S20</t>
  </si>
  <si>
    <t xml:space="preserve">H022</t>
  </si>
  <si>
    <t xml:space="preserve">A11</t>
  </si>
  <si>
    <t xml:space="preserve">H023</t>
  </si>
  <si>
    <t xml:space="preserve">A12</t>
  </si>
  <si>
    <t xml:space="preserve">S22</t>
  </si>
  <si>
    <t xml:space="preserve">Fund statement 31-Mar-2026 (NAV); units include call notice 2 of 20-May-2026</t>
  </si>
  <si>
    <t xml:space="preserve">Tax Lots — one row per purchase lot</t>
  </si>
  <si>
    <t xml:space="preserve">Type the purchase and any sale against it. Holding period, long-term status, grandfathering (s.112A) and the taxable gain are calculated; no tax rate is applied. A partly sold lot stays on one row: its closing quantity is what is left.</t>
  </si>
  <si>
    <t xml:space="preserve">LOT</t>
  </si>
  <si>
    <t xml:space="preserve">PURCHASE</t>
  </si>
  <si>
    <t xml:space="preserve">SALE</t>
  </si>
  <si>
    <t xml:space="preserve">CLOSING POSITION</t>
  </si>
  <si>
    <t xml:space="preserve">HOLDING PERIOD</t>
  </si>
  <si>
    <t xml:space="preserve">GRANDFATHERING (s.112A)</t>
  </si>
  <si>
    <t xml:space="preserve">PROFIT — BOOK AND TAXABLE</t>
  </si>
  <si>
    <t xml:space="preserve">LONG-TERM TIMING</t>
  </si>
  <si>
    <t xml:space="preserve">DIVIDEND AND YEAR</t>
  </si>
  <si>
    <t xml:space="preserve">NOTES AND CHECK</t>
  </si>
  <si>
    <t xml:space="preserve">Lot ID</t>
  </si>
  <si>
    <t xml:space="preserve">Entity (taxpayer)</t>
  </si>
  <si>
    <t xml:space="preserve">ISIN</t>
  </si>
  <si>
    <t xml:space="preserve">Purchase quantity</t>
  </si>
  <si>
    <t xml:space="preserve">Purchase rate (₹)</t>
  </si>
  <si>
    <t xml:space="preserve">Purchase amount (₹)</t>
  </si>
  <si>
    <t xml:space="preserve">Sale date</t>
  </si>
  <si>
    <t xml:space="preserve">Sale quantity</t>
  </si>
  <si>
    <t xml:space="preserve">Sale rate (₹)</t>
  </si>
  <si>
    <t xml:space="preserve">Sale amount (₹)</t>
  </si>
  <si>
    <t xml:space="preserve">Closing cost (₹)</t>
  </si>
  <si>
    <t xml:space="preserve">Market rate (₹)</t>
  </si>
  <si>
    <t xml:space="preserve">Days held (realised)</t>
  </si>
  <si>
    <t xml:space="preserve">Term (realised)</t>
  </si>
  <si>
    <t xml:space="preserve">Days held (unrealised)</t>
  </si>
  <si>
    <t xml:space="preserve">Term (unrealised)</t>
  </si>
  <si>
    <t xml:space="preserve">Long-term after (days)</t>
  </si>
  <si>
    <t xml:space="preserve">FMV on 31-Jan-2018 (₹)</t>
  </si>
  <si>
    <t xml:space="preserve">Grandfathering eligible</t>
  </si>
  <si>
    <t xml:space="preserve">Realised book profit (₹)</t>
  </si>
  <si>
    <t xml:space="preserve">Unrealised book profit (₹)</t>
  </si>
  <si>
    <t xml:space="preserve">Tax cost per unit — realised (₹)</t>
  </si>
  <si>
    <t xml:space="preserve">Taxable gain — realised (₹)</t>
  </si>
  <si>
    <t xml:space="preserve">Tax cost per unit — unrealised (₹)</t>
  </si>
  <si>
    <t xml:space="preserve">Taxable gain — unrealised (₹)</t>
  </si>
  <si>
    <t xml:space="preserve">Days left to become long-term</t>
  </si>
  <si>
    <t xml:space="preserve">Dividend per share, current FY (₹)</t>
  </si>
  <si>
    <t xml:space="preserve">Dividend (₹) = DPS x closing qty</t>
  </si>
  <si>
    <t xml:space="preserve">FY of sale</t>
  </si>
  <si>
    <t xml:space="preserve">Notes</t>
  </si>
  <si>
    <t xml:space="preserve">helper: turns long-term soon</t>
  </si>
  <si>
    <t xml:space="preserve">helper: soon rank</t>
  </si>
  <si>
    <t xml:space="preserve">L001</t>
  </si>
  <si>
    <t xml:space="preserve">L002</t>
  </si>
  <si>
    <t xml:space="preserve">L003</t>
  </si>
  <si>
    <t xml:space="preserve">L004</t>
  </si>
  <si>
    <t xml:space="preserve">L005</t>
  </si>
  <si>
    <t xml:space="preserve">L006</t>
  </si>
  <si>
    <t xml:space="preserve">L007</t>
  </si>
  <si>
    <t xml:space="preserve">L008</t>
  </si>
  <si>
    <t xml:space="preserve">L009</t>
  </si>
  <si>
    <t xml:space="preserve">Transactions — dated money movements</t>
  </si>
  <si>
    <t xml:space="preserve">One row per buy, sell, SIP, capital call, distribution, dividend, interest, fee, deposit or withdrawal. Type the amount as a positive number: its type decides whether it is money out of or into the family. Charges and TDS go in their own column. Money moved into or out of a bank account listed on Holdings is a Deposit or Withdrawal on that bank row.</t>
  </si>
  <si>
    <t xml:space="preserve">IDS AND DATE — typed</t>
  </si>
  <si>
    <t xml:space="preserve">THE MOVEMENT — typed</t>
  </si>
  <si>
    <t xml:space="preserve">CASH TO THE FAMILY</t>
  </si>
  <si>
    <t xml:space="preserve">Txn ID</t>
  </si>
  <si>
    <t xml:space="preserve">Date</t>
  </si>
  <si>
    <t xml:space="preserve">Type</t>
  </si>
  <si>
    <t xml:space="preserve">Gross amount (₹)</t>
  </si>
  <si>
    <t xml:space="preserve">Charges / TDS (₹)</t>
  </si>
  <si>
    <t xml:space="preserve">Net cash flow to family (₹)</t>
  </si>
  <si>
    <t xml:space="preserve">Counts as</t>
  </si>
  <si>
    <t xml:space="preserve">helper: type row</t>
  </si>
  <si>
    <t xml:space="preserve">T001</t>
  </si>
  <si>
    <t xml:space="preserve">Sell</t>
  </si>
  <si>
    <t xml:space="preserve">Against lot L001</t>
  </si>
  <si>
    <t xml:space="preserve">T002</t>
  </si>
  <si>
    <t xml:space="preserve">Buy</t>
  </si>
  <si>
    <t xml:space="preserve">Lot L002</t>
  </si>
  <si>
    <t xml:space="preserve">T003</t>
  </si>
  <si>
    <t xml:space="preserve">Against lot L003</t>
  </si>
  <si>
    <t xml:space="preserve">T004</t>
  </si>
  <si>
    <t xml:space="preserve">Lot L005</t>
  </si>
  <si>
    <t xml:space="preserve">T005</t>
  </si>
  <si>
    <t xml:space="preserve">Lot L006</t>
  </si>
  <si>
    <t xml:space="preserve">T006</t>
  </si>
  <si>
    <t xml:space="preserve">Against lot L007</t>
  </si>
  <si>
    <t xml:space="preserve">T007</t>
  </si>
  <si>
    <t xml:space="preserve">Redemption</t>
  </si>
  <si>
    <t xml:space="preserve">Against lot L008</t>
  </si>
  <si>
    <t xml:space="preserve">T008</t>
  </si>
  <si>
    <t xml:space="preserve">SIP</t>
  </si>
  <si>
    <t xml:space="preserve">Monthly SIP</t>
  </si>
  <si>
    <t xml:space="preserve">T009</t>
  </si>
  <si>
    <t xml:space="preserve">T010</t>
  </si>
  <si>
    <t xml:space="preserve">T011</t>
  </si>
  <si>
    <t xml:space="preserve">Capital Call</t>
  </si>
  <si>
    <t xml:space="preserve">Drawdown notice 6</t>
  </si>
  <si>
    <t xml:space="preserve">T012</t>
  </si>
  <si>
    <t xml:space="preserve">Distribution</t>
  </si>
  <si>
    <t xml:space="preserve">Partial exit from a portfolio company</t>
  </si>
  <si>
    <t xml:space="preserve">T013</t>
  </si>
  <si>
    <t xml:space="preserve">Interest</t>
  </si>
  <si>
    <t xml:space="preserve">Half-yearly coupon; TDS 10%</t>
  </si>
  <si>
    <t xml:space="preserve">T014</t>
  </si>
  <si>
    <t xml:space="preserve">Dividend</t>
  </si>
  <si>
    <t xml:space="preserve">InvIT distribution</t>
  </si>
  <si>
    <t xml:space="preserve">T015</t>
  </si>
  <si>
    <t xml:space="preserve">Additional subscription</t>
  </si>
  <si>
    <t xml:space="preserve">T016</t>
  </si>
  <si>
    <t xml:space="preserve">T017</t>
  </si>
  <si>
    <t xml:space="preserve">Fees / Charges</t>
  </si>
  <si>
    <t xml:space="preserve">Quarterly management fee; invoiced and paid from outside the portfolio</t>
  </si>
  <si>
    <t xml:space="preserve">T018</t>
  </si>
  <si>
    <t xml:space="preserve">Final dividend; TDS 10%</t>
  </si>
  <si>
    <t xml:space="preserve">T019</t>
  </si>
  <si>
    <t xml:space="preserve">T020</t>
  </si>
  <si>
    <t xml:space="preserve">Lot L009</t>
  </si>
  <si>
    <t xml:space="preserve">T021</t>
  </si>
  <si>
    <t xml:space="preserve">Drawdown notice 2</t>
  </si>
  <si>
    <t xml:space="preserve">T022</t>
  </si>
  <si>
    <t xml:space="preserve">Against lot L009 (short-term)</t>
  </si>
  <si>
    <t xml:space="preserve">Commitments — money promised to AIFs and private deals</t>
  </si>
  <si>
    <t xml:space="preserve">One row per commitment. Type what was committed, called, paid and distributed to date; uncalled, TVPI and DPI are calculated, and the current value comes from the Holdings row for the same account and security.</t>
  </si>
  <si>
    <t xml:space="preserve">COMMITMENT — typed</t>
  </si>
  <si>
    <t xml:space="preserve">WHERE IT STANDS</t>
  </si>
  <si>
    <t xml:space="preserve">NEXT CALL — typed</t>
  </si>
  <si>
    <t xml:space="preserve">Commitment ID</t>
  </si>
  <si>
    <t xml:space="preserve">Commitment date</t>
  </si>
  <si>
    <t xml:space="preserve">Committed (₹)</t>
  </si>
  <si>
    <t xml:space="preserve">Called to date (₹)</t>
  </si>
  <si>
    <t xml:space="preserve">Paid to date (₹)</t>
  </si>
  <si>
    <t xml:space="preserve">Distributions received (₹)</t>
  </si>
  <si>
    <t xml:space="preserve">Uncalled — still to be asked (₹)</t>
  </si>
  <si>
    <t xml:space="preserve">Called, not yet paid (₹)</t>
  </si>
  <si>
    <t xml:space="preserve">% of commitment called</t>
  </si>
  <si>
    <t xml:space="preserve">Current value (₹, from Holdings)</t>
  </si>
  <si>
    <t xml:space="preserve">Next call amount (₹)</t>
  </si>
  <si>
    <t xml:space="preserve">C01</t>
  </si>
  <si>
    <t xml:space="preserve">Drawdown notice expected in Q2 FY27</t>
  </si>
  <si>
    <t xml:space="preserve">C02</t>
  </si>
  <si>
    <t xml:space="preserve">Tranche 3 on the product milestone</t>
  </si>
  <si>
    <t xml:space="preserve">C03</t>
  </si>
  <si>
    <t xml:space="preserve">Fully paid at allotment</t>
  </si>
  <si>
    <t xml:space="preserve">C04</t>
  </si>
  <si>
    <t xml:space="preserve">₹25 L called 20-Jun-2026 is payable by 15-Jul-2026 (see 'Called, not yet paid'); the next call is expected in October</t>
  </si>
  <si>
    <t xml:space="preserve">Entities — the family's taxpayers</t>
  </si>
  <si>
    <t xml:space="preserve">One row per person, HUF, trust, company or LLP. The short name heads the Investor Summary columns. Store PANs masked (XXXXX1234X), never in full.</t>
  </si>
  <si>
    <t xml:space="preserve">WHO</t>
  </si>
  <si>
    <t xml:space="preserve">DETAILS</t>
  </si>
  <si>
    <t xml:space="preserve">CHECK</t>
  </si>
  <si>
    <t xml:space="preserve">Entity ID</t>
  </si>
  <si>
    <t xml:space="preserve">Entity name (legal)</t>
  </si>
  <si>
    <t xml:space="preserve">Short name (column headers)</t>
  </si>
  <si>
    <t xml:space="preserve">Entity type</t>
  </si>
  <si>
    <t xml:space="preserve">Relationship / role</t>
  </si>
  <si>
    <t xml:space="preserve">PAN (masked)</t>
  </si>
  <si>
    <t xml:space="preserve">Residential status</t>
  </si>
  <si>
    <t xml:space="preserve">E01</t>
  </si>
  <si>
    <t xml:space="preserve">Rajiv Malhotra</t>
  </si>
  <si>
    <t xml:space="preserve">Rajiv</t>
  </si>
  <si>
    <t xml:space="preserve">Individual</t>
  </si>
  <si>
    <t xml:space="preserve">Head of family</t>
  </si>
  <si>
    <t xml:space="preserve">XXXXX1234X</t>
  </si>
  <si>
    <t xml:space="preserve">Resident</t>
  </si>
  <si>
    <t xml:space="preserve">E02</t>
  </si>
  <si>
    <t xml:space="preserve">Nisha Malhotra</t>
  </si>
  <si>
    <t xml:space="preserve">Nisha</t>
  </si>
  <si>
    <t xml:space="preserve">Spouse</t>
  </si>
  <si>
    <t xml:space="preserve">XXXXX5678X</t>
  </si>
  <si>
    <t xml:space="preserve">E03</t>
  </si>
  <si>
    <t xml:space="preserve">Arjun Malhotra</t>
  </si>
  <si>
    <t xml:space="preserve">Arjun</t>
  </si>
  <si>
    <t xml:space="preserve">Son</t>
  </si>
  <si>
    <t xml:space="preserve">XXXXX9012X</t>
  </si>
  <si>
    <t xml:space="preserve">E04</t>
  </si>
  <si>
    <t xml:space="preserve">Malhotra Family Trust</t>
  </si>
  <si>
    <t xml:space="preserve">Family Trust</t>
  </si>
  <si>
    <t xml:space="preserve">Trust</t>
  </si>
  <si>
    <t xml:space="preserve">Private family trust</t>
  </si>
  <si>
    <t xml:space="preserve">XXXXX3456X</t>
  </si>
  <si>
    <t xml:space="preserve">Trustees: Rajiv and Nisha Malhotra</t>
  </si>
  <si>
    <t xml:space="preserve">E05</t>
  </si>
  <si>
    <t xml:space="preserve">Malhotra Holdings LLP</t>
  </si>
  <si>
    <t xml:space="preserve">Holdings LLP</t>
  </si>
  <si>
    <t xml:space="preserve">LLP</t>
  </si>
  <si>
    <t xml:space="preserve">Family investment LLP</t>
  </si>
  <si>
    <t xml:space="preserve">XXXXX7890X</t>
  </si>
  <si>
    <t xml:space="preserve">Accounts — where each holding sits</t>
  </si>
  <si>
    <t xml:space="preserve">One row per demat, PMS, AIF folio, MF folio, bank account or wealth platform. The as-of date is the date of that provider's latest statement.</t>
  </si>
  <si>
    <t xml:space="preserve">WHOSE</t>
  </si>
  <si>
    <t xml:space="preserve">WHERE IT IS HELD</t>
  </si>
  <si>
    <t xml:space="preserve">STATEMENT</t>
  </si>
  <si>
    <t xml:space="preserve">Account type</t>
  </si>
  <si>
    <t xml:space="preserve">Provider / custodian</t>
  </si>
  <si>
    <t xml:space="preserve">Strategy / scheme / purpose</t>
  </si>
  <si>
    <t xml:space="preserve">Account / folio no. (masked)</t>
  </si>
  <si>
    <t xml:space="preserve">Statement as-of date</t>
  </si>
  <si>
    <t xml:space="preserve">Currency</t>
  </si>
  <si>
    <t xml:space="preserve">helper: entity row</t>
  </si>
  <si>
    <t xml:space="preserve">Demat (Direct)</t>
  </si>
  <si>
    <t xml:space="preserve">Alpha Securities Ltd</t>
  </si>
  <si>
    <t xml:space="preserve">Self-directed</t>
  </si>
  <si>
    <t xml:space="preserve">Direct equity</t>
  </si>
  <si>
    <t xml:space="preserve">XXXX4521</t>
  </si>
  <si>
    <t xml:space="preserve">INR</t>
  </si>
  <si>
    <t xml:space="preserve">PMS</t>
  </si>
  <si>
    <t xml:space="preserve">Banyan Capital Managers</t>
  </si>
  <si>
    <t xml:space="preserve">Banyan Focused Equity</t>
  </si>
  <si>
    <t xml:space="preserve">XXXX7710</t>
  </si>
  <si>
    <t xml:space="preserve">MF Folio / CAS</t>
  </si>
  <si>
    <t xml:space="preserve">Orchid Wealth (consolidated statement)</t>
  </si>
  <si>
    <t xml:space="preserve">Orchid Wealth Advisors</t>
  </si>
  <si>
    <t xml:space="preserve">Mutual funds</t>
  </si>
  <si>
    <t xml:space="preserve">CAS-XXXX0932</t>
  </si>
  <si>
    <t xml:space="preserve">Direct equity and ETFs</t>
  </si>
  <si>
    <t xml:space="preserve">XXXX8830</t>
  </si>
  <si>
    <t xml:space="preserve">AIF Folio</t>
  </si>
  <si>
    <t xml:space="preserve">Cedar Asset Managers</t>
  </si>
  <si>
    <t xml:space="preserve">Cedar India Opportunities Fund (Cat III)</t>
  </si>
  <si>
    <t xml:space="preserve">XXXX1164</t>
  </si>
  <si>
    <t xml:space="preserve">Fernhill Partners</t>
  </si>
  <si>
    <t xml:space="preserve">Fernhill Ventures Fund II (Cat II)</t>
  </si>
  <si>
    <t xml:space="preserve">XXXX2201</t>
  </si>
  <si>
    <t xml:space="preserve">Bank Account</t>
  </si>
  <si>
    <t xml:space="preserve">Meridian Bank</t>
  </si>
  <si>
    <t xml:space="preserve">Operating current account</t>
  </si>
  <si>
    <t xml:space="preserve">XXXX9087</t>
  </si>
  <si>
    <t xml:space="preserve">Wealth Platform</t>
  </si>
  <si>
    <t xml:space="preserve">Granite Wealth Pvt Ltd</t>
  </si>
  <si>
    <t xml:space="preserve">Granite Wealth</t>
  </si>
  <si>
    <t xml:space="preserve">Fixed income, arbitrage and InvIT</t>
  </si>
  <si>
    <t xml:space="preserve">XXXX5512</t>
  </si>
  <si>
    <t xml:space="preserve">Unlisted / Physical</t>
  </si>
  <si>
    <t xml:space="preserve">Held directly (share certificates)</t>
  </si>
  <si>
    <t xml:space="preserve">Unlisted company shares</t>
  </si>
  <si>
    <t xml:space="preserve">On file</t>
  </si>
  <si>
    <t xml:space="preserve">Liquid fund and silver ETF</t>
  </si>
  <si>
    <t xml:space="preserve">XXXX6621</t>
  </si>
  <si>
    <t xml:space="preserve">Treasury liquid fund</t>
  </si>
  <si>
    <t xml:space="preserve">CAS-XXXX0947</t>
  </si>
  <si>
    <t xml:space="preserve">Sahyadri Investment Managers</t>
  </si>
  <si>
    <t xml:space="preserve">Sahyadri Private Credit Fund (Cat II)</t>
  </si>
  <si>
    <t xml:space="preserve">XXXX3308</t>
  </si>
  <si>
    <t xml:space="preserve">Pre-IPO shares</t>
  </si>
  <si>
    <t xml:space="preserve">XXXX7431</t>
  </si>
  <si>
    <t xml:space="preserve">Securities — the master list of what the family holds</t>
  </si>
  <si>
    <t xml:space="preserve">One row per share, scheme, fund, bond or bank balance. Its category decides asset class, basket and benchmark; override basket or benchmark only where the family treats it differently.</t>
  </si>
  <si>
    <t xml:space="preserve">WHAT IT IS</t>
  </si>
  <si>
    <t xml:space="preserve">CLASSIFICATION (from the category, see Lists)</t>
  </si>
  <si>
    <t xml:space="preserve">VALUATION</t>
  </si>
  <si>
    <t xml:space="preserve">Security / scheme name</t>
  </si>
  <si>
    <t xml:space="preserve">NSE symbol / scheme code</t>
  </si>
  <si>
    <t xml:space="preserve">Basket override (optional)</t>
  </si>
  <si>
    <t xml:space="preserve">Sector</t>
  </si>
  <si>
    <t xml:space="preserve">Market cap</t>
  </si>
  <si>
    <t xml:space="preserve">Benchmark override (optional)</t>
  </si>
  <si>
    <t xml:space="preserve">Listed? (Y/N)</t>
  </si>
  <si>
    <t xml:space="preserve">Price at valuation date (₹ per unit)</t>
  </si>
  <si>
    <t xml:space="preserve">Price date</t>
  </si>
  <si>
    <t xml:space="preserve">FMV on 31-Jan-2018 (₹ per unit, grandfathering)</t>
  </si>
  <si>
    <t xml:space="preserve">helper: category row</t>
  </si>
  <si>
    <t xml:space="preserve">Aravali Cements Ltd</t>
  </si>
  <si>
    <t xml:space="preserve">DEMO00000001</t>
  </si>
  <si>
    <t xml:space="preserve">ARAVCEM</t>
  </si>
  <si>
    <t xml:space="preserve">Direct Equity</t>
  </si>
  <si>
    <t xml:space="preserve">Materials</t>
  </si>
  <si>
    <t xml:space="preserve">Mid Cap</t>
  </si>
  <si>
    <t xml:space="preserve">Y</t>
  </si>
  <si>
    <t xml:space="preserve">Market price</t>
  </si>
  <si>
    <t xml:space="preserve">Sahyadri Precision Engineering Ltd</t>
  </si>
  <si>
    <t xml:space="preserve">DEMO00000002</t>
  </si>
  <si>
    <t xml:space="preserve">SAHPREC</t>
  </si>
  <si>
    <t xml:space="preserve">Industrials</t>
  </si>
  <si>
    <t xml:space="preserve">Small Cap</t>
  </si>
  <si>
    <t xml:space="preserve">Coromandel Digital Services Ltd</t>
  </si>
  <si>
    <t xml:space="preserve">DEMO00000003</t>
  </si>
  <si>
    <t xml:space="preserve">CORODIG</t>
  </si>
  <si>
    <t xml:space="preserve">SG</t>
  </si>
  <si>
    <t xml:space="preserve">Information Technology</t>
  </si>
  <si>
    <t xml:space="preserve">Large Cap</t>
  </si>
  <si>
    <t xml:space="preserve">The family treats this as a core holding, so its basket is overridden to SG.</t>
  </si>
  <si>
    <t xml:space="preserve">Deccan Financial Services Ltd</t>
  </si>
  <si>
    <t xml:space="preserve">DEMO00000004</t>
  </si>
  <si>
    <t xml:space="preserve">DECFIN</t>
  </si>
  <si>
    <t xml:space="preserve">Financials</t>
  </si>
  <si>
    <t xml:space="preserve">Eastern Speciality Chemicals Ltd</t>
  </si>
  <si>
    <t xml:space="preserve">DEMO00000005</t>
  </si>
  <si>
    <t xml:space="preserve">EASTCHEM</t>
  </si>
  <si>
    <t xml:space="preserve">Listed after 31-Jan-2018, so no grandfathering FMV.</t>
  </si>
  <si>
    <t xml:space="preserve">Himalaya Flexi Cap Fund – Direct Growth</t>
  </si>
  <si>
    <t xml:space="preserve">DEMO00000006</t>
  </si>
  <si>
    <t xml:space="preserve">HIMFLX-DG</t>
  </si>
  <si>
    <t xml:space="preserve">Equity MF – Large / Flexi / Multi Cap</t>
  </si>
  <si>
    <t xml:space="preserve">Diversified</t>
  </si>
  <si>
    <t xml:space="preserve">Not applicable</t>
  </si>
  <si>
    <t xml:space="preserve">N</t>
  </si>
  <si>
    <t xml:space="preserve">NAV</t>
  </si>
  <si>
    <t xml:space="preserve">Indus Midcap Opportunities Fund – Direct Growth</t>
  </si>
  <si>
    <t xml:space="preserve">DEMO00000007</t>
  </si>
  <si>
    <t xml:space="preserve">INDMID-DG</t>
  </si>
  <si>
    <t xml:space="preserve">Equity MF – Mid &amp; Small Cap</t>
  </si>
  <si>
    <t xml:space="preserve">Jaipur Balanced Advantage Fund – Direct Growth</t>
  </si>
  <si>
    <t xml:space="preserve">DEMO00000008</t>
  </si>
  <si>
    <t xml:space="preserve">JPRBAF-DG</t>
  </si>
  <si>
    <t xml:space="preserve">Equity MF – Hybrid / BAF</t>
  </si>
  <si>
    <t xml:space="preserve">Banyan Focused Equity Portfolio</t>
  </si>
  <si>
    <t xml:space="preserve">PMS-BANYAN</t>
  </si>
  <si>
    <t xml:space="preserve">PMS – Equity</t>
  </si>
  <si>
    <t xml:space="preserve">Statement value</t>
  </si>
  <si>
    <t xml:space="preserve">Value from the manager's statement; see the PMS's own report for its shares.</t>
  </si>
  <si>
    <t xml:space="preserve">Cedar India Opportunities Fund – Class A</t>
  </si>
  <si>
    <t xml:space="preserve">DEMO00000010</t>
  </si>
  <si>
    <t xml:space="preserve">AIF-CEDAR-A</t>
  </si>
  <si>
    <t xml:space="preserve">AIF Cat III – Listed Equity</t>
  </si>
  <si>
    <t xml:space="preserve">Kaveri Gold ETF</t>
  </si>
  <si>
    <t xml:space="preserve">DEMO00000011</t>
  </si>
  <si>
    <t xml:space="preserve">KAVGOLD</t>
  </si>
  <si>
    <t xml:space="preserve">Gold / Silver (ETF, SGB, FoF)</t>
  </si>
  <si>
    <t xml:space="preserve">Precious metals</t>
  </si>
  <si>
    <t xml:space="preserve">Kaveri Silver ETF</t>
  </si>
  <si>
    <t xml:space="preserve">DEMO00000012</t>
  </si>
  <si>
    <t xml:space="preserve">KAVSILV</t>
  </si>
  <si>
    <t xml:space="preserve">Domestic silver price (MCX)</t>
  </si>
  <si>
    <t xml:space="preserve">Benchmark overridden: silver, not gold.</t>
  </si>
  <si>
    <t xml:space="preserve">Lotus Liquid Fund – Direct Growth</t>
  </si>
  <si>
    <t xml:space="preserve">DEMO00000013</t>
  </si>
  <si>
    <t xml:space="preserve">LOTLIQ-DG</t>
  </si>
  <si>
    <t xml:space="preserve">Liquid / Overnight Fund</t>
  </si>
  <si>
    <t xml:space="preserve">Money market</t>
  </si>
  <si>
    <t xml:space="preserve">Malabar Arbitrage Fund – Direct Growth</t>
  </si>
  <si>
    <t xml:space="preserve">DEMO00000014</t>
  </si>
  <si>
    <t xml:space="preserve">MALARB-DG</t>
  </si>
  <si>
    <t xml:space="preserve">Arbitrage Fund</t>
  </si>
  <si>
    <t xml:space="preserve">Arbitrage</t>
  </si>
  <si>
    <t xml:space="preserve">Meridian Bank – Operating Current Account</t>
  </si>
  <si>
    <t xml:space="preserve">Bank / Cash Balance</t>
  </si>
  <si>
    <t xml:space="preserve">Cash</t>
  </si>
  <si>
    <t xml:space="preserve">Balance as per bank statement.</t>
  </si>
  <si>
    <t xml:space="preserve">Narmada Corporate Bond Fund – Direct Growth</t>
  </si>
  <si>
    <t xml:space="preserve">DEMO00000016</t>
  </si>
  <si>
    <t xml:space="preserve">NARCB-DG</t>
  </si>
  <si>
    <t xml:space="preserve">Debt MF</t>
  </si>
  <si>
    <t xml:space="preserve">Corporate bonds</t>
  </si>
  <si>
    <t xml:space="preserve">Orion Housing Finance 8.60% NCD 2029</t>
  </si>
  <si>
    <t xml:space="preserve">DEMO00000017</t>
  </si>
  <si>
    <t xml:space="preserve">ORIONHF29</t>
  </si>
  <si>
    <t xml:space="preserve">Bonds / NCDs</t>
  </si>
  <si>
    <t xml:space="preserve">Face value ₹1,000; coupon paid half-yearly.</t>
  </si>
  <si>
    <t xml:space="preserve">Fernhill Ventures Fund II – Class A</t>
  </si>
  <si>
    <t xml:space="preserve">DEMO00000018</t>
  </si>
  <si>
    <t xml:space="preserve">AIF-FERN-II</t>
  </si>
  <si>
    <t xml:space="preserve">AIF Cat I / II – PE / VC Fund</t>
  </si>
  <si>
    <t xml:space="preserve">Venture capital</t>
  </si>
  <si>
    <t xml:space="preserve">NAV from the fund's quarterly statement.</t>
  </si>
  <si>
    <t xml:space="preserve">Quill Robotics Pvt Ltd – Series A CCPS</t>
  </si>
  <si>
    <t xml:space="preserve">DEMO00000019</t>
  </si>
  <si>
    <t xml:space="preserve">Private Equity – Unlisted Shares</t>
  </si>
  <si>
    <t xml:space="preserve">Micro / Unlisted</t>
  </si>
  <si>
    <t xml:space="preserve">At cost</t>
  </si>
  <si>
    <t xml:space="preserve">Held at cost until the next priced round.</t>
  </si>
  <si>
    <t xml:space="preserve">Rangoli Foods Pvt Ltd – Equity</t>
  </si>
  <si>
    <t xml:space="preserve">DEMO00000020</t>
  </si>
  <si>
    <t xml:space="preserve">Pre-IPO</t>
  </si>
  <si>
    <t xml:space="preserve">Consumer Staples</t>
  </si>
  <si>
    <t xml:space="preserve">Pre-IPO allotment; at cost until listing.</t>
  </si>
  <si>
    <t xml:space="preserve">Tapti Infrastructure InvIT</t>
  </si>
  <si>
    <t xml:space="preserve">DEMO00000021</t>
  </si>
  <si>
    <t xml:space="preserve">TAPTIINV</t>
  </si>
  <si>
    <t xml:space="preserve">REIT / InvIT</t>
  </si>
  <si>
    <t xml:space="preserve">Infrastructure</t>
  </si>
  <si>
    <t xml:space="preserve">Sahyadri Private Credit Fund – Series I</t>
  </si>
  <si>
    <t xml:space="preserve">DEMO00000022</t>
  </si>
  <si>
    <t xml:space="preserve">AIF-SAHY-I</t>
  </si>
  <si>
    <t xml:space="preserve">AIF Cat II – Private Credit</t>
  </si>
  <si>
    <t xml:space="preserve">Private credit</t>
  </si>
  <si>
    <t xml:space="preserve">Lists — the standard classification and dropdown values</t>
  </si>
  <si>
    <t xml:space="preserve">Every dropdown and lookup in the workbook reads these lists. Blue text may be edited; add a new value at the bottom of its list.</t>
  </si>
  <si>
    <t xml:space="preserve">ASSET CLASSES</t>
  </si>
  <si>
    <t xml:space="preserve">CATEGORIES — each holding's category decides its asset class, basket, long-term threshold and default benchmark</t>
  </si>
  <si>
    <t xml:space="preserve">BASKETS (the family's own grouping)</t>
  </si>
  <si>
    <t xml:space="preserve">ACCOUNT TYPES</t>
  </si>
  <si>
    <t xml:space="preserve">ENTITY TYPES</t>
  </si>
  <si>
    <t xml:space="preserve">RESIDENCY</t>
  </si>
  <si>
    <t xml:space="preserve">VALUATION BASIS</t>
  </si>
  <si>
    <t xml:space="preserve">TRANSACTION TYPES</t>
  </si>
  <si>
    <t xml:space="preserve">DISPLAY UNITS</t>
  </si>
  <si>
    <t xml:space="preserve">YES / NO</t>
  </si>
  <si>
    <t xml:space="preserve">MARKET CAP</t>
  </si>
  <si>
    <t xml:space="preserve">FISCAL YEARS</t>
  </si>
  <si>
    <t xml:space="preserve">Default basket</t>
  </si>
  <si>
    <t xml:space="preserve">Default benchmark</t>
  </si>
  <si>
    <t xml:space="preserve">Tax note</t>
  </si>
  <si>
    <t xml:space="preserve">What goes in it</t>
  </si>
  <si>
    <t xml:space="preserve">Cash sign (family's side)</t>
  </si>
  <si>
    <t xml:space="preserve">Unit</t>
  </si>
  <si>
    <t xml:space="preserve">Suffix</t>
  </si>
  <si>
    <t xml:space="preserve">Y / N</t>
  </si>
  <si>
    <t xml:space="preserve">FY (Apr–Mar)</t>
  </si>
  <si>
    <t xml:space="preserve">Equity</t>
  </si>
  <si>
    <t xml:space="preserve">TT</t>
  </si>
  <si>
    <t xml:space="preserve">Nifty 500 TRI</t>
  </si>
  <si>
    <t xml:space="preserve">Listed shares: long-term after 12 months; grandfathered to 31-Jan-2018 FMV.</t>
  </si>
  <si>
    <t xml:space="preserve">Stable Growth</t>
  </si>
  <si>
    <t xml:space="preserve">Core, long-horizon compounding: diversified funds, PMS, quality debt.</t>
  </si>
  <si>
    <t xml:space="preserve">Investment</t>
  </si>
  <si>
    <t xml:space="preserve">Cr</t>
  </si>
  <si>
    <t xml:space="preserve">2016-17</t>
  </si>
  <si>
    <t xml:space="preserve">Debt</t>
  </si>
  <si>
    <t xml:space="preserve">Equity-oriented fund: long-term after 12 months.</t>
  </si>
  <si>
    <t xml:space="preserve">EG</t>
  </si>
  <si>
    <t xml:space="preserve">Entrepreneurial Growth</t>
  </si>
  <si>
    <t xml:space="preserve">Private equity, venture and pre-IPO: illiquid, high upside.</t>
  </si>
  <si>
    <t xml:space="preserve">HUF</t>
  </si>
  <si>
    <t xml:space="preserve">NRI</t>
  </si>
  <si>
    <t xml:space="preserve">₹ Lakh</t>
  </si>
  <si>
    <t xml:space="preserve">L</t>
  </si>
  <si>
    <t xml:space="preserve">2017-18</t>
  </si>
  <si>
    <t xml:space="preserve">Nifty Midsmallcap 400 TRI</t>
  </si>
  <si>
    <t xml:space="preserve">LQ</t>
  </si>
  <si>
    <t xml:space="preserve">Liquidity</t>
  </si>
  <si>
    <t xml:space="preserve">Cash, liquid and arbitrage funds: money needed within 12 months.</t>
  </si>
  <si>
    <t xml:space="preserve">Foreign entity</t>
  </si>
  <si>
    <t xml:space="preserve">₹</t>
  </si>
  <si>
    <t xml:space="preserve">2018-19</t>
  </si>
  <si>
    <t xml:space="preserve">Alternate</t>
  </si>
  <si>
    <t xml:space="preserve">CRISIL Hybrid 50+50 Moderate Index</t>
  </si>
  <si>
    <t xml:space="preserve">Treated as equity-oriented when it holds 65% or more in equity.</t>
  </si>
  <si>
    <t xml:space="preserve">Thematic &amp; Tactical</t>
  </si>
  <si>
    <t xml:space="preserve">Direct stocks, sector and mid/small-cap calls, gold and silver.</t>
  </si>
  <si>
    <t xml:space="preserve">Company</t>
  </si>
  <si>
    <t xml:space="preserve">Switch In</t>
  </si>
  <si>
    <t xml:space="preserve">2019-20</t>
  </si>
  <si>
    <t xml:space="preserve">Equity ETF / Index Fund</t>
  </si>
  <si>
    <t xml:space="preserve">Nifty 50 TRI</t>
  </si>
  <si>
    <t xml:space="preserve">Listed units: long-term after 12 months.</t>
  </si>
  <si>
    <t xml:space="preserve">Deposit</t>
  </si>
  <si>
    <t xml:space="preserve">2020-21</t>
  </si>
  <si>
    <t xml:space="preserve">Taxed on each underlying share the manager trades, not on the PMS.</t>
  </si>
  <si>
    <t xml:space="preserve">Broker (Execution)</t>
  </si>
  <si>
    <t xml:space="preserve">Partnership Firm</t>
  </si>
  <si>
    <t xml:space="preserve">Divestment</t>
  </si>
  <si>
    <t xml:space="preserve">2021-22</t>
  </si>
  <si>
    <t xml:space="preserve">Taxed at the fund level; the investor's units carry no capital gain here.</t>
  </si>
  <si>
    <t xml:space="preserve">2022-23</t>
  </si>
  <si>
    <t xml:space="preserve">CRISIL Composite Bond Index</t>
  </si>
  <si>
    <t xml:space="preserve">Units bought from 1-Apr-2023: slab rate, never long-term (s.50AA).</t>
  </si>
  <si>
    <t xml:space="preserve">Switch Out</t>
  </si>
  <si>
    <t xml:space="preserve">2023-24</t>
  </si>
  <si>
    <t xml:space="preserve">Listed bonds: long-term after 12 months; interest at slab rate.</t>
  </si>
  <si>
    <t xml:space="preserve">Withdrawal</t>
  </si>
  <si>
    <t xml:space="preserve">2024-25</t>
  </si>
  <si>
    <t xml:space="preserve">Pass-through; unlisted units long-term after 24 months.</t>
  </si>
  <si>
    <t xml:space="preserve">Structured Product / MLD</t>
  </si>
  <si>
    <t xml:space="preserve">Market-linked debentures: always short-term (s.50AA).</t>
  </si>
  <si>
    <t xml:space="preserve">Income</t>
  </si>
  <si>
    <t xml:space="preserve">2026-27</t>
  </si>
  <si>
    <t xml:space="preserve">CRISIL Liquid Debt Index</t>
  </si>
  <si>
    <t xml:space="preserve">Debt fund: slab rate, never long-term (s.50AA).</t>
  </si>
  <si>
    <t xml:space="preserve">2027-28</t>
  </si>
  <si>
    <t xml:space="preserve">Nifty 50 Arbitrage Index</t>
  </si>
  <si>
    <t xml:space="preserve">Equity-oriented for tax: long-term after 12 months.</t>
  </si>
  <si>
    <t xml:space="preserve">Charges</t>
  </si>
  <si>
    <t xml:space="preserve">Not a capital asset; interest taxed at slab rate.</t>
  </si>
  <si>
    <t xml:space="preserve">Bonus / Split</t>
  </si>
  <si>
    <t xml:space="preserve">Non-cash</t>
  </si>
  <si>
    <t xml:space="preserve">Domestic gold price (MCX)</t>
  </si>
  <si>
    <t xml:space="preserve">Listed ETFs: long-term after 12 months.</t>
  </si>
  <si>
    <t xml:space="preserve">Nifty REITs &amp; InvITs Index</t>
  </si>
  <si>
    <t xml:space="preserve">Unlisted: long-term after 24 months. Shown at cost until a priced round.</t>
  </si>
  <si>
    <t xml:space="preserve">Unlisted until listing: long-term after 24 months. Shown at cost.</t>
  </si>
  <si>
    <t xml:space="preserve">Long-term after (days): Finance (No. 2) Act 2024 — listed 365, unlisted 730. Blank = never long-term (s.50AA debt funds and MLDs) or not a capital asset.</t>
  </si>
  <si>
    <t xml:space="preserve">Column Mapping — where each standard column comes from</t>
  </si>
  <si>
    <t xml:space="preserve">The Glow format is the consolidated review; the other client's format is a lot-level tax register. Reference only.</t>
  </si>
  <si>
    <t xml:space="preserve">Standard sheet</t>
  </si>
  <si>
    <t xml:space="preserve">Standard column</t>
  </si>
  <si>
    <t xml:space="preserve">Glow format — consolidated review</t>
  </si>
  <si>
    <t xml:space="preserve">Other client's format — lot-level tax register</t>
  </si>
  <si>
    <t xml:space="preserve">How to convert</t>
  </si>
  <si>
    <t xml:space="preserve">START HERE</t>
  </si>
  <si>
    <t xml:space="preserve">Start Here</t>
  </si>
  <si>
    <t xml:space="preserve">The 'as on' date in each sheet's title</t>
  </si>
  <si>
    <t xml:space="preserve">Report date typed as text in the banner, e.g. '31.03.2026'</t>
  </si>
  <si>
    <t xml:space="preserve">Type as a real date. An account on an older statement keeps its own date on Accounts.</t>
  </si>
  <si>
    <t xml:space="preserve">Month on Month Equity Change: 'Market Value as on &lt;prior month-end&gt;'</t>
  </si>
  <si>
    <t xml:space="preserve">–</t>
  </si>
  <si>
    <t xml:space="preserve">The start of the Period Change window.</t>
  </si>
  <si>
    <t xml:space="preserve">Crores on most sheets; lakhs on Asset Allocation; 'in lacs' on the promoter holding sheet</t>
  </si>
  <si>
    <t xml:space="preserve">Full rupees</t>
  </si>
  <si>
    <t xml:space="preserve">Registers hold full rupees. Multiply crores by 1,00,00,000 and lakhs by 1,00,000 once, when loading; the views divide back.</t>
  </si>
  <si>
    <t xml:space="preserve">TAX SUMMARY</t>
  </si>
  <si>
    <t xml:space="preserve">Tax Summary</t>
  </si>
  <si>
    <t xml:space="preserve">Tax year of sale</t>
  </si>
  <si>
    <t xml:space="preserve">A sheet per year ('FY 25-26'); the year typed into headings ('2023-24')</t>
  </si>
  <si>
    <t xml:space="preserve">One register for every year. Pick the year on Tax Summary.</t>
  </si>
  <si>
    <t xml:space="preserve">ENTITIES</t>
  </si>
  <si>
    <t xml:space="preserve">Entities</t>
  </si>
  <si>
    <t xml:space="preserve">ID, name, short name</t>
  </si>
  <si>
    <t xml:space="preserve">Investorwise Summary: one column per investor, named in the heading; 'Investor' on the transaction sheets</t>
  </si>
  <si>
    <t xml:space="preserve">Not recorded: one copy of the workbook per person</t>
  </si>
  <si>
    <t xml:space="preserve">One row per taxpayer. Map every spelling of a name to one ID.</t>
  </si>
  <si>
    <t xml:space="preserve">PAN</t>
  </si>
  <si>
    <t xml:space="preserve">Store masked, as XXXXX1234X.</t>
  </si>
  <si>
    <t xml:space="preserve">ACCOUNTS</t>
  </si>
  <si>
    <t xml:space="preserve">Accounts</t>
  </si>
  <si>
    <t xml:space="preserve">Type, provider, advisor</t>
  </si>
  <si>
    <t xml:space="preserve">'Advisor' on the basket sheets and on Transactions since inception</t>
  </si>
  <si>
    <t xml:space="preserve">'Account'</t>
  </si>
  <si>
    <t xml:space="preserve">One row per demat, PMS, AIF folio, MF folio, bank account or platform.</t>
  </si>
  <si>
    <t xml:space="preserve">The date of the latest statement. Checks lists the older ones.</t>
  </si>
  <si>
    <t xml:space="preserve">SECURITIES</t>
  </si>
  <si>
    <t xml:space="preserve">Securities</t>
  </si>
  <si>
    <t xml:space="preserve">Name</t>
  </si>
  <si>
    <t xml:space="preserve">'Product'; scheme names under the Portfolio Allocation headings</t>
  </si>
  <si>
    <t xml:space="preserve">'Particulars'</t>
  </si>
  <si>
    <t xml:space="preserve">'ISIN'</t>
  </si>
  <si>
    <t xml:space="preserve">Copy as text so no digit is lost.</t>
  </si>
  <si>
    <t xml:space="preserve">The section heading a product sits under on the Equity, Debt, Cash, Alternate and Private sheets</t>
  </si>
  <si>
    <t xml:space="preserve">Pick one of the 19 categories on the Lists sheet.</t>
  </si>
  <si>
    <t xml:space="preserve">Basket override</t>
  </si>
  <si>
    <t xml:space="preserve">The Equity sheet's 'Allocation' code; which basket sheet a product sits on</t>
  </si>
  <si>
    <t xml:space="preserve">Blank takes the category's basket.</t>
  </si>
  <si>
    <t xml:space="preserve">Benchmark override</t>
  </si>
  <si>
    <t xml:space="preserve">'Benchmark'; 'Index Benchmarked'</t>
  </si>
  <si>
    <t xml:space="preserve">Blank takes the category's benchmark.</t>
  </si>
  <si>
    <t xml:space="preserve">Price</t>
  </si>
  <si>
    <t xml:space="preserve">Market value ÷ quantity</t>
  </si>
  <si>
    <t xml:space="preserve">'Mkt Rate'</t>
  </si>
  <si>
    <t xml:space="preserve">Type the price and its date.</t>
  </si>
  <si>
    <t xml:space="preserve">Price on 31-Jan-2018</t>
  </si>
  <si>
    <t xml:space="preserve">'Grand Father Price'</t>
  </si>
  <si>
    <t xml:space="preserve">Needed only for listed shares and equity funds bought on or before that date.</t>
  </si>
  <si>
    <t xml:space="preserve">Sector, market cap</t>
  </si>
  <si>
    <t xml:space="preserve">Equity Quants 'Top 10 Sectors' (an aggregate)</t>
  </si>
  <si>
    <t xml:space="preserve">Type per security; the aggregate is not carried.</t>
  </si>
  <si>
    <t xml:space="preserve">Equity Scheme details: fund manager, AUM, style, expense ratio, fees, exit load, lock-in</t>
  </si>
  <si>
    <t xml:space="preserve">Keep the facts a reader needs in Notes.</t>
  </si>
  <si>
    <t xml:space="preserve">HOLDINGS</t>
  </si>
  <si>
    <t xml:space="preserve">Holdings</t>
  </si>
  <si>
    <t xml:space="preserve">First and last date</t>
  </si>
  <si>
    <t xml:space="preserve">'Investment Date Range' (text; some cells show an N/A error)</t>
  </si>
  <si>
    <t xml:space="preserve">Earliest 'Pur Date'</t>
  </si>
  <si>
    <t xml:space="preserve">Type real dates; a cell showing an N/A error stays blank.</t>
  </si>
  <si>
    <t xml:space="preserve">Quantity, cost</t>
  </si>
  <si>
    <t xml:space="preserve">'Investment at Cost'</t>
  </si>
  <si>
    <t xml:space="preserve">'Cl. Stk. Qty/Amount' summed</t>
  </si>
  <si>
    <t xml:space="preserve">Must equal the open lots on Tax Lots; the row check says if not.</t>
  </si>
  <si>
    <t xml:space="preserve">Market value override</t>
  </si>
  <si>
    <t xml:space="preserve">'Market Value' for PMS, AIF and bank rows</t>
  </si>
  <si>
    <t xml:space="preserve">'Mkt Value'</t>
  </si>
  <si>
    <t xml:space="preserve">Only where there is no price × quantity.</t>
  </si>
  <si>
    <t xml:space="preserve">Dividend received</t>
  </si>
  <si>
    <t xml:space="preserve">'Dividend / Interest'</t>
  </si>
  <si>
    <t xml:space="preserve">'Total dividend 2023-24' is an estimate: it goes to Tax Lots</t>
  </si>
  <si>
    <t xml:space="preserve">Realised gain</t>
  </si>
  <si>
    <t xml:space="preserve">'Absolute Gain / (Loss) Including Redeemed Funds' less the gain on active funds</t>
  </si>
  <si>
    <t xml:space="preserve">'Realised Book Profit' summed</t>
  </si>
  <si>
    <t xml:space="preserve">XIRR, benchmark returns</t>
  </si>
  <si>
    <t xml:space="preserve">The basket sheets' Scheme/Index Absolute and XIRR; 'Annualized Returns'</t>
  </si>
  <si>
    <t xml:space="preserve">Type as fractions: 12.5% is 0.125.</t>
  </si>
  <si>
    <t xml:space="preserve">Previous value</t>
  </si>
  <si>
    <t xml:space="preserve">Month on Month Equity Change prior value; Attribution Analysis 'Market Value prior month'</t>
  </si>
  <si>
    <t xml:space="preserve">The value on the previous valuation date.</t>
  </si>
  <si>
    <t xml:space="preserve">Statement, source</t>
  </si>
  <si>
    <t xml:space="preserve">Name the statement each figure came from.</t>
  </si>
  <si>
    <t xml:space="preserve">Promoter holding</t>
  </si>
  <si>
    <t xml:space="preserve">The promoter holding sheet: Product, Quantity, 'Market Value in lacs'</t>
  </si>
  <si>
    <t xml:space="preserve">Its own account, or leave it out if the family keeps it apart.</t>
  </si>
  <si>
    <t xml:space="preserve">TAX LOTS</t>
  </si>
  <si>
    <t xml:space="preserve">Tax Lots</t>
  </si>
  <si>
    <t xml:space="preserve">'Sl No.'</t>
  </si>
  <si>
    <t xml:space="preserve">Prefix it so it is unique across the family.</t>
  </si>
  <si>
    <t xml:space="preserve">Account, security</t>
  </si>
  <si>
    <t xml:space="preserve">'Account', 'Particulars', 'ISIN'</t>
  </si>
  <si>
    <t xml:space="preserve">Pick from Accounts and Securities.</t>
  </si>
  <si>
    <t xml:space="preserve">Purchase date, quantity, rate</t>
  </si>
  <si>
    <t xml:space="preserve">'Pur Date', 'Pur Qty', 'Pur Rate'; 'Pur Amount' is calculated</t>
  </si>
  <si>
    <t xml:space="preserve">Text dates become real dates.</t>
  </si>
  <si>
    <t xml:space="preserve">Sale date, quantity, rate</t>
  </si>
  <si>
    <t xml:space="preserve">'Sale Date', 'Sale Qty', 'Sale Rate'; 'Sales Amount' is calculated</t>
  </si>
  <si>
    <t xml:space="preserve">Closing stock, market value</t>
  </si>
  <si>
    <t xml:space="preserve">'Cl. Stk. Date/Qty/Rate/Amount'; 'Mkt Value'</t>
  </si>
  <si>
    <t xml:space="preserve">Calculated from the lot and the price.</t>
  </si>
  <si>
    <t xml:space="preserve">Days held, term</t>
  </si>
  <si>
    <t xml:space="preserve">'No of Days'; 'Status'</t>
  </si>
  <si>
    <t xml:space="preserve">Calculated: long-term after 365 days listed, 730 unlisted.</t>
  </si>
  <si>
    <t xml:space="preserve">Grandfathered cost, taxable gain</t>
  </si>
  <si>
    <t xml:space="preserve">'Eligibility'; 'G/F For Realised'; 'G/F For Un Realised' (also spelled 'UnRealised'); the 'Taxable Gain' columns</t>
  </si>
  <si>
    <t xml:space="preserve">Calculated, section 112A.</t>
  </si>
  <si>
    <t xml:space="preserve">Book profit</t>
  </si>
  <si>
    <t xml:space="preserve">'Realised Book Profit'; 'Unrealised Profit'</t>
  </si>
  <si>
    <t xml:space="preserve">Calculated.</t>
  </si>
  <si>
    <t xml:space="preserve">Days to long-term, long-term date</t>
  </si>
  <si>
    <t xml:space="preserve">'Days left to become Long-term'; 'Month in which ST will become LT'</t>
  </si>
  <si>
    <t xml:space="preserve">Dividend per share</t>
  </si>
  <si>
    <t xml:space="preserve">'Dividend per d share for 2023-24'</t>
  </si>
  <si>
    <t xml:space="preserve">Typed per lot.</t>
  </si>
  <si>
    <t xml:space="preserve">TRANSACTIONS</t>
  </si>
  <si>
    <t xml:space="preserve">Transactions</t>
  </si>
  <si>
    <t xml:space="preserve">One row per movement</t>
  </si>
  <si>
    <t xml:space="preserve">Transactions since inception: Investor, Advisor, Product, Transaction, Date, Quantity, Rate, Value</t>
  </si>
  <si>
    <t xml:space="preserve">Investor + Advisor → Account; Product → Security; Transaction → Type; Rate → Price; Value → Gross, typed positive.</t>
  </si>
  <si>
    <t xml:space="preserve">Sale and purchase</t>
  </si>
  <si>
    <t xml:space="preserve">Transactions and Transactions all Asset class: sale and purchase side by side on one row</t>
  </si>
  <si>
    <t xml:space="preserve">Unstack into one row per movement.</t>
  </si>
  <si>
    <t xml:space="preserve">Charges, TDS</t>
  </si>
  <si>
    <t xml:space="preserve">Their own column, typed positive.</t>
  </si>
  <si>
    <t xml:space="preserve">COMMITMENTS</t>
  </si>
  <si>
    <t xml:space="preserve">Commitments</t>
  </si>
  <si>
    <t xml:space="preserve">Committed, called, paid, distributed</t>
  </si>
  <si>
    <t xml:space="preserve">The Debt sheet's 'Commitment Amount'; Private Investments 'Remarks'</t>
  </si>
  <si>
    <t xml:space="preserve">One row per commitment; uncalled, TVPI and DPI are calculated.</t>
  </si>
  <si>
    <t xml:space="preserve">VIEWS</t>
  </si>
  <si>
    <t xml:space="preserve">Views</t>
  </si>
  <si>
    <t xml:space="preserve">Portfolio Allocation</t>
  </si>
  <si>
    <t xml:space="preserve">Portfolio Allocation; Live Equity Performance</t>
  </si>
  <si>
    <t xml:space="preserve">Basket Allocation, Basket Detail</t>
  </si>
  <si>
    <t xml:space="preserve">Asset Allocation; the basket sheets: Stable Growth, 'Entrepreneruial Growth' (sic), 'Thematic,Tactical', Liquid</t>
  </si>
  <si>
    <t xml:space="preserve">Effective allocation and liquidity still to be assigned are a basket override on Securities.</t>
  </si>
  <si>
    <t xml:space="preserve">Investor Summary</t>
  </si>
  <si>
    <t xml:space="preserve">Investorwise Summary</t>
  </si>
  <si>
    <t xml:space="preserve">Period Change</t>
  </si>
  <si>
    <t xml:space="preserve">Month on Month Equity Change; Attribution Analysis</t>
  </si>
  <si>
    <t xml:space="preserve">Benchmark change and alpha are not carried.</t>
  </si>
  <si>
    <t xml:space="preserve">The 'Pivot' sheet</t>
  </si>
  <si>
    <t xml:space="preserve">NOT CARRIED</t>
  </si>
  <si>
    <t xml:space="preserve">Not carried</t>
  </si>
  <si>
    <t xml:space="preserve">Plan of Action - Equity; Sheet1; Equity Quants</t>
  </si>
  <si>
    <t xml:space="preserve">'Closing price as on 31-03-2023'; a purchase-price column kept for one family member only; scratch sheets</t>
  </si>
  <si>
    <t xml:space="preserve">Correct a lot's rate on Tax Lots and say why in its Notes, rather than keeping a second price column.</t>
  </si>
  <si>
    <t xml:space="preserve">FIX BEFORE LOADING</t>
  </si>
  <si>
    <t xml:space="preserve">Glow format</t>
  </si>
  <si>
    <t xml:space="preserve">A basket sheet's total adds ranges of different lengths</t>
  </si>
  <si>
    <t xml:space="preserve">Recheck the totals before copying figures.</t>
  </si>
  <si>
    <t xml:space="preserve">N/A errors in the investment date ranges</t>
  </si>
  <si>
    <t xml:space="preserve">Leave the date blank.</t>
  </si>
  <si>
    <t xml:space="preserve">Figures in crores and lakhs side by side</t>
  </si>
  <si>
    <t xml:space="preserve">Convert everything to full rupees.</t>
  </si>
  <si>
    <t xml:space="preserve">A header cell holds a subtraction formula</t>
  </si>
  <si>
    <t xml:space="preserve">Copy the value, not the formula.</t>
  </si>
  <si>
    <t xml:space="preserve">A lookup linked to another workbook</t>
  </si>
  <si>
    <t xml:space="preserve">Paste the values before loading.</t>
  </si>
  <si>
    <t xml:space="preserve">Misspellings: 'Entrepreneruial', 'Aboslute'</t>
  </si>
  <si>
    <t xml:space="preserve">Use the names on the Lists sheet.</t>
  </si>
  <si>
    <t xml:space="preserve">Sale and purchase side by side on one row</t>
  </si>
  <si>
    <t xml:space="preserve">One row per movement on Transactions.</t>
  </si>
  <si>
    <t xml:space="preserve">Investor names in the headings</t>
  </si>
  <si>
    <t xml:space="preserve">One row per entity; the name lives on Entities.</t>
  </si>
  <si>
    <t xml:space="preserve">Other client's format</t>
  </si>
  <si>
    <t xml:space="preserve">Dates typed as text</t>
  </si>
  <si>
    <t xml:space="preserve">Type real dates.</t>
  </si>
  <si>
    <t xml:space="preserve">The year typed into headings; a copied sheet per year</t>
  </si>
  <si>
    <t xml:space="preserve">One register; pick the year on Tax Summary.</t>
  </si>
  <si>
    <t xml:space="preserve">No taxpayer column; one copy per person; a price column for one person</t>
  </si>
  <si>
    <t xml:space="preserve">One register with an entity on every account.</t>
  </si>
  <si>
    <t xml:space="preserve">Header spellings vary ('Un Realised'/'UnRealised', 'Dividend per d share')</t>
  </si>
  <si>
    <t xml:space="preserve">Map by meaning, as above.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</si>
</sst>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yy"/>
    <numFmt numFmtId="166" formatCode="#,##0"/>
    <numFmt numFmtId="167" formatCode="#,##0.00;[RED]\(#,##0.00\);\-"/>
    <numFmt numFmtId="168" formatCode="0.0%;[RED]\-0.0%;\-"/>
    <numFmt numFmtId="169" formatCode="0.00\x;[RED]\-0.00\x;\-"/>
    <numFmt numFmtId="170" formatCode="@"/>
    <numFmt numFmtId="171" formatCode="#,##0.000;[RED]\(#,##0.000\);\-"/>
    <numFmt numFmtId="172" formatCode="#,##0;[RED]\-#,##0;\-"/>
    <numFmt numFmtId="173" formatCode="#,##0;[RED]\(#,##0\);\-"/>
    <numFmt numFmtId="174" formatCode="#,##0.0000;[RED]\(#,##0.0000\);\-"/>
    <numFmt numFmtId="175" formatCode="General"/>
    <numFmt numFmtId="176" formatCode="\+0;\-0;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u val="single"/>
      <sz val="9"/>
      <color rgb="FF0563C1"/>
      <name val="Arial"/>
      <family val="0"/>
      <charset val="1"/>
    </font>
    <font>
      <b val="true"/>
      <sz val="8"/>
      <color rgb="FF00206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002060"/>
      <name val="Arial"/>
      <family val="0"/>
      <charset val="1"/>
    </font>
    <font>
      <b val="true"/>
      <sz val="9"/>
      <color rgb="FFC3A962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i val="true"/>
      <sz val="8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9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2CC"/>
        <bgColor rgb="FFF3ECD8"/>
      </patternFill>
    </fill>
    <fill>
      <patternFill patternType="solid">
        <fgColor rgb="FFF2F2F2"/>
        <bgColor rgb="FFEDEDED"/>
      </patternFill>
    </fill>
    <fill>
      <patternFill patternType="solid">
        <fgColor rgb="FFF3ECD8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CE3F1"/>
      </patternFill>
    </fill>
    <fill>
      <patternFill patternType="solid">
        <fgColor rgb="FFEDEDED"/>
        <bgColor rgb="FFF2F2F2"/>
      </patternFill>
    </fill>
    <fill>
      <patternFill patternType="solid">
        <fgColor rgb="FFFFC7CE"/>
        <bgColor rgb="FFFCE4D6"/>
      </patternFill>
    </fill>
    <fill>
      <patternFill patternType="solid">
        <fgColor rgb="FFDCE3F1"/>
        <bgColor rgb="FFDDEBF7"/>
      </patternFill>
    </fill>
    <fill>
      <patternFill patternType="solid">
        <fgColor rgb="FF7F6000"/>
        <bgColor rgb="FF9C5700"/>
      </patternFill>
    </fill>
    <fill>
      <patternFill patternType="solid">
        <fgColor rgb="FFFCE4D6"/>
        <bgColor rgb="FFF3ECD8"/>
      </patternFill>
    </fill>
    <fill>
      <patternFill patternType="solid">
        <fgColor rgb="FF808080"/>
        <bgColor rgb="FFA6A6A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002060"/>
      </top>
      <bottom style="double">
        <color rgb="FF002060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A6A6A6"/>
        <sz val="9"/>
      </font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color rgb="FF0061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7F6000"/>
      <rgbColor rgb="FF800080"/>
      <rgbColor rgb="FF047857"/>
      <rgbColor rgb="FFDCE3F1"/>
      <rgbColor rgb="FF808080"/>
      <rgbColor rgb="FF5B9BD5"/>
      <rgbColor rgb="FF993366"/>
      <rgbColor rgb="FFFFF2CC"/>
      <rgbColor rgb="FFDDEBF7"/>
      <rgbColor rgb="FF660066"/>
      <rgbColor rgb="FFC3A962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F3ECD8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002060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D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80"/>
  </cols>
  <sheetData>
    <row r="1" customFormat="false" ht="25.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true" outlineLevel="0" collapsed="false">
      <c r="B5" s="4" t="s">
        <v>3</v>
      </c>
      <c r="C5" s="4"/>
      <c r="D5" s="4"/>
    </row>
    <row r="6" customFormat="false" ht="15" hidden="false" customHeight="false" outlineLevel="0" collapsed="false">
      <c r="B6" s="5" t="s">
        <v>4</v>
      </c>
      <c r="C6" s="6" t="s">
        <v>5</v>
      </c>
      <c r="D6" s="7" t="s">
        <v>6</v>
      </c>
    </row>
    <row r="7" customFormat="false" ht="15" hidden="false" customHeight="false" outlineLevel="0" collapsed="false">
      <c r="B7" s="5" t="s">
        <v>7</v>
      </c>
      <c r="C7" s="8" t="n">
        <v>46203</v>
      </c>
      <c r="D7" s="7" t="s">
        <v>8</v>
      </c>
    </row>
    <row r="8" customFormat="false" ht="15" hidden="false" customHeight="false" outlineLevel="0" collapsed="false">
      <c r="B8" s="5" t="s">
        <v>9</v>
      </c>
      <c r="C8" s="8" t="n">
        <v>46112</v>
      </c>
      <c r="D8" s="7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  <c r="D9" s="7" t="s">
        <v>13</v>
      </c>
    </row>
    <row r="10" customFormat="false" ht="15" hidden="false" customHeight="false" outlineLevel="0" collapsed="false">
      <c r="B10" s="5" t="s">
        <v>14</v>
      </c>
      <c r="C10" s="9" t="n">
        <f aca="true">IFERROR(INDEX(L_UnitDiv,MATCH(UnitLabel,L_Unit,0)),1)</f>
        <v>10000000</v>
      </c>
      <c r="D10" s="7" t="s">
        <v>15</v>
      </c>
    </row>
    <row r="11" customFormat="false" ht="15" hidden="false" customHeight="false" outlineLevel="0" collapsed="false">
      <c r="B11" s="5" t="s">
        <v>16</v>
      </c>
      <c r="C11" s="8" t="n">
        <v>43131</v>
      </c>
      <c r="D11" s="7" t="s">
        <v>17</v>
      </c>
    </row>
    <row r="12" customFormat="false" ht="15" hidden="false" customHeight="false" outlineLevel="0" collapsed="false">
      <c r="B12" s="10" t="s">
        <v>18</v>
      </c>
      <c r="C12" s="11" t="str">
        <f aca="false">OverallStatus</f>
        <v>ALL CHECKS PASS · 6 note(s) to read</v>
      </c>
      <c r="D12" s="12" t="str">
        <f aca="false">HYPERLINK("#'Checks'!A1","Open the Checks sheet →")</f>
        <v>Open the Checks sheet →</v>
      </c>
    </row>
    <row r="14" customFormat="false" ht="15" hidden="false" customHeight="true" outlineLevel="0" collapsed="false">
      <c r="B14" s="4" t="s">
        <v>19</v>
      </c>
      <c r="C14" s="4"/>
      <c r="D14" s="4"/>
    </row>
    <row r="15" customFormat="false" ht="24" hidden="false" customHeight="true" outlineLevel="0" collapsed="false">
      <c r="B15" s="13" t="str">
        <f aca="false">HYPERLINK("#'Portfolio Allocation'!A1","Portfolio Allocation")</f>
        <v>Portfolio Allocation</v>
      </c>
      <c r="C15" s="14" t="s">
        <v>20</v>
      </c>
      <c r="D15" s="15" t="s">
        <v>21</v>
      </c>
    </row>
    <row r="16" customFormat="false" ht="24" hidden="false" customHeight="true" outlineLevel="0" collapsed="false">
      <c r="B16" s="13" t="str">
        <f aca="false">HYPERLINK("#'Basket Allocation'!A1","Basket Allocation")</f>
        <v>Basket Allocation</v>
      </c>
      <c r="C16" s="14" t="s">
        <v>20</v>
      </c>
      <c r="D16" s="15" t="s">
        <v>22</v>
      </c>
    </row>
    <row r="17" customFormat="false" ht="24" hidden="false" customHeight="true" outlineLevel="0" collapsed="false">
      <c r="B17" s="13" t="str">
        <f aca="false">HYPERLINK("#'Basket Detail'!A1","Basket Detail")</f>
        <v>Basket Detail</v>
      </c>
      <c r="C17" s="14" t="s">
        <v>20</v>
      </c>
      <c r="D17" s="15" t="s">
        <v>23</v>
      </c>
    </row>
    <row r="18" customFormat="false" ht="24" hidden="false" customHeight="true" outlineLevel="0" collapsed="false">
      <c r="B18" s="13" t="str">
        <f aca="false">HYPERLINK("#'Investor Summary'!A1","Investor Summary")</f>
        <v>Investor Summary</v>
      </c>
      <c r="C18" s="14" t="s">
        <v>20</v>
      </c>
      <c r="D18" s="15" t="s">
        <v>24</v>
      </c>
    </row>
    <row r="19" customFormat="false" ht="24" hidden="false" customHeight="true" outlineLevel="0" collapsed="false">
      <c r="B19" s="13" t="str">
        <f aca="false">HYPERLINK("#'Period Change'!A1","Period Change")</f>
        <v>Period Change</v>
      </c>
      <c r="C19" s="14" t="s">
        <v>20</v>
      </c>
      <c r="D19" s="15" t="s">
        <v>25</v>
      </c>
    </row>
    <row r="20" customFormat="false" ht="24" hidden="false" customHeight="true" outlineLevel="0" collapsed="false">
      <c r="B20" s="13" t="str">
        <f aca="false">HYPERLINK("#'Tax Summary'!A1","Tax Summary")</f>
        <v>Tax Summary</v>
      </c>
      <c r="C20" s="14" t="s">
        <v>20</v>
      </c>
      <c r="D20" s="15" t="s">
        <v>26</v>
      </c>
    </row>
    <row r="21" customFormat="false" ht="24" hidden="false" customHeight="true" outlineLevel="0" collapsed="false">
      <c r="B21" s="13" t="str">
        <f aca="false">HYPERLINK("#'Checks'!A1","Checks")</f>
        <v>Checks</v>
      </c>
      <c r="C21" s="16" t="s">
        <v>27</v>
      </c>
      <c r="D21" s="15" t="s">
        <v>28</v>
      </c>
    </row>
    <row r="22" customFormat="false" ht="24" hidden="false" customHeight="true" outlineLevel="0" collapsed="false">
      <c r="B22" s="13" t="str">
        <f aca="false">HYPERLINK("#'Holdings'!A1","Holdings")</f>
        <v>Holdings</v>
      </c>
      <c r="C22" s="17" t="s">
        <v>29</v>
      </c>
      <c r="D22" s="15" t="s">
        <v>30</v>
      </c>
    </row>
    <row r="23" customFormat="false" ht="24" hidden="false" customHeight="true" outlineLevel="0" collapsed="false">
      <c r="B23" s="13" t="str">
        <f aca="false">HYPERLINK("#'Tax Lots'!A1","Tax Lots")</f>
        <v>Tax Lots</v>
      </c>
      <c r="C23" s="17" t="s">
        <v>29</v>
      </c>
      <c r="D23" s="15" t="s">
        <v>31</v>
      </c>
    </row>
    <row r="24" customFormat="false" ht="24" hidden="false" customHeight="true" outlineLevel="0" collapsed="false">
      <c r="B24" s="13" t="str">
        <f aca="false">HYPERLINK("#'Transactions'!A1","Transactions")</f>
        <v>Transactions</v>
      </c>
      <c r="C24" s="17" t="s">
        <v>29</v>
      </c>
      <c r="D24" s="15" t="s">
        <v>32</v>
      </c>
    </row>
    <row r="25" customFormat="false" ht="24" hidden="false" customHeight="true" outlineLevel="0" collapsed="false">
      <c r="B25" s="13" t="str">
        <f aca="false">HYPERLINK("#'Commitments'!A1","Commitments")</f>
        <v>Commitments</v>
      </c>
      <c r="C25" s="17" t="s">
        <v>29</v>
      </c>
      <c r="D25" s="15" t="s">
        <v>33</v>
      </c>
    </row>
    <row r="26" customFormat="false" ht="24" hidden="false" customHeight="true" outlineLevel="0" collapsed="false">
      <c r="B26" s="13" t="str">
        <f aca="false">HYPERLINK("#'Entities'!A1","Entities")</f>
        <v>Entities</v>
      </c>
      <c r="C26" s="18" t="s">
        <v>34</v>
      </c>
      <c r="D26" s="15" t="s">
        <v>35</v>
      </c>
    </row>
    <row r="27" customFormat="false" ht="24" hidden="false" customHeight="true" outlineLevel="0" collapsed="false">
      <c r="B27" s="13" t="str">
        <f aca="false">HYPERLINK("#'Accounts'!A1","Accounts")</f>
        <v>Accounts</v>
      </c>
      <c r="C27" s="18" t="s">
        <v>34</v>
      </c>
      <c r="D27" s="15" t="s">
        <v>36</v>
      </c>
    </row>
    <row r="28" customFormat="false" ht="24" hidden="false" customHeight="true" outlineLevel="0" collapsed="false">
      <c r="B28" s="13" t="str">
        <f aca="false">HYPERLINK("#'Securities'!A1","Securities")</f>
        <v>Securities</v>
      </c>
      <c r="C28" s="18" t="s">
        <v>34</v>
      </c>
      <c r="D28" s="15" t="s">
        <v>37</v>
      </c>
    </row>
    <row r="29" customFormat="false" ht="24" hidden="false" customHeight="true" outlineLevel="0" collapsed="false">
      <c r="B29" s="13" t="str">
        <f aca="false">HYPERLINK("#'Lists'!A1","Lists")</f>
        <v>Lists</v>
      </c>
      <c r="C29" s="19" t="s">
        <v>38</v>
      </c>
      <c r="D29" s="15" t="s">
        <v>39</v>
      </c>
    </row>
    <row r="30" customFormat="false" ht="24" hidden="false" customHeight="true" outlineLevel="0" collapsed="false">
      <c r="B30" s="13" t="str">
        <f aca="false">HYPERLINK("#'Column Mapping'!A1","Column Mapping")</f>
        <v>Column Mapping</v>
      </c>
      <c r="C30" s="19" t="s">
        <v>38</v>
      </c>
      <c r="D30" s="15" t="s">
        <v>40</v>
      </c>
    </row>
    <row r="32" customFormat="false" ht="15" hidden="false" customHeight="true" outlineLevel="0" collapsed="false">
      <c r="B32" s="4" t="s">
        <v>41</v>
      </c>
      <c r="C32" s="4"/>
      <c r="D32" s="4"/>
    </row>
    <row r="33" customFormat="false" ht="15" hidden="false" customHeight="false" outlineLevel="0" collapsed="false">
      <c r="B33" s="20" t="s">
        <v>42</v>
      </c>
      <c r="C33" s="21" t="s">
        <v>43</v>
      </c>
      <c r="D33" s="21"/>
    </row>
    <row r="34" customFormat="false" ht="15" hidden="false" customHeight="false" outlineLevel="0" collapsed="false">
      <c r="B34" s="22" t="s">
        <v>44</v>
      </c>
      <c r="C34" s="21" t="s">
        <v>45</v>
      </c>
      <c r="D34" s="21"/>
    </row>
    <row r="35" customFormat="false" ht="15" hidden="false" customHeight="false" outlineLevel="0" collapsed="false">
      <c r="B35" s="23" t="s">
        <v>46</v>
      </c>
      <c r="C35" s="21" t="s">
        <v>47</v>
      </c>
      <c r="D35" s="21"/>
    </row>
    <row r="36" customFormat="false" ht="15" hidden="false" customHeight="false" outlineLevel="0" collapsed="false">
      <c r="B36" s="24" t="s">
        <v>48</v>
      </c>
      <c r="C36" s="21" t="s">
        <v>49</v>
      </c>
      <c r="D36" s="21"/>
    </row>
    <row r="38" customFormat="false" ht="15" hidden="false" customHeight="true" outlineLevel="0" collapsed="false">
      <c r="B38" s="4" t="s">
        <v>50</v>
      </c>
      <c r="C38" s="4"/>
      <c r="D38" s="4"/>
    </row>
    <row r="39" customFormat="false" ht="25.5" hidden="false" customHeight="true" outlineLevel="0" collapsed="false">
      <c r="B39" s="25" t="s">
        <v>51</v>
      </c>
      <c r="C39" s="26" t="s">
        <v>52</v>
      </c>
      <c r="D39" s="26"/>
    </row>
    <row r="40" customFormat="false" ht="25.5" hidden="false" customHeight="true" outlineLevel="0" collapsed="false">
      <c r="B40" s="25" t="s">
        <v>53</v>
      </c>
      <c r="C40" s="26" t="s">
        <v>54</v>
      </c>
      <c r="D40" s="26"/>
    </row>
    <row r="41" customFormat="false" ht="25.5" hidden="false" customHeight="true" outlineLevel="0" collapsed="false">
      <c r="B41" s="25" t="s">
        <v>55</v>
      </c>
      <c r="C41" s="26" t="s">
        <v>56</v>
      </c>
      <c r="D41" s="26"/>
    </row>
    <row r="42" customFormat="false" ht="25.5" hidden="false" customHeight="true" outlineLevel="0" collapsed="false">
      <c r="B42" s="25" t="s">
        <v>57</v>
      </c>
      <c r="C42" s="26" t="s">
        <v>58</v>
      </c>
      <c r="D42" s="26"/>
    </row>
    <row r="43" customFormat="false" ht="25.5" hidden="false" customHeight="true" outlineLevel="0" collapsed="false">
      <c r="B43" s="25" t="s">
        <v>59</v>
      </c>
      <c r="C43" s="26" t="s">
        <v>60</v>
      </c>
      <c r="D43" s="26"/>
    </row>
    <row r="44" customFormat="false" ht="25.5" hidden="false" customHeight="true" outlineLevel="0" collapsed="false">
      <c r="B44" s="25" t="s">
        <v>61</v>
      </c>
      <c r="C44" s="26" t="s">
        <v>62</v>
      </c>
      <c r="D44" s="26"/>
    </row>
    <row r="45" customFormat="false" ht="25.5" hidden="false" customHeight="true" outlineLevel="0" collapsed="false">
      <c r="B45" s="25" t="s">
        <v>63</v>
      </c>
      <c r="C45" s="26" t="s">
        <v>64</v>
      </c>
      <c r="D45" s="26"/>
    </row>
    <row r="46" customFormat="false" ht="25.5" hidden="false" customHeight="true" outlineLevel="0" collapsed="false">
      <c r="B46" s="25" t="s">
        <v>65</v>
      </c>
      <c r="C46" s="26" t="s">
        <v>66</v>
      </c>
      <c r="D46" s="26"/>
    </row>
    <row r="47" customFormat="false" ht="25.5" hidden="false" customHeight="true" outlineLevel="0" collapsed="false">
      <c r="B47" s="25" t="s">
        <v>67</v>
      </c>
      <c r="C47" s="26" t="s">
        <v>68</v>
      </c>
      <c r="D47" s="26"/>
    </row>
    <row r="49" customFormat="false" ht="15" hidden="false" customHeight="true" outlineLevel="0" collapsed="false">
      <c r="B49" s="4" t="s">
        <v>69</v>
      </c>
      <c r="C49" s="4"/>
      <c r="D49" s="4"/>
    </row>
    <row r="50" customFormat="false" ht="25.5" hidden="false" customHeight="true" outlineLevel="0" collapsed="false">
      <c r="B50" s="27" t="s">
        <v>70</v>
      </c>
      <c r="C50" s="26" t="s">
        <v>71</v>
      </c>
      <c r="D50" s="26"/>
    </row>
    <row r="51" customFormat="false" ht="25.5" hidden="false" customHeight="true" outlineLevel="0" collapsed="false">
      <c r="B51" s="27" t="s">
        <v>70</v>
      </c>
      <c r="C51" s="26" t="s">
        <v>72</v>
      </c>
      <c r="D51" s="26"/>
    </row>
    <row r="52" customFormat="false" ht="25.5" hidden="false" customHeight="true" outlineLevel="0" collapsed="false">
      <c r="B52" s="27" t="s">
        <v>70</v>
      </c>
      <c r="C52" s="26" t="s">
        <v>73</v>
      </c>
      <c r="D52" s="26"/>
    </row>
    <row r="53" customFormat="false" ht="25.5" hidden="false" customHeight="true" outlineLevel="0" collapsed="false">
      <c r="B53" s="27" t="s">
        <v>70</v>
      </c>
      <c r="C53" s="26" t="s">
        <v>74</v>
      </c>
      <c r="D53" s="26"/>
    </row>
    <row r="54" customFormat="false" ht="25.5" hidden="false" customHeight="true" outlineLevel="0" collapsed="false">
      <c r="B54" s="27" t="s">
        <v>70</v>
      </c>
      <c r="C54" s="26" t="s">
        <v>75</v>
      </c>
      <c r="D54" s="26"/>
    </row>
    <row r="55" customFormat="false" ht="25.5" hidden="false" customHeight="true" outlineLevel="0" collapsed="false">
      <c r="B55" s="27" t="s">
        <v>70</v>
      </c>
      <c r="C55" s="26" t="s">
        <v>76</v>
      </c>
      <c r="D55" s="26"/>
    </row>
    <row r="56" customFormat="false" ht="25.5" hidden="false" customHeight="true" outlineLevel="0" collapsed="false">
      <c r="B56" s="27" t="s">
        <v>70</v>
      </c>
      <c r="C56" s="26" t="s">
        <v>77</v>
      </c>
      <c r="D56" s="26"/>
    </row>
  </sheetData>
  <mergeCells count="25">
    <mergeCell ref="B5:D5"/>
    <mergeCell ref="B14:D14"/>
    <mergeCell ref="B32:D32"/>
    <mergeCell ref="C33:D33"/>
    <mergeCell ref="C34:D34"/>
    <mergeCell ref="C35:D35"/>
    <mergeCell ref="C36:D36"/>
    <mergeCell ref="B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B49:D49"/>
    <mergeCell ref="C50:D50"/>
    <mergeCell ref="C51:D51"/>
    <mergeCell ref="C52:D52"/>
    <mergeCell ref="C53:D53"/>
    <mergeCell ref="C54:D54"/>
    <mergeCell ref="C55:D55"/>
    <mergeCell ref="C56:D56"/>
  </mergeCells>
  <conditionalFormatting sqref="C12">
    <cfRule type="expression" priority="2" aboveAverage="0" equalAverage="0" bottom="0" percent="0" rank="0" text="" dxfId="0">
      <formula>LEFT($C$12,3)="ALL"</formula>
    </cfRule>
    <cfRule type="expression" priority="3" aboveAverage="0" equalAverage="0" bottom="0" percent="0" rank="0" text="" dxfId="1">
      <formula>LEFT($C$12,3)&lt;&gt;"ALL"</formula>
    </cfRule>
  </conditionalFormatting>
  <dataValidations count="1">
    <dataValidation allowBlank="true" error="Pick a value from the list (see the Lists sheet)." errorStyle="stop" errorTitle="Not in the list" operator="between" prompt="Pick the unit the views show." promptTitle="How to fill" showDropDown="false" showErrorMessage="false" showInputMessage="true" sqref="C9" type="list">
      <formula1>L_Unit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T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.7"/>
    <col collapsed="false" customWidth="true" hidden="false" outlineLevel="0" max="9" min="9" style="0" width="11"/>
    <col collapsed="false" customWidth="true" hidden="false" outlineLevel="0" max="10" min="10" style="0" width="1.7"/>
    <col collapsed="false" customWidth="true" hidden="false" outlineLevel="0" max="11" min="11" style="0" width="13"/>
    <col collapsed="false" customWidth="true" hidden="false" outlineLevel="0" max="12" min="12" style="0" width="1.7"/>
    <col collapsed="false" customWidth="true" hidden="false" outlineLevel="0" max="13" min="13" style="0" width="13"/>
    <col collapsed="false" customWidth="true" hidden="false" outlineLevel="0" max="14" min="14" style="0" width="1.7"/>
    <col collapsed="false" customWidth="true" hidden="false" outlineLevel="0" max="16" min="15" style="0" width="10"/>
    <col collapsed="false" customWidth="true" hidden="false" outlineLevel="0" max="17" min="17" style="0" width="1.7"/>
    <col collapsed="false" customWidth="true" hidden="false" outlineLevel="0" max="19" min="18" style="0" width="10"/>
    <col collapsed="false" customWidth="true" hidden="false" outlineLevel="0" max="20" min="20" style="0" width="12"/>
  </cols>
  <sheetData>
    <row r="1" customFormat="false" ht="21.75" hidden="false" customHeight="true" outlineLevel="0" collapsed="false">
      <c r="A1" s="28" t="str">
        <f aca="false">"Portfolio Allocation — "&amp;ClientName</f>
        <v>Portfolio Allocation — Malhotra Family Office (DEMO)</v>
      </c>
      <c r="T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market values as at "&amp;TEXT(ValDate,"dd-mmm-yyyy")</f>
        <v>Figures in ₹ Crore · market values as at 30-Jun-2026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B5" s="23" t="s">
        <v>78</v>
      </c>
      <c r="C5" s="23" t="s">
        <v>79</v>
      </c>
      <c r="D5" s="23" t="s">
        <v>80</v>
      </c>
      <c r="E5" s="23" t="s">
        <v>81</v>
      </c>
      <c r="F5" s="23" t="s">
        <v>82</v>
      </c>
      <c r="G5" s="23" t="s">
        <v>83</v>
      </c>
      <c r="I5" s="23" t="s">
        <v>84</v>
      </c>
      <c r="K5" s="23" t="s">
        <v>85</v>
      </c>
      <c r="M5" s="23" t="s">
        <v>86</v>
      </c>
      <c r="O5" s="23" t="s">
        <v>87</v>
      </c>
      <c r="P5" s="23"/>
      <c r="R5" s="23" t="s">
        <v>88</v>
      </c>
      <c r="S5" s="23"/>
      <c r="T5" s="23"/>
    </row>
    <row r="6" customFormat="false" ht="30" hidden="false" customHeight="true" outlineLevel="0" collapsed="false">
      <c r="B6" s="23"/>
      <c r="C6" s="23"/>
      <c r="D6" s="23"/>
      <c r="E6" s="23"/>
      <c r="F6" s="23"/>
      <c r="G6" s="23"/>
      <c r="I6" s="23"/>
      <c r="K6" s="23"/>
      <c r="M6" s="23"/>
      <c r="O6" s="23" t="s">
        <v>89</v>
      </c>
      <c r="P6" s="23" t="s">
        <v>90</v>
      </c>
      <c r="R6" s="23" t="s">
        <v>89</v>
      </c>
      <c r="S6" s="23" t="s">
        <v>90</v>
      </c>
      <c r="T6" s="23" t="s">
        <v>91</v>
      </c>
    </row>
    <row r="7" customFormat="false" ht="15" hidden="false" customHeight="false" outlineLevel="0" collapsed="false">
      <c r="B7" s="30" t="str">
        <f aca="false">Lists!$A$6</f>
        <v>Equity</v>
      </c>
      <c r="C7" s="31" t="str">
        <f aca="false">IF(COUNTIFS(Holdings!$G$6:$G$205,$B7,Holdings!$J$6:$J$205,"&gt;0")=0,"",TEXT(_xlfn.MINIFS(Holdings!$J$6:$J$205,Holdings!$G$6:$G$205,$B7),"mmm-yy")&amp;" – "&amp;TEXT(MAX(_xlfn.MAXIFS(Holdings!$J$6:$J$205,Holdings!$G$6:$G$205,$B7),_xlfn.MAXIFS(Holdings!$K$6:$K$205,Holdings!$G$6:$G$205,$B7)),"mmm-yy"))</f>
        <v>Mar-16 – Jun-26</v>
      </c>
      <c r="D7" s="32" t="n">
        <f aca="false">SUMIFS(Holdings!$M$6:$M$205,Holdings!$G$6:$G$205,$B7)/Divisor</f>
        <v>59.67793</v>
      </c>
      <c r="E7" s="32" t="n">
        <f aca="false">SUMIFS(Holdings!$R$6:$R$205,Holdings!$G$6:$G$205,$B7)/Divisor</f>
        <v>84.3541398716962</v>
      </c>
      <c r="F7" s="33" t="n">
        <f aca="false">IF(N($E$31)=0,"",E7/$E$31)</f>
        <v>0.609167183034568</v>
      </c>
      <c r="G7" s="34"/>
      <c r="H7" s="34"/>
      <c r="I7" s="32" t="n">
        <f aca="false">SUMIFS(Holdings!$U$6:$U$205,Holdings!$G$6:$G$205,$B7)/Divisor</f>
        <v>0.415</v>
      </c>
      <c r="J7" s="34"/>
      <c r="K7" s="32" t="n">
        <f aca="false">(SUMIFS(Holdings!$V$6:$V$205,Holdings!$G$6:$G$205,$B7)+SUMIFS(Holdings!$S$6:$S$205,Holdings!$G$6:$G$205,$B7))/Divisor</f>
        <v>29.0752098716962</v>
      </c>
      <c r="L7" s="34"/>
      <c r="M7" s="32" t="n">
        <f aca="false">SUMIFS(Holdings!$S$6:$S$205,Holdings!$G$6:$G$205,$B7)/Divisor</f>
        <v>24.6762098716962</v>
      </c>
      <c r="N7" s="34"/>
      <c r="O7" s="33" t="n">
        <f aca="false">IF(N(D7)=0,"",M7/D7)</f>
        <v>0.413489708367837</v>
      </c>
      <c r="P7" s="33" t="n">
        <f aca="false">IF(SUMIFS(Holdings!$AQ$6:$AQ$205,Holdings!$G$6:$G$205,$B7)=0,"",SUMIFS(Holdings!$AP$6:$AP$205,Holdings!$G$6:$G$205,$B7)/SUMIFS(Holdings!$AQ$6:$AQ$205,Holdings!$G$6:$G$205,$B7))</f>
        <v>0.505947337985751</v>
      </c>
      <c r="Q7" s="34"/>
      <c r="R7" s="33" t="n">
        <f aca="false">IF(SUMIFS(Holdings!$AN$6:$AN$205,Holdings!$G$6:$G$205,$B7)=0,"",SUMIFS(Holdings!$AM$6:$AM$205,Holdings!$G$6:$G$205,$B7)/SUMIFS(Holdings!$AN$6:$AN$205,Holdings!$G$6:$G$205,$B7))</f>
        <v>0.14574723877509</v>
      </c>
      <c r="S7" s="33" t="n">
        <f aca="false">IF(SUMIFS(Holdings!$AN$6:$AN$205,Holdings!$G$6:$G$205,$B7)=0,"",SUMIFS(Holdings!$AO$6:$AO$205,Holdings!$G$6:$G$205,$B7)/SUMIFS(Holdings!$AN$6:$AN$205,Holdings!$G$6:$G$205,$B7))</f>
        <v>0.130202107495012</v>
      </c>
      <c r="T7" s="33" t="n">
        <f aca="false">IF(N(E7)=0,"",SUMIFS(Holdings!$AN$6:$AN$205,Holdings!$G$6:$G$205,$B7)/Divisor/E7)</f>
        <v>0.928379093080799</v>
      </c>
    </row>
    <row r="8" customFormat="false" ht="15" hidden="false" customHeight="false" outlineLevel="0" collapsed="false">
      <c r="B8" s="35" t="str">
        <f aca="false">Lists!$D$6</f>
        <v>Direct Equity</v>
      </c>
      <c r="C8" s="36" t="str">
        <f aca="false">IF(COUNTIFS(Holdings!$H$6:$H$205,$B8,Holdings!$J$6:$J$205,"&gt;0")=0,"",TEXT(_xlfn.MINIFS(Holdings!$J$6:$J$205,Holdings!$H$6:$H$205,$B8),"mmm-yy")&amp;" – "&amp;TEXT(MAX(_xlfn.MAXIFS(Holdings!$J$6:$J$205,Holdings!$H$6:$H$205,$B8),_xlfn.MAXIFS(Holdings!$K$6:$K$205,Holdings!$H$6:$H$205,$B8)),"mmm-yy"))</f>
        <v>Mar-16 – Feb-26</v>
      </c>
      <c r="D8" s="37" t="n">
        <f aca="false">SUMIFS(Holdings!$M$6:$M$205,Holdings!$H$6:$H$205,$B8)/Divisor</f>
        <v>18.38913</v>
      </c>
      <c r="E8" s="37" t="n">
        <f aca="false">SUMIFS(Holdings!$R$6:$R$205,Holdings!$H$6:$H$205,$B8)/Divisor</f>
        <v>26.036545</v>
      </c>
      <c r="F8" s="38" t="n">
        <f aca="false">IF(N($E$31)=0,"",E8/$E$31)</f>
        <v>0.188024070872241</v>
      </c>
      <c r="G8" s="38" t="n">
        <f aca="false">IF(N($E$7)=0,"",E8/$E$7)</f>
        <v>0.308657583843566</v>
      </c>
      <c r="I8" s="37" t="n">
        <f aca="false">SUMIFS(Holdings!$U$6:$U$205,Holdings!$H$6:$H$205,$B8)/Divisor</f>
        <v>0.303</v>
      </c>
      <c r="K8" s="37" t="n">
        <f aca="false">(SUMIFS(Holdings!$V$6:$V$205,Holdings!$H$6:$H$205,$B8)+SUMIFS(Holdings!$S$6:$S$205,Holdings!$H$6:$H$205,$B8))/Divisor</f>
        <v>10.081415</v>
      </c>
      <c r="M8" s="37" t="n">
        <f aca="false">SUMIFS(Holdings!$S$6:$S$205,Holdings!$H$6:$H$205,$B8)/Divisor</f>
        <v>7.647415</v>
      </c>
      <c r="O8" s="38" t="n">
        <f aca="false">IF(N(D8)=0,"",M8/D8)</f>
        <v>0.415866057828728</v>
      </c>
      <c r="P8" s="38" t="n">
        <f aca="false">IF(SUMIFS(Holdings!$AQ$6:$AQ$205,Holdings!$H$6:$H$205,$B8)=0,"",SUMIFS(Holdings!$AP$6:$AP$205,Holdings!$H$6:$H$205,$B8)/SUMIFS(Holdings!$AQ$6:$AQ$205,Holdings!$H$6:$H$205,$B8))</f>
        <v>0.571440727212217</v>
      </c>
      <c r="R8" s="38" t="n">
        <f aca="false">IF(SUMIFS(Holdings!$AN$6:$AN$205,Holdings!$H$6:$H$205,$B8)=0,"",SUMIFS(Holdings!$AM$6:$AM$205,Holdings!$H$6:$H$205,$B8)/SUMIFS(Holdings!$AN$6:$AN$205,Holdings!$H$6:$H$205,$B8))</f>
        <v>0.11957614331565</v>
      </c>
      <c r="S8" s="38" t="n">
        <f aca="false">IF(SUMIFS(Holdings!$AN$6:$AN$205,Holdings!$H$6:$H$205,$B8)=0,"",SUMIFS(Holdings!$AO$6:$AO$205,Holdings!$H$6:$H$205,$B8)/SUMIFS(Holdings!$AN$6:$AN$205,Holdings!$H$6:$H$205,$B8))</f>
        <v>0.124429644374038</v>
      </c>
      <c r="T8" s="38" t="n">
        <f aca="false">IF(N(E8)=0,"",SUMIFS(Holdings!$AN$6:$AN$205,Holdings!$H$6:$H$205,$B8)/Divisor/E8)</f>
        <v>0.767959996228378</v>
      </c>
    </row>
    <row r="9" customFormat="false" ht="15" hidden="false" customHeight="false" outlineLevel="0" collapsed="false">
      <c r="B9" s="35" t="str">
        <f aca="false">Lists!$D$7</f>
        <v>Equity MF – Large / Flexi / Multi Cap</v>
      </c>
      <c r="C9" s="36" t="str">
        <f aca="false">IF(COUNTIFS(Holdings!$H$6:$H$205,$B9,Holdings!$J$6:$J$205,"&gt;0")=0,"",TEXT(_xlfn.MINIFS(Holdings!$J$6:$J$205,Holdings!$H$6:$H$205,$B9),"mmm-yy")&amp;" – "&amp;TEXT(MAX(_xlfn.MAXIFS(Holdings!$J$6:$J$205,Holdings!$H$6:$H$205,$B9),_xlfn.MAXIFS(Holdings!$K$6:$K$205,Holdings!$H$6:$H$205,$B9)),"mmm-yy"))</f>
        <v>Jan-18 – Jan-18</v>
      </c>
      <c r="D9" s="37" t="n">
        <f aca="false">SUMIFS(Holdings!$M$6:$M$205,Holdings!$H$6:$H$205,$B9)/Divisor</f>
        <v>3.84</v>
      </c>
      <c r="E9" s="37" t="n">
        <f aca="false">SUMIFS(Holdings!$R$6:$R$205,Holdings!$H$6:$H$205,$B9)/Divisor</f>
        <v>9.64312</v>
      </c>
      <c r="F9" s="38" t="n">
        <f aca="false">IF(N($E$31)=0,"",E9/$E$31)</f>
        <v>0.069638221135313</v>
      </c>
      <c r="G9" s="38" t="n">
        <f aca="false">IF(N($E$7)=0,"",E9/$E$7)</f>
        <v>0.114317092375873</v>
      </c>
      <c r="I9" s="37" t="n">
        <f aca="false">SUMIFS(Holdings!$U$6:$U$205,Holdings!$H$6:$H$205,$B9)/Divisor</f>
        <v>0</v>
      </c>
      <c r="K9" s="37" t="n">
        <f aca="false">(SUMIFS(Holdings!$V$6:$V$205,Holdings!$H$6:$H$205,$B9)+SUMIFS(Holdings!$S$6:$S$205,Holdings!$H$6:$H$205,$B9))/Divisor</f>
        <v>7.12312</v>
      </c>
      <c r="M9" s="37" t="n">
        <f aca="false">SUMIFS(Holdings!$S$6:$S$205,Holdings!$H$6:$H$205,$B9)/Divisor</f>
        <v>5.80312</v>
      </c>
      <c r="O9" s="38" t="n">
        <f aca="false">IF(N(D9)=0,"",M9/D9)</f>
        <v>1.51122916666667</v>
      </c>
      <c r="P9" s="38" t="n">
        <f aca="false">IF(SUMIFS(Holdings!$AQ$6:$AQ$205,Holdings!$H$6:$H$205,$B9)=0,"",SUMIFS(Holdings!$AP$6:$AP$205,Holdings!$H$6:$H$205,$B9)/SUMIFS(Holdings!$AQ$6:$AQ$205,Holdings!$H$6:$H$205,$B9))</f>
        <v>1.318</v>
      </c>
      <c r="R9" s="38" t="n">
        <f aca="false">IF(SUMIFS(Holdings!$AN$6:$AN$205,Holdings!$H$6:$H$205,$B9)=0,"",SUMIFS(Holdings!$AM$6:$AM$205,Holdings!$H$6:$H$205,$B9)/SUMIFS(Holdings!$AN$6:$AN$205,Holdings!$H$6:$H$205,$B9))</f>
        <v>0.112</v>
      </c>
      <c r="S9" s="38" t="n">
        <f aca="false">IF(SUMIFS(Holdings!$AN$6:$AN$205,Holdings!$H$6:$H$205,$B9)=0,"",SUMIFS(Holdings!$AO$6:$AO$205,Holdings!$H$6:$H$205,$B9)/SUMIFS(Holdings!$AN$6:$AN$205,Holdings!$H$6:$H$205,$B9))</f>
        <v>0.126</v>
      </c>
      <c r="T9" s="38" t="n">
        <f aca="false">IF(N(E9)=0,"",SUMIFS(Holdings!$AN$6:$AN$205,Holdings!$H$6:$H$205,$B9)/Divisor/E9)</f>
        <v>1</v>
      </c>
    </row>
    <row r="10" customFormat="false" ht="15" hidden="false" customHeight="false" outlineLevel="0" collapsed="false">
      <c r="B10" s="35" t="str">
        <f aca="false">Lists!$D$8</f>
        <v>Equity MF – Mid &amp; Small Cap</v>
      </c>
      <c r="C10" s="36" t="str">
        <f aca="false">IF(COUNTIFS(Holdings!$H$6:$H$205,$B10,Holdings!$J$6:$J$205,"&gt;0")=0,"",TEXT(_xlfn.MINIFS(Holdings!$J$6:$J$205,Holdings!$H$6:$H$205,$B10),"mmm-yy")&amp;" – "&amp;TEXT(MAX(_xlfn.MAXIFS(Holdings!$J$6:$J$205,Holdings!$H$6:$H$205,$B10),_xlfn.MAXIFS(Holdings!$K$6:$K$205,Holdings!$H$6:$H$205,$B10)),"mmm-yy"))</f>
        <v>Apr-23 – Jun-26</v>
      </c>
      <c r="D10" s="37" t="n">
        <f aca="false">SUMIFS(Holdings!$M$6:$M$205,Holdings!$H$6:$H$205,$B10)/Divisor</f>
        <v>4.25</v>
      </c>
      <c r="E10" s="37" t="n">
        <f aca="false">SUMIFS(Holdings!$R$6:$R$205,Holdings!$H$6:$H$205,$B10)/Divisor</f>
        <v>5.8950698716962</v>
      </c>
      <c r="F10" s="38" t="n">
        <f aca="false">IF(N($E$31)=0,"",E10/$E$31)</f>
        <v>0.0425715099815517</v>
      </c>
      <c r="G10" s="38" t="n">
        <f aca="false">IF(N($E$7)=0,"",E10/$E$7)</f>
        <v>0.0698847724683422</v>
      </c>
      <c r="I10" s="37" t="n">
        <f aca="false">SUMIFS(Holdings!$U$6:$U$205,Holdings!$H$6:$H$205,$B10)/Divisor</f>
        <v>0</v>
      </c>
      <c r="K10" s="37" t="n">
        <f aca="false">(SUMIFS(Holdings!$V$6:$V$205,Holdings!$H$6:$H$205,$B10)+SUMIFS(Holdings!$S$6:$S$205,Holdings!$H$6:$H$205,$B10))/Divisor</f>
        <v>1.6450698716962</v>
      </c>
      <c r="M10" s="37" t="n">
        <f aca="false">SUMIFS(Holdings!$S$6:$S$205,Holdings!$H$6:$H$205,$B10)/Divisor</f>
        <v>1.6450698716962</v>
      </c>
      <c r="O10" s="38" t="n">
        <f aca="false">IF(N(D10)=0,"",M10/D10)</f>
        <v>0.387075263928518</v>
      </c>
      <c r="P10" s="38" t="n">
        <f aca="false">IF(SUMIFS(Holdings!$AQ$6:$AQ$205,Holdings!$H$6:$H$205,$B10)=0,"",SUMIFS(Holdings!$AP$6:$AP$205,Holdings!$H$6:$H$205,$B10)/SUMIFS(Holdings!$AQ$6:$AQ$205,Holdings!$H$6:$H$205,$B10))</f>
        <v>0.362</v>
      </c>
      <c r="R10" s="38" t="n">
        <f aca="false">IF(SUMIFS(Holdings!$AN$6:$AN$205,Holdings!$H$6:$H$205,$B10)=0,"",SUMIFS(Holdings!$AM$6:$AM$205,Holdings!$H$6:$H$205,$B10)/SUMIFS(Holdings!$AN$6:$AN$205,Holdings!$H$6:$H$205,$B10))</f>
        <v>0.214</v>
      </c>
      <c r="S10" s="38" t="n">
        <f aca="false">IF(SUMIFS(Holdings!$AN$6:$AN$205,Holdings!$H$6:$H$205,$B10)=0,"",SUMIFS(Holdings!$AO$6:$AO$205,Holdings!$H$6:$H$205,$B10)/SUMIFS(Holdings!$AN$6:$AN$205,Holdings!$H$6:$H$205,$B10))</f>
        <v>0.189</v>
      </c>
      <c r="T10" s="38" t="n">
        <f aca="false">IF(N(E10)=0,"",SUMIFS(Holdings!$AN$6:$AN$205,Holdings!$H$6:$H$205,$B10)/Divisor/E10)</f>
        <v>1</v>
      </c>
    </row>
    <row r="11" customFormat="false" ht="15" hidden="false" customHeight="false" outlineLevel="0" collapsed="false">
      <c r="B11" s="35" t="str">
        <f aca="false">Lists!$D$9</f>
        <v>Equity MF – Hybrid / BAF</v>
      </c>
      <c r="C11" s="36" t="str">
        <f aca="false">IF(COUNTIFS(Holdings!$H$6:$H$205,$B11,Holdings!$J$6:$J$205,"&gt;0")=0,"",TEXT(_xlfn.MINIFS(Holdings!$J$6:$J$205,Holdings!$H$6:$H$205,$B11),"mmm-yy")&amp;" – "&amp;TEXT(MAX(_xlfn.MAXIFS(Holdings!$J$6:$J$205,Holdings!$H$6:$H$205,$B11),_xlfn.MAXIFS(Holdings!$K$6:$K$205,Holdings!$H$6:$H$205,$B11)),"mmm-yy"))</f>
        <v>Oct-23 – Oct-23</v>
      </c>
      <c r="D11" s="37" t="n">
        <f aca="false">SUMIFS(Holdings!$M$6:$M$205,Holdings!$H$6:$H$205,$B11)/Divisor</f>
        <v>3.5</v>
      </c>
      <c r="E11" s="37" t="n">
        <f aca="false">SUMIFS(Holdings!$R$6:$R$205,Holdings!$H$6:$H$205,$B11)/Divisor</f>
        <v>4.013205</v>
      </c>
      <c r="F11" s="38" t="n">
        <f aca="false">IF(N($E$31)=0,"",E11/$E$31)</f>
        <v>0.0289815388848572</v>
      </c>
      <c r="G11" s="38" t="n">
        <f aca="false">IF(N($E$7)=0,"",E11/$E$7)</f>
        <v>0.0475756732995457</v>
      </c>
      <c r="I11" s="37" t="n">
        <f aca="false">SUMIFS(Holdings!$U$6:$U$205,Holdings!$H$6:$H$205,$B11)/Divisor</f>
        <v>0</v>
      </c>
      <c r="K11" s="37" t="n">
        <f aca="false">(SUMIFS(Holdings!$V$6:$V$205,Holdings!$H$6:$H$205,$B11)+SUMIFS(Holdings!$S$6:$S$205,Holdings!$H$6:$H$205,$B11))/Divisor</f>
        <v>0.513205</v>
      </c>
      <c r="M11" s="37" t="n">
        <f aca="false">SUMIFS(Holdings!$S$6:$S$205,Holdings!$H$6:$H$205,$B11)/Divisor</f>
        <v>0.513205</v>
      </c>
      <c r="O11" s="38" t="n">
        <f aca="false">IF(N(D11)=0,"",M11/D11)</f>
        <v>0.14663</v>
      </c>
      <c r="P11" s="38" t="n">
        <f aca="false">IF(SUMIFS(Holdings!$AQ$6:$AQ$205,Holdings!$H$6:$H$205,$B11)=0,"",SUMIFS(Holdings!$AP$6:$AP$205,Holdings!$H$6:$H$205,$B11)/SUMIFS(Holdings!$AQ$6:$AQ$205,Holdings!$H$6:$H$205,$B11))</f>
        <v>0.241</v>
      </c>
      <c r="R11" s="38" t="n">
        <f aca="false">IF(SUMIFS(Holdings!$AN$6:$AN$205,Holdings!$H$6:$H$205,$B11)=0,"",SUMIFS(Holdings!$AM$6:$AM$205,Holdings!$H$6:$H$205,$B11)/SUMIFS(Holdings!$AN$6:$AN$205,Holdings!$H$6:$H$205,$B11))</f>
        <v>0.108</v>
      </c>
      <c r="S11" s="38" t="n">
        <f aca="false">IF(SUMIFS(Holdings!$AN$6:$AN$205,Holdings!$H$6:$H$205,$B11)=0,"",SUMIFS(Holdings!$AO$6:$AO$205,Holdings!$H$6:$H$205,$B11)/SUMIFS(Holdings!$AN$6:$AN$205,Holdings!$H$6:$H$205,$B11))</f>
        <v>0.115</v>
      </c>
      <c r="T11" s="38" t="n">
        <f aca="false">IF(N(E11)=0,"",SUMIFS(Holdings!$AN$6:$AN$205,Holdings!$H$6:$H$205,$B11)/Divisor/E11)</f>
        <v>1</v>
      </c>
    </row>
    <row r="12" customFormat="false" ht="15" hidden="false" customHeight="false" outlineLevel="0" collapsed="false">
      <c r="B12" s="35" t="str">
        <f aca="false">Lists!$D$10</f>
        <v>Equity ETF / Index Fund</v>
      </c>
      <c r="C12" s="36" t="str">
        <f aca="false">IF(COUNTIFS(Holdings!$H$6:$H$205,$B12,Holdings!$J$6:$J$205,"&gt;0")=0,"",TEXT(_xlfn.MINIFS(Holdings!$J$6:$J$205,Holdings!$H$6:$H$205,$B12),"mmm-yy")&amp;" – "&amp;TEXT(MAX(_xlfn.MAXIFS(Holdings!$J$6:$J$205,Holdings!$H$6:$H$205,$B12),_xlfn.MAXIFS(Holdings!$K$6:$K$205,Holdings!$H$6:$H$205,$B12)),"mmm-yy"))</f>
        <v/>
      </c>
      <c r="D12" s="37" t="n">
        <f aca="false">SUMIFS(Holdings!$M$6:$M$205,Holdings!$H$6:$H$205,$B12)/Divisor</f>
        <v>0</v>
      </c>
      <c r="E12" s="37" t="n">
        <f aca="false">SUMIFS(Holdings!$R$6:$R$205,Holdings!$H$6:$H$205,$B12)/Divisor</f>
        <v>0</v>
      </c>
      <c r="F12" s="38" t="n">
        <f aca="false">IF(N($E$31)=0,"",E12/$E$31)</f>
        <v>0</v>
      </c>
      <c r="G12" s="38" t="n">
        <f aca="false">IF(N($E$7)=0,"",E12/$E$7)</f>
        <v>0</v>
      </c>
      <c r="I12" s="37" t="n">
        <f aca="false">SUMIFS(Holdings!$U$6:$U$205,Holdings!$H$6:$H$205,$B12)/Divisor</f>
        <v>0</v>
      </c>
      <c r="K12" s="37" t="n">
        <f aca="false">(SUMIFS(Holdings!$V$6:$V$205,Holdings!$H$6:$H$205,$B12)+SUMIFS(Holdings!$S$6:$S$205,Holdings!$H$6:$H$205,$B12))/Divisor</f>
        <v>0</v>
      </c>
      <c r="M12" s="37" t="n">
        <f aca="false">SUMIFS(Holdings!$S$6:$S$205,Holdings!$H$6:$H$205,$B12)/Divisor</f>
        <v>0</v>
      </c>
      <c r="O12" s="38" t="str">
        <f aca="false">IF(N(D12)=0,"",M12/D12)</f>
        <v/>
      </c>
      <c r="P12" s="38" t="str">
        <f aca="false">IF(SUMIFS(Holdings!$AQ$6:$AQ$205,Holdings!$H$6:$H$205,$B12)=0,"",SUMIFS(Holdings!$AP$6:$AP$205,Holdings!$H$6:$H$205,$B12)/SUMIFS(Holdings!$AQ$6:$AQ$205,Holdings!$H$6:$H$205,$B12))</f>
        <v/>
      </c>
      <c r="R12" s="38" t="str">
        <f aca="false">IF(SUMIFS(Holdings!$AN$6:$AN$205,Holdings!$H$6:$H$205,$B12)=0,"",SUMIFS(Holdings!$AM$6:$AM$205,Holdings!$H$6:$H$205,$B12)/SUMIFS(Holdings!$AN$6:$AN$205,Holdings!$H$6:$H$205,$B12))</f>
        <v/>
      </c>
      <c r="S12" s="38" t="str">
        <f aca="false">IF(SUMIFS(Holdings!$AN$6:$AN$205,Holdings!$H$6:$H$205,$B12)=0,"",SUMIFS(Holdings!$AO$6:$AO$205,Holdings!$H$6:$H$205,$B12)/SUMIFS(Holdings!$AN$6:$AN$205,Holdings!$H$6:$H$205,$B12))</f>
        <v/>
      </c>
      <c r="T12" s="38" t="str">
        <f aca="false">IF(N(E12)=0,"",SUMIFS(Holdings!$AN$6:$AN$205,Holdings!$H$6:$H$205,$B12)/Divisor/E12)</f>
        <v/>
      </c>
    </row>
    <row r="13" customFormat="false" ht="15" hidden="false" customHeight="false" outlineLevel="0" collapsed="false">
      <c r="B13" s="35" t="str">
        <f aca="false">Lists!$D$11</f>
        <v>PMS – Equity</v>
      </c>
      <c r="C13" s="36" t="str">
        <f aca="false">IF(COUNTIFS(Holdings!$H$6:$H$205,$B13,Holdings!$J$6:$J$205,"&gt;0")=0,"",TEXT(_xlfn.MINIFS(Holdings!$J$6:$J$205,Holdings!$H$6:$H$205,$B13),"mmm-yy")&amp;" – "&amp;TEXT(MAX(_xlfn.MAXIFS(Holdings!$J$6:$J$205,Holdings!$H$6:$H$205,$B13),_xlfn.MAXIFS(Holdings!$K$6:$K$205,Holdings!$H$6:$H$205,$B13)),"mmm-yy"))</f>
        <v>Apr-22 – Jan-25</v>
      </c>
      <c r="D13" s="37" t="n">
        <f aca="false">SUMIFS(Holdings!$M$6:$M$205,Holdings!$H$6:$H$205,$B13)/Divisor</f>
        <v>15</v>
      </c>
      <c r="E13" s="37" t="n">
        <f aca="false">SUMIFS(Holdings!$R$6:$R$205,Holdings!$H$6:$H$205,$B13)/Divisor</f>
        <v>18.124</v>
      </c>
      <c r="F13" s="38" t="n">
        <f aca="false">IF(N($E$31)=0,"",E13/$E$31)</f>
        <v>0.130883274278077</v>
      </c>
      <c r="G13" s="38" t="n">
        <f aca="false">IF(N($E$7)=0,"",E13/$E$7)</f>
        <v>0.214856082079277</v>
      </c>
      <c r="I13" s="37" t="n">
        <f aca="false">SUMIFS(Holdings!$U$6:$U$205,Holdings!$H$6:$H$205,$B13)/Divisor</f>
        <v>0.112</v>
      </c>
      <c r="K13" s="37" t="n">
        <f aca="false">(SUMIFS(Holdings!$V$6:$V$205,Holdings!$H$6:$H$205,$B13)+SUMIFS(Holdings!$S$6:$S$205,Holdings!$H$6:$H$205,$B13))/Divisor</f>
        <v>3.769</v>
      </c>
      <c r="M13" s="37" t="n">
        <f aca="false">SUMIFS(Holdings!$S$6:$S$205,Holdings!$H$6:$H$205,$B13)/Divisor</f>
        <v>3.124</v>
      </c>
      <c r="O13" s="38" t="n">
        <f aca="false">IF(N(D13)=0,"",M13/D13)</f>
        <v>0.208266666666667</v>
      </c>
      <c r="P13" s="38" t="n">
        <f aca="false">IF(SUMIFS(Holdings!$AQ$6:$AQ$205,Holdings!$H$6:$H$205,$B13)=0,"",SUMIFS(Holdings!$AP$6:$AP$205,Holdings!$H$6:$H$205,$B13)/SUMIFS(Holdings!$AQ$6:$AQ$205,Holdings!$H$6:$H$205,$B13))</f>
        <v>0.385</v>
      </c>
      <c r="R13" s="38" t="n">
        <f aca="false">IF(SUMIFS(Holdings!$AN$6:$AN$205,Holdings!$H$6:$H$205,$B13)=0,"",SUMIFS(Holdings!$AM$6:$AM$205,Holdings!$H$6:$H$205,$B13)/SUMIFS(Holdings!$AN$6:$AN$205,Holdings!$H$6:$H$205,$B13))</f>
        <v>0.142</v>
      </c>
      <c r="S13" s="38" t="n">
        <f aca="false">IF(SUMIFS(Holdings!$AN$6:$AN$205,Holdings!$H$6:$H$205,$B13)=0,"",SUMIFS(Holdings!$AO$6:$AO$205,Holdings!$H$6:$H$205,$B13)/SUMIFS(Holdings!$AN$6:$AN$205,Holdings!$H$6:$H$205,$B13))</f>
        <v>0.121</v>
      </c>
      <c r="T13" s="38" t="n">
        <f aca="false">IF(N(E13)=0,"",SUMIFS(Holdings!$AN$6:$AN$205,Holdings!$H$6:$H$205,$B13)/Divisor/E13)</f>
        <v>1</v>
      </c>
    </row>
    <row r="14" customFormat="false" ht="15" hidden="false" customHeight="false" outlineLevel="0" collapsed="false">
      <c r="B14" s="35" t="str">
        <f aca="false">Lists!$D$12</f>
        <v>AIF Cat III – Listed Equity</v>
      </c>
      <c r="C14" s="36" t="str">
        <f aca="false">IF(COUNTIFS(Holdings!$H$6:$H$205,$B14,Holdings!$J$6:$J$205,"&gt;0")=0,"",TEXT(_xlfn.MINIFS(Holdings!$J$6:$J$205,Holdings!$H$6:$H$205,$B14),"mmm-yy")&amp;" – "&amp;TEXT(MAX(_xlfn.MAXIFS(Holdings!$J$6:$J$205,Holdings!$H$6:$H$205,$B14),_xlfn.MAXIFS(Holdings!$K$6:$K$205,Holdings!$H$6:$H$205,$B14)),"mmm-yy"))</f>
        <v>Jan-23 – May-26</v>
      </c>
      <c r="D14" s="37" t="n">
        <f aca="false">SUMIFS(Holdings!$M$6:$M$205,Holdings!$H$6:$H$205,$B14)/Divisor</f>
        <v>14.6988</v>
      </c>
      <c r="E14" s="37" t="n">
        <f aca="false">SUMIFS(Holdings!$R$6:$R$205,Holdings!$H$6:$H$205,$B14)/Divisor</f>
        <v>20.6422</v>
      </c>
      <c r="F14" s="38" t="n">
        <f aca="false">IF(N($E$31)=0,"",E14/$E$31)</f>
        <v>0.149068567882527</v>
      </c>
      <c r="G14" s="38" t="n">
        <f aca="false">IF(N($E$7)=0,"",E14/$E$7)</f>
        <v>0.244708795933395</v>
      </c>
      <c r="I14" s="37" t="n">
        <f aca="false">SUMIFS(Holdings!$U$6:$U$205,Holdings!$H$6:$H$205,$B14)/Divisor</f>
        <v>0</v>
      </c>
      <c r="K14" s="37" t="n">
        <f aca="false">(SUMIFS(Holdings!$V$6:$V$205,Holdings!$H$6:$H$205,$B14)+SUMIFS(Holdings!$S$6:$S$205,Holdings!$H$6:$H$205,$B14))/Divisor</f>
        <v>5.9434</v>
      </c>
      <c r="M14" s="37" t="n">
        <f aca="false">SUMIFS(Holdings!$S$6:$S$205,Holdings!$H$6:$H$205,$B14)/Divisor</f>
        <v>5.9434</v>
      </c>
      <c r="O14" s="38" t="n">
        <f aca="false">IF(N(D14)=0,"",M14/D14)</f>
        <v>0.404345933001334</v>
      </c>
      <c r="P14" s="38" t="n">
        <f aca="false">IF(SUMIFS(Holdings!$AQ$6:$AQ$205,Holdings!$H$6:$H$205,$B14)=0,"",SUMIFS(Holdings!$AP$6:$AP$205,Holdings!$H$6:$H$205,$B14)/SUMIFS(Holdings!$AQ$6:$AQ$205,Holdings!$H$6:$H$205,$B14))</f>
        <v>0.44</v>
      </c>
      <c r="R14" s="38" t="n">
        <f aca="false">IF(SUMIFS(Holdings!$AN$6:$AN$205,Holdings!$H$6:$H$205,$B14)=0,"",SUMIFS(Holdings!$AM$6:$AM$205,Holdings!$H$6:$H$205,$B14)/SUMIFS(Holdings!$AN$6:$AN$205,Holdings!$H$6:$H$205,$B14))</f>
        <v>0.178</v>
      </c>
      <c r="S14" s="38" t="n">
        <f aca="false">IF(SUMIFS(Holdings!$AN$6:$AN$205,Holdings!$H$6:$H$205,$B14)=0,"",SUMIFS(Holdings!$AO$6:$AO$205,Holdings!$H$6:$H$205,$B14)/SUMIFS(Holdings!$AN$6:$AN$205,Holdings!$H$6:$H$205,$B14))</f>
        <v>0.132</v>
      </c>
      <c r="T14" s="38" t="n">
        <f aca="false">IF(N(E14)=0,"",SUMIFS(Holdings!$AN$6:$AN$205,Holdings!$H$6:$H$205,$B14)/Divisor/E14)</f>
        <v>1</v>
      </c>
    </row>
    <row r="15" customFormat="false" ht="15" hidden="false" customHeight="false" outlineLevel="0" collapsed="false">
      <c r="B15" s="30" t="str">
        <f aca="false">Lists!$A$7</f>
        <v>Debt</v>
      </c>
      <c r="C15" s="31" t="str">
        <f aca="false">IF(COUNTIFS(Holdings!$G$6:$G$205,$B15,Holdings!$J$6:$J$205,"&gt;0")=0,"",TEXT(_xlfn.MINIFS(Holdings!$J$6:$J$205,Holdings!$G$6:$G$205,$B15),"mmm-yy")&amp;" – "&amp;TEXT(MAX(_xlfn.MAXIFS(Holdings!$J$6:$J$205,Holdings!$G$6:$G$205,$B15),_xlfn.MAXIFS(Holdings!$K$6:$K$205,Holdings!$G$6:$G$205,$B15)),"mmm-yy"))</f>
        <v>Mar-24 – May-26</v>
      </c>
      <c r="D15" s="32" t="n">
        <f aca="false">SUMIFS(Holdings!$M$6:$M$205,Holdings!$G$6:$G$205,$B15)/Divisor</f>
        <v>13</v>
      </c>
      <c r="E15" s="32" t="n">
        <f aca="false">SUMIFS(Holdings!$R$6:$R$205,Holdings!$G$6:$G$205,$B15)/Divisor</f>
        <v>13.595184</v>
      </c>
      <c r="F15" s="33" t="n">
        <f aca="false">IF(N($E$31)=0,"",E15/$E$31)</f>
        <v>0.0981782275619581</v>
      </c>
      <c r="G15" s="34"/>
      <c r="H15" s="34"/>
      <c r="I15" s="32" t="n">
        <f aca="false">SUMIFS(Holdings!$U$6:$U$205,Holdings!$G$6:$G$205,$B15)/Divisor</f>
        <v>0.43</v>
      </c>
      <c r="J15" s="34"/>
      <c r="K15" s="32" t="n">
        <f aca="false">(SUMIFS(Holdings!$V$6:$V$205,Holdings!$G$6:$G$205,$B15)+SUMIFS(Holdings!$S$6:$S$205,Holdings!$G$6:$G$205,$B15))/Divisor</f>
        <v>0.595184</v>
      </c>
      <c r="L15" s="34"/>
      <c r="M15" s="32" t="n">
        <f aca="false">SUMIFS(Holdings!$S$6:$S$205,Holdings!$G$6:$G$205,$B15)/Divisor</f>
        <v>0.595184</v>
      </c>
      <c r="N15" s="34"/>
      <c r="O15" s="33" t="n">
        <f aca="false">IF(N(D15)=0,"",M15/D15)</f>
        <v>0.0457833846153846</v>
      </c>
      <c r="P15" s="33" t="n">
        <f aca="false">IF(SUMIFS(Holdings!$AQ$6:$AQ$205,Holdings!$G$6:$G$205,$B15)=0,"",SUMIFS(Holdings!$AP$6:$AP$205,Holdings!$G$6:$G$205,$B15)/SUMIFS(Holdings!$AQ$6:$AQ$205,Holdings!$G$6:$G$205,$B15))</f>
        <v>0.156384615384615</v>
      </c>
      <c r="Q15" s="34"/>
      <c r="R15" s="33" t="n">
        <f aca="false">IF(SUMIFS(Holdings!$AN$6:$AN$205,Holdings!$G$6:$G$205,$B15)=0,"",SUMIFS(Holdings!$AM$6:$AM$205,Holdings!$G$6:$G$205,$B15)/SUMIFS(Holdings!$AN$6:$AN$205,Holdings!$G$6:$G$205,$B15))</f>
        <v>0.0830312227840698</v>
      </c>
      <c r="S15" s="33" t="n">
        <f aca="false">IF(SUMIFS(Holdings!$AN$6:$AN$205,Holdings!$G$6:$G$205,$B15)=0,"",SUMIFS(Holdings!$AO$6:$AO$205,Holdings!$G$6:$G$205,$B15)/SUMIFS(Holdings!$AN$6:$AN$205,Holdings!$G$6:$G$205,$B15))</f>
        <v>0.074806244556814</v>
      </c>
      <c r="T15" s="33" t="n">
        <f aca="false">IF(N(E15)=0,"",SUMIFS(Holdings!$AN$6:$AN$205,Holdings!$G$6:$G$205,$B15)/Divisor/E15)</f>
        <v>0.923634722413466</v>
      </c>
    </row>
    <row r="16" customFormat="false" ht="15" hidden="false" customHeight="false" outlineLevel="0" collapsed="false">
      <c r="B16" s="35" t="str">
        <f aca="false">Lists!$D$13</f>
        <v>Debt MF</v>
      </c>
      <c r="C16" s="36" t="str">
        <f aca="false">IF(COUNTIFS(Holdings!$H$6:$H$205,$B16,Holdings!$J$6:$J$205,"&gt;0")=0,"",TEXT(_xlfn.MINIFS(Holdings!$J$6:$J$205,Holdings!$H$6:$H$205,$B16),"mmm-yy")&amp;" – "&amp;TEXT(MAX(_xlfn.MAXIFS(Holdings!$J$6:$J$205,Holdings!$H$6:$H$205,$B16),_xlfn.MAXIFS(Holdings!$K$6:$K$205,Holdings!$H$6:$H$205,$B16)),"mmm-yy"))</f>
        <v>Jul-24 – Jul-24</v>
      </c>
      <c r="D16" s="37" t="n">
        <f aca="false">SUMIFS(Holdings!$M$6:$M$205,Holdings!$H$6:$H$205,$B16)/Divisor</f>
        <v>7</v>
      </c>
      <c r="E16" s="37" t="n">
        <f aca="false">SUMIFS(Holdings!$R$6:$R$205,Holdings!$H$6:$H$205,$B16)/Divisor</f>
        <v>7.494984</v>
      </c>
      <c r="F16" s="38" t="n">
        <f aca="false">IF(N($E$31)=0,"",E16/$E$31)</f>
        <v>0.0541253612106489</v>
      </c>
      <c r="G16" s="38" t="n">
        <f aca="false">IF(N($E$15)=0,"",E16/$E$15)</f>
        <v>0.551296988698351</v>
      </c>
      <c r="I16" s="37" t="n">
        <f aca="false">SUMIFS(Holdings!$U$6:$U$205,Holdings!$H$6:$H$205,$B16)/Divisor</f>
        <v>0</v>
      </c>
      <c r="K16" s="37" t="n">
        <f aca="false">(SUMIFS(Holdings!$V$6:$V$205,Holdings!$H$6:$H$205,$B16)+SUMIFS(Holdings!$S$6:$S$205,Holdings!$H$6:$H$205,$B16))/Divisor</f>
        <v>0.494984</v>
      </c>
      <c r="M16" s="37" t="n">
        <f aca="false">SUMIFS(Holdings!$S$6:$S$205,Holdings!$H$6:$H$205,$B16)/Divisor</f>
        <v>0.494984</v>
      </c>
      <c r="O16" s="38" t="n">
        <f aca="false">IF(N(D16)=0,"",M16/D16)</f>
        <v>0.070712</v>
      </c>
      <c r="P16" s="38" t="n">
        <f aca="false">IF(SUMIFS(Holdings!$AQ$6:$AQ$205,Holdings!$H$6:$H$205,$B16)=0,"",SUMIFS(Holdings!$AP$6:$AP$205,Holdings!$H$6:$H$205,$B16)/SUMIFS(Holdings!$AQ$6:$AQ$205,Holdings!$H$6:$H$205,$B16))</f>
        <v>0.156</v>
      </c>
      <c r="R16" s="38" t="n">
        <f aca="false">IF(SUMIFS(Holdings!$AN$6:$AN$205,Holdings!$H$6:$H$205,$B16)=0,"",SUMIFS(Holdings!$AM$6:$AM$205,Holdings!$H$6:$H$205,$B16)/SUMIFS(Holdings!$AN$6:$AN$205,Holdings!$H$6:$H$205,$B16))</f>
        <v>0.079</v>
      </c>
      <c r="S16" s="38" t="n">
        <f aca="false">IF(SUMIFS(Holdings!$AN$6:$AN$205,Holdings!$H$6:$H$205,$B16)=0,"",SUMIFS(Holdings!$AO$6:$AO$205,Holdings!$H$6:$H$205,$B16)/SUMIFS(Holdings!$AN$6:$AN$205,Holdings!$H$6:$H$205,$B16))</f>
        <v>0.074</v>
      </c>
      <c r="T16" s="38" t="n">
        <f aca="false">IF(N(E16)=0,"",SUMIFS(Holdings!$AN$6:$AN$205,Holdings!$H$6:$H$205,$B16)/Divisor/E16)</f>
        <v>1</v>
      </c>
    </row>
    <row r="17" customFormat="false" ht="15" hidden="false" customHeight="false" outlineLevel="0" collapsed="false">
      <c r="B17" s="35" t="str">
        <f aca="false">Lists!$D$14</f>
        <v>Bonds / NCDs</v>
      </c>
      <c r="C17" s="36" t="str">
        <f aca="false">IF(COUNTIFS(Holdings!$H$6:$H$205,$B17,Holdings!$J$6:$J$205,"&gt;0")=0,"",TEXT(_xlfn.MINIFS(Holdings!$J$6:$J$205,Holdings!$H$6:$H$205,$B17),"mmm-yy")&amp;" – "&amp;TEXT(MAX(_xlfn.MAXIFS(Holdings!$J$6:$J$205,Holdings!$H$6:$H$205,$B17),_xlfn.MAXIFS(Holdings!$K$6:$K$205,Holdings!$H$6:$H$205,$B17)),"mmm-yy"))</f>
        <v>Mar-24 – Mar-24</v>
      </c>
      <c r="D17" s="37" t="n">
        <f aca="false">SUMIFS(Holdings!$M$6:$M$205,Holdings!$H$6:$H$205,$B17)/Divisor</f>
        <v>5</v>
      </c>
      <c r="E17" s="37" t="n">
        <f aca="false">SUMIFS(Holdings!$R$6:$R$205,Holdings!$H$6:$H$205,$B17)/Divisor</f>
        <v>5.062</v>
      </c>
      <c r="F17" s="38" t="n">
        <f aca="false">IF(N($E$31)=0,"",E17/$E$31)</f>
        <v>0.0365554587505864</v>
      </c>
      <c r="G17" s="38" t="n">
        <f aca="false">IF(N($E$15)=0,"",E17/$E$15)</f>
        <v>0.372337733715116</v>
      </c>
      <c r="I17" s="37" t="n">
        <f aca="false">SUMIFS(Holdings!$U$6:$U$205,Holdings!$H$6:$H$205,$B17)/Divisor</f>
        <v>0.43</v>
      </c>
      <c r="K17" s="37" t="n">
        <f aca="false">(SUMIFS(Holdings!$V$6:$V$205,Holdings!$H$6:$H$205,$B17)+SUMIFS(Holdings!$S$6:$S$205,Holdings!$H$6:$H$205,$B17))/Divisor</f>
        <v>0.062</v>
      </c>
      <c r="M17" s="37" t="n">
        <f aca="false">SUMIFS(Holdings!$S$6:$S$205,Holdings!$H$6:$H$205,$B17)/Divisor</f>
        <v>0.062</v>
      </c>
      <c r="O17" s="38" t="n">
        <f aca="false">IF(N(D17)=0,"",M17/D17)</f>
        <v>0.0124</v>
      </c>
      <c r="P17" s="38" t="n">
        <f aca="false">IF(SUMIFS(Holdings!$AQ$6:$AQ$205,Holdings!$H$6:$H$205,$B17)=0,"",SUMIFS(Holdings!$AP$6:$AP$205,Holdings!$H$6:$H$205,$B17)/SUMIFS(Holdings!$AQ$6:$AQ$205,Holdings!$H$6:$H$205,$B17))</f>
        <v>0.182</v>
      </c>
      <c r="R17" s="38" t="n">
        <f aca="false">IF(SUMIFS(Holdings!$AN$6:$AN$205,Holdings!$H$6:$H$205,$B17)=0,"",SUMIFS(Holdings!$AM$6:$AM$205,Holdings!$H$6:$H$205,$B17)/SUMIFS(Holdings!$AN$6:$AN$205,Holdings!$H$6:$H$205,$B17))</f>
        <v>0.089</v>
      </c>
      <c r="S17" s="38" t="n">
        <f aca="false">IF(SUMIFS(Holdings!$AN$6:$AN$205,Holdings!$H$6:$H$205,$B17)=0,"",SUMIFS(Holdings!$AO$6:$AO$205,Holdings!$H$6:$H$205,$B17)/SUMIFS(Holdings!$AN$6:$AN$205,Holdings!$H$6:$H$205,$B17))</f>
        <v>0.076</v>
      </c>
      <c r="T17" s="38" t="n">
        <f aca="false">IF(N(E17)=0,"",SUMIFS(Holdings!$AN$6:$AN$205,Holdings!$H$6:$H$205,$B17)/Divisor/E17)</f>
        <v>1</v>
      </c>
    </row>
    <row r="18" customFormat="false" ht="15" hidden="false" customHeight="false" outlineLevel="0" collapsed="false">
      <c r="B18" s="35" t="str">
        <f aca="false">Lists!$D$15</f>
        <v>AIF Cat II – Private Credit</v>
      </c>
      <c r="C18" s="36" t="str">
        <f aca="false">IF(COUNTIFS(Holdings!$H$6:$H$205,$B18,Holdings!$J$6:$J$205,"&gt;0")=0,"",TEXT(_xlfn.MINIFS(Holdings!$J$6:$J$205,Holdings!$H$6:$H$205,$B18),"mmm-yy")&amp;" – "&amp;TEXT(MAX(_xlfn.MAXIFS(Holdings!$J$6:$J$205,Holdings!$H$6:$H$205,$B18),_xlfn.MAXIFS(Holdings!$K$6:$K$205,Holdings!$H$6:$H$205,$B18)),"mmm-yy"))</f>
        <v>Jan-26 – May-26</v>
      </c>
      <c r="D18" s="37" t="n">
        <f aca="false">SUMIFS(Holdings!$M$6:$M$205,Holdings!$H$6:$H$205,$B18)/Divisor</f>
        <v>1</v>
      </c>
      <c r="E18" s="37" t="n">
        <f aca="false">SUMIFS(Holdings!$R$6:$R$205,Holdings!$H$6:$H$205,$B18)/Divisor</f>
        <v>1.0382</v>
      </c>
      <c r="F18" s="38" t="n">
        <f aca="false">IF(N($E$31)=0,"",E18/$E$31)</f>
        <v>0.00749740760072279</v>
      </c>
      <c r="G18" s="38" t="n">
        <f aca="false">IF(N($E$15)=0,"",E18/$E$15)</f>
        <v>0.0763652775865336</v>
      </c>
      <c r="I18" s="37" t="n">
        <f aca="false">SUMIFS(Holdings!$U$6:$U$205,Holdings!$H$6:$H$205,$B18)/Divisor</f>
        <v>0</v>
      </c>
      <c r="K18" s="37" t="n">
        <f aca="false">(SUMIFS(Holdings!$V$6:$V$205,Holdings!$H$6:$H$205,$B18)+SUMIFS(Holdings!$S$6:$S$205,Holdings!$H$6:$H$205,$B18))/Divisor</f>
        <v>0.0382</v>
      </c>
      <c r="M18" s="37" t="n">
        <f aca="false">SUMIFS(Holdings!$S$6:$S$205,Holdings!$H$6:$H$205,$B18)/Divisor</f>
        <v>0.0382</v>
      </c>
      <c r="O18" s="38" t="n">
        <f aca="false">IF(N(D18)=0,"",M18/D18)</f>
        <v>0.0382</v>
      </c>
      <c r="P18" s="38" t="n">
        <f aca="false">IF(SUMIFS(Holdings!$AQ$6:$AQ$205,Holdings!$H$6:$H$205,$B18)=0,"",SUMIFS(Holdings!$AP$6:$AP$205,Holdings!$H$6:$H$205,$B18)/SUMIFS(Holdings!$AQ$6:$AQ$205,Holdings!$H$6:$H$205,$B18))</f>
        <v>0.031</v>
      </c>
      <c r="R18" s="38" t="str">
        <f aca="false">IF(SUMIFS(Holdings!$AN$6:$AN$205,Holdings!$H$6:$H$205,$B18)=0,"",SUMIFS(Holdings!$AM$6:$AM$205,Holdings!$H$6:$H$205,$B18)/SUMIFS(Holdings!$AN$6:$AN$205,Holdings!$H$6:$H$205,$B18))</f>
        <v/>
      </c>
      <c r="S18" s="38" t="str">
        <f aca="false">IF(SUMIFS(Holdings!$AN$6:$AN$205,Holdings!$H$6:$H$205,$B18)=0,"",SUMIFS(Holdings!$AO$6:$AO$205,Holdings!$H$6:$H$205,$B18)/SUMIFS(Holdings!$AN$6:$AN$205,Holdings!$H$6:$H$205,$B18))</f>
        <v/>
      </c>
      <c r="T18" s="38" t="n">
        <f aca="false">IF(N(E18)=0,"",SUMIFS(Holdings!$AN$6:$AN$205,Holdings!$H$6:$H$205,$B18)/Divisor/E18)</f>
        <v>0</v>
      </c>
    </row>
    <row r="19" customFormat="false" ht="15" hidden="false" customHeight="false" outlineLevel="0" collapsed="false">
      <c r="B19" s="35" t="str">
        <f aca="false">Lists!$D$16</f>
        <v>Structured Product / MLD</v>
      </c>
      <c r="C19" s="36" t="str">
        <f aca="false">IF(COUNTIFS(Holdings!$H$6:$H$205,$B19,Holdings!$J$6:$J$205,"&gt;0")=0,"",TEXT(_xlfn.MINIFS(Holdings!$J$6:$J$205,Holdings!$H$6:$H$205,$B19),"mmm-yy")&amp;" – "&amp;TEXT(MAX(_xlfn.MAXIFS(Holdings!$J$6:$J$205,Holdings!$H$6:$H$205,$B19),_xlfn.MAXIFS(Holdings!$K$6:$K$205,Holdings!$H$6:$H$205,$B19)),"mmm-yy"))</f>
        <v/>
      </c>
      <c r="D19" s="37" t="n">
        <f aca="false">SUMIFS(Holdings!$M$6:$M$205,Holdings!$H$6:$H$205,$B19)/Divisor</f>
        <v>0</v>
      </c>
      <c r="E19" s="37" t="n">
        <f aca="false">SUMIFS(Holdings!$R$6:$R$205,Holdings!$H$6:$H$205,$B19)/Divisor</f>
        <v>0</v>
      </c>
      <c r="F19" s="38" t="n">
        <f aca="false">IF(N($E$31)=0,"",E19/$E$31)</f>
        <v>0</v>
      </c>
      <c r="G19" s="38" t="n">
        <f aca="false">IF(N($E$15)=0,"",E19/$E$15)</f>
        <v>0</v>
      </c>
      <c r="I19" s="37" t="n">
        <f aca="false">SUMIFS(Holdings!$U$6:$U$205,Holdings!$H$6:$H$205,$B19)/Divisor</f>
        <v>0</v>
      </c>
      <c r="K19" s="37" t="n">
        <f aca="false">(SUMIFS(Holdings!$V$6:$V$205,Holdings!$H$6:$H$205,$B19)+SUMIFS(Holdings!$S$6:$S$205,Holdings!$H$6:$H$205,$B19))/Divisor</f>
        <v>0</v>
      </c>
      <c r="M19" s="37" t="n">
        <f aca="false">SUMIFS(Holdings!$S$6:$S$205,Holdings!$H$6:$H$205,$B19)/Divisor</f>
        <v>0</v>
      </c>
      <c r="O19" s="38" t="str">
        <f aca="false">IF(N(D19)=0,"",M19/D19)</f>
        <v/>
      </c>
      <c r="P19" s="38" t="str">
        <f aca="false">IF(SUMIFS(Holdings!$AQ$6:$AQ$205,Holdings!$H$6:$H$205,$B19)=0,"",SUMIFS(Holdings!$AP$6:$AP$205,Holdings!$H$6:$H$205,$B19)/SUMIFS(Holdings!$AQ$6:$AQ$205,Holdings!$H$6:$H$205,$B19))</f>
        <v/>
      </c>
      <c r="R19" s="38" t="str">
        <f aca="false">IF(SUMIFS(Holdings!$AN$6:$AN$205,Holdings!$H$6:$H$205,$B19)=0,"",SUMIFS(Holdings!$AM$6:$AM$205,Holdings!$H$6:$H$205,$B19)/SUMIFS(Holdings!$AN$6:$AN$205,Holdings!$H$6:$H$205,$B19))</f>
        <v/>
      </c>
      <c r="S19" s="38" t="str">
        <f aca="false">IF(SUMIFS(Holdings!$AN$6:$AN$205,Holdings!$H$6:$H$205,$B19)=0,"",SUMIFS(Holdings!$AO$6:$AO$205,Holdings!$H$6:$H$205,$B19)/SUMIFS(Holdings!$AN$6:$AN$205,Holdings!$H$6:$H$205,$B19))</f>
        <v/>
      </c>
      <c r="T19" s="38" t="str">
        <f aca="false">IF(N(E19)=0,"",SUMIFS(Holdings!$AN$6:$AN$205,Holdings!$H$6:$H$205,$B19)/Divisor/E19)</f>
        <v/>
      </c>
    </row>
    <row r="20" customFormat="false" ht="15" hidden="false" customHeight="false" outlineLevel="0" collapsed="false">
      <c r="B20" s="30" t="str">
        <f aca="false">Lists!$A$8</f>
        <v>Cash</v>
      </c>
      <c r="C20" s="31" t="str">
        <f aca="false">IF(COUNTIFS(Holdings!$G$6:$G$205,$B20,Holdings!$J$6:$J$205,"&gt;0")=0,"",TEXT(_xlfn.MINIFS(Holdings!$J$6:$J$205,Holdings!$G$6:$G$205,$B20),"mmm-yy")&amp;" – "&amp;TEXT(MAX(_xlfn.MAXIFS(Holdings!$J$6:$J$205,Holdings!$G$6:$G$205,$B20),_xlfn.MAXIFS(Holdings!$K$6:$K$205,Holdings!$G$6:$G$205,$B20)),"mmm-yy"))</f>
        <v>Dec-25 – Jun-26</v>
      </c>
      <c r="D20" s="32" t="n">
        <f aca="false">SUMIFS(Holdings!$M$6:$M$205,Holdings!$G$6:$G$205,$B20)/Divisor</f>
        <v>17.4556</v>
      </c>
      <c r="E20" s="32" t="n">
        <f aca="false">SUMIFS(Holdings!$R$6:$R$205,Holdings!$G$6:$G$205,$B20)/Divisor</f>
        <v>17.7416469647908</v>
      </c>
      <c r="F20" s="33" t="n">
        <f aca="false">IF(N($E$31)=0,"",E20/$E$31)</f>
        <v>0.128122094782472</v>
      </c>
      <c r="G20" s="34"/>
      <c r="H20" s="34"/>
      <c r="I20" s="32" t="n">
        <f aca="false">SUMIFS(Holdings!$U$6:$U$205,Holdings!$G$6:$G$205,$B20)/Divisor</f>
        <v>0.0185</v>
      </c>
      <c r="J20" s="34"/>
      <c r="K20" s="32" t="n">
        <f aca="false">(SUMIFS(Holdings!$V$6:$V$205,Holdings!$G$6:$G$205,$B20)+SUMIFS(Holdings!$S$6:$S$205,Holdings!$G$6:$G$205,$B20))/Divisor</f>
        <v>0.286046964790769</v>
      </c>
      <c r="L20" s="34"/>
      <c r="M20" s="32" t="n">
        <f aca="false">SUMIFS(Holdings!$S$6:$S$205,Holdings!$G$6:$G$205,$B20)/Divisor</f>
        <v>0.286046964790769</v>
      </c>
      <c r="N20" s="34"/>
      <c r="O20" s="33" t="n">
        <f aca="false">IF(N(D20)=0,"",M20/D20)</f>
        <v>0.0163871173028008</v>
      </c>
      <c r="P20" s="33" t="n">
        <f aca="false">IF(SUMIFS(Holdings!$AQ$6:$AQ$205,Holdings!$G$6:$G$205,$B20)=0,"",SUMIFS(Holdings!$AP$6:$AP$205,Holdings!$G$6:$G$205,$B20)/SUMIFS(Holdings!$AQ$6:$AQ$205,Holdings!$G$6:$G$205,$B20))</f>
        <v>0.0219833413563228</v>
      </c>
      <c r="Q20" s="34"/>
      <c r="R20" s="33" t="str">
        <f aca="false">IF(SUMIFS(Holdings!$AN$6:$AN$205,Holdings!$G$6:$G$205,$B20)=0,"",SUMIFS(Holdings!$AM$6:$AM$205,Holdings!$G$6:$G$205,$B20)/SUMIFS(Holdings!$AN$6:$AN$205,Holdings!$G$6:$G$205,$B20))</f>
        <v/>
      </c>
      <c r="S20" s="33" t="str">
        <f aca="false">IF(SUMIFS(Holdings!$AN$6:$AN$205,Holdings!$G$6:$G$205,$B20)=0,"",SUMIFS(Holdings!$AO$6:$AO$205,Holdings!$G$6:$G$205,$B20)/SUMIFS(Holdings!$AN$6:$AN$205,Holdings!$G$6:$G$205,$B20))</f>
        <v/>
      </c>
      <c r="T20" s="33" t="n">
        <f aca="false">IF(N(E20)=0,"",SUMIFS(Holdings!$AN$6:$AN$205,Holdings!$G$6:$G$205,$B20)/Divisor/E20)</f>
        <v>0</v>
      </c>
    </row>
    <row r="21" customFormat="false" ht="15" hidden="false" customHeight="false" outlineLevel="0" collapsed="false">
      <c r="B21" s="35" t="str">
        <f aca="false">Lists!$D$17</f>
        <v>Liquid / Overnight Fund</v>
      </c>
      <c r="C21" s="36" t="str">
        <f aca="false">IF(COUNTIFS(Holdings!$H$6:$H$205,$B21,Holdings!$J$6:$J$205,"&gt;0")=0,"",TEXT(_xlfn.MINIFS(Holdings!$J$6:$J$205,Holdings!$H$6:$H$205,$B21),"mmm-yy")&amp;" – "&amp;TEXT(MAX(_xlfn.MAXIFS(Holdings!$J$6:$J$205,Holdings!$H$6:$H$205,$B21),_xlfn.MAXIFS(Holdings!$K$6:$K$205,Holdings!$H$6:$H$205,$B21)),"mmm-yy"))</f>
        <v>Jan-26 – Jun-26</v>
      </c>
      <c r="D21" s="37" t="n">
        <f aca="false">SUMIFS(Holdings!$M$6:$M$205,Holdings!$H$6:$H$205,$B21)/Divisor</f>
        <v>7.895</v>
      </c>
      <c r="E21" s="37" t="n">
        <f aca="false">SUMIFS(Holdings!$R$6:$R$205,Holdings!$H$6:$H$205,$B21)/Divisor</f>
        <v>7.99914296479077</v>
      </c>
      <c r="F21" s="38" t="n">
        <f aca="false">IF(N($E$31)=0,"",E21/$E$31)</f>
        <v>0.0577661676589198</v>
      </c>
      <c r="G21" s="38" t="n">
        <f aca="false">IF(N($E$20)=0,"",E21/$E$20)</f>
        <v>0.450868117298551</v>
      </c>
      <c r="I21" s="37" t="n">
        <f aca="false">SUMIFS(Holdings!$U$6:$U$205,Holdings!$H$6:$H$205,$B21)/Divisor</f>
        <v>0</v>
      </c>
      <c r="K21" s="37" t="n">
        <f aca="false">(SUMIFS(Holdings!$V$6:$V$205,Holdings!$H$6:$H$205,$B21)+SUMIFS(Holdings!$S$6:$S$205,Holdings!$H$6:$H$205,$B21))/Divisor</f>
        <v>0.104142964790769</v>
      </c>
      <c r="M21" s="37" t="n">
        <f aca="false">SUMIFS(Holdings!$S$6:$S$205,Holdings!$H$6:$H$205,$B21)/Divisor</f>
        <v>0.104142964790769</v>
      </c>
      <c r="O21" s="38" t="n">
        <f aca="false">IF(N(D21)=0,"",M21/D21)</f>
        <v>0.0131910025067472</v>
      </c>
      <c r="P21" s="38" t="n">
        <f aca="false">IF(SUMIFS(Holdings!$AQ$6:$AQ$205,Holdings!$H$6:$H$205,$B21)=0,"",SUMIFS(Holdings!$AP$6:$AP$205,Holdings!$H$6:$H$205,$B21)/SUMIFS(Holdings!$AQ$6:$AQ$205,Holdings!$H$6:$H$205,$B21))</f>
        <v>0.0138682710576314</v>
      </c>
      <c r="R21" s="38" t="str">
        <f aca="false">IF(SUMIFS(Holdings!$AN$6:$AN$205,Holdings!$H$6:$H$205,$B21)=0,"",SUMIFS(Holdings!$AM$6:$AM$205,Holdings!$H$6:$H$205,$B21)/SUMIFS(Holdings!$AN$6:$AN$205,Holdings!$H$6:$H$205,$B21))</f>
        <v/>
      </c>
      <c r="S21" s="38" t="str">
        <f aca="false">IF(SUMIFS(Holdings!$AN$6:$AN$205,Holdings!$H$6:$H$205,$B21)=0,"",SUMIFS(Holdings!$AO$6:$AO$205,Holdings!$H$6:$H$205,$B21)/SUMIFS(Holdings!$AN$6:$AN$205,Holdings!$H$6:$H$205,$B21))</f>
        <v/>
      </c>
      <c r="T21" s="38" t="n">
        <f aca="false">IF(N(E21)=0,"",SUMIFS(Holdings!$AN$6:$AN$205,Holdings!$H$6:$H$205,$B21)/Divisor/E21)</f>
        <v>0</v>
      </c>
    </row>
    <row r="22" customFormat="false" ht="15" hidden="false" customHeight="false" outlineLevel="0" collapsed="false">
      <c r="B22" s="35" t="str">
        <f aca="false">Lists!$D$18</f>
        <v>Arbitrage Fund</v>
      </c>
      <c r="C22" s="36" t="str">
        <f aca="false">IF(COUNTIFS(Holdings!$H$6:$H$205,$B22,Holdings!$J$6:$J$205,"&gt;0")=0,"",TEXT(_xlfn.MINIFS(Holdings!$J$6:$J$205,Holdings!$H$6:$H$205,$B22),"mmm-yy")&amp;" – "&amp;TEXT(MAX(_xlfn.MAXIFS(Holdings!$J$6:$J$205,Holdings!$H$6:$H$205,$B22),_xlfn.MAXIFS(Holdings!$K$6:$K$205,Holdings!$H$6:$H$205,$B22)),"mmm-yy"))</f>
        <v>Dec-25 – Jun-26</v>
      </c>
      <c r="D22" s="37" t="n">
        <f aca="false">SUMIFS(Holdings!$M$6:$M$205,Holdings!$H$6:$H$205,$B22)/Divisor</f>
        <v>5.8156</v>
      </c>
      <c r="E22" s="37" t="n">
        <f aca="false">SUMIFS(Holdings!$R$6:$R$205,Holdings!$H$6:$H$205,$B22)/Divisor</f>
        <v>5.997504</v>
      </c>
      <c r="F22" s="38" t="n">
        <f aca="false">IF(N($E$31)=0,"",E22/$E$31)</f>
        <v>0.043311242607364</v>
      </c>
      <c r="G22" s="38" t="n">
        <f aca="false">IF(N($E$20)=0,"",E22/$E$20)</f>
        <v>0.338046631854549</v>
      </c>
      <c r="I22" s="37" t="n">
        <f aca="false">SUMIFS(Holdings!$U$6:$U$205,Holdings!$H$6:$H$205,$B22)/Divisor</f>
        <v>0</v>
      </c>
      <c r="K22" s="37" t="n">
        <f aca="false">(SUMIFS(Holdings!$V$6:$V$205,Holdings!$H$6:$H$205,$B22)+SUMIFS(Holdings!$S$6:$S$205,Holdings!$H$6:$H$205,$B22))/Divisor</f>
        <v>0.181904</v>
      </c>
      <c r="M22" s="37" t="n">
        <f aca="false">SUMIFS(Holdings!$S$6:$S$205,Holdings!$H$6:$H$205,$B22)/Divisor</f>
        <v>0.181904</v>
      </c>
      <c r="O22" s="38" t="n">
        <f aca="false">IF(N(D22)=0,"",M22/D22)</f>
        <v>0.0312786298920146</v>
      </c>
      <c r="P22" s="38" t="n">
        <f aca="false">IF(SUMIFS(Holdings!$AQ$6:$AQ$205,Holdings!$H$6:$H$205,$B22)=0,"",SUMIFS(Holdings!$AP$6:$AP$205,Holdings!$H$6:$H$205,$B22)/SUMIFS(Holdings!$AQ$6:$AQ$205,Holdings!$H$6:$H$205,$B22))</f>
        <v>0.033</v>
      </c>
      <c r="R22" s="38" t="str">
        <f aca="false">IF(SUMIFS(Holdings!$AN$6:$AN$205,Holdings!$H$6:$H$205,$B22)=0,"",SUMIFS(Holdings!$AM$6:$AM$205,Holdings!$H$6:$H$205,$B22)/SUMIFS(Holdings!$AN$6:$AN$205,Holdings!$H$6:$H$205,$B22))</f>
        <v/>
      </c>
      <c r="S22" s="38" t="str">
        <f aca="false">IF(SUMIFS(Holdings!$AN$6:$AN$205,Holdings!$H$6:$H$205,$B22)=0,"",SUMIFS(Holdings!$AO$6:$AO$205,Holdings!$H$6:$H$205,$B22)/SUMIFS(Holdings!$AN$6:$AN$205,Holdings!$H$6:$H$205,$B22))</f>
        <v/>
      </c>
      <c r="T22" s="38" t="n">
        <f aca="false">IF(N(E22)=0,"",SUMIFS(Holdings!$AN$6:$AN$205,Holdings!$H$6:$H$205,$B22)/Divisor/E22)</f>
        <v>0</v>
      </c>
    </row>
    <row r="23" customFormat="false" ht="15" hidden="false" customHeight="false" outlineLevel="0" collapsed="false">
      <c r="B23" s="35" t="str">
        <f aca="false">Lists!$D$19</f>
        <v>Bank / Cash Balance</v>
      </c>
      <c r="C23" s="36" t="str">
        <f aca="false">IF(COUNTIFS(Holdings!$H$6:$H$205,$B23,Holdings!$J$6:$J$205,"&gt;0")=0,"",TEXT(_xlfn.MINIFS(Holdings!$J$6:$J$205,Holdings!$H$6:$H$205,$B23),"mmm-yy")&amp;" – "&amp;TEXT(MAX(_xlfn.MAXIFS(Holdings!$J$6:$J$205,Holdings!$H$6:$H$205,$B23),_xlfn.MAXIFS(Holdings!$K$6:$K$205,Holdings!$H$6:$H$205,$B23)),"mmm-yy"))</f>
        <v/>
      </c>
      <c r="D23" s="37" t="n">
        <f aca="false">SUMIFS(Holdings!$M$6:$M$205,Holdings!$H$6:$H$205,$B23)/Divisor</f>
        <v>3.745</v>
      </c>
      <c r="E23" s="37" t="n">
        <f aca="false">SUMIFS(Holdings!$R$6:$R$205,Holdings!$H$6:$H$205,$B23)/Divisor</f>
        <v>3.745</v>
      </c>
      <c r="F23" s="38" t="n">
        <f aca="false">IF(N($E$31)=0,"",E23/$E$31)</f>
        <v>0.0270446845161885</v>
      </c>
      <c r="G23" s="38" t="n">
        <f aca="false">IF(N($E$20)=0,"",E23/$E$20)</f>
        <v>0.2110852508469</v>
      </c>
      <c r="I23" s="37" t="n">
        <f aca="false">SUMIFS(Holdings!$U$6:$U$205,Holdings!$H$6:$H$205,$B23)/Divisor</f>
        <v>0.0185</v>
      </c>
      <c r="K23" s="37" t="n">
        <f aca="false">(SUMIFS(Holdings!$V$6:$V$205,Holdings!$H$6:$H$205,$B23)+SUMIFS(Holdings!$S$6:$S$205,Holdings!$H$6:$H$205,$B23))/Divisor</f>
        <v>0</v>
      </c>
      <c r="M23" s="37" t="n">
        <f aca="false">SUMIFS(Holdings!$S$6:$S$205,Holdings!$H$6:$H$205,$B23)/Divisor</f>
        <v>0</v>
      </c>
      <c r="O23" s="38" t="n">
        <f aca="false">IF(N(D23)=0,"",M23/D23)</f>
        <v>0</v>
      </c>
      <c r="P23" s="38" t="str">
        <f aca="false">IF(SUMIFS(Holdings!$AQ$6:$AQ$205,Holdings!$H$6:$H$205,$B23)=0,"",SUMIFS(Holdings!$AP$6:$AP$205,Holdings!$H$6:$H$205,$B23)/SUMIFS(Holdings!$AQ$6:$AQ$205,Holdings!$H$6:$H$205,$B23))</f>
        <v/>
      </c>
      <c r="R23" s="38" t="str">
        <f aca="false">IF(SUMIFS(Holdings!$AN$6:$AN$205,Holdings!$H$6:$H$205,$B23)=0,"",SUMIFS(Holdings!$AM$6:$AM$205,Holdings!$H$6:$H$205,$B23)/SUMIFS(Holdings!$AN$6:$AN$205,Holdings!$H$6:$H$205,$B23))</f>
        <v/>
      </c>
      <c r="S23" s="38" t="str">
        <f aca="false">IF(SUMIFS(Holdings!$AN$6:$AN$205,Holdings!$H$6:$H$205,$B23)=0,"",SUMIFS(Holdings!$AO$6:$AO$205,Holdings!$H$6:$H$205,$B23)/SUMIFS(Holdings!$AN$6:$AN$205,Holdings!$H$6:$H$205,$B23))</f>
        <v/>
      </c>
      <c r="T23" s="38" t="n">
        <f aca="false">IF(N(E23)=0,"",SUMIFS(Holdings!$AN$6:$AN$205,Holdings!$H$6:$H$205,$B23)/Divisor/E23)</f>
        <v>0</v>
      </c>
    </row>
    <row r="24" customFormat="false" ht="15" hidden="false" customHeight="false" outlineLevel="0" collapsed="false">
      <c r="B24" s="30" t="str">
        <f aca="false">Lists!$A$9</f>
        <v>Alternate</v>
      </c>
      <c r="C24" s="31" t="str">
        <f aca="false">IF(COUNTIFS(Holdings!$G$6:$G$205,$B24,Holdings!$J$6:$J$205,"&gt;0")=0,"",TEXT(_xlfn.MINIFS(Holdings!$J$6:$J$205,Holdings!$G$6:$G$205,$B24),"mmm-yy")&amp;" – "&amp;TEXT(MAX(_xlfn.MAXIFS(Holdings!$J$6:$J$205,Holdings!$G$6:$G$205,$B24),_xlfn.MAXIFS(Holdings!$K$6:$K$205,Holdings!$G$6:$G$205,$B24)),"mmm-yy"))</f>
        <v>Sep-23 – Apr-26</v>
      </c>
      <c r="D24" s="32" t="n">
        <f aca="false">SUMIFS(Holdings!$M$6:$M$205,Holdings!$G$6:$G$205,$B24)/Divisor</f>
        <v>20.06</v>
      </c>
      <c r="E24" s="32" t="n">
        <f aca="false">SUMIFS(Holdings!$R$6:$R$205,Holdings!$G$6:$G$205,$B24)/Divisor</f>
        <v>22.78356</v>
      </c>
      <c r="F24" s="33" t="n">
        <f aca="false">IF(N($E$31)=0,"",E24/$E$31)</f>
        <v>0.164532494621002</v>
      </c>
      <c r="G24" s="34"/>
      <c r="H24" s="34"/>
      <c r="I24" s="32" t="n">
        <f aca="false">SUMIFS(Holdings!$U$6:$U$205,Holdings!$G$6:$G$205,$B24)/Divisor</f>
        <v>0.36</v>
      </c>
      <c r="J24" s="34"/>
      <c r="K24" s="32" t="n">
        <f aca="false">(SUMIFS(Holdings!$V$6:$V$205,Holdings!$G$6:$G$205,$B24)+SUMIFS(Holdings!$S$6:$S$205,Holdings!$G$6:$G$205,$B24))/Divisor</f>
        <v>2.93356</v>
      </c>
      <c r="L24" s="34"/>
      <c r="M24" s="32" t="n">
        <f aca="false">SUMIFS(Holdings!$S$6:$S$205,Holdings!$G$6:$G$205,$B24)/Divisor</f>
        <v>2.72356</v>
      </c>
      <c r="N24" s="34"/>
      <c r="O24" s="33" t="n">
        <f aca="false">IF(N(D24)=0,"",M24/D24)</f>
        <v>0.135770687936191</v>
      </c>
      <c r="P24" s="33" t="n">
        <f aca="false">IF(SUMIFS(Holdings!$AQ$6:$AQ$205,Holdings!$G$6:$G$205,$B24)=0,"",SUMIFS(Holdings!$AP$6:$AP$205,Holdings!$G$6:$G$205,$B24)/SUMIFS(Holdings!$AQ$6:$AQ$205,Holdings!$G$6:$G$205,$B24))</f>
        <v>0.236284122562674</v>
      </c>
      <c r="Q24" s="34"/>
      <c r="R24" s="33" t="n">
        <f aca="false">IF(SUMIFS(Holdings!$AN$6:$AN$205,Holdings!$G$6:$G$205,$B24)=0,"",SUMIFS(Holdings!$AM$6:$AM$205,Holdings!$G$6:$G$205,$B24)/SUMIFS(Holdings!$AN$6:$AN$205,Holdings!$G$6:$G$205,$B24))</f>
        <v>0.136385761084572</v>
      </c>
      <c r="S24" s="33" t="n">
        <f aca="false">IF(SUMIFS(Holdings!$AN$6:$AN$205,Holdings!$G$6:$G$205,$B24)=0,"",SUMIFS(Holdings!$AO$6:$AO$205,Holdings!$G$6:$G$205,$B24)/SUMIFS(Holdings!$AN$6:$AN$205,Holdings!$G$6:$G$205,$B24))</f>
        <v>0.115614715839347</v>
      </c>
      <c r="T24" s="33" t="n">
        <f aca="false">IF(N(E24)=0,"",SUMIFS(Holdings!$AN$6:$AN$205,Holdings!$G$6:$G$205,$B24)/Divisor/E24)</f>
        <v>0.673659428113956</v>
      </c>
    </row>
    <row r="25" customFormat="false" ht="15" hidden="false" customHeight="false" outlineLevel="0" collapsed="false">
      <c r="B25" s="35" t="str">
        <f aca="false">Lists!$D$20</f>
        <v>Gold / Silver (ETF, SGB, FoF)</v>
      </c>
      <c r="C25" s="36" t="str">
        <f aca="false">IF(COUNTIFS(Holdings!$H$6:$H$205,$B25,Holdings!$J$6:$J$205,"&gt;0")=0,"",TEXT(_xlfn.MINIFS(Holdings!$J$6:$J$205,Holdings!$H$6:$H$205,$B25),"mmm-yy")&amp;" – "&amp;TEXT(MAX(_xlfn.MAXIFS(Holdings!$J$6:$J$205,Holdings!$H$6:$H$205,$B25),_xlfn.MAXIFS(Holdings!$K$6:$K$205,Holdings!$H$6:$H$205,$B25)),"mmm-yy"))</f>
        <v>Feb-24 – Aug-25</v>
      </c>
      <c r="D25" s="37" t="n">
        <f aca="false">SUMIFS(Holdings!$M$6:$M$205,Holdings!$H$6:$H$205,$B25)/Divisor</f>
        <v>3.96</v>
      </c>
      <c r="E25" s="37" t="n">
        <f aca="false">SUMIFS(Holdings!$R$6:$R$205,Holdings!$H$6:$H$205,$B25)/Divisor</f>
        <v>4.76676</v>
      </c>
      <c r="F25" s="38" t="n">
        <f aca="false">IF(N($E$31)=0,"",E25/$E$31)</f>
        <v>0.0344233699237347</v>
      </c>
      <c r="G25" s="38" t="n">
        <f aca="false">IF(N($E$24)=0,"",E25/$E$24)</f>
        <v>0.20921927916445</v>
      </c>
      <c r="I25" s="37" t="n">
        <f aca="false">SUMIFS(Holdings!$U$6:$U$205,Holdings!$H$6:$H$205,$B25)/Divisor</f>
        <v>0</v>
      </c>
      <c r="K25" s="37" t="n">
        <f aca="false">(SUMIFS(Holdings!$V$6:$V$205,Holdings!$H$6:$H$205,$B25)+SUMIFS(Holdings!$S$6:$S$205,Holdings!$H$6:$H$205,$B25))/Divisor</f>
        <v>0.80676</v>
      </c>
      <c r="M25" s="37" t="n">
        <f aca="false">SUMIFS(Holdings!$S$6:$S$205,Holdings!$H$6:$H$205,$B25)/Divisor</f>
        <v>0.80676</v>
      </c>
      <c r="O25" s="38" t="n">
        <f aca="false">IF(N(D25)=0,"",M25/D25)</f>
        <v>0.203727272727273</v>
      </c>
      <c r="P25" s="38" t="n">
        <f aca="false">IF(SUMIFS(Holdings!$AQ$6:$AQ$205,Holdings!$H$6:$H$205,$B25)=0,"",SUMIFS(Holdings!$AP$6:$AP$205,Holdings!$H$6:$H$205,$B25)/SUMIFS(Holdings!$AQ$6:$AQ$205,Holdings!$H$6:$H$205,$B25))</f>
        <v>0.209454545454545</v>
      </c>
      <c r="R25" s="38" t="n">
        <f aca="false">IF(SUMIFS(Holdings!$AN$6:$AN$205,Holdings!$H$6:$H$205,$B25)=0,"",SUMIFS(Holdings!$AM$6:$AM$205,Holdings!$H$6:$H$205,$B25)/SUMIFS(Holdings!$AN$6:$AN$205,Holdings!$H$6:$H$205,$B25))</f>
        <v>0.116</v>
      </c>
      <c r="S25" s="38" t="n">
        <f aca="false">IF(SUMIFS(Holdings!$AN$6:$AN$205,Holdings!$H$6:$H$205,$B25)=0,"",SUMIFS(Holdings!$AO$6:$AO$205,Holdings!$H$6:$H$205,$B25)/SUMIFS(Holdings!$AN$6:$AN$205,Holdings!$H$6:$H$205,$B25))</f>
        <v>0.123</v>
      </c>
      <c r="T25" s="38" t="n">
        <f aca="false">IF(N(E25)=0,"",SUMIFS(Holdings!$AN$6:$AN$205,Holdings!$H$6:$H$205,$B25)/Divisor/E25)</f>
        <v>0.635979155652896</v>
      </c>
    </row>
    <row r="26" customFormat="false" ht="15" hidden="false" customHeight="false" outlineLevel="0" collapsed="false">
      <c r="B26" s="35" t="str">
        <f aca="false">Lists!$D$21</f>
        <v>REIT / InvIT</v>
      </c>
      <c r="C26" s="36" t="str">
        <f aca="false">IF(COUNTIFS(Holdings!$H$6:$H$205,$B26,Holdings!$J$6:$J$205,"&gt;0")=0,"",TEXT(_xlfn.MINIFS(Holdings!$J$6:$J$205,Holdings!$H$6:$H$205,$B26),"mmm-yy")&amp;" – "&amp;TEXT(MAX(_xlfn.MAXIFS(Holdings!$J$6:$J$205,Holdings!$H$6:$H$205,$B26),_xlfn.MAXIFS(Holdings!$K$6:$K$205,Holdings!$H$6:$H$205,$B26)),"mmm-yy"))</f>
        <v>Oct-24 – Oct-24</v>
      </c>
      <c r="D26" s="37" t="n">
        <f aca="false">SUMIFS(Holdings!$M$6:$M$205,Holdings!$H$6:$H$205,$B26)/Divisor</f>
        <v>4.4</v>
      </c>
      <c r="E26" s="37" t="n">
        <f aca="false">SUMIFS(Holdings!$R$6:$R$205,Holdings!$H$6:$H$205,$B26)/Divisor</f>
        <v>4.728</v>
      </c>
      <c r="F26" s="38" t="n">
        <f aca="false">IF(N($E$31)=0,"",E26/$E$31)</f>
        <v>0.0341434628551506</v>
      </c>
      <c r="G26" s="38" t="n">
        <f aca="false">IF(N($E$24)=0,"",E26/$E$24)</f>
        <v>0.20751805249048</v>
      </c>
      <c r="I26" s="37" t="n">
        <f aca="false">SUMIFS(Holdings!$U$6:$U$205,Holdings!$H$6:$H$205,$B26)/Divisor</f>
        <v>0.36</v>
      </c>
      <c r="K26" s="37" t="n">
        <f aca="false">(SUMIFS(Holdings!$V$6:$V$205,Holdings!$H$6:$H$205,$B26)+SUMIFS(Holdings!$S$6:$S$205,Holdings!$H$6:$H$205,$B26))/Divisor</f>
        <v>0.328</v>
      </c>
      <c r="M26" s="37" t="n">
        <f aca="false">SUMIFS(Holdings!$S$6:$S$205,Holdings!$H$6:$H$205,$B26)/Divisor</f>
        <v>0.328</v>
      </c>
      <c r="O26" s="38" t="n">
        <f aca="false">IF(N(D26)=0,"",M26/D26)</f>
        <v>0.0745454545454545</v>
      </c>
      <c r="P26" s="38" t="n">
        <f aca="false">IF(SUMIFS(Holdings!$AQ$6:$AQ$205,Holdings!$H$6:$H$205,$B26)=0,"",SUMIFS(Holdings!$AP$6:$AP$205,Holdings!$H$6:$H$205,$B26)/SUMIFS(Holdings!$AQ$6:$AQ$205,Holdings!$H$6:$H$205,$B26))</f>
        <v>0.119</v>
      </c>
      <c r="R26" s="38" t="n">
        <f aca="false">IF(SUMIFS(Holdings!$AN$6:$AN$205,Holdings!$H$6:$H$205,$B26)=0,"",SUMIFS(Holdings!$AM$6:$AM$205,Holdings!$H$6:$H$205,$B26)/SUMIFS(Holdings!$AN$6:$AN$205,Holdings!$H$6:$H$205,$B26))</f>
        <v>0.126</v>
      </c>
      <c r="S26" s="38" t="n">
        <f aca="false">IF(SUMIFS(Holdings!$AN$6:$AN$205,Holdings!$H$6:$H$205,$B26)=0,"",SUMIFS(Holdings!$AO$6:$AO$205,Holdings!$H$6:$H$205,$B26)/SUMIFS(Holdings!$AN$6:$AN$205,Holdings!$H$6:$H$205,$B26))</f>
        <v>0.091</v>
      </c>
      <c r="T26" s="38" t="n">
        <f aca="false">IF(N(E26)=0,"",SUMIFS(Holdings!$AN$6:$AN$205,Holdings!$H$6:$H$205,$B26)/Divisor/E26)</f>
        <v>1</v>
      </c>
    </row>
    <row r="27" customFormat="false" ht="15" hidden="false" customHeight="false" outlineLevel="0" collapsed="false">
      <c r="B27" s="35" t="str">
        <f aca="false">Lists!$D$22</f>
        <v>AIF Cat I / II – PE / VC Fund</v>
      </c>
      <c r="C27" s="36" t="str">
        <f aca="false">IF(COUNTIFS(Holdings!$H$6:$H$205,$B27,Holdings!$J$6:$J$205,"&gt;0")=0,"",TEXT(_xlfn.MINIFS(Holdings!$J$6:$J$205,Holdings!$H$6:$H$205,$B27),"mmm-yy")&amp;" – "&amp;TEXT(MAX(_xlfn.MAXIFS(Holdings!$J$6:$J$205,Holdings!$H$6:$H$205,$B27),_xlfn.MAXIFS(Holdings!$K$6:$K$205,Holdings!$H$6:$H$205,$B27)),"mmm-yy"))</f>
        <v>Sep-23 – Apr-26</v>
      </c>
      <c r="D27" s="37" t="n">
        <f aca="false">SUMIFS(Holdings!$M$6:$M$205,Holdings!$H$6:$H$205,$B27)/Divisor</f>
        <v>6</v>
      </c>
      <c r="E27" s="37" t="n">
        <f aca="false">SUMIFS(Holdings!$R$6:$R$205,Holdings!$H$6:$H$205,$B27)/Divisor</f>
        <v>7.5888</v>
      </c>
      <c r="F27" s="38" t="n">
        <f aca="false">IF(N($E$31)=0,"",E27/$E$31)</f>
        <v>0.0548028576385717</v>
      </c>
      <c r="G27" s="38" t="n">
        <f aca="false">IF(N($E$24)=0,"",E27/$E$24)</f>
        <v>0.333082275114161</v>
      </c>
      <c r="I27" s="37" t="n">
        <f aca="false">SUMIFS(Holdings!$U$6:$U$205,Holdings!$H$6:$H$205,$B27)/Divisor</f>
        <v>0</v>
      </c>
      <c r="K27" s="37" t="n">
        <f aca="false">(SUMIFS(Holdings!$V$6:$V$205,Holdings!$H$6:$H$205,$B27)+SUMIFS(Holdings!$S$6:$S$205,Holdings!$H$6:$H$205,$B27))/Divisor</f>
        <v>1.7988</v>
      </c>
      <c r="M27" s="37" t="n">
        <f aca="false">SUMIFS(Holdings!$S$6:$S$205,Holdings!$H$6:$H$205,$B27)/Divisor</f>
        <v>1.5888</v>
      </c>
      <c r="O27" s="38" t="n">
        <f aca="false">IF(N(D27)=0,"",M27/D27)</f>
        <v>0.2648</v>
      </c>
      <c r="P27" s="38" t="n">
        <f aca="false">IF(SUMIFS(Holdings!$AQ$6:$AQ$205,Holdings!$H$6:$H$205,$B27)=0,"",SUMIFS(Holdings!$AP$6:$AP$205,Holdings!$H$6:$H$205,$B27)/SUMIFS(Holdings!$AQ$6:$AQ$205,Holdings!$H$6:$H$205,$B27))</f>
        <v>0.34</v>
      </c>
      <c r="R27" s="38" t="n">
        <f aca="false">IF(SUMIFS(Holdings!$AN$6:$AN$205,Holdings!$H$6:$H$205,$B27)=0,"",SUMIFS(Holdings!$AM$6:$AM$205,Holdings!$H$6:$H$205,$B27)/SUMIFS(Holdings!$AN$6:$AN$205,Holdings!$H$6:$H$205,$B27))</f>
        <v>0.151</v>
      </c>
      <c r="S27" s="38" t="n">
        <f aca="false">IF(SUMIFS(Holdings!$AN$6:$AN$205,Holdings!$H$6:$H$205,$B27)=0,"",SUMIFS(Holdings!$AO$6:$AO$205,Holdings!$H$6:$H$205,$B27)/SUMIFS(Holdings!$AN$6:$AN$205,Holdings!$H$6:$H$205,$B27))</f>
        <v>0.128</v>
      </c>
      <c r="T27" s="38" t="n">
        <f aca="false">IF(N(E27)=0,"",SUMIFS(Holdings!$AN$6:$AN$205,Holdings!$H$6:$H$205,$B27)/Divisor/E27)</f>
        <v>1</v>
      </c>
    </row>
    <row r="28" customFormat="false" ht="15" hidden="false" customHeight="false" outlineLevel="0" collapsed="false">
      <c r="B28" s="35" t="str">
        <f aca="false">Lists!$D$23</f>
        <v>Private Equity – Unlisted Shares</v>
      </c>
      <c r="C28" s="36" t="str">
        <f aca="false">IF(COUNTIFS(Holdings!$H$6:$H$205,$B28,Holdings!$J$6:$J$205,"&gt;0")=0,"",TEXT(_xlfn.MINIFS(Holdings!$J$6:$J$205,Holdings!$H$6:$H$205,$B28),"mmm-yy")&amp;" – "&amp;TEXT(MAX(_xlfn.MAXIFS(Holdings!$J$6:$J$205,Holdings!$H$6:$H$205,$B28),_xlfn.MAXIFS(Holdings!$K$6:$K$205,Holdings!$H$6:$H$205,$B28)),"mmm-yy"))</f>
        <v>Aug-24 – Jan-26</v>
      </c>
      <c r="D28" s="37" t="n">
        <f aca="false">SUMIFS(Holdings!$M$6:$M$205,Holdings!$H$6:$H$205,$B28)/Divisor</f>
        <v>2.5</v>
      </c>
      <c r="E28" s="37" t="n">
        <f aca="false">SUMIFS(Holdings!$R$6:$R$205,Holdings!$H$6:$H$205,$B28)/Divisor</f>
        <v>2.5</v>
      </c>
      <c r="F28" s="38" t="n">
        <f aca="false">IF(N($E$31)=0,"",E28/$E$31)</f>
        <v>0.0180538614927827</v>
      </c>
      <c r="G28" s="38" t="n">
        <f aca="false">IF(N($E$24)=0,"",E28/$E$24)</f>
        <v>0.109728242645135</v>
      </c>
      <c r="I28" s="37" t="n">
        <f aca="false">SUMIFS(Holdings!$U$6:$U$205,Holdings!$H$6:$H$205,$B28)/Divisor</f>
        <v>0</v>
      </c>
      <c r="K28" s="37" t="n">
        <f aca="false">(SUMIFS(Holdings!$V$6:$V$205,Holdings!$H$6:$H$205,$B28)+SUMIFS(Holdings!$S$6:$S$205,Holdings!$H$6:$H$205,$B28))/Divisor</f>
        <v>0</v>
      </c>
      <c r="M28" s="37" t="n">
        <f aca="false">SUMIFS(Holdings!$S$6:$S$205,Holdings!$H$6:$H$205,$B28)/Divisor</f>
        <v>0</v>
      </c>
      <c r="O28" s="38" t="n">
        <f aca="false">IF(N(D28)=0,"",M28/D28)</f>
        <v>0</v>
      </c>
      <c r="P28" s="38" t="str">
        <f aca="false">IF(SUMIFS(Holdings!$AQ$6:$AQ$205,Holdings!$H$6:$H$205,$B28)=0,"",SUMIFS(Holdings!$AP$6:$AP$205,Holdings!$H$6:$H$205,$B28)/SUMIFS(Holdings!$AQ$6:$AQ$205,Holdings!$H$6:$H$205,$B28))</f>
        <v/>
      </c>
      <c r="R28" s="38" t="str">
        <f aca="false">IF(SUMIFS(Holdings!$AN$6:$AN$205,Holdings!$H$6:$H$205,$B28)=0,"",SUMIFS(Holdings!$AM$6:$AM$205,Holdings!$H$6:$H$205,$B28)/SUMIFS(Holdings!$AN$6:$AN$205,Holdings!$H$6:$H$205,$B28))</f>
        <v/>
      </c>
      <c r="S28" s="38" t="str">
        <f aca="false">IF(SUMIFS(Holdings!$AN$6:$AN$205,Holdings!$H$6:$H$205,$B28)=0,"",SUMIFS(Holdings!$AO$6:$AO$205,Holdings!$H$6:$H$205,$B28)/SUMIFS(Holdings!$AN$6:$AN$205,Holdings!$H$6:$H$205,$B28))</f>
        <v/>
      </c>
      <c r="T28" s="38" t="n">
        <f aca="false">IF(N(E28)=0,"",SUMIFS(Holdings!$AN$6:$AN$205,Holdings!$H$6:$H$205,$B28)/Divisor/E28)</f>
        <v>0</v>
      </c>
    </row>
    <row r="29" customFormat="false" ht="15" hidden="false" customHeight="false" outlineLevel="0" collapsed="false">
      <c r="B29" s="35" t="str">
        <f aca="false">Lists!$D$24</f>
        <v>Pre-IPO</v>
      </c>
      <c r="C29" s="36" t="str">
        <f aca="false">IF(COUNTIFS(Holdings!$H$6:$H$205,$B29,Holdings!$J$6:$J$205,"&gt;0")=0,"",TEXT(_xlfn.MINIFS(Holdings!$J$6:$J$205,Holdings!$H$6:$H$205,$B29),"mmm-yy")&amp;" – "&amp;TEXT(MAX(_xlfn.MAXIFS(Holdings!$J$6:$J$205,Holdings!$H$6:$H$205,$B29),_xlfn.MAXIFS(Holdings!$K$6:$K$205,Holdings!$H$6:$H$205,$B29)),"mmm-yy"))</f>
        <v>Nov-25 – Nov-25</v>
      </c>
      <c r="D29" s="37" t="n">
        <f aca="false">SUMIFS(Holdings!$M$6:$M$205,Holdings!$H$6:$H$205,$B29)/Divisor</f>
        <v>3.2</v>
      </c>
      <c r="E29" s="37" t="n">
        <f aca="false">SUMIFS(Holdings!$R$6:$R$205,Holdings!$H$6:$H$205,$B29)/Divisor</f>
        <v>3.2</v>
      </c>
      <c r="F29" s="38" t="n">
        <f aca="false">IF(N($E$31)=0,"",E29/$E$31)</f>
        <v>0.0231089427107618</v>
      </c>
      <c r="G29" s="38" t="n">
        <f aca="false">IF(N($E$24)=0,"",E29/$E$24)</f>
        <v>0.140452150585773</v>
      </c>
      <c r="I29" s="37" t="n">
        <f aca="false">SUMIFS(Holdings!$U$6:$U$205,Holdings!$H$6:$H$205,$B29)/Divisor</f>
        <v>0</v>
      </c>
      <c r="K29" s="37" t="n">
        <f aca="false">(SUMIFS(Holdings!$V$6:$V$205,Holdings!$H$6:$H$205,$B29)+SUMIFS(Holdings!$S$6:$S$205,Holdings!$H$6:$H$205,$B29))/Divisor</f>
        <v>0</v>
      </c>
      <c r="M29" s="37" t="n">
        <f aca="false">SUMIFS(Holdings!$S$6:$S$205,Holdings!$H$6:$H$205,$B29)/Divisor</f>
        <v>0</v>
      </c>
      <c r="O29" s="38" t="n">
        <f aca="false">IF(N(D29)=0,"",M29/D29)</f>
        <v>0</v>
      </c>
      <c r="P29" s="38" t="str">
        <f aca="false">IF(SUMIFS(Holdings!$AQ$6:$AQ$205,Holdings!$H$6:$H$205,$B29)=0,"",SUMIFS(Holdings!$AP$6:$AP$205,Holdings!$H$6:$H$205,$B29)/SUMIFS(Holdings!$AQ$6:$AQ$205,Holdings!$H$6:$H$205,$B29))</f>
        <v/>
      </c>
      <c r="R29" s="38" t="str">
        <f aca="false">IF(SUMIFS(Holdings!$AN$6:$AN$205,Holdings!$H$6:$H$205,$B29)=0,"",SUMIFS(Holdings!$AM$6:$AM$205,Holdings!$H$6:$H$205,$B29)/SUMIFS(Holdings!$AN$6:$AN$205,Holdings!$H$6:$H$205,$B29))</f>
        <v/>
      </c>
      <c r="S29" s="38" t="str">
        <f aca="false">IF(SUMIFS(Holdings!$AN$6:$AN$205,Holdings!$H$6:$H$205,$B29)=0,"",SUMIFS(Holdings!$AO$6:$AO$205,Holdings!$H$6:$H$205,$B29)/SUMIFS(Holdings!$AN$6:$AN$205,Holdings!$H$6:$H$205,$B29))</f>
        <v/>
      </c>
      <c r="T29" s="38" t="n">
        <f aca="false">IF(N(E29)=0,"",SUMIFS(Holdings!$AN$6:$AN$205,Holdings!$H$6:$H$205,$B29)/Divisor/E29)</f>
        <v>0</v>
      </c>
    </row>
    <row r="31" customFormat="false" ht="15" hidden="false" customHeight="false" outlineLevel="0" collapsed="false">
      <c r="B31" s="39" t="s">
        <v>92</v>
      </c>
      <c r="C31" s="40" t="str">
        <f aca="false">IF(COUNT(Holdings!$J$6:$J$205)=0,"",TEXT(MIN(Holdings!$J$6:$J$205),"mmm-yy")&amp;" – "&amp;TEXT(MAX(MAX(Holdings!$J$6:$J$205),MAX(Holdings!$K$6:$K$205)),"mmm-yy"))</f>
        <v>Mar-16 – Jun-26</v>
      </c>
      <c r="D31" s="41" t="n">
        <f aca="false">SUM(Holdings!$M$6:$M$205)/Divisor</f>
        <v>110.19353</v>
      </c>
      <c r="E31" s="41" t="n">
        <f aca="false">SUM(Holdings!$R$6:$R$205)/Divisor</f>
        <v>138.474530836487</v>
      </c>
      <c r="F31" s="42" t="n">
        <f aca="false">N(F7)+N(F15)+N(F20)+N(F24)</f>
        <v>1</v>
      </c>
      <c r="G31" s="43"/>
      <c r="H31" s="43"/>
      <c r="I31" s="41" t="n">
        <f aca="false">SUM(Holdings!$U$6:$U$205)/Divisor</f>
        <v>1.2235</v>
      </c>
      <c r="J31" s="43"/>
      <c r="K31" s="41" t="n">
        <f aca="false">(SUM(Holdings!$V$6:$V$205)+SUM(Holdings!$S$6:$S$205))/Divisor</f>
        <v>32.890000836487</v>
      </c>
      <c r="L31" s="43"/>
      <c r="M31" s="41" t="n">
        <f aca="false">SUM(Holdings!$S$6:$S$205)/Divisor</f>
        <v>28.281000836487</v>
      </c>
      <c r="N31" s="43"/>
      <c r="O31" s="42" t="n">
        <f aca="false">IF(N(D31)=0,"",M31/D31)</f>
        <v>0.25664846961965</v>
      </c>
      <c r="P31" s="42" t="n">
        <f aca="false">IF(SUM(Holdings!$AQ$6:$AQ$205)=0,"",SUM(Holdings!$AP$6:$AP$205)/SUM(Holdings!$AQ$6:$AQ$205))</f>
        <v>0.356544503627001</v>
      </c>
      <c r="Q31" s="43"/>
      <c r="R31" s="42" t="n">
        <f aca="false">IF(SUM(Holdings!$AN$6:$AN$205)=0,"",SUM(Holdings!$AM$6:$AM$205)/SUM(Holdings!$AN$6:$AN$205))</f>
        <v>0.136980291027967</v>
      </c>
      <c r="S31" s="42" t="n">
        <f aca="false">IF(SUM(Holdings!$AN$6:$AN$205)=0,"",SUM(Holdings!$AO$6:$AO$205)/SUM(Holdings!$AN$6:$AN$205))</f>
        <v>0.121545403208306</v>
      </c>
      <c r="T31" s="42" t="n">
        <f aca="false">IF(N(E31)=0,"",SUM(Holdings!$AN$6:$AN$205)/Divisor/E31)</f>
        <v>0.767057763113999</v>
      </c>
    </row>
    <row r="33" customFormat="false" ht="15" hidden="false" customHeight="false" outlineLevel="0" collapsed="false">
      <c r="B33" s="7" t="s">
        <v>93</v>
      </c>
    </row>
    <row r="34" customFormat="false" ht="15" hidden="false" customHeight="false" outlineLevel="0" collapsed="false">
      <c r="B34" s="7" t="s">
        <v>94</v>
      </c>
    </row>
    <row r="35" customFormat="false" ht="15" hidden="false" customHeight="false" outlineLevel="0" collapsed="false">
      <c r="B35" s="7" t="s">
        <v>95</v>
      </c>
    </row>
    <row r="36" customFormat="false" ht="15" hidden="false" customHeight="false" outlineLevel="0" collapsed="false">
      <c r="B36" s="7" t="s">
        <v>96</v>
      </c>
    </row>
    <row r="38" customFormat="false" ht="15" hidden="false" customHeight="true" outlineLevel="0" collapsed="false">
      <c r="B38" s="4" t="s">
        <v>97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30" hidden="false" customHeight="true" outlineLevel="0" collapsed="false">
      <c r="B39" s="23" t="s">
        <v>98</v>
      </c>
      <c r="C39" s="23" t="s">
        <v>99</v>
      </c>
      <c r="D39" s="23" t="s">
        <v>100</v>
      </c>
      <c r="E39" s="23" t="s">
        <v>101</v>
      </c>
      <c r="F39" s="23" t="s">
        <v>102</v>
      </c>
      <c r="G39" s="23" t="s">
        <v>103</v>
      </c>
      <c r="I39" s="23" t="s">
        <v>104</v>
      </c>
      <c r="K39" s="23" t="s">
        <v>105</v>
      </c>
      <c r="M39" s="23" t="s">
        <v>106</v>
      </c>
      <c r="O39" s="23" t="s">
        <v>107</v>
      </c>
      <c r="P39" s="23" t="s">
        <v>108</v>
      </c>
      <c r="R39" s="23" t="s">
        <v>109</v>
      </c>
      <c r="S39" s="23" t="s">
        <v>110</v>
      </c>
      <c r="T39" s="23" t="s">
        <v>111</v>
      </c>
    </row>
    <row r="40" customFormat="false" ht="15" hidden="false" customHeight="false" outlineLevel="0" collapsed="false">
      <c r="B40" s="44" t="str">
        <f aca="false">IF(INDEX(Commitments!$A$6:$A$35,1)="","",INDEX(Commitments!$E$6:$E$35,1)&amp;"")</f>
        <v>Fernhill Ventures Fund II – Class A</v>
      </c>
      <c r="C40" s="44" t="str">
        <f aca="false">IF(INDEX(Commitments!$A$6:$A$35,1)="","",INDEX(Commitments!$D$6:$D$35,1)&amp;"")</f>
        <v>Malhotra Family Trust</v>
      </c>
      <c r="D40" s="37" t="n">
        <f aca="false">IF(INDEX(Commitments!$A$6:$A$35,1)="","",IF(INDEX(Commitments!$G$6:$G$35,1)="","",INDEX(Commitments!$G$6:$G$35,1)/Divisor))</f>
        <v>10</v>
      </c>
      <c r="E40" s="37" t="n">
        <f aca="false">IF(INDEX(Commitments!$A$6:$A$35,1)="","",IF(INDEX(Commitments!$H$6:$H$35,1)="","",INDEX(Commitments!$H$6:$H$35,1)/Divisor))</f>
        <v>6</v>
      </c>
      <c r="F40" s="38" t="n">
        <f aca="false">IF(INDEX(Commitments!$A$6:$A$35,1)="","",IF(INDEX(Commitments!$M$6:$M$35,1)="","",INDEX(Commitments!$M$6:$M$35,1)))</f>
        <v>0.6</v>
      </c>
      <c r="G40" s="37" t="n">
        <f aca="false">IF(INDEX(Commitments!$A$6:$A$35,1)="","",IF(INDEX(Commitments!$I$6:$I$35,1)="","",INDEX(Commitments!$I$6:$I$35,1)/Divisor))</f>
        <v>6</v>
      </c>
      <c r="I40" s="37" t="n">
        <f aca="false">IF(INDEX(Commitments!$A$6:$A$35,1)="","",IF(INDEX(Commitments!$K$6:$K$35,1)="","",INDEX(Commitments!$K$6:$K$35,1)/Divisor))</f>
        <v>4</v>
      </c>
      <c r="K40" s="37" t="n">
        <f aca="false">IF(INDEX(Commitments!$A$6:$A$35,1)="","",IF(INDEX(Commitments!$L$6:$L$35,1)="","",INDEX(Commitments!$L$6:$L$35,1)/Divisor))</f>
        <v>0</v>
      </c>
      <c r="M40" s="37" t="n">
        <f aca="false">IF(INDEX(Commitments!$A$6:$A$35,1)="","",IF(INDEX(Commitments!$J$6:$J$35,1)="","",INDEX(Commitments!$J$6:$J$35,1)/Divisor))</f>
        <v>0.85</v>
      </c>
      <c r="O40" s="37" t="n">
        <f aca="false">IF(INDEX(Commitments!$A$6:$A$35,1)="","",IF(INDEX(Commitments!$N$6:$N$35,1)="","",INDEX(Commitments!$N$6:$N$35,1)/Divisor))</f>
        <v>7.5888</v>
      </c>
      <c r="P40" s="45" t="n">
        <f aca="false">IF(INDEX(Commitments!$A$6:$A$35,1)="","",IF(INDEX(Commitments!$O$6:$O$35,1)="","",INDEX(Commitments!$O$6:$O$35,1)))</f>
        <v>1.40646666666667</v>
      </c>
      <c r="R40" s="45" t="n">
        <f aca="false">IF(INDEX(Commitments!$A$6:$A$35,1)="","",IF(INDEX(Commitments!$P$6:$P$35,1)="","",INDEX(Commitments!$P$6:$P$35,1)))</f>
        <v>0.141666666666667</v>
      </c>
      <c r="S40" s="46" t="n">
        <f aca="false">IF(INDEX(Commitments!$A$6:$A$35,1)="","",IF(INDEX(Commitments!$Q$6:$Q$35,1)="","",INDEX(Commitments!$Q$6:$Q$35,1)))</f>
        <v>46280</v>
      </c>
      <c r="T40" s="37" t="n">
        <f aca="false">IF(INDEX(Commitments!$A$6:$A$35,1)="","",IF(INDEX(Commitments!$R$6:$R$35,1)="","",INDEX(Commitments!$R$6:$R$35,1)/Divisor))</f>
        <v>1</v>
      </c>
    </row>
    <row r="41" customFormat="false" ht="15" hidden="false" customHeight="false" outlineLevel="0" collapsed="false">
      <c r="B41" s="44" t="str">
        <f aca="false">IF(INDEX(Commitments!$A$6:$A$35,2)="","",INDEX(Commitments!$E$6:$E$35,2)&amp;"")</f>
        <v>Quill Robotics Pvt Ltd – Series A CCPS</v>
      </c>
      <c r="C41" s="44" t="str">
        <f aca="false">IF(INDEX(Commitments!$A$6:$A$35,2)="","",INDEX(Commitments!$D$6:$D$35,2)&amp;"")</f>
        <v>Rajiv Malhotra</v>
      </c>
      <c r="D41" s="37" t="n">
        <f aca="false">IF(INDEX(Commitments!$A$6:$A$35,2)="","",IF(INDEX(Commitments!$G$6:$G$35,2)="","",INDEX(Commitments!$G$6:$G$35,2)/Divisor))</f>
        <v>3</v>
      </c>
      <c r="E41" s="37" t="n">
        <f aca="false">IF(INDEX(Commitments!$A$6:$A$35,2)="","",IF(INDEX(Commitments!$H$6:$H$35,2)="","",INDEX(Commitments!$H$6:$H$35,2)/Divisor))</f>
        <v>2.5</v>
      </c>
      <c r="F41" s="38" t="n">
        <f aca="false">IF(INDEX(Commitments!$A$6:$A$35,2)="","",IF(INDEX(Commitments!$M$6:$M$35,2)="","",INDEX(Commitments!$M$6:$M$35,2)))</f>
        <v>0.833333333333333</v>
      </c>
      <c r="G41" s="37" t="n">
        <f aca="false">IF(INDEX(Commitments!$A$6:$A$35,2)="","",IF(INDEX(Commitments!$I$6:$I$35,2)="","",INDEX(Commitments!$I$6:$I$35,2)/Divisor))</f>
        <v>2.5</v>
      </c>
      <c r="I41" s="37" t="n">
        <f aca="false">IF(INDEX(Commitments!$A$6:$A$35,2)="","",IF(INDEX(Commitments!$K$6:$K$35,2)="","",INDEX(Commitments!$K$6:$K$35,2)/Divisor))</f>
        <v>0.5</v>
      </c>
      <c r="K41" s="37" t="n">
        <f aca="false">IF(INDEX(Commitments!$A$6:$A$35,2)="","",IF(INDEX(Commitments!$L$6:$L$35,2)="","",INDEX(Commitments!$L$6:$L$35,2)/Divisor))</f>
        <v>0</v>
      </c>
      <c r="M41" s="37" t="n">
        <f aca="false">IF(INDEX(Commitments!$A$6:$A$35,2)="","",IF(INDEX(Commitments!$J$6:$J$35,2)="","",INDEX(Commitments!$J$6:$J$35,2)/Divisor))</f>
        <v>0</v>
      </c>
      <c r="O41" s="37" t="n">
        <f aca="false">IF(INDEX(Commitments!$A$6:$A$35,2)="","",IF(INDEX(Commitments!$N$6:$N$35,2)="","",INDEX(Commitments!$N$6:$N$35,2)/Divisor))</f>
        <v>2.5</v>
      </c>
      <c r="P41" s="45" t="n">
        <f aca="false">IF(INDEX(Commitments!$A$6:$A$35,2)="","",IF(INDEX(Commitments!$O$6:$O$35,2)="","",INDEX(Commitments!$O$6:$O$35,2)))</f>
        <v>1</v>
      </c>
      <c r="R41" s="45" t="n">
        <f aca="false">IF(INDEX(Commitments!$A$6:$A$35,2)="","",IF(INDEX(Commitments!$P$6:$P$35,2)="","",INDEX(Commitments!$P$6:$P$35,2)))</f>
        <v>0</v>
      </c>
      <c r="S41" s="46" t="n">
        <f aca="false">IF(INDEX(Commitments!$A$6:$A$35,2)="","",IF(INDEX(Commitments!$Q$6:$Q$35,2)="","",INDEX(Commitments!$Q$6:$Q$35,2)))</f>
        <v>46305</v>
      </c>
      <c r="T41" s="37" t="n">
        <f aca="false">IF(INDEX(Commitments!$A$6:$A$35,2)="","",IF(INDEX(Commitments!$R$6:$R$35,2)="","",INDEX(Commitments!$R$6:$R$35,2)/Divisor))</f>
        <v>0.5</v>
      </c>
    </row>
    <row r="42" customFormat="false" ht="15" hidden="false" customHeight="false" outlineLevel="0" collapsed="false">
      <c r="B42" s="44" t="str">
        <f aca="false">IF(INDEX(Commitments!$A$6:$A$35,3)="","",INDEX(Commitments!$E$6:$E$35,3)&amp;"")</f>
        <v>Rangoli Foods Pvt Ltd – Equity</v>
      </c>
      <c r="C42" s="44" t="str">
        <f aca="false">IF(INDEX(Commitments!$A$6:$A$35,3)="","",INDEX(Commitments!$D$6:$D$35,3)&amp;"")</f>
        <v>Malhotra Holdings LLP</v>
      </c>
      <c r="D42" s="37" t="n">
        <f aca="false">IF(INDEX(Commitments!$A$6:$A$35,3)="","",IF(INDEX(Commitments!$G$6:$G$35,3)="","",INDEX(Commitments!$G$6:$G$35,3)/Divisor))</f>
        <v>3.2</v>
      </c>
      <c r="E42" s="37" t="n">
        <f aca="false">IF(INDEX(Commitments!$A$6:$A$35,3)="","",IF(INDEX(Commitments!$H$6:$H$35,3)="","",INDEX(Commitments!$H$6:$H$35,3)/Divisor))</f>
        <v>3.2</v>
      </c>
      <c r="F42" s="38" t="n">
        <f aca="false">IF(INDEX(Commitments!$A$6:$A$35,3)="","",IF(INDEX(Commitments!$M$6:$M$35,3)="","",INDEX(Commitments!$M$6:$M$35,3)))</f>
        <v>1</v>
      </c>
      <c r="G42" s="37" t="n">
        <f aca="false">IF(INDEX(Commitments!$A$6:$A$35,3)="","",IF(INDEX(Commitments!$I$6:$I$35,3)="","",INDEX(Commitments!$I$6:$I$35,3)/Divisor))</f>
        <v>3.2</v>
      </c>
      <c r="I42" s="37" t="n">
        <f aca="false">IF(INDEX(Commitments!$A$6:$A$35,3)="","",IF(INDEX(Commitments!$K$6:$K$35,3)="","",INDEX(Commitments!$K$6:$K$35,3)/Divisor))</f>
        <v>0</v>
      </c>
      <c r="K42" s="37" t="n">
        <f aca="false">IF(INDEX(Commitments!$A$6:$A$35,3)="","",IF(INDEX(Commitments!$L$6:$L$35,3)="","",INDEX(Commitments!$L$6:$L$35,3)/Divisor))</f>
        <v>0</v>
      </c>
      <c r="M42" s="37" t="n">
        <f aca="false">IF(INDEX(Commitments!$A$6:$A$35,3)="","",IF(INDEX(Commitments!$J$6:$J$35,3)="","",INDEX(Commitments!$J$6:$J$35,3)/Divisor))</f>
        <v>0</v>
      </c>
      <c r="O42" s="37" t="n">
        <f aca="false">IF(INDEX(Commitments!$A$6:$A$35,3)="","",IF(INDEX(Commitments!$N$6:$N$35,3)="","",INDEX(Commitments!$N$6:$N$35,3)/Divisor))</f>
        <v>3.2</v>
      </c>
      <c r="P42" s="45" t="n">
        <f aca="false">IF(INDEX(Commitments!$A$6:$A$35,3)="","",IF(INDEX(Commitments!$O$6:$O$35,3)="","",INDEX(Commitments!$O$6:$O$35,3)))</f>
        <v>1</v>
      </c>
      <c r="R42" s="45" t="n">
        <f aca="false">IF(INDEX(Commitments!$A$6:$A$35,3)="","",IF(INDEX(Commitments!$P$6:$P$35,3)="","",INDEX(Commitments!$P$6:$P$35,3)))</f>
        <v>0</v>
      </c>
      <c r="S42" s="46" t="str">
        <f aca="false">IF(INDEX(Commitments!$A$6:$A$35,3)="","",IF(INDEX(Commitments!$Q$6:$Q$35,3)="","",INDEX(Commitments!$Q$6:$Q$35,3)))</f>
        <v/>
      </c>
      <c r="T42" s="37" t="str">
        <f aca="false">IF(INDEX(Commitments!$A$6:$A$35,3)="","",IF(INDEX(Commitments!$R$6:$R$35,3)="","",INDEX(Commitments!$R$6:$R$35,3)/Divisor))</f>
        <v/>
      </c>
    </row>
    <row r="43" customFormat="false" ht="15" hidden="false" customHeight="false" outlineLevel="0" collapsed="false">
      <c r="B43" s="44" t="str">
        <f aca="false">IF(INDEX(Commitments!$A$6:$A$35,4)="","",INDEX(Commitments!$E$6:$E$35,4)&amp;"")</f>
        <v>Sahyadri Private Credit Fund – Series I</v>
      </c>
      <c r="C43" s="44" t="str">
        <f aca="false">IF(INDEX(Commitments!$A$6:$A$35,4)="","",INDEX(Commitments!$D$6:$D$35,4)&amp;"")</f>
        <v>Malhotra Family Trust</v>
      </c>
      <c r="D43" s="37" t="n">
        <f aca="false">IF(INDEX(Commitments!$A$6:$A$35,4)="","",IF(INDEX(Commitments!$G$6:$G$35,4)="","",INDEX(Commitments!$G$6:$G$35,4)/Divisor))</f>
        <v>5</v>
      </c>
      <c r="E43" s="37" t="n">
        <f aca="false">IF(INDEX(Commitments!$A$6:$A$35,4)="","",IF(INDEX(Commitments!$H$6:$H$35,4)="","",INDEX(Commitments!$H$6:$H$35,4)/Divisor))</f>
        <v>1.25</v>
      </c>
      <c r="F43" s="38" t="n">
        <f aca="false">IF(INDEX(Commitments!$A$6:$A$35,4)="","",IF(INDEX(Commitments!$M$6:$M$35,4)="","",INDEX(Commitments!$M$6:$M$35,4)))</f>
        <v>0.25</v>
      </c>
      <c r="G43" s="37" t="n">
        <f aca="false">IF(INDEX(Commitments!$A$6:$A$35,4)="","",IF(INDEX(Commitments!$I$6:$I$35,4)="","",INDEX(Commitments!$I$6:$I$35,4)/Divisor))</f>
        <v>1</v>
      </c>
      <c r="I43" s="37" t="n">
        <f aca="false">IF(INDEX(Commitments!$A$6:$A$35,4)="","",IF(INDEX(Commitments!$K$6:$K$35,4)="","",INDEX(Commitments!$K$6:$K$35,4)/Divisor))</f>
        <v>3.75</v>
      </c>
      <c r="K43" s="37" t="n">
        <f aca="false">IF(INDEX(Commitments!$A$6:$A$35,4)="","",IF(INDEX(Commitments!$L$6:$L$35,4)="","",INDEX(Commitments!$L$6:$L$35,4)/Divisor))</f>
        <v>0.25</v>
      </c>
      <c r="M43" s="37" t="n">
        <f aca="false">IF(INDEX(Commitments!$A$6:$A$35,4)="","",IF(INDEX(Commitments!$J$6:$J$35,4)="","",INDEX(Commitments!$J$6:$J$35,4)/Divisor))</f>
        <v>0</v>
      </c>
      <c r="O43" s="37" t="n">
        <f aca="false">IF(INDEX(Commitments!$A$6:$A$35,4)="","",IF(INDEX(Commitments!$N$6:$N$35,4)="","",INDEX(Commitments!$N$6:$N$35,4)/Divisor))</f>
        <v>1.0382</v>
      </c>
      <c r="P43" s="45" t="n">
        <f aca="false">IF(INDEX(Commitments!$A$6:$A$35,4)="","",IF(INDEX(Commitments!$O$6:$O$35,4)="","",INDEX(Commitments!$O$6:$O$35,4)))</f>
        <v>1.0382</v>
      </c>
      <c r="R43" s="45" t="n">
        <f aca="false">IF(INDEX(Commitments!$A$6:$A$35,4)="","",IF(INDEX(Commitments!$P$6:$P$35,4)="","",INDEX(Commitments!$P$6:$P$35,4)))</f>
        <v>0</v>
      </c>
      <c r="S43" s="46" t="n">
        <f aca="false">IF(INDEX(Commitments!$A$6:$A$35,4)="","",IF(INDEX(Commitments!$Q$6:$Q$35,4)="","",INDEX(Commitments!$Q$6:$Q$35,4)))</f>
        <v>46315</v>
      </c>
      <c r="T43" s="37" t="n">
        <f aca="false">IF(INDEX(Commitments!$A$6:$A$35,4)="","",IF(INDEX(Commitments!$R$6:$R$35,4)="","",INDEX(Commitments!$R$6:$R$35,4)/Divisor))</f>
        <v>0.5</v>
      </c>
    </row>
    <row r="44" customFormat="false" ht="15" hidden="false" customHeight="false" outlineLevel="0" collapsed="false">
      <c r="B44" s="44" t="str">
        <f aca="false">IF(INDEX(Commitments!$A$6:$A$35,5)="","",INDEX(Commitments!$E$6:$E$35,5)&amp;"")</f>
        <v/>
      </c>
      <c r="C44" s="44" t="str">
        <f aca="false">IF(INDEX(Commitments!$A$6:$A$35,5)="","",INDEX(Commitments!$D$6:$D$35,5)&amp;"")</f>
        <v/>
      </c>
      <c r="D44" s="37" t="str">
        <f aca="false">IF(INDEX(Commitments!$A$6:$A$35,5)="","",IF(INDEX(Commitments!$G$6:$G$35,5)="","",INDEX(Commitments!$G$6:$G$35,5)/Divisor))</f>
        <v/>
      </c>
      <c r="E44" s="37" t="str">
        <f aca="false">IF(INDEX(Commitments!$A$6:$A$35,5)="","",IF(INDEX(Commitments!$H$6:$H$35,5)="","",INDEX(Commitments!$H$6:$H$35,5)/Divisor))</f>
        <v/>
      </c>
      <c r="F44" s="38" t="str">
        <f aca="false">IF(INDEX(Commitments!$A$6:$A$35,5)="","",IF(INDEX(Commitments!$M$6:$M$35,5)="","",INDEX(Commitments!$M$6:$M$35,5)))</f>
        <v/>
      </c>
      <c r="G44" s="37" t="str">
        <f aca="false">IF(INDEX(Commitments!$A$6:$A$35,5)="","",IF(INDEX(Commitments!$I$6:$I$35,5)="","",INDEX(Commitments!$I$6:$I$35,5)/Divisor))</f>
        <v/>
      </c>
      <c r="I44" s="37" t="str">
        <f aca="false">IF(INDEX(Commitments!$A$6:$A$35,5)="","",IF(INDEX(Commitments!$K$6:$K$35,5)="","",INDEX(Commitments!$K$6:$K$35,5)/Divisor))</f>
        <v/>
      </c>
      <c r="K44" s="37" t="str">
        <f aca="false">IF(INDEX(Commitments!$A$6:$A$35,5)="","",IF(INDEX(Commitments!$L$6:$L$35,5)="","",INDEX(Commitments!$L$6:$L$35,5)/Divisor))</f>
        <v/>
      </c>
      <c r="M44" s="37" t="str">
        <f aca="false">IF(INDEX(Commitments!$A$6:$A$35,5)="","",IF(INDEX(Commitments!$J$6:$J$35,5)="","",INDEX(Commitments!$J$6:$J$35,5)/Divisor))</f>
        <v/>
      </c>
      <c r="O44" s="37" t="str">
        <f aca="false">IF(INDEX(Commitments!$A$6:$A$35,5)="","",IF(INDEX(Commitments!$N$6:$N$35,5)="","",INDEX(Commitments!$N$6:$N$35,5)/Divisor))</f>
        <v/>
      </c>
      <c r="P44" s="45" t="str">
        <f aca="false">IF(INDEX(Commitments!$A$6:$A$35,5)="","",IF(INDEX(Commitments!$O$6:$O$35,5)="","",INDEX(Commitments!$O$6:$O$35,5)))</f>
        <v/>
      </c>
      <c r="R44" s="45" t="str">
        <f aca="false">IF(INDEX(Commitments!$A$6:$A$35,5)="","",IF(INDEX(Commitments!$P$6:$P$35,5)="","",INDEX(Commitments!$P$6:$P$35,5)))</f>
        <v/>
      </c>
      <c r="S44" s="46" t="str">
        <f aca="false">IF(INDEX(Commitments!$A$6:$A$35,5)="","",IF(INDEX(Commitments!$Q$6:$Q$35,5)="","",INDEX(Commitments!$Q$6:$Q$35,5)))</f>
        <v/>
      </c>
      <c r="T44" s="37" t="str">
        <f aca="false">IF(INDEX(Commitments!$A$6:$A$35,5)="","",IF(INDEX(Commitments!$R$6:$R$35,5)="","",INDEX(Commitments!$R$6:$R$35,5)/Divisor))</f>
        <v/>
      </c>
    </row>
    <row r="45" customFormat="false" ht="15" hidden="false" customHeight="false" outlineLevel="0" collapsed="false">
      <c r="B45" s="44" t="str">
        <f aca="false">IF(INDEX(Commitments!$A$6:$A$35,6)="","",INDEX(Commitments!$E$6:$E$35,6)&amp;"")</f>
        <v/>
      </c>
      <c r="C45" s="44" t="str">
        <f aca="false">IF(INDEX(Commitments!$A$6:$A$35,6)="","",INDEX(Commitments!$D$6:$D$35,6)&amp;"")</f>
        <v/>
      </c>
      <c r="D45" s="37" t="str">
        <f aca="false">IF(INDEX(Commitments!$A$6:$A$35,6)="","",IF(INDEX(Commitments!$G$6:$G$35,6)="","",INDEX(Commitments!$G$6:$G$35,6)/Divisor))</f>
        <v/>
      </c>
      <c r="E45" s="37" t="str">
        <f aca="false">IF(INDEX(Commitments!$A$6:$A$35,6)="","",IF(INDEX(Commitments!$H$6:$H$35,6)="","",INDEX(Commitments!$H$6:$H$35,6)/Divisor))</f>
        <v/>
      </c>
      <c r="F45" s="38" t="str">
        <f aca="false">IF(INDEX(Commitments!$A$6:$A$35,6)="","",IF(INDEX(Commitments!$M$6:$M$35,6)="","",INDEX(Commitments!$M$6:$M$35,6)))</f>
        <v/>
      </c>
      <c r="G45" s="37" t="str">
        <f aca="false">IF(INDEX(Commitments!$A$6:$A$35,6)="","",IF(INDEX(Commitments!$I$6:$I$35,6)="","",INDEX(Commitments!$I$6:$I$35,6)/Divisor))</f>
        <v/>
      </c>
      <c r="I45" s="37" t="str">
        <f aca="false">IF(INDEX(Commitments!$A$6:$A$35,6)="","",IF(INDEX(Commitments!$K$6:$K$35,6)="","",INDEX(Commitments!$K$6:$K$35,6)/Divisor))</f>
        <v/>
      </c>
      <c r="K45" s="37" t="str">
        <f aca="false">IF(INDEX(Commitments!$A$6:$A$35,6)="","",IF(INDEX(Commitments!$L$6:$L$35,6)="","",INDEX(Commitments!$L$6:$L$35,6)/Divisor))</f>
        <v/>
      </c>
      <c r="M45" s="37" t="str">
        <f aca="false">IF(INDEX(Commitments!$A$6:$A$35,6)="","",IF(INDEX(Commitments!$J$6:$J$35,6)="","",INDEX(Commitments!$J$6:$J$35,6)/Divisor))</f>
        <v/>
      </c>
      <c r="O45" s="37" t="str">
        <f aca="false">IF(INDEX(Commitments!$A$6:$A$35,6)="","",IF(INDEX(Commitments!$N$6:$N$35,6)="","",INDEX(Commitments!$N$6:$N$35,6)/Divisor))</f>
        <v/>
      </c>
      <c r="P45" s="45" t="str">
        <f aca="false">IF(INDEX(Commitments!$A$6:$A$35,6)="","",IF(INDEX(Commitments!$O$6:$O$35,6)="","",INDEX(Commitments!$O$6:$O$35,6)))</f>
        <v/>
      </c>
      <c r="R45" s="45" t="str">
        <f aca="false">IF(INDEX(Commitments!$A$6:$A$35,6)="","",IF(INDEX(Commitments!$P$6:$P$35,6)="","",INDEX(Commitments!$P$6:$P$35,6)))</f>
        <v/>
      </c>
      <c r="S45" s="46" t="str">
        <f aca="false">IF(INDEX(Commitments!$A$6:$A$35,6)="","",IF(INDEX(Commitments!$Q$6:$Q$35,6)="","",INDEX(Commitments!$Q$6:$Q$35,6)))</f>
        <v/>
      </c>
      <c r="T45" s="37" t="str">
        <f aca="false">IF(INDEX(Commitments!$A$6:$A$35,6)="","",IF(INDEX(Commitments!$R$6:$R$35,6)="","",INDEX(Commitments!$R$6:$R$35,6)/Divisor))</f>
        <v/>
      </c>
    </row>
    <row r="46" customFormat="false" ht="15" hidden="false" customHeight="false" outlineLevel="0" collapsed="false">
      <c r="B46" s="44" t="str">
        <f aca="false">IF(INDEX(Commitments!$A$6:$A$35,7)="","",INDEX(Commitments!$E$6:$E$35,7)&amp;"")</f>
        <v/>
      </c>
      <c r="C46" s="44" t="str">
        <f aca="false">IF(INDEX(Commitments!$A$6:$A$35,7)="","",INDEX(Commitments!$D$6:$D$35,7)&amp;"")</f>
        <v/>
      </c>
      <c r="D46" s="37" t="str">
        <f aca="false">IF(INDEX(Commitments!$A$6:$A$35,7)="","",IF(INDEX(Commitments!$G$6:$G$35,7)="","",INDEX(Commitments!$G$6:$G$35,7)/Divisor))</f>
        <v/>
      </c>
      <c r="E46" s="37" t="str">
        <f aca="false">IF(INDEX(Commitments!$A$6:$A$35,7)="","",IF(INDEX(Commitments!$H$6:$H$35,7)="","",INDEX(Commitments!$H$6:$H$35,7)/Divisor))</f>
        <v/>
      </c>
      <c r="F46" s="38" t="str">
        <f aca="false">IF(INDEX(Commitments!$A$6:$A$35,7)="","",IF(INDEX(Commitments!$M$6:$M$35,7)="","",INDEX(Commitments!$M$6:$M$35,7)))</f>
        <v/>
      </c>
      <c r="G46" s="37" t="str">
        <f aca="false">IF(INDEX(Commitments!$A$6:$A$35,7)="","",IF(INDEX(Commitments!$I$6:$I$35,7)="","",INDEX(Commitments!$I$6:$I$35,7)/Divisor))</f>
        <v/>
      </c>
      <c r="I46" s="37" t="str">
        <f aca="false">IF(INDEX(Commitments!$A$6:$A$35,7)="","",IF(INDEX(Commitments!$K$6:$K$35,7)="","",INDEX(Commitments!$K$6:$K$35,7)/Divisor))</f>
        <v/>
      </c>
      <c r="K46" s="37" t="str">
        <f aca="false">IF(INDEX(Commitments!$A$6:$A$35,7)="","",IF(INDEX(Commitments!$L$6:$L$35,7)="","",INDEX(Commitments!$L$6:$L$35,7)/Divisor))</f>
        <v/>
      </c>
      <c r="M46" s="37" t="str">
        <f aca="false">IF(INDEX(Commitments!$A$6:$A$35,7)="","",IF(INDEX(Commitments!$J$6:$J$35,7)="","",INDEX(Commitments!$J$6:$J$35,7)/Divisor))</f>
        <v/>
      </c>
      <c r="O46" s="37" t="str">
        <f aca="false">IF(INDEX(Commitments!$A$6:$A$35,7)="","",IF(INDEX(Commitments!$N$6:$N$35,7)="","",INDEX(Commitments!$N$6:$N$35,7)/Divisor))</f>
        <v/>
      </c>
      <c r="P46" s="45" t="str">
        <f aca="false">IF(INDEX(Commitments!$A$6:$A$35,7)="","",IF(INDEX(Commitments!$O$6:$O$35,7)="","",INDEX(Commitments!$O$6:$O$35,7)))</f>
        <v/>
      </c>
      <c r="R46" s="45" t="str">
        <f aca="false">IF(INDEX(Commitments!$A$6:$A$35,7)="","",IF(INDEX(Commitments!$P$6:$P$35,7)="","",INDEX(Commitments!$P$6:$P$35,7)))</f>
        <v/>
      </c>
      <c r="S46" s="46" t="str">
        <f aca="false">IF(INDEX(Commitments!$A$6:$A$35,7)="","",IF(INDEX(Commitments!$Q$6:$Q$35,7)="","",INDEX(Commitments!$Q$6:$Q$35,7)))</f>
        <v/>
      </c>
      <c r="T46" s="37" t="str">
        <f aca="false">IF(INDEX(Commitments!$A$6:$A$35,7)="","",IF(INDEX(Commitments!$R$6:$R$35,7)="","",INDEX(Commitments!$R$6:$R$35,7)/Divisor))</f>
        <v/>
      </c>
    </row>
    <row r="47" customFormat="false" ht="15" hidden="false" customHeight="false" outlineLevel="0" collapsed="false">
      <c r="B47" s="44" t="str">
        <f aca="false">IF(INDEX(Commitments!$A$6:$A$35,8)="","",INDEX(Commitments!$E$6:$E$35,8)&amp;"")</f>
        <v/>
      </c>
      <c r="C47" s="44" t="str">
        <f aca="false">IF(INDEX(Commitments!$A$6:$A$35,8)="","",INDEX(Commitments!$D$6:$D$35,8)&amp;"")</f>
        <v/>
      </c>
      <c r="D47" s="37" t="str">
        <f aca="false">IF(INDEX(Commitments!$A$6:$A$35,8)="","",IF(INDEX(Commitments!$G$6:$G$35,8)="","",INDEX(Commitments!$G$6:$G$35,8)/Divisor))</f>
        <v/>
      </c>
      <c r="E47" s="37" t="str">
        <f aca="false">IF(INDEX(Commitments!$A$6:$A$35,8)="","",IF(INDEX(Commitments!$H$6:$H$35,8)="","",INDEX(Commitments!$H$6:$H$35,8)/Divisor))</f>
        <v/>
      </c>
      <c r="F47" s="38" t="str">
        <f aca="false">IF(INDEX(Commitments!$A$6:$A$35,8)="","",IF(INDEX(Commitments!$M$6:$M$35,8)="","",INDEX(Commitments!$M$6:$M$35,8)))</f>
        <v/>
      </c>
      <c r="G47" s="37" t="str">
        <f aca="false">IF(INDEX(Commitments!$A$6:$A$35,8)="","",IF(INDEX(Commitments!$I$6:$I$35,8)="","",INDEX(Commitments!$I$6:$I$35,8)/Divisor))</f>
        <v/>
      </c>
      <c r="I47" s="37" t="str">
        <f aca="false">IF(INDEX(Commitments!$A$6:$A$35,8)="","",IF(INDEX(Commitments!$K$6:$K$35,8)="","",INDEX(Commitments!$K$6:$K$35,8)/Divisor))</f>
        <v/>
      </c>
      <c r="K47" s="37" t="str">
        <f aca="false">IF(INDEX(Commitments!$A$6:$A$35,8)="","",IF(INDEX(Commitments!$L$6:$L$35,8)="","",INDEX(Commitments!$L$6:$L$35,8)/Divisor))</f>
        <v/>
      </c>
      <c r="M47" s="37" t="str">
        <f aca="false">IF(INDEX(Commitments!$A$6:$A$35,8)="","",IF(INDEX(Commitments!$J$6:$J$35,8)="","",INDEX(Commitments!$J$6:$J$35,8)/Divisor))</f>
        <v/>
      </c>
      <c r="O47" s="37" t="str">
        <f aca="false">IF(INDEX(Commitments!$A$6:$A$35,8)="","",IF(INDEX(Commitments!$N$6:$N$35,8)="","",INDEX(Commitments!$N$6:$N$35,8)/Divisor))</f>
        <v/>
      </c>
      <c r="P47" s="45" t="str">
        <f aca="false">IF(INDEX(Commitments!$A$6:$A$35,8)="","",IF(INDEX(Commitments!$O$6:$O$35,8)="","",INDEX(Commitments!$O$6:$O$35,8)))</f>
        <v/>
      </c>
      <c r="R47" s="45" t="str">
        <f aca="false">IF(INDEX(Commitments!$A$6:$A$35,8)="","",IF(INDEX(Commitments!$P$6:$P$35,8)="","",INDEX(Commitments!$P$6:$P$35,8)))</f>
        <v/>
      </c>
      <c r="S47" s="46" t="str">
        <f aca="false">IF(INDEX(Commitments!$A$6:$A$35,8)="","",IF(INDEX(Commitments!$Q$6:$Q$35,8)="","",INDEX(Commitments!$Q$6:$Q$35,8)))</f>
        <v/>
      </c>
      <c r="T47" s="37" t="str">
        <f aca="false">IF(INDEX(Commitments!$A$6:$A$35,8)="","",IF(INDEX(Commitments!$R$6:$R$35,8)="","",INDEX(Commitments!$R$6:$R$35,8)/Divisor))</f>
        <v/>
      </c>
    </row>
    <row r="48" customFormat="false" ht="15" hidden="false" customHeight="false" outlineLevel="0" collapsed="false">
      <c r="B48" s="44" t="str">
        <f aca="false">IF(INDEX(Commitments!$A$6:$A$35,9)="","",INDEX(Commitments!$E$6:$E$35,9)&amp;"")</f>
        <v/>
      </c>
      <c r="C48" s="44" t="str">
        <f aca="false">IF(INDEX(Commitments!$A$6:$A$35,9)="","",INDEX(Commitments!$D$6:$D$35,9)&amp;"")</f>
        <v/>
      </c>
      <c r="D48" s="37" t="str">
        <f aca="false">IF(INDEX(Commitments!$A$6:$A$35,9)="","",IF(INDEX(Commitments!$G$6:$G$35,9)="","",INDEX(Commitments!$G$6:$G$35,9)/Divisor))</f>
        <v/>
      </c>
      <c r="E48" s="37" t="str">
        <f aca="false">IF(INDEX(Commitments!$A$6:$A$35,9)="","",IF(INDEX(Commitments!$H$6:$H$35,9)="","",INDEX(Commitments!$H$6:$H$35,9)/Divisor))</f>
        <v/>
      </c>
      <c r="F48" s="38" t="str">
        <f aca="false">IF(INDEX(Commitments!$A$6:$A$35,9)="","",IF(INDEX(Commitments!$M$6:$M$35,9)="","",INDEX(Commitments!$M$6:$M$35,9)))</f>
        <v/>
      </c>
      <c r="G48" s="37" t="str">
        <f aca="false">IF(INDEX(Commitments!$A$6:$A$35,9)="","",IF(INDEX(Commitments!$I$6:$I$35,9)="","",INDEX(Commitments!$I$6:$I$35,9)/Divisor))</f>
        <v/>
      </c>
      <c r="I48" s="37" t="str">
        <f aca="false">IF(INDEX(Commitments!$A$6:$A$35,9)="","",IF(INDEX(Commitments!$K$6:$K$35,9)="","",INDEX(Commitments!$K$6:$K$35,9)/Divisor))</f>
        <v/>
      </c>
      <c r="K48" s="37" t="str">
        <f aca="false">IF(INDEX(Commitments!$A$6:$A$35,9)="","",IF(INDEX(Commitments!$L$6:$L$35,9)="","",INDEX(Commitments!$L$6:$L$35,9)/Divisor))</f>
        <v/>
      </c>
      <c r="M48" s="37" t="str">
        <f aca="false">IF(INDEX(Commitments!$A$6:$A$35,9)="","",IF(INDEX(Commitments!$J$6:$J$35,9)="","",INDEX(Commitments!$J$6:$J$35,9)/Divisor))</f>
        <v/>
      </c>
      <c r="O48" s="37" t="str">
        <f aca="false">IF(INDEX(Commitments!$A$6:$A$35,9)="","",IF(INDEX(Commitments!$N$6:$N$35,9)="","",INDEX(Commitments!$N$6:$N$35,9)/Divisor))</f>
        <v/>
      </c>
      <c r="P48" s="45" t="str">
        <f aca="false">IF(INDEX(Commitments!$A$6:$A$35,9)="","",IF(INDEX(Commitments!$O$6:$O$35,9)="","",INDEX(Commitments!$O$6:$O$35,9)))</f>
        <v/>
      </c>
      <c r="R48" s="45" t="str">
        <f aca="false">IF(INDEX(Commitments!$A$6:$A$35,9)="","",IF(INDEX(Commitments!$P$6:$P$35,9)="","",INDEX(Commitments!$P$6:$P$35,9)))</f>
        <v/>
      </c>
      <c r="S48" s="46" t="str">
        <f aca="false">IF(INDEX(Commitments!$A$6:$A$35,9)="","",IF(INDEX(Commitments!$Q$6:$Q$35,9)="","",INDEX(Commitments!$Q$6:$Q$35,9)))</f>
        <v/>
      </c>
      <c r="T48" s="37" t="str">
        <f aca="false">IF(INDEX(Commitments!$A$6:$A$35,9)="","",IF(INDEX(Commitments!$R$6:$R$35,9)="","",INDEX(Commitments!$R$6:$R$35,9)/Divisor))</f>
        <v/>
      </c>
    </row>
    <row r="49" customFormat="false" ht="15" hidden="false" customHeight="false" outlineLevel="0" collapsed="false">
      <c r="B49" s="44" t="str">
        <f aca="false">IF(INDEX(Commitments!$A$6:$A$35,10)="","",INDEX(Commitments!$E$6:$E$35,10)&amp;"")</f>
        <v/>
      </c>
      <c r="C49" s="44" t="str">
        <f aca="false">IF(INDEX(Commitments!$A$6:$A$35,10)="","",INDEX(Commitments!$D$6:$D$35,10)&amp;"")</f>
        <v/>
      </c>
      <c r="D49" s="37" t="str">
        <f aca="false">IF(INDEX(Commitments!$A$6:$A$35,10)="","",IF(INDEX(Commitments!$G$6:$G$35,10)="","",INDEX(Commitments!$G$6:$G$35,10)/Divisor))</f>
        <v/>
      </c>
      <c r="E49" s="37" t="str">
        <f aca="false">IF(INDEX(Commitments!$A$6:$A$35,10)="","",IF(INDEX(Commitments!$H$6:$H$35,10)="","",INDEX(Commitments!$H$6:$H$35,10)/Divisor))</f>
        <v/>
      </c>
      <c r="F49" s="38" t="str">
        <f aca="false">IF(INDEX(Commitments!$A$6:$A$35,10)="","",IF(INDEX(Commitments!$M$6:$M$35,10)="","",INDEX(Commitments!$M$6:$M$35,10)))</f>
        <v/>
      </c>
      <c r="G49" s="37" t="str">
        <f aca="false">IF(INDEX(Commitments!$A$6:$A$35,10)="","",IF(INDEX(Commitments!$I$6:$I$35,10)="","",INDEX(Commitments!$I$6:$I$35,10)/Divisor))</f>
        <v/>
      </c>
      <c r="I49" s="37" t="str">
        <f aca="false">IF(INDEX(Commitments!$A$6:$A$35,10)="","",IF(INDEX(Commitments!$K$6:$K$35,10)="","",INDEX(Commitments!$K$6:$K$35,10)/Divisor))</f>
        <v/>
      </c>
      <c r="K49" s="37" t="str">
        <f aca="false">IF(INDEX(Commitments!$A$6:$A$35,10)="","",IF(INDEX(Commitments!$L$6:$L$35,10)="","",INDEX(Commitments!$L$6:$L$35,10)/Divisor))</f>
        <v/>
      </c>
      <c r="M49" s="37" t="str">
        <f aca="false">IF(INDEX(Commitments!$A$6:$A$35,10)="","",IF(INDEX(Commitments!$J$6:$J$35,10)="","",INDEX(Commitments!$J$6:$J$35,10)/Divisor))</f>
        <v/>
      </c>
      <c r="O49" s="37" t="str">
        <f aca="false">IF(INDEX(Commitments!$A$6:$A$35,10)="","",IF(INDEX(Commitments!$N$6:$N$35,10)="","",INDEX(Commitments!$N$6:$N$35,10)/Divisor))</f>
        <v/>
      </c>
      <c r="P49" s="45" t="str">
        <f aca="false">IF(INDEX(Commitments!$A$6:$A$35,10)="","",IF(INDEX(Commitments!$O$6:$O$35,10)="","",INDEX(Commitments!$O$6:$O$35,10)))</f>
        <v/>
      </c>
      <c r="R49" s="45" t="str">
        <f aca="false">IF(INDEX(Commitments!$A$6:$A$35,10)="","",IF(INDEX(Commitments!$P$6:$P$35,10)="","",INDEX(Commitments!$P$6:$P$35,10)))</f>
        <v/>
      </c>
      <c r="S49" s="46" t="str">
        <f aca="false">IF(INDEX(Commitments!$A$6:$A$35,10)="","",IF(INDEX(Commitments!$Q$6:$Q$35,10)="","",INDEX(Commitments!$Q$6:$Q$35,10)))</f>
        <v/>
      </c>
      <c r="T49" s="37" t="str">
        <f aca="false">IF(INDEX(Commitments!$A$6:$A$35,10)="","",IF(INDEX(Commitments!$R$6:$R$35,10)="","",INDEX(Commitments!$R$6:$R$35,10)/Divisor))</f>
        <v/>
      </c>
    </row>
    <row r="50" customFormat="false" ht="15" hidden="false" customHeight="false" outlineLevel="0" collapsed="false">
      <c r="B50" s="39" t="s">
        <v>112</v>
      </c>
      <c r="C50" s="43"/>
      <c r="D50" s="41" t="n">
        <f aca="false">SUM(Commitments!$G$6:$G$35)/Divisor</f>
        <v>21.2</v>
      </c>
      <c r="E50" s="41" t="n">
        <f aca="false">SUM(Commitments!$H$6:$H$35)/Divisor</f>
        <v>12.95</v>
      </c>
      <c r="F50" s="42" t="n">
        <f aca="false">IF(N(D50)=0,"",E50/D50)</f>
        <v>0.610849056603774</v>
      </c>
      <c r="G50" s="41" t="n">
        <f aca="false">SUM(Commitments!$I$6:$I$35)/Divisor</f>
        <v>12.7</v>
      </c>
      <c r="H50" s="43"/>
      <c r="I50" s="41" t="n">
        <f aca="false">SUM(Commitments!$K$6:$K$35)/Divisor</f>
        <v>8.25</v>
      </c>
      <c r="J50" s="43"/>
      <c r="K50" s="41" t="n">
        <f aca="false">SUM(Commitments!$L$6:$L$35)/Divisor</f>
        <v>0.25</v>
      </c>
      <c r="L50" s="43"/>
      <c r="M50" s="41" t="n">
        <f aca="false">SUM(Commitments!$J$6:$J$35)/Divisor</f>
        <v>0.85</v>
      </c>
      <c r="N50" s="43"/>
      <c r="O50" s="41" t="n">
        <f aca="false">SUM(Commitments!$N$6:$N$35)/Divisor</f>
        <v>14.327</v>
      </c>
      <c r="P50" s="47" t="n">
        <f aca="false">IF(N(G50)=0,"",(O50+M50)/G50)</f>
        <v>1.19503937007874</v>
      </c>
      <c r="Q50" s="43"/>
      <c r="R50" s="47" t="n">
        <f aca="false">IF(N(G50)=0,"",M50/G50)</f>
        <v>0.0669291338582677</v>
      </c>
      <c r="S50" s="48" t="n">
        <f aca="false">IF(COUNT(Commitments!$Q$6:$Q$35)=0,"",MIN(Commitments!$Q$6:$Q$35))</f>
        <v>46280</v>
      </c>
      <c r="T50" s="41" t="n">
        <f aca="false">SUM(Commitments!$R$6:$R$35)/Divisor</f>
        <v>2</v>
      </c>
    </row>
    <row r="51" customFormat="false" ht="15" hidden="false" customHeight="false" outlineLevel="0" collapsed="false">
      <c r="B51" s="49" t="str">
        <f aca="false">IF(COUNTA(Commitments!$A$6:$A$35)&gt;10,COUNTA(Commitments!$A$6:$A$35)-10&amp;" more commitment(s): see the Commitments sheet. The total row includes them.","")</f>
        <v/>
      </c>
    </row>
    <row r="52" customFormat="false" ht="15" hidden="false" customHeight="false" outlineLevel="0" collapsed="false">
      <c r="B52" s="7" t="s">
        <v>113</v>
      </c>
    </row>
  </sheetData>
  <mergeCells count="12">
    <mergeCell ref="B5:B6"/>
    <mergeCell ref="C5:C6"/>
    <mergeCell ref="D5:D6"/>
    <mergeCell ref="E5:E6"/>
    <mergeCell ref="F5:F6"/>
    <mergeCell ref="G5:G6"/>
    <mergeCell ref="I5:I6"/>
    <mergeCell ref="K5:K6"/>
    <mergeCell ref="M5:M6"/>
    <mergeCell ref="O5:P5"/>
    <mergeCell ref="R5:T5"/>
    <mergeCell ref="B38:T38"/>
  </mergeCells>
  <conditionalFormatting sqref="B7:B29">
    <cfRule type="expression" priority="2" aboveAverage="0" equalAverage="0" bottom="0" percent="0" rank="0" text="" dxfId="2">
      <formula>AND(N($D7)=0,N($E7)=0)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9" min="9" style="0" width="1.7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.7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2"/>
  </cols>
  <sheetData>
    <row r="1" customFormat="false" ht="21.75" hidden="false" customHeight="true" outlineLevel="0" collapsed="false">
      <c r="A1" s="28" t="str">
        <f aca="false">"Basket Allocation — "&amp;ClientName</f>
        <v>Basket Allocation — Malhotra Family Office (DEMO)</v>
      </c>
      <c r="R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market values as at "&amp;TEXT(ValDate,"dd-mmm-yyyy")&amp;" · each basket's value by asset class, against the family's target"</f>
        <v>Figures in ₹ Crore · market values as at 30-Jun-2026 · each basket's value by asset class, against the family's target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B5" s="23" t="s">
        <v>114</v>
      </c>
      <c r="C5" s="23" t="s">
        <v>115</v>
      </c>
      <c r="D5" s="23" t="s">
        <v>116</v>
      </c>
      <c r="E5" s="23"/>
      <c r="F5" s="23"/>
      <c r="G5" s="23"/>
      <c r="H5" s="23" t="s">
        <v>117</v>
      </c>
      <c r="J5" s="23" t="s">
        <v>118</v>
      </c>
      <c r="K5" s="50" t="s">
        <v>119</v>
      </c>
      <c r="L5" s="23" t="s">
        <v>120</v>
      </c>
      <c r="N5" s="23" t="s">
        <v>80</v>
      </c>
      <c r="O5" s="23" t="s">
        <v>86</v>
      </c>
      <c r="P5" s="23" t="s">
        <v>87</v>
      </c>
      <c r="Q5" s="23" t="s">
        <v>121</v>
      </c>
      <c r="R5" s="23" t="s">
        <v>122</v>
      </c>
    </row>
    <row r="6" customFormat="false" ht="30" hidden="false" customHeight="true" outlineLevel="0" collapsed="false">
      <c r="B6" s="23"/>
      <c r="C6" s="23"/>
      <c r="D6" s="23" t="str">
        <f aca="false">Lists!$A$6</f>
        <v>Equity</v>
      </c>
      <c r="E6" s="23" t="str">
        <f aca="false">Lists!$A$7</f>
        <v>Debt</v>
      </c>
      <c r="F6" s="23" t="str">
        <f aca="false">Lists!$A$8</f>
        <v>Cash</v>
      </c>
      <c r="G6" s="23" t="str">
        <f aca="false">Lists!$A$9</f>
        <v>Alternate</v>
      </c>
      <c r="H6" s="23"/>
      <c r="J6" s="23"/>
      <c r="K6" s="50"/>
      <c r="L6" s="23"/>
      <c r="N6" s="23"/>
      <c r="O6" s="23"/>
      <c r="P6" s="23"/>
      <c r="Q6" s="23"/>
      <c r="R6" s="23"/>
    </row>
    <row r="7" customFormat="false" ht="15" hidden="false" customHeight="false" outlineLevel="0" collapsed="false">
      <c r="B7" s="25" t="str">
        <f aca="false">Lists!$L$6</f>
        <v>Stable Growth</v>
      </c>
      <c r="C7" s="51" t="str">
        <f aca="false">Lists!$K$6</f>
        <v>SG</v>
      </c>
      <c r="D7" s="37" t="n">
        <f aca="false">SUMIFS(Holdings!$R$6:$R$205,Holdings!$I$6:$I$205,$C7,Holdings!$G$6:$G$205,D$6)/Divisor</f>
        <v>57.876525</v>
      </c>
      <c r="E7" s="37" t="n">
        <f aca="false">SUMIFS(Holdings!$R$6:$R$205,Holdings!$I$6:$I$205,$C7,Holdings!$G$6:$G$205,E$6)/Divisor</f>
        <v>13.595184</v>
      </c>
      <c r="F7" s="37" t="n">
        <f aca="false">SUMIFS(Holdings!$R$6:$R$205,Holdings!$I$6:$I$205,$C7,Holdings!$G$6:$G$205,F$6)/Divisor</f>
        <v>0</v>
      </c>
      <c r="G7" s="37" t="n">
        <f aca="false">SUMIFS(Holdings!$R$6:$R$205,Holdings!$I$6:$I$205,$C7,Holdings!$G$6:$G$205,G$6)/Divisor</f>
        <v>4.728</v>
      </c>
      <c r="H7" s="52" t="n">
        <f aca="false">SUMIFS(Holdings!$R$6:$R$205,Holdings!$I$6:$I$205,$C7)/Divisor</f>
        <v>76.199709</v>
      </c>
      <c r="J7" s="38" t="n">
        <f aca="false">IF(N($H$11)=0,"",H7/$H$11)</f>
        <v>0.550279596830538</v>
      </c>
      <c r="K7" s="53" t="n">
        <v>0.45</v>
      </c>
      <c r="L7" s="38" t="n">
        <f aca="false">IF(OR(J7="",K7=""),"",J7-K7)</f>
        <v>0.100279596830538</v>
      </c>
      <c r="N7" s="37" t="n">
        <f aca="false">SUMIFS(Holdings!$M$6:$M$205,Holdings!$I$6:$I$205,$C7)/Divisor</f>
        <v>58.4168</v>
      </c>
      <c r="O7" s="37" t="n">
        <f aca="false">SUMIFS(Holdings!$S$6:$S$205,Holdings!$I$6:$I$205,$C7)/Divisor</f>
        <v>17.782909</v>
      </c>
      <c r="P7" s="38" t="n">
        <f aca="false">IF(N(N7)=0,"",O7/N7)</f>
        <v>0.30441429520275</v>
      </c>
      <c r="Q7" s="38" t="n">
        <f aca="false">IF(SUMIFS(Holdings!$AN$6:$AN$205,Holdings!$I$6:$I$205,$C7)=0,"",SUMIFS(Holdings!$AM$6:$AM$205,Holdings!$I$6:$I$205,$C7)/SUMIFS(Holdings!$AN$6:$AN$205,Holdings!$I$6:$I$205,$C7))</f>
        <v>0.131300835325166</v>
      </c>
      <c r="R7" s="38" t="n">
        <f aca="false">IF(N(H7)=0,"",SUMIFS(Holdings!$AN$6:$AN$205,Holdings!$I$6:$I$205,$C7)/Divisor/H7)</f>
        <v>0.986375276052563</v>
      </c>
    </row>
    <row r="8" customFormat="false" ht="15" hidden="false" customHeight="false" outlineLevel="0" collapsed="false">
      <c r="B8" s="25" t="str">
        <f aca="false">Lists!$L$7</f>
        <v>Entrepreneurial Growth</v>
      </c>
      <c r="C8" s="51" t="str">
        <f aca="false">Lists!$K$7</f>
        <v>EG</v>
      </c>
      <c r="D8" s="37" t="n">
        <f aca="false">SUMIFS(Holdings!$R$6:$R$205,Holdings!$I$6:$I$205,$C8,Holdings!$G$6:$G$205,D$6)/Divisor</f>
        <v>0</v>
      </c>
      <c r="E8" s="37" t="n">
        <f aca="false">SUMIFS(Holdings!$R$6:$R$205,Holdings!$I$6:$I$205,$C8,Holdings!$G$6:$G$205,E$6)/Divisor</f>
        <v>0</v>
      </c>
      <c r="F8" s="37" t="n">
        <f aca="false">SUMIFS(Holdings!$R$6:$R$205,Holdings!$I$6:$I$205,$C8,Holdings!$G$6:$G$205,F$6)/Divisor</f>
        <v>0</v>
      </c>
      <c r="G8" s="37" t="n">
        <f aca="false">SUMIFS(Holdings!$R$6:$R$205,Holdings!$I$6:$I$205,$C8,Holdings!$G$6:$G$205,G$6)/Divisor</f>
        <v>13.2888</v>
      </c>
      <c r="H8" s="52" t="n">
        <f aca="false">SUMIFS(Holdings!$R$6:$R$205,Holdings!$I$6:$I$205,$C8)/Divisor</f>
        <v>13.2888</v>
      </c>
      <c r="J8" s="38" t="n">
        <f aca="false">IF(N($H$11)=0,"",H8/$H$11)</f>
        <v>0.0959656618421162</v>
      </c>
      <c r="K8" s="53" t="n">
        <v>0.12</v>
      </c>
      <c r="L8" s="38" t="n">
        <f aca="false">IF(OR(J8="",K8=""),"",J8-K8)</f>
        <v>-0.0240343381578838</v>
      </c>
      <c r="N8" s="37" t="n">
        <f aca="false">SUMIFS(Holdings!$M$6:$M$205,Holdings!$I$6:$I$205,$C8)/Divisor</f>
        <v>11.7</v>
      </c>
      <c r="O8" s="37" t="n">
        <f aca="false">SUMIFS(Holdings!$S$6:$S$205,Holdings!$I$6:$I$205,$C8)/Divisor</f>
        <v>1.5888</v>
      </c>
      <c r="P8" s="38" t="n">
        <f aca="false">IF(N(N8)=0,"",O8/N8)</f>
        <v>0.135794871794872</v>
      </c>
      <c r="Q8" s="38" t="n">
        <f aca="false">IF(SUMIFS(Holdings!$AN$6:$AN$205,Holdings!$I$6:$I$205,$C8)=0,"",SUMIFS(Holdings!$AM$6:$AM$205,Holdings!$I$6:$I$205,$C8)/SUMIFS(Holdings!$AN$6:$AN$205,Holdings!$I$6:$I$205,$C8))</f>
        <v>0.151</v>
      </c>
      <c r="R8" s="38" t="n">
        <f aca="false">IF(N(H8)=0,"",SUMIFS(Holdings!$AN$6:$AN$205,Holdings!$I$6:$I$205,$C8)/Divisor/H8)</f>
        <v>0.571067364999097</v>
      </c>
    </row>
    <row r="9" customFormat="false" ht="15" hidden="false" customHeight="false" outlineLevel="0" collapsed="false">
      <c r="B9" s="25" t="str">
        <f aca="false">Lists!$L$8</f>
        <v>Liquidity</v>
      </c>
      <c r="C9" s="51" t="str">
        <f aca="false">Lists!$K$8</f>
        <v>LQ</v>
      </c>
      <c r="D9" s="37" t="n">
        <f aca="false">SUMIFS(Holdings!$R$6:$R$205,Holdings!$I$6:$I$205,$C9,Holdings!$G$6:$G$205,D$6)/Divisor</f>
        <v>0</v>
      </c>
      <c r="E9" s="37" t="n">
        <f aca="false">SUMIFS(Holdings!$R$6:$R$205,Holdings!$I$6:$I$205,$C9,Holdings!$G$6:$G$205,E$6)/Divisor</f>
        <v>0</v>
      </c>
      <c r="F9" s="37" t="n">
        <f aca="false">SUMIFS(Holdings!$R$6:$R$205,Holdings!$I$6:$I$205,$C9,Holdings!$G$6:$G$205,F$6)/Divisor</f>
        <v>17.7416469647908</v>
      </c>
      <c r="G9" s="37" t="n">
        <f aca="false">SUMIFS(Holdings!$R$6:$R$205,Holdings!$I$6:$I$205,$C9,Holdings!$G$6:$G$205,G$6)/Divisor</f>
        <v>0</v>
      </c>
      <c r="H9" s="52" t="n">
        <f aca="false">SUMIFS(Holdings!$R$6:$R$205,Holdings!$I$6:$I$205,$C9)/Divisor</f>
        <v>17.7416469647908</v>
      </c>
      <c r="J9" s="38" t="n">
        <f aca="false">IF(N($H$11)=0,"",H9/$H$11)</f>
        <v>0.128122094782472</v>
      </c>
      <c r="K9" s="53" t="n">
        <v>0.15</v>
      </c>
      <c r="L9" s="38" t="n">
        <f aca="false">IF(OR(J9="",K9=""),"",J9-K9)</f>
        <v>-0.0218779052175277</v>
      </c>
      <c r="N9" s="37" t="n">
        <f aca="false">SUMIFS(Holdings!$M$6:$M$205,Holdings!$I$6:$I$205,$C9)/Divisor</f>
        <v>17.4556</v>
      </c>
      <c r="O9" s="37" t="n">
        <f aca="false">SUMIFS(Holdings!$S$6:$S$205,Holdings!$I$6:$I$205,$C9)/Divisor</f>
        <v>0.286046964790769</v>
      </c>
      <c r="P9" s="38" t="n">
        <f aca="false">IF(N(N9)=0,"",O9/N9)</f>
        <v>0.0163871173028008</v>
      </c>
      <c r="Q9" s="38" t="str">
        <f aca="false">IF(SUMIFS(Holdings!$AN$6:$AN$205,Holdings!$I$6:$I$205,$C9)=0,"",SUMIFS(Holdings!$AM$6:$AM$205,Holdings!$I$6:$I$205,$C9)/SUMIFS(Holdings!$AN$6:$AN$205,Holdings!$I$6:$I$205,$C9))</f>
        <v/>
      </c>
      <c r="R9" s="38" t="n">
        <f aca="false">IF(N(H9)=0,"",SUMIFS(Holdings!$AN$6:$AN$205,Holdings!$I$6:$I$205,$C9)/Divisor/H9)</f>
        <v>0</v>
      </c>
    </row>
    <row r="10" customFormat="false" ht="15" hidden="false" customHeight="false" outlineLevel="0" collapsed="false">
      <c r="B10" s="25" t="str">
        <f aca="false">Lists!$L$9</f>
        <v>Thematic &amp; Tactical</v>
      </c>
      <c r="C10" s="51" t="str">
        <f aca="false">Lists!$K$9</f>
        <v>TT</v>
      </c>
      <c r="D10" s="37" t="n">
        <f aca="false">SUMIFS(Holdings!$R$6:$R$205,Holdings!$I$6:$I$205,$C10,Holdings!$G$6:$G$205,D$6)/Divisor</f>
        <v>26.4776148716962</v>
      </c>
      <c r="E10" s="37" t="n">
        <f aca="false">SUMIFS(Holdings!$R$6:$R$205,Holdings!$I$6:$I$205,$C10,Holdings!$G$6:$G$205,E$6)/Divisor</f>
        <v>0</v>
      </c>
      <c r="F10" s="37" t="n">
        <f aca="false">SUMIFS(Holdings!$R$6:$R$205,Holdings!$I$6:$I$205,$C10,Holdings!$G$6:$G$205,F$6)/Divisor</f>
        <v>0</v>
      </c>
      <c r="G10" s="37" t="n">
        <f aca="false">SUMIFS(Holdings!$R$6:$R$205,Holdings!$I$6:$I$205,$C10,Holdings!$G$6:$G$205,G$6)/Divisor</f>
        <v>4.76676</v>
      </c>
      <c r="H10" s="52" t="n">
        <f aca="false">SUMIFS(Holdings!$R$6:$R$205,Holdings!$I$6:$I$205,$C10)/Divisor</f>
        <v>31.2443748716962</v>
      </c>
      <c r="J10" s="38" t="n">
        <f aca="false">IF(N($H$11)=0,"",H10/$H$11)</f>
        <v>0.225632646544873</v>
      </c>
      <c r="K10" s="53" t="n">
        <v>0.28</v>
      </c>
      <c r="L10" s="38" t="n">
        <f aca="false">IF(OR(J10="",K10=""),"",J10-K10)</f>
        <v>-0.0543673534551269</v>
      </c>
      <c r="N10" s="37" t="n">
        <f aca="false">SUMIFS(Holdings!$M$6:$M$205,Holdings!$I$6:$I$205,$C10)/Divisor</f>
        <v>22.62113</v>
      </c>
      <c r="O10" s="37" t="n">
        <f aca="false">SUMIFS(Holdings!$S$6:$S$205,Holdings!$I$6:$I$205,$C10)/Divisor</f>
        <v>8.6232448716962</v>
      </c>
      <c r="P10" s="38" t="n">
        <f aca="false">IF(N(N10)=0,"",O10/N10)</f>
        <v>0.381203099566476</v>
      </c>
      <c r="Q10" s="38" t="n">
        <f aca="false">IF(SUMIFS(Holdings!$AN$6:$AN$205,Holdings!$I$6:$I$205,$C10)=0,"",SUMIFS(Holdings!$AM$6:$AM$205,Holdings!$I$6:$I$205,$C10)/SUMIFS(Holdings!$AN$6:$AN$205,Holdings!$I$6:$I$205,$C10))</f>
        <v>0.150636691517335</v>
      </c>
      <c r="R10" s="38" t="n">
        <f aca="false">IF(N(H10)=0,"",SUMIFS(Holdings!$AN$6:$AN$205,Holdings!$I$6:$I$205,$C10)/Divisor/H10)</f>
        <v>0.751100157006348</v>
      </c>
    </row>
    <row r="11" customFormat="false" ht="15" hidden="false" customHeight="false" outlineLevel="0" collapsed="false">
      <c r="B11" s="39" t="s">
        <v>92</v>
      </c>
      <c r="C11" s="43"/>
      <c r="D11" s="41" t="n">
        <f aca="false">SUMIFS(Holdings!$R$6:$R$205,Holdings!$G$6:$G$205,D$6)/Divisor</f>
        <v>84.3541398716962</v>
      </c>
      <c r="E11" s="41" t="n">
        <f aca="false">SUMIFS(Holdings!$R$6:$R$205,Holdings!$G$6:$G$205,E$6)/Divisor</f>
        <v>13.595184</v>
      </c>
      <c r="F11" s="41" t="n">
        <f aca="false">SUMIFS(Holdings!$R$6:$R$205,Holdings!$G$6:$G$205,F$6)/Divisor</f>
        <v>17.7416469647908</v>
      </c>
      <c r="G11" s="41" t="n">
        <f aca="false">SUMIFS(Holdings!$R$6:$R$205,Holdings!$G$6:$G$205,G$6)/Divisor</f>
        <v>22.78356</v>
      </c>
      <c r="H11" s="41" t="n">
        <f aca="false">SUM(Holdings!$R$6:$R$205)/Divisor</f>
        <v>138.474530836487</v>
      </c>
      <c r="I11" s="43"/>
      <c r="J11" s="42" t="n">
        <f aca="false">SUM(J7:J10)</f>
        <v>1</v>
      </c>
      <c r="K11" s="42" t="n">
        <f aca="false">SUM(K7:K10)</f>
        <v>1</v>
      </c>
      <c r="L11" s="43"/>
      <c r="M11" s="43"/>
      <c r="N11" s="41" t="n">
        <f aca="false">SUM(Holdings!$M$6:$M$205)/Divisor</f>
        <v>110.19353</v>
      </c>
      <c r="O11" s="41" t="n">
        <f aca="false">SUM(Holdings!$S$6:$S$205)/Divisor</f>
        <v>28.281000836487</v>
      </c>
      <c r="P11" s="42" t="n">
        <f aca="false">IF(N(N11)=0,"",O11/N11)</f>
        <v>0.25664846961965</v>
      </c>
      <c r="Q11" s="42" t="n">
        <f aca="false">IF(SUM(Holdings!$AN$6:$AN$205)=0,"",SUM(Holdings!$AM$6:$AM$205)/SUM(Holdings!$AN$6:$AN$205))</f>
        <v>0.136980291027967</v>
      </c>
      <c r="R11" s="42" t="n">
        <f aca="false">IF(N(H11)=0,"",SUM(Holdings!$AN$6:$AN$205)/Divisor/H11)</f>
        <v>0.767057763113999</v>
      </c>
    </row>
    <row r="13" customFormat="false" ht="15" hidden="false" customHeight="false" outlineLevel="0" collapsed="false">
      <c r="B13" s="5" t="s">
        <v>123</v>
      </c>
      <c r="C13" s="53" t="n">
        <v>0.05</v>
      </c>
      <c r="D13" s="7" t="s">
        <v>124</v>
      </c>
    </row>
    <row r="15" customFormat="false" ht="15" hidden="false" customHeight="true" outlineLevel="0" collapsed="false">
      <c r="B15" s="4" t="s">
        <v>125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15" hidden="false" customHeight="false" outlineLevel="0" collapsed="false">
      <c r="B16" s="25" t="str">
        <f aca="false">Lists!$L$6&amp;" ("&amp;Lists!$K$6&amp;")"</f>
        <v>Stable Growth (SG)</v>
      </c>
      <c r="C16" s="44" t="str">
        <f aca="false">Lists!$M$6</f>
        <v>Core, long-horizon compounding: diversified funds, PMS, quality debt.</v>
      </c>
    </row>
    <row r="17" customFormat="false" ht="15" hidden="false" customHeight="false" outlineLevel="0" collapsed="false">
      <c r="B17" s="25" t="str">
        <f aca="false">Lists!$L$7&amp;" ("&amp;Lists!$K$7&amp;")"</f>
        <v>Entrepreneurial Growth (EG)</v>
      </c>
      <c r="C17" s="44" t="str">
        <f aca="false">Lists!$M$7</f>
        <v>Private equity, venture and pre-IPO: illiquid, high upside.</v>
      </c>
    </row>
    <row r="18" customFormat="false" ht="15" hidden="false" customHeight="false" outlineLevel="0" collapsed="false">
      <c r="B18" s="25" t="str">
        <f aca="false">Lists!$L$8&amp;" ("&amp;Lists!$K$8&amp;")"</f>
        <v>Liquidity (LQ)</v>
      </c>
      <c r="C18" s="44" t="str">
        <f aca="false">Lists!$M$8</f>
        <v>Cash, liquid and arbitrage funds: money needed within 12 months.</v>
      </c>
    </row>
    <row r="19" customFormat="false" ht="15" hidden="false" customHeight="false" outlineLevel="0" collapsed="false">
      <c r="B19" s="25" t="str">
        <f aca="false">Lists!$L$9&amp;" ("&amp;Lists!$K$9&amp;")"</f>
        <v>Thematic &amp; Tactical (TT)</v>
      </c>
      <c r="C19" s="44" t="str">
        <f aca="false">Lists!$M$9</f>
        <v>Direct stocks, sector and mid/small-cap calls, gold and silver.</v>
      </c>
    </row>
    <row r="21" customFormat="false" ht="15" hidden="false" customHeight="false" outlineLevel="0" collapsed="false">
      <c r="B21" s="7" t="s">
        <v>126</v>
      </c>
    </row>
    <row r="22" customFormat="false" ht="15" hidden="false" customHeight="false" outlineLevel="0" collapsed="false">
      <c r="B22" s="7" t="s">
        <v>127</v>
      </c>
    </row>
    <row r="23" customFormat="false" ht="15" hidden="false" customHeight="false" outlineLevel="0" collapsed="false">
      <c r="B23" s="7" t="s">
        <v>128</v>
      </c>
    </row>
  </sheetData>
  <mergeCells count="13">
    <mergeCell ref="B5:B6"/>
    <mergeCell ref="C5:C6"/>
    <mergeCell ref="D5:G5"/>
    <mergeCell ref="H5:H6"/>
    <mergeCell ref="J5:J6"/>
    <mergeCell ref="K5:K6"/>
    <mergeCell ref="L5:L6"/>
    <mergeCell ref="N5:N6"/>
    <mergeCell ref="O5:O6"/>
    <mergeCell ref="P5:P6"/>
    <mergeCell ref="Q5:Q6"/>
    <mergeCell ref="R5:R6"/>
    <mergeCell ref="B15:R15"/>
  </mergeCells>
  <conditionalFormatting sqref="L7:L10">
    <cfRule type="expression" priority="2" aboveAverage="0" equalAverage="0" bottom="0" percent="0" rank="0" text="" dxfId="3">
      <formula>AND(ISNUMBER($L7),ABS($L7)&gt;BasketTol)</formula>
    </cfRule>
    <cfRule type="expression" priority="3" aboveAverage="0" equalAverage="0" bottom="0" percent="0" rank="0" text="" dxfId="4">
      <formula>AND(ISNUMBER($L7),ABS($L7)&lt;=BasketTol)</formula>
    </cfRule>
  </conditionalFormatting>
  <conditionalFormatting sqref="K11">
    <cfRule type="expression" priority="4" aboveAverage="0" equalAverage="0" bottom="0" percent="0" rank="0" text="" dxfId="3">
      <formula>ABS($K$11-1)&gt;0.0001</formula>
    </cfRule>
  </conditionalFormatting>
  <dataValidations count="1">
    <dataValidation allowBlank="true" error="Type the target as a percentage between 0% and 100%." errorStyle="stop" errorTitle="Target" operator="between" prompt="The family's target share of the portfolio for this basket. The four should add to 100%." promptTitle="Target allocation" showDropDown="false" showErrorMessage="false" showInputMessage="true" sqref="K7:K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S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6"/>
    <col collapsed="false" customWidth="true" hidden="false" outlineLevel="0" max="16" min="16" style="0" width="2"/>
    <col collapsed="false" customWidth="true" hidden="true" outlineLevel="0" max="19" min="17" style="0" width="13"/>
  </cols>
  <sheetData>
    <row r="1" customFormat="false" ht="21.75" hidden="false" customHeight="true" outlineLevel="0" collapsed="false">
      <c r="A1" s="28" t="str">
        <f aca="false">"Basket Detail — "&amp;ClientName</f>
        <v>Basket Detail — Malhotra Family Office (DEMO)</v>
      </c>
      <c r="O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market values as at "&amp;TEXT(ValDate,"dd-mmm-yyyy")&amp;" · every holding in each basket, largest first (up to 15 per basket; each total covers every holding)"</f>
        <v>Figures in ₹ Crore · market values as at 30-Jun-2026 · every holding in each basket, largest first (up to 15 per basket; each total covers every holding)</v>
      </c>
    </row>
    <row r="3" customFormat="false" ht="15" hidden="false" customHeight="false" outlineLevel="0" collapsed="false">
      <c r="A3" s="3" t="s">
        <v>2</v>
      </c>
    </row>
    <row r="5" customFormat="false" ht="19.5" hidden="false" customHeight="true" outlineLevel="0" collapsed="false">
      <c r="B5" s="54" t="str">
        <f aca="false">Lists!$L$6&amp;"  ·  "&amp;Lists!$K$6</f>
        <v>Stable Growth  ·  SG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R5" s="55" t="str">
        <f aca="false">Lists!$K$6</f>
        <v>SG</v>
      </c>
    </row>
    <row r="6" customFormat="false" ht="30" hidden="false" customHeight="true" outlineLevel="0" collapsed="false">
      <c r="B6" s="23" t="s">
        <v>129</v>
      </c>
      <c r="C6" s="23" t="s">
        <v>99</v>
      </c>
      <c r="D6" s="23" t="s">
        <v>130</v>
      </c>
      <c r="E6" s="23" t="s">
        <v>78</v>
      </c>
      <c r="F6" s="23" t="s">
        <v>131</v>
      </c>
      <c r="G6" s="23" t="s">
        <v>80</v>
      </c>
      <c r="H6" s="23" t="s">
        <v>81</v>
      </c>
      <c r="I6" s="23" t="s">
        <v>132</v>
      </c>
      <c r="J6" s="23" t="s">
        <v>86</v>
      </c>
      <c r="K6" s="23" t="s">
        <v>133</v>
      </c>
      <c r="L6" s="23" t="s">
        <v>134</v>
      </c>
      <c r="M6" s="23" t="s">
        <v>135</v>
      </c>
      <c r="N6" s="23" t="s">
        <v>136</v>
      </c>
      <c r="O6" s="23" t="s">
        <v>137</v>
      </c>
    </row>
    <row r="7" customFormat="false" ht="15" hidden="false" customHeight="false" outlineLevel="0" collapsed="false">
      <c r="B7" s="44" t="str">
        <f aca="false">IF($Q7="","",INDEX(Holdings!$F$6:$F$205,$Q7)&amp;"")</f>
        <v>Cedar India Opportunities Fund – Class A</v>
      </c>
      <c r="C7" s="44" t="str">
        <f aca="false">IF($Q7="","",INDEX(Holdings!$D$6:$D$205,$Q7)&amp;"")</f>
        <v>Arjun Malhotra</v>
      </c>
      <c r="D7" s="44" t="str">
        <f aca="false">IF($Q7="","",INDEX(Holdings!$E$6:$E$205,$Q7)&amp;"")</f>
        <v>Cedar Asset Managers</v>
      </c>
      <c r="E7" s="44" t="str">
        <f aca="false">IF($Q7="","",INDEX(Holdings!$H$6:$H$205,$Q7)&amp;"")</f>
        <v>AIF Cat III – Listed Equity</v>
      </c>
      <c r="F7" s="56" t="n">
        <f aca="false">IF($Q7="","",IF(INDEX(Holdings!$J$6:$J$205,$Q7)="","",INDEX(Holdings!$J$6:$J$205,$Q7)))</f>
        <v>44946</v>
      </c>
      <c r="G7" s="37" t="n">
        <f aca="false">IF($Q7="","",IF(INDEX(Holdings!$M$6:$M$205,$Q7)="","",INDEX(Holdings!$M$6:$M$205,$Q7)/Divisor))</f>
        <v>14.6988</v>
      </c>
      <c r="H7" s="37" t="n">
        <f aca="false">IF($Q7="","",IF(INDEX(Holdings!$R$6:$R$205,$Q7)="","",INDEX(Holdings!$R$6:$R$205,$Q7)/Divisor))</f>
        <v>20.6422</v>
      </c>
      <c r="I7" s="38" t="n">
        <f aca="false">IF(OR($Q7="",N($H$22)=0),"",H7/$H$22)</f>
        <v>0.270896047647636</v>
      </c>
      <c r="J7" s="37" t="n">
        <f aca="false">IF($Q7="","",IF(INDEX(Holdings!$S$6:$S$205,$Q7)="","",INDEX(Holdings!$S$6:$S$205,$Q7)/Divisor))</f>
        <v>5.9434</v>
      </c>
      <c r="K7" s="36" t="str">
        <f aca="false">IF($Q7="","",INDEX(Holdings!$AB$6:$AB$205,$Q7)&amp;"")</f>
        <v>XIRR</v>
      </c>
      <c r="L7" s="38" t="n">
        <f aca="false">IF($Q7="","",IF(K7="XIRR",INDEX(Holdings!$W$6:$W$205,$Q7),IF(K7="Absolute",IF(INDEX(Holdings!$T$6:$T$205,$Q7)="","",INDEX(Holdings!$T$6:$T$205,$Q7)),"")))</f>
        <v>0.178</v>
      </c>
      <c r="M7" s="38" t="n">
        <f aca="false">IF($Q7="","",IF(K7="XIRR",IF(INDEX(Holdings!$Z$6:$Z$205,$Q7)="","",INDEX(Holdings!$Z$6:$Z$205,$Q7)),IF(K7="Absolute",IF(INDEX(Holdings!$Y$6:$Y$205,$Q7)="","",INDEX(Holdings!$Y$6:$Y$205,$Q7)),"")))</f>
        <v>0.132</v>
      </c>
      <c r="N7" s="38" t="n">
        <f aca="false">IF(OR(L7="",M7=""),"",L7-M7)</f>
        <v>0.046</v>
      </c>
      <c r="O7" s="44" t="str">
        <f aca="false">IF($Q7="","",INDEX(Holdings!$X$6:$X$205,$Q7)&amp;"")</f>
        <v>Nifty 500 TRI</v>
      </c>
      <c r="Q7" s="55" t="n">
        <f aca="false">IFERROR(MATCH($R$5&amp;"|"&amp;$S7,Holdings!$AL$6:$AL$205,0),"")</f>
        <v>12</v>
      </c>
      <c r="S7" s="55" t="n">
        <v>1</v>
      </c>
    </row>
    <row r="8" customFormat="false" ht="15" hidden="false" customHeight="false" outlineLevel="0" collapsed="false">
      <c r="B8" s="44" t="str">
        <f aca="false">IF($Q8="","",INDEX(Holdings!$F$6:$F$205,$Q8)&amp;"")</f>
        <v>Banyan Focused Equity Portfolio</v>
      </c>
      <c r="C8" s="44" t="str">
        <f aca="false">IF($Q8="","",INDEX(Holdings!$D$6:$D$205,$Q8)&amp;"")</f>
        <v>Rajiv Malhotra</v>
      </c>
      <c r="D8" s="44" t="str">
        <f aca="false">IF($Q8="","",INDEX(Holdings!$E$6:$E$205,$Q8)&amp;"")</f>
        <v>Banyan Capital Managers</v>
      </c>
      <c r="E8" s="44" t="str">
        <f aca="false">IF($Q8="","",INDEX(Holdings!$H$6:$H$205,$Q8)&amp;"")</f>
        <v>PMS – Equity</v>
      </c>
      <c r="F8" s="56" t="n">
        <f aca="false">IF($Q8="","",IF(INDEX(Holdings!$J$6:$J$205,$Q8)="","",INDEX(Holdings!$J$6:$J$205,$Q8)))</f>
        <v>44652</v>
      </c>
      <c r="G8" s="37" t="n">
        <f aca="false">IF($Q8="","",IF(INDEX(Holdings!$M$6:$M$205,$Q8)="","",INDEX(Holdings!$M$6:$M$205,$Q8)/Divisor))</f>
        <v>15</v>
      </c>
      <c r="H8" s="37" t="n">
        <f aca="false">IF($Q8="","",IF(INDEX(Holdings!$R$6:$R$205,$Q8)="","",INDEX(Holdings!$R$6:$R$205,$Q8)/Divisor))</f>
        <v>18.124</v>
      </c>
      <c r="I8" s="38" t="n">
        <f aca="false">IF(OR($Q8="",N($H$22)=0),"",H8/$H$22)</f>
        <v>0.237848677348623</v>
      </c>
      <c r="J8" s="37" t="n">
        <f aca="false">IF($Q8="","",IF(INDEX(Holdings!$S$6:$S$205,$Q8)="","",INDEX(Holdings!$S$6:$S$205,$Q8)/Divisor))</f>
        <v>3.124</v>
      </c>
      <c r="K8" s="36" t="str">
        <f aca="false">IF($Q8="","",INDEX(Holdings!$AB$6:$AB$205,$Q8)&amp;"")</f>
        <v>XIRR</v>
      </c>
      <c r="L8" s="38" t="n">
        <f aca="false">IF($Q8="","",IF(K8="XIRR",INDEX(Holdings!$W$6:$W$205,$Q8),IF(K8="Absolute",IF(INDEX(Holdings!$T$6:$T$205,$Q8)="","",INDEX(Holdings!$T$6:$T$205,$Q8)),"")))</f>
        <v>0.142</v>
      </c>
      <c r="M8" s="38" t="n">
        <f aca="false">IF($Q8="","",IF(K8="XIRR",IF(INDEX(Holdings!$Z$6:$Z$205,$Q8)="","",INDEX(Holdings!$Z$6:$Z$205,$Q8)),IF(K8="Absolute",IF(INDEX(Holdings!$Y$6:$Y$205,$Q8)="","",INDEX(Holdings!$Y$6:$Y$205,$Q8)),"")))</f>
        <v>0.121</v>
      </c>
      <c r="N8" s="38" t="n">
        <f aca="false">IF(OR(L8="",M8=""),"",L8-M8)</f>
        <v>0.021</v>
      </c>
      <c r="O8" s="44" t="str">
        <f aca="false">IF($Q8="","",INDEX(Holdings!$X$6:$X$205,$Q8)&amp;"")</f>
        <v>Nifty 500 TRI</v>
      </c>
      <c r="Q8" s="55" t="n">
        <f aca="false">IFERROR(MATCH($R$5&amp;"|"&amp;$S8,Holdings!$AL$6:$AL$205,0),"")</f>
        <v>4</v>
      </c>
      <c r="S8" s="55" t="n">
        <v>2</v>
      </c>
    </row>
    <row r="9" customFormat="false" ht="15" hidden="false" customHeight="false" outlineLevel="0" collapsed="false">
      <c r="B9" s="44" t="str">
        <f aca="false">IF($Q9="","",INDEX(Holdings!$F$6:$F$205,$Q9)&amp;"")</f>
        <v>Himalaya Flexi Cap Fund – Direct Growth</v>
      </c>
      <c r="C9" s="44" t="str">
        <f aca="false">IF($Q9="","",INDEX(Holdings!$D$6:$D$205,$Q9)&amp;"")</f>
        <v>Nisha Malhotra</v>
      </c>
      <c r="D9" s="44" t="str">
        <f aca="false">IF($Q9="","",INDEX(Holdings!$E$6:$E$205,$Q9)&amp;"")</f>
        <v>Orchid Wealth Advisors</v>
      </c>
      <c r="E9" s="44" t="str">
        <f aca="false">IF($Q9="","",INDEX(Holdings!$H$6:$H$205,$Q9)&amp;"")</f>
        <v>Equity MF – Large / Flexi / Multi Cap</v>
      </c>
      <c r="F9" s="56" t="n">
        <f aca="false">IF($Q9="","",IF(INDEX(Holdings!$J$6:$J$205,$Q9)="","",INDEX(Holdings!$J$6:$J$205,$Q9)))</f>
        <v>43108</v>
      </c>
      <c r="G9" s="37" t="n">
        <f aca="false">IF($Q9="","",IF(INDEX(Holdings!$M$6:$M$205,$Q9)="","",INDEX(Holdings!$M$6:$M$205,$Q9)/Divisor))</f>
        <v>3.84</v>
      </c>
      <c r="H9" s="37" t="n">
        <f aca="false">IF($Q9="","",IF(INDEX(Holdings!$R$6:$R$205,$Q9)="","",INDEX(Holdings!$R$6:$R$205,$Q9)/Divisor))</f>
        <v>9.64312</v>
      </c>
      <c r="I9" s="38" t="n">
        <f aca="false">IF(OR($Q9="",N($H$22)=0),"",H9/$H$22)</f>
        <v>0.126550614517439</v>
      </c>
      <c r="J9" s="37" t="n">
        <f aca="false">IF($Q9="","",IF(INDEX(Holdings!$S$6:$S$205,$Q9)="","",INDEX(Holdings!$S$6:$S$205,$Q9)/Divisor))</f>
        <v>5.80312</v>
      </c>
      <c r="K9" s="36" t="str">
        <f aca="false">IF($Q9="","",INDEX(Holdings!$AB$6:$AB$205,$Q9)&amp;"")</f>
        <v>XIRR</v>
      </c>
      <c r="L9" s="38" t="n">
        <f aca="false">IF($Q9="","",IF(K9="XIRR",INDEX(Holdings!$W$6:$W$205,$Q9),IF(K9="Absolute",IF(INDEX(Holdings!$T$6:$T$205,$Q9)="","",INDEX(Holdings!$T$6:$T$205,$Q9)),"")))</f>
        <v>0.112</v>
      </c>
      <c r="M9" s="38" t="n">
        <f aca="false">IF($Q9="","",IF(K9="XIRR",IF(INDEX(Holdings!$Z$6:$Z$205,$Q9)="","",INDEX(Holdings!$Z$6:$Z$205,$Q9)),IF(K9="Absolute",IF(INDEX(Holdings!$Y$6:$Y$205,$Q9)="","",INDEX(Holdings!$Y$6:$Y$205,$Q9)),"")))</f>
        <v>0.126</v>
      </c>
      <c r="N9" s="38" t="n">
        <f aca="false">IF(OR(L9="",M9=""),"",L9-M9)</f>
        <v>-0.014</v>
      </c>
      <c r="O9" s="44" t="str">
        <f aca="false">IF($Q9="","",INDEX(Holdings!$X$6:$X$205,$Q9)&amp;"")</f>
        <v>Nifty 500 TRI</v>
      </c>
      <c r="Q9" s="55" t="n">
        <f aca="false">IFERROR(MATCH($R$5&amp;"|"&amp;$S9,Holdings!$AL$6:$AL$205,0),"")</f>
        <v>6</v>
      </c>
      <c r="S9" s="55" t="n">
        <v>3</v>
      </c>
    </row>
    <row r="10" customFormat="false" ht="15" hidden="false" customHeight="false" outlineLevel="0" collapsed="false">
      <c r="B10" s="44" t="str">
        <f aca="false">IF($Q10="","",INDEX(Holdings!$F$6:$F$205,$Q10)&amp;"")</f>
        <v>Narmada Corporate Bond Fund – Direct Growth</v>
      </c>
      <c r="C10" s="44" t="str">
        <f aca="false">IF($Q10="","",INDEX(Holdings!$D$6:$D$205,$Q10)&amp;"")</f>
        <v>Malhotra Family Trust</v>
      </c>
      <c r="D10" s="44" t="str">
        <f aca="false">IF($Q10="","",INDEX(Holdings!$E$6:$E$205,$Q10)&amp;"")</f>
        <v>Granite Wealth</v>
      </c>
      <c r="E10" s="44" t="str">
        <f aca="false">IF($Q10="","",INDEX(Holdings!$H$6:$H$205,$Q10)&amp;"")</f>
        <v>Debt MF</v>
      </c>
      <c r="F10" s="56" t="n">
        <f aca="false">IF($Q10="","",IF(INDEX(Holdings!$J$6:$J$205,$Q10)="","",INDEX(Holdings!$J$6:$J$205,$Q10)))</f>
        <v>45494</v>
      </c>
      <c r="G10" s="37" t="n">
        <f aca="false">IF($Q10="","",IF(INDEX(Holdings!$M$6:$M$205,$Q10)="","",INDEX(Holdings!$M$6:$M$205,$Q10)/Divisor))</f>
        <v>7</v>
      </c>
      <c r="H10" s="37" t="n">
        <f aca="false">IF($Q10="","",IF(INDEX(Holdings!$R$6:$R$205,$Q10)="","",INDEX(Holdings!$R$6:$R$205,$Q10)/Divisor))</f>
        <v>7.494984</v>
      </c>
      <c r="I10" s="38" t="n">
        <f aca="false">IF(OR($Q10="",N($H$22)=0),"",H10/$H$22)</f>
        <v>0.0983597457045407</v>
      </c>
      <c r="J10" s="37" t="n">
        <f aca="false">IF($Q10="","",IF(INDEX(Holdings!$S$6:$S$205,$Q10)="","",INDEX(Holdings!$S$6:$S$205,$Q10)/Divisor))</f>
        <v>0.494984</v>
      </c>
      <c r="K10" s="36" t="str">
        <f aca="false">IF($Q10="","",INDEX(Holdings!$AB$6:$AB$205,$Q10)&amp;"")</f>
        <v>XIRR</v>
      </c>
      <c r="L10" s="38" t="n">
        <f aca="false">IF($Q10="","",IF(K10="XIRR",INDEX(Holdings!$W$6:$W$205,$Q10),IF(K10="Absolute",IF(INDEX(Holdings!$T$6:$T$205,$Q10)="","",INDEX(Holdings!$T$6:$T$205,$Q10)),"")))</f>
        <v>0.079</v>
      </c>
      <c r="M10" s="38" t="n">
        <f aca="false">IF($Q10="","",IF(K10="XIRR",IF(INDEX(Holdings!$Z$6:$Z$205,$Q10)="","",INDEX(Holdings!$Z$6:$Z$205,$Q10)),IF(K10="Absolute",IF(INDEX(Holdings!$Y$6:$Y$205,$Q10)="","",INDEX(Holdings!$Y$6:$Y$205,$Q10)),"")))</f>
        <v>0.074</v>
      </c>
      <c r="N10" s="38" t="n">
        <f aca="false">IF(OR(L10="",M10=""),"",L10-M10)</f>
        <v>0.005</v>
      </c>
      <c r="O10" s="44" t="str">
        <f aca="false">IF($Q10="","",INDEX(Holdings!$X$6:$X$205,$Q10)&amp;"")</f>
        <v>CRISIL Composite Bond Index</v>
      </c>
      <c r="Q10" s="55" t="n">
        <f aca="false">IFERROR(MATCH($R$5&amp;"|"&amp;$S10,Holdings!$AL$6:$AL$205,0),"")</f>
        <v>18</v>
      </c>
      <c r="S10" s="55" t="n">
        <v>4</v>
      </c>
    </row>
    <row r="11" customFormat="false" ht="15" hidden="false" customHeight="false" outlineLevel="0" collapsed="false">
      <c r="B11" s="44" t="str">
        <f aca="false">IF($Q11="","",INDEX(Holdings!$F$6:$F$205,$Q11)&amp;"")</f>
        <v>Coromandel Digital Services Ltd</v>
      </c>
      <c r="C11" s="44" t="str">
        <f aca="false">IF($Q11="","",INDEX(Holdings!$D$6:$D$205,$Q11)&amp;"")</f>
        <v>Rajiv Malhotra</v>
      </c>
      <c r="D11" s="44" t="str">
        <f aca="false">IF($Q11="","",INDEX(Holdings!$E$6:$E$205,$Q11)&amp;"")</f>
        <v>Self-directed</v>
      </c>
      <c r="E11" s="44" t="str">
        <f aca="false">IF($Q11="","",INDEX(Holdings!$H$6:$H$205,$Q11)&amp;"")</f>
        <v>Direct Equity</v>
      </c>
      <c r="F11" s="56" t="n">
        <f aca="false">IF($Q11="","",IF(INDEX(Holdings!$J$6:$J$205,$Q11)="","",INDEX(Holdings!$J$6:$J$205,$Q11)))</f>
        <v>44211</v>
      </c>
      <c r="G11" s="37" t="n">
        <f aca="false">IF($Q11="","",IF(INDEX(Holdings!$M$6:$M$205,$Q11)="","",INDEX(Holdings!$M$6:$M$205,$Q11)/Divisor))</f>
        <v>3.978</v>
      </c>
      <c r="H11" s="37" t="n">
        <f aca="false">IF($Q11="","",IF(INDEX(Holdings!$R$6:$R$205,$Q11)="","",INDEX(Holdings!$R$6:$R$205,$Q11)/Divisor))</f>
        <v>5.454</v>
      </c>
      <c r="I11" s="38" t="n">
        <f aca="false">IF(OR($Q11="",N($H$22)=0),"",H11/$H$22)</f>
        <v>0.0715750764874968</v>
      </c>
      <c r="J11" s="37" t="n">
        <f aca="false">IF($Q11="","",IF(INDEX(Holdings!$S$6:$S$205,$Q11)="","",INDEX(Holdings!$S$6:$S$205,$Q11)/Divisor))</f>
        <v>1.476</v>
      </c>
      <c r="K11" s="36" t="str">
        <f aca="false">IF($Q11="","",INDEX(Holdings!$AB$6:$AB$205,$Q11)&amp;"")</f>
        <v>XIRR</v>
      </c>
      <c r="L11" s="38" t="n">
        <f aca="false">IF($Q11="","",IF(K11="XIRR",INDEX(Holdings!$W$6:$W$205,$Q11),IF(K11="Absolute",IF(INDEX(Holdings!$T$6:$T$205,$Q11)="","",INDEX(Holdings!$T$6:$T$205,$Q11)),"")))</f>
        <v>0.086</v>
      </c>
      <c r="M11" s="38" t="n">
        <f aca="false">IF($Q11="","",IF(K11="XIRR",IF(INDEX(Holdings!$Z$6:$Z$205,$Q11)="","",INDEX(Holdings!$Z$6:$Z$205,$Q11)),IF(K11="Absolute",IF(INDEX(Holdings!$Y$6:$Y$205,$Q11)="","",INDEX(Holdings!$Y$6:$Y$205,$Q11)),"")))</f>
        <v>0.118</v>
      </c>
      <c r="N11" s="38" t="n">
        <f aca="false">IF(OR(L11="",M11=""),"",L11-M11)</f>
        <v>-0.032</v>
      </c>
      <c r="O11" s="44" t="str">
        <f aca="false">IF($Q11="","",INDEX(Holdings!$X$6:$X$205,$Q11)&amp;"")</f>
        <v>Nifty 500 TRI</v>
      </c>
      <c r="Q11" s="55" t="n">
        <f aca="false">IFERROR(MATCH($R$5&amp;"|"&amp;$S11,Holdings!$AL$6:$AL$205,0),"")</f>
        <v>3</v>
      </c>
      <c r="S11" s="55" t="n">
        <v>5</v>
      </c>
    </row>
    <row r="12" customFormat="false" ht="15" hidden="false" customHeight="false" outlineLevel="0" collapsed="false">
      <c r="B12" s="44" t="str">
        <f aca="false">IF($Q12="","",INDEX(Holdings!$F$6:$F$205,$Q12)&amp;"")</f>
        <v>Orion Housing Finance 8.60% NCD 2029</v>
      </c>
      <c r="C12" s="44" t="str">
        <f aca="false">IF($Q12="","",INDEX(Holdings!$D$6:$D$205,$Q12)&amp;"")</f>
        <v>Malhotra Family Trust</v>
      </c>
      <c r="D12" s="44" t="str">
        <f aca="false">IF($Q12="","",INDEX(Holdings!$E$6:$E$205,$Q12)&amp;"")</f>
        <v>Granite Wealth</v>
      </c>
      <c r="E12" s="44" t="str">
        <f aca="false">IF($Q12="","",INDEX(Holdings!$H$6:$H$205,$Q12)&amp;"")</f>
        <v>Bonds / NCDs</v>
      </c>
      <c r="F12" s="56" t="n">
        <f aca="false">IF($Q12="","",IF(INDEX(Holdings!$J$6:$J$205,$Q12)="","",INDEX(Holdings!$J$6:$J$205,$Q12)))</f>
        <v>45365</v>
      </c>
      <c r="G12" s="37" t="n">
        <f aca="false">IF($Q12="","",IF(INDEX(Holdings!$M$6:$M$205,$Q12)="","",INDEX(Holdings!$M$6:$M$205,$Q12)/Divisor))</f>
        <v>5</v>
      </c>
      <c r="H12" s="37" t="n">
        <f aca="false">IF($Q12="","",IF(INDEX(Holdings!$R$6:$R$205,$Q12)="","",INDEX(Holdings!$R$6:$R$205,$Q12)/Divisor))</f>
        <v>5.062</v>
      </c>
      <c r="I12" s="38" t="n">
        <f aca="false">IF(OR($Q12="",N($H$22)=0),"",H12/$H$22)</f>
        <v>0.0664306998862686</v>
      </c>
      <c r="J12" s="37" t="n">
        <f aca="false">IF($Q12="","",IF(INDEX(Holdings!$S$6:$S$205,$Q12)="","",INDEX(Holdings!$S$6:$S$205,$Q12)/Divisor))</f>
        <v>0.062</v>
      </c>
      <c r="K12" s="36" t="str">
        <f aca="false">IF($Q12="","",INDEX(Holdings!$AB$6:$AB$205,$Q12)&amp;"")</f>
        <v>XIRR</v>
      </c>
      <c r="L12" s="38" t="n">
        <f aca="false">IF($Q12="","",IF(K12="XIRR",INDEX(Holdings!$W$6:$W$205,$Q12),IF(K12="Absolute",IF(INDEX(Holdings!$T$6:$T$205,$Q12)="","",INDEX(Holdings!$T$6:$T$205,$Q12)),"")))</f>
        <v>0.089</v>
      </c>
      <c r="M12" s="38" t="n">
        <f aca="false">IF($Q12="","",IF(K12="XIRR",IF(INDEX(Holdings!$Z$6:$Z$205,$Q12)="","",INDEX(Holdings!$Z$6:$Z$205,$Q12)),IF(K12="Absolute",IF(INDEX(Holdings!$Y$6:$Y$205,$Q12)="","",INDEX(Holdings!$Y$6:$Y$205,$Q12)),"")))</f>
        <v>0.076</v>
      </c>
      <c r="N12" s="38" t="n">
        <f aca="false">IF(OR(L12="",M12=""),"",L12-M12)</f>
        <v>0.013</v>
      </c>
      <c r="O12" s="44" t="str">
        <f aca="false">IF($Q12="","",INDEX(Holdings!$X$6:$X$205,$Q12)&amp;"")</f>
        <v>CRISIL Composite Bond Index</v>
      </c>
      <c r="Q12" s="55" t="n">
        <f aca="false">IFERROR(MATCH($R$5&amp;"|"&amp;$S12,Holdings!$AL$6:$AL$205,0),"")</f>
        <v>16</v>
      </c>
      <c r="S12" s="55" t="n">
        <v>6</v>
      </c>
    </row>
    <row r="13" customFormat="false" ht="15" hidden="false" customHeight="false" outlineLevel="0" collapsed="false">
      <c r="B13" s="44" t="str">
        <f aca="false">IF($Q13="","",INDEX(Holdings!$F$6:$F$205,$Q13)&amp;"")</f>
        <v>Tapti Infrastructure InvIT</v>
      </c>
      <c r="C13" s="44" t="str">
        <f aca="false">IF($Q13="","",INDEX(Holdings!$D$6:$D$205,$Q13)&amp;"")</f>
        <v>Malhotra Family Trust</v>
      </c>
      <c r="D13" s="44" t="str">
        <f aca="false">IF($Q13="","",INDEX(Holdings!$E$6:$E$205,$Q13)&amp;"")</f>
        <v>Granite Wealth</v>
      </c>
      <c r="E13" s="44" t="str">
        <f aca="false">IF($Q13="","",INDEX(Holdings!$H$6:$H$205,$Q13)&amp;"")</f>
        <v>REIT / InvIT</v>
      </c>
      <c r="F13" s="56" t="n">
        <f aca="false">IF($Q13="","",IF(INDEX(Holdings!$J$6:$J$205,$Q13)="","",INDEX(Holdings!$J$6:$J$205,$Q13)))</f>
        <v>45595</v>
      </c>
      <c r="G13" s="37" t="n">
        <f aca="false">IF($Q13="","",IF(INDEX(Holdings!$M$6:$M$205,$Q13)="","",INDEX(Holdings!$M$6:$M$205,$Q13)/Divisor))</f>
        <v>4.4</v>
      </c>
      <c r="H13" s="37" t="n">
        <f aca="false">IF($Q13="","",IF(INDEX(Holdings!$R$6:$R$205,$Q13)="","",INDEX(Holdings!$R$6:$R$205,$Q13)/Divisor))</f>
        <v>4.728</v>
      </c>
      <c r="I13" s="38" t="n">
        <f aca="false">IF(OR($Q13="",N($H$22)=0),"",H13/$H$22)</f>
        <v>0.062047481047467</v>
      </c>
      <c r="J13" s="37" t="n">
        <f aca="false">IF($Q13="","",IF(INDEX(Holdings!$S$6:$S$205,$Q13)="","",INDEX(Holdings!$S$6:$S$205,$Q13)/Divisor))</f>
        <v>0.328</v>
      </c>
      <c r="K13" s="36" t="str">
        <f aca="false">IF($Q13="","",INDEX(Holdings!$AB$6:$AB$205,$Q13)&amp;"")</f>
        <v>XIRR</v>
      </c>
      <c r="L13" s="38" t="n">
        <f aca="false">IF($Q13="","",IF(K13="XIRR",INDEX(Holdings!$W$6:$W$205,$Q13),IF(K13="Absolute",IF(INDEX(Holdings!$T$6:$T$205,$Q13)="","",INDEX(Holdings!$T$6:$T$205,$Q13)),"")))</f>
        <v>0.126</v>
      </c>
      <c r="M13" s="38" t="n">
        <f aca="false">IF($Q13="","",IF(K13="XIRR",IF(INDEX(Holdings!$Z$6:$Z$205,$Q13)="","",INDEX(Holdings!$Z$6:$Z$205,$Q13)),IF(K13="Absolute",IF(INDEX(Holdings!$Y$6:$Y$205,$Q13)="","",INDEX(Holdings!$Y$6:$Y$205,$Q13)),"")))</f>
        <v>0.091</v>
      </c>
      <c r="N13" s="38" t="n">
        <f aca="false">IF(OR(L13="",M13=""),"",L13-M13)</f>
        <v>0.035</v>
      </c>
      <c r="O13" s="44" t="str">
        <f aca="false">IF($Q13="","",INDEX(Holdings!$X$6:$X$205,$Q13)&amp;"")</f>
        <v>Nifty REITs &amp; InvITs Index</v>
      </c>
      <c r="Q13" s="55" t="n">
        <f aca="false">IFERROR(MATCH($R$5&amp;"|"&amp;$S13,Holdings!$AL$6:$AL$205,0),"")</f>
        <v>19</v>
      </c>
      <c r="S13" s="55" t="n">
        <v>7</v>
      </c>
    </row>
    <row r="14" customFormat="false" ht="15" hidden="false" customHeight="false" outlineLevel="0" collapsed="false">
      <c r="B14" s="44" t="str">
        <f aca="false">IF($Q14="","",INDEX(Holdings!$F$6:$F$205,$Q14)&amp;"")</f>
        <v>Jaipur Balanced Advantage Fund – Direct Growth</v>
      </c>
      <c r="C14" s="44" t="str">
        <f aca="false">IF($Q14="","",INDEX(Holdings!$D$6:$D$205,$Q14)&amp;"")</f>
        <v>Nisha Malhotra</v>
      </c>
      <c r="D14" s="44" t="str">
        <f aca="false">IF($Q14="","",INDEX(Holdings!$E$6:$E$205,$Q14)&amp;"")</f>
        <v>Orchid Wealth Advisors</v>
      </c>
      <c r="E14" s="44" t="str">
        <f aca="false">IF($Q14="","",INDEX(Holdings!$H$6:$H$205,$Q14)&amp;"")</f>
        <v>Equity MF – Hybrid / BAF</v>
      </c>
      <c r="F14" s="56" t="n">
        <f aca="false">IF($Q14="","",IF(INDEX(Holdings!$J$6:$J$205,$Q14)="","",INDEX(Holdings!$J$6:$J$205,$Q14)))</f>
        <v>45202</v>
      </c>
      <c r="G14" s="37" t="n">
        <f aca="false">IF($Q14="","",IF(INDEX(Holdings!$M$6:$M$205,$Q14)="","",INDEX(Holdings!$M$6:$M$205,$Q14)/Divisor))</f>
        <v>3.5</v>
      </c>
      <c r="H14" s="37" t="n">
        <f aca="false">IF($Q14="","",IF(INDEX(Holdings!$R$6:$R$205,$Q14)="","",INDEX(Holdings!$R$6:$R$205,$Q14)/Divisor))</f>
        <v>4.013205</v>
      </c>
      <c r="I14" s="38" t="n">
        <f aca="false">IF(OR($Q14="",N($H$22)=0),"",H14/$H$22)</f>
        <v>0.0526669334130922</v>
      </c>
      <c r="J14" s="37" t="n">
        <f aca="false">IF($Q14="","",IF(INDEX(Holdings!$S$6:$S$205,$Q14)="","",INDEX(Holdings!$S$6:$S$205,$Q14)/Divisor))</f>
        <v>0.513205</v>
      </c>
      <c r="K14" s="36" t="str">
        <f aca="false">IF($Q14="","",INDEX(Holdings!$AB$6:$AB$205,$Q14)&amp;"")</f>
        <v>XIRR</v>
      </c>
      <c r="L14" s="38" t="n">
        <f aca="false">IF($Q14="","",IF(K14="XIRR",INDEX(Holdings!$W$6:$W$205,$Q14),IF(K14="Absolute",IF(INDEX(Holdings!$T$6:$T$205,$Q14)="","",INDEX(Holdings!$T$6:$T$205,$Q14)),"")))</f>
        <v>0.108</v>
      </c>
      <c r="M14" s="38" t="n">
        <f aca="false">IF($Q14="","",IF(K14="XIRR",IF(INDEX(Holdings!$Z$6:$Z$205,$Q14)="","",INDEX(Holdings!$Z$6:$Z$205,$Q14)),IF(K14="Absolute",IF(INDEX(Holdings!$Y$6:$Y$205,$Q14)="","",INDEX(Holdings!$Y$6:$Y$205,$Q14)),"")))</f>
        <v>0.115</v>
      </c>
      <c r="N14" s="38" t="n">
        <f aca="false">IF(OR(L14="",M14=""),"",L14-M14)</f>
        <v>-0.00700000000000001</v>
      </c>
      <c r="O14" s="44" t="str">
        <f aca="false">IF($Q14="","",INDEX(Holdings!$X$6:$X$205,$Q14)&amp;"")</f>
        <v>CRISIL Hybrid 50+50 Moderate Index</v>
      </c>
      <c r="Q14" s="55" t="n">
        <f aca="false">IFERROR(MATCH($R$5&amp;"|"&amp;$S14,Holdings!$AL$6:$AL$205,0),"")</f>
        <v>8</v>
      </c>
      <c r="S14" s="55" t="n">
        <v>8</v>
      </c>
    </row>
    <row r="15" customFormat="false" ht="15" hidden="false" customHeight="false" outlineLevel="0" collapsed="false">
      <c r="B15" s="44" t="str">
        <f aca="false">IF($Q15="","",INDEX(Holdings!$F$6:$F$205,$Q15)&amp;"")</f>
        <v>Sahyadri Private Credit Fund – Series I</v>
      </c>
      <c r="C15" s="44" t="str">
        <f aca="false">IF($Q15="","",INDEX(Holdings!$D$6:$D$205,$Q15)&amp;"")</f>
        <v>Malhotra Family Trust</v>
      </c>
      <c r="D15" s="44" t="str">
        <f aca="false">IF($Q15="","",INDEX(Holdings!$E$6:$E$205,$Q15)&amp;"")</f>
        <v>Sahyadri Investment Managers</v>
      </c>
      <c r="E15" s="44" t="str">
        <f aca="false">IF($Q15="","",INDEX(Holdings!$H$6:$H$205,$Q15)&amp;"")</f>
        <v>AIF Cat II – Private Credit</v>
      </c>
      <c r="F15" s="56" t="n">
        <f aca="false">IF($Q15="","",IF(INDEX(Holdings!$J$6:$J$205,$Q15)="","",INDEX(Holdings!$J$6:$J$205,$Q15)))</f>
        <v>46037</v>
      </c>
      <c r="G15" s="37" t="n">
        <f aca="false">IF($Q15="","",IF(INDEX(Holdings!$M$6:$M$205,$Q15)="","",INDEX(Holdings!$M$6:$M$205,$Q15)/Divisor))</f>
        <v>1</v>
      </c>
      <c r="H15" s="37" t="n">
        <f aca="false">IF($Q15="","",IF(INDEX(Holdings!$R$6:$R$205,$Q15)="","",INDEX(Holdings!$R$6:$R$205,$Q15)/Divisor))</f>
        <v>1.0382</v>
      </c>
      <c r="I15" s="38" t="n">
        <f aca="false">IF(OR($Q15="",N($H$22)=0),"",H15/$H$22)</f>
        <v>0.0136247239474366</v>
      </c>
      <c r="J15" s="37" t="n">
        <f aca="false">IF($Q15="","",IF(INDEX(Holdings!$S$6:$S$205,$Q15)="","",INDEX(Holdings!$S$6:$S$205,$Q15)/Divisor))</f>
        <v>0.0382</v>
      </c>
      <c r="K15" s="36" t="str">
        <f aca="false">IF($Q15="","",INDEX(Holdings!$AB$6:$AB$205,$Q15)&amp;"")</f>
        <v>Absolute</v>
      </c>
      <c r="L15" s="38" t="n">
        <f aca="false">IF($Q15="","",IF(K15="XIRR",INDEX(Holdings!$W$6:$W$205,$Q15),IF(K15="Absolute",IF(INDEX(Holdings!$T$6:$T$205,$Q15)="","",INDEX(Holdings!$T$6:$T$205,$Q15)),"")))</f>
        <v>0.0382</v>
      </c>
      <c r="M15" s="38" t="n">
        <f aca="false">IF($Q15="","",IF(K15="XIRR",IF(INDEX(Holdings!$Z$6:$Z$205,$Q15)="","",INDEX(Holdings!$Z$6:$Z$205,$Q15)),IF(K15="Absolute",IF(INDEX(Holdings!$Y$6:$Y$205,$Q15)="","",INDEX(Holdings!$Y$6:$Y$205,$Q15)),"")))</f>
        <v>0.031</v>
      </c>
      <c r="N15" s="38" t="n">
        <f aca="false">IF(OR(L15="",M15=""),"",L15-M15)</f>
        <v>0.0072</v>
      </c>
      <c r="O15" s="44" t="str">
        <f aca="false">IF($Q15="","",INDEX(Holdings!$X$6:$X$205,$Q15)&amp;"")</f>
        <v>CRISIL Composite Bond Index</v>
      </c>
      <c r="Q15" s="55" t="n">
        <f aca="false">IFERROR(MATCH($R$5&amp;"|"&amp;$S15,Holdings!$AL$6:$AL$205,0),"")</f>
        <v>23</v>
      </c>
      <c r="S15" s="55" t="n">
        <v>9</v>
      </c>
    </row>
    <row r="16" customFormat="false" ht="15" hidden="false" customHeight="false" outlineLevel="0" collapsed="false">
      <c r="B16" s="44" t="str">
        <f aca="false">IF($Q16="","",INDEX(Holdings!$F$6:$F$205,$Q16)&amp;"")</f>
        <v/>
      </c>
      <c r="C16" s="44" t="str">
        <f aca="false">IF($Q16="","",INDEX(Holdings!$D$6:$D$205,$Q16)&amp;"")</f>
        <v/>
      </c>
      <c r="D16" s="44" t="str">
        <f aca="false">IF($Q16="","",INDEX(Holdings!$E$6:$E$205,$Q16)&amp;"")</f>
        <v/>
      </c>
      <c r="E16" s="44" t="str">
        <f aca="false">IF($Q16="","",INDEX(Holdings!$H$6:$H$205,$Q16)&amp;"")</f>
        <v/>
      </c>
      <c r="F16" s="56" t="str">
        <f aca="false">IF($Q16="","",IF(INDEX(Holdings!$J$6:$J$205,$Q16)="","",INDEX(Holdings!$J$6:$J$205,$Q16)))</f>
        <v/>
      </c>
      <c r="G16" s="37" t="str">
        <f aca="false">IF($Q16="","",IF(INDEX(Holdings!$M$6:$M$205,$Q16)="","",INDEX(Holdings!$M$6:$M$205,$Q16)/Divisor))</f>
        <v/>
      </c>
      <c r="H16" s="37" t="str">
        <f aca="false">IF($Q16="","",IF(INDEX(Holdings!$R$6:$R$205,$Q16)="","",INDEX(Holdings!$R$6:$R$205,$Q16)/Divisor))</f>
        <v/>
      </c>
      <c r="I16" s="38" t="str">
        <f aca="false">IF(OR($Q16="",N($H$22)=0),"",H16/$H$22)</f>
        <v/>
      </c>
      <c r="J16" s="37" t="str">
        <f aca="false">IF($Q16="","",IF(INDEX(Holdings!$S$6:$S$205,$Q16)="","",INDEX(Holdings!$S$6:$S$205,$Q16)/Divisor))</f>
        <v/>
      </c>
      <c r="K16" s="36" t="str">
        <f aca="false">IF($Q16="","",INDEX(Holdings!$AB$6:$AB$205,$Q16)&amp;"")</f>
        <v/>
      </c>
      <c r="L16" s="38" t="str">
        <f aca="false">IF($Q16="","",IF(K16="XIRR",INDEX(Holdings!$W$6:$W$205,$Q16),IF(K16="Absolute",IF(INDEX(Holdings!$T$6:$T$205,$Q16)="","",INDEX(Holdings!$T$6:$T$205,$Q16)),"")))</f>
        <v/>
      </c>
      <c r="M16" s="38" t="str">
        <f aca="false">IF($Q16="","",IF(K16="XIRR",IF(INDEX(Holdings!$Z$6:$Z$205,$Q16)="","",INDEX(Holdings!$Z$6:$Z$205,$Q16)),IF(K16="Absolute",IF(INDEX(Holdings!$Y$6:$Y$205,$Q16)="","",INDEX(Holdings!$Y$6:$Y$205,$Q16)),"")))</f>
        <v/>
      </c>
      <c r="N16" s="38" t="str">
        <f aca="false">IF(OR(L16="",M16=""),"",L16-M16)</f>
        <v/>
      </c>
      <c r="O16" s="44" t="str">
        <f aca="false">IF($Q16="","",INDEX(Holdings!$X$6:$X$205,$Q16)&amp;"")</f>
        <v/>
      </c>
      <c r="Q16" s="55" t="str">
        <f aca="false">IFERROR(MATCH($R$5&amp;"|"&amp;$S16,Holdings!$AL$6:$AL$205,0),"")</f>
        <v/>
      </c>
      <c r="S16" s="55" t="n">
        <v>10</v>
      </c>
    </row>
    <row r="17" customFormat="false" ht="15" hidden="false" customHeight="false" outlineLevel="0" collapsed="false">
      <c r="B17" s="44" t="str">
        <f aca="false">IF($Q17="","",INDEX(Holdings!$F$6:$F$205,$Q17)&amp;"")</f>
        <v/>
      </c>
      <c r="C17" s="44" t="str">
        <f aca="false">IF($Q17="","",INDEX(Holdings!$D$6:$D$205,$Q17)&amp;"")</f>
        <v/>
      </c>
      <c r="D17" s="44" t="str">
        <f aca="false">IF($Q17="","",INDEX(Holdings!$E$6:$E$205,$Q17)&amp;"")</f>
        <v/>
      </c>
      <c r="E17" s="44" t="str">
        <f aca="false">IF($Q17="","",INDEX(Holdings!$H$6:$H$205,$Q17)&amp;"")</f>
        <v/>
      </c>
      <c r="F17" s="56" t="str">
        <f aca="false">IF($Q17="","",IF(INDEX(Holdings!$J$6:$J$205,$Q17)="","",INDEX(Holdings!$J$6:$J$205,$Q17)))</f>
        <v/>
      </c>
      <c r="G17" s="37" t="str">
        <f aca="false">IF($Q17="","",IF(INDEX(Holdings!$M$6:$M$205,$Q17)="","",INDEX(Holdings!$M$6:$M$205,$Q17)/Divisor))</f>
        <v/>
      </c>
      <c r="H17" s="37" t="str">
        <f aca="false">IF($Q17="","",IF(INDEX(Holdings!$R$6:$R$205,$Q17)="","",INDEX(Holdings!$R$6:$R$205,$Q17)/Divisor))</f>
        <v/>
      </c>
      <c r="I17" s="38" t="str">
        <f aca="false">IF(OR($Q17="",N($H$22)=0),"",H17/$H$22)</f>
        <v/>
      </c>
      <c r="J17" s="37" t="str">
        <f aca="false">IF($Q17="","",IF(INDEX(Holdings!$S$6:$S$205,$Q17)="","",INDEX(Holdings!$S$6:$S$205,$Q17)/Divisor))</f>
        <v/>
      </c>
      <c r="K17" s="36" t="str">
        <f aca="false">IF($Q17="","",INDEX(Holdings!$AB$6:$AB$205,$Q17)&amp;"")</f>
        <v/>
      </c>
      <c r="L17" s="38" t="str">
        <f aca="false">IF($Q17="","",IF(K17="XIRR",INDEX(Holdings!$W$6:$W$205,$Q17),IF(K17="Absolute",IF(INDEX(Holdings!$T$6:$T$205,$Q17)="","",INDEX(Holdings!$T$6:$T$205,$Q17)),"")))</f>
        <v/>
      </c>
      <c r="M17" s="38" t="str">
        <f aca="false">IF($Q17="","",IF(K17="XIRR",IF(INDEX(Holdings!$Z$6:$Z$205,$Q17)="","",INDEX(Holdings!$Z$6:$Z$205,$Q17)),IF(K17="Absolute",IF(INDEX(Holdings!$Y$6:$Y$205,$Q17)="","",INDEX(Holdings!$Y$6:$Y$205,$Q17)),"")))</f>
        <v/>
      </c>
      <c r="N17" s="38" t="str">
        <f aca="false">IF(OR(L17="",M17=""),"",L17-M17)</f>
        <v/>
      </c>
      <c r="O17" s="44" t="str">
        <f aca="false">IF($Q17="","",INDEX(Holdings!$X$6:$X$205,$Q17)&amp;"")</f>
        <v/>
      </c>
      <c r="Q17" s="55" t="str">
        <f aca="false">IFERROR(MATCH($R$5&amp;"|"&amp;$S17,Holdings!$AL$6:$AL$205,0),"")</f>
        <v/>
      </c>
      <c r="S17" s="55" t="n">
        <v>11</v>
      </c>
    </row>
    <row r="18" customFormat="false" ht="15" hidden="false" customHeight="false" outlineLevel="0" collapsed="false">
      <c r="B18" s="44" t="str">
        <f aca="false">IF($Q18="","",INDEX(Holdings!$F$6:$F$205,$Q18)&amp;"")</f>
        <v/>
      </c>
      <c r="C18" s="44" t="str">
        <f aca="false">IF($Q18="","",INDEX(Holdings!$D$6:$D$205,$Q18)&amp;"")</f>
        <v/>
      </c>
      <c r="D18" s="44" t="str">
        <f aca="false">IF($Q18="","",INDEX(Holdings!$E$6:$E$205,$Q18)&amp;"")</f>
        <v/>
      </c>
      <c r="E18" s="44" t="str">
        <f aca="false">IF($Q18="","",INDEX(Holdings!$H$6:$H$205,$Q18)&amp;"")</f>
        <v/>
      </c>
      <c r="F18" s="56" t="str">
        <f aca="false">IF($Q18="","",IF(INDEX(Holdings!$J$6:$J$205,$Q18)="","",INDEX(Holdings!$J$6:$J$205,$Q18)))</f>
        <v/>
      </c>
      <c r="G18" s="37" t="str">
        <f aca="false">IF($Q18="","",IF(INDEX(Holdings!$M$6:$M$205,$Q18)="","",INDEX(Holdings!$M$6:$M$205,$Q18)/Divisor))</f>
        <v/>
      </c>
      <c r="H18" s="37" t="str">
        <f aca="false">IF($Q18="","",IF(INDEX(Holdings!$R$6:$R$205,$Q18)="","",INDEX(Holdings!$R$6:$R$205,$Q18)/Divisor))</f>
        <v/>
      </c>
      <c r="I18" s="38" t="str">
        <f aca="false">IF(OR($Q18="",N($H$22)=0),"",H18/$H$22)</f>
        <v/>
      </c>
      <c r="J18" s="37" t="str">
        <f aca="false">IF($Q18="","",IF(INDEX(Holdings!$S$6:$S$205,$Q18)="","",INDEX(Holdings!$S$6:$S$205,$Q18)/Divisor))</f>
        <v/>
      </c>
      <c r="K18" s="36" t="str">
        <f aca="false">IF($Q18="","",INDEX(Holdings!$AB$6:$AB$205,$Q18)&amp;"")</f>
        <v/>
      </c>
      <c r="L18" s="38" t="str">
        <f aca="false">IF($Q18="","",IF(K18="XIRR",INDEX(Holdings!$W$6:$W$205,$Q18),IF(K18="Absolute",IF(INDEX(Holdings!$T$6:$T$205,$Q18)="","",INDEX(Holdings!$T$6:$T$205,$Q18)),"")))</f>
        <v/>
      </c>
      <c r="M18" s="38" t="str">
        <f aca="false">IF($Q18="","",IF(K18="XIRR",IF(INDEX(Holdings!$Z$6:$Z$205,$Q18)="","",INDEX(Holdings!$Z$6:$Z$205,$Q18)),IF(K18="Absolute",IF(INDEX(Holdings!$Y$6:$Y$205,$Q18)="","",INDEX(Holdings!$Y$6:$Y$205,$Q18)),"")))</f>
        <v/>
      </c>
      <c r="N18" s="38" t="str">
        <f aca="false">IF(OR(L18="",M18=""),"",L18-M18)</f>
        <v/>
      </c>
      <c r="O18" s="44" t="str">
        <f aca="false">IF($Q18="","",INDEX(Holdings!$X$6:$X$205,$Q18)&amp;"")</f>
        <v/>
      </c>
      <c r="Q18" s="55" t="str">
        <f aca="false">IFERROR(MATCH($R$5&amp;"|"&amp;$S18,Holdings!$AL$6:$AL$205,0),"")</f>
        <v/>
      </c>
      <c r="S18" s="55" t="n">
        <v>12</v>
      </c>
    </row>
    <row r="19" customFormat="false" ht="15" hidden="false" customHeight="false" outlineLevel="0" collapsed="false">
      <c r="B19" s="44" t="str">
        <f aca="false">IF($Q19="","",INDEX(Holdings!$F$6:$F$205,$Q19)&amp;"")</f>
        <v/>
      </c>
      <c r="C19" s="44" t="str">
        <f aca="false">IF($Q19="","",INDEX(Holdings!$D$6:$D$205,$Q19)&amp;"")</f>
        <v/>
      </c>
      <c r="D19" s="44" t="str">
        <f aca="false">IF($Q19="","",INDEX(Holdings!$E$6:$E$205,$Q19)&amp;"")</f>
        <v/>
      </c>
      <c r="E19" s="44" t="str">
        <f aca="false">IF($Q19="","",INDEX(Holdings!$H$6:$H$205,$Q19)&amp;"")</f>
        <v/>
      </c>
      <c r="F19" s="56" t="str">
        <f aca="false">IF($Q19="","",IF(INDEX(Holdings!$J$6:$J$205,$Q19)="","",INDEX(Holdings!$J$6:$J$205,$Q19)))</f>
        <v/>
      </c>
      <c r="G19" s="37" t="str">
        <f aca="false">IF($Q19="","",IF(INDEX(Holdings!$M$6:$M$205,$Q19)="","",INDEX(Holdings!$M$6:$M$205,$Q19)/Divisor))</f>
        <v/>
      </c>
      <c r="H19" s="37" t="str">
        <f aca="false">IF($Q19="","",IF(INDEX(Holdings!$R$6:$R$205,$Q19)="","",INDEX(Holdings!$R$6:$R$205,$Q19)/Divisor))</f>
        <v/>
      </c>
      <c r="I19" s="38" t="str">
        <f aca="false">IF(OR($Q19="",N($H$22)=0),"",H19/$H$22)</f>
        <v/>
      </c>
      <c r="J19" s="37" t="str">
        <f aca="false">IF($Q19="","",IF(INDEX(Holdings!$S$6:$S$205,$Q19)="","",INDEX(Holdings!$S$6:$S$205,$Q19)/Divisor))</f>
        <v/>
      </c>
      <c r="K19" s="36" t="str">
        <f aca="false">IF($Q19="","",INDEX(Holdings!$AB$6:$AB$205,$Q19)&amp;"")</f>
        <v/>
      </c>
      <c r="L19" s="38" t="str">
        <f aca="false">IF($Q19="","",IF(K19="XIRR",INDEX(Holdings!$W$6:$W$205,$Q19),IF(K19="Absolute",IF(INDEX(Holdings!$T$6:$T$205,$Q19)="","",INDEX(Holdings!$T$6:$T$205,$Q19)),"")))</f>
        <v/>
      </c>
      <c r="M19" s="38" t="str">
        <f aca="false">IF($Q19="","",IF(K19="XIRR",IF(INDEX(Holdings!$Z$6:$Z$205,$Q19)="","",INDEX(Holdings!$Z$6:$Z$205,$Q19)),IF(K19="Absolute",IF(INDEX(Holdings!$Y$6:$Y$205,$Q19)="","",INDEX(Holdings!$Y$6:$Y$205,$Q19)),"")))</f>
        <v/>
      </c>
      <c r="N19" s="38" t="str">
        <f aca="false">IF(OR(L19="",M19=""),"",L19-M19)</f>
        <v/>
      </c>
      <c r="O19" s="44" t="str">
        <f aca="false">IF($Q19="","",INDEX(Holdings!$X$6:$X$205,$Q19)&amp;"")</f>
        <v/>
      </c>
      <c r="Q19" s="55" t="str">
        <f aca="false">IFERROR(MATCH($R$5&amp;"|"&amp;$S19,Holdings!$AL$6:$AL$205,0),"")</f>
        <v/>
      </c>
      <c r="S19" s="55" t="n">
        <v>13</v>
      </c>
    </row>
    <row r="20" customFormat="false" ht="15" hidden="false" customHeight="false" outlineLevel="0" collapsed="false">
      <c r="B20" s="44" t="str">
        <f aca="false">IF($Q20="","",INDEX(Holdings!$F$6:$F$205,$Q20)&amp;"")</f>
        <v/>
      </c>
      <c r="C20" s="44" t="str">
        <f aca="false">IF($Q20="","",INDEX(Holdings!$D$6:$D$205,$Q20)&amp;"")</f>
        <v/>
      </c>
      <c r="D20" s="44" t="str">
        <f aca="false">IF($Q20="","",INDEX(Holdings!$E$6:$E$205,$Q20)&amp;"")</f>
        <v/>
      </c>
      <c r="E20" s="44" t="str">
        <f aca="false">IF($Q20="","",INDEX(Holdings!$H$6:$H$205,$Q20)&amp;"")</f>
        <v/>
      </c>
      <c r="F20" s="56" t="str">
        <f aca="false">IF($Q20="","",IF(INDEX(Holdings!$J$6:$J$205,$Q20)="","",INDEX(Holdings!$J$6:$J$205,$Q20)))</f>
        <v/>
      </c>
      <c r="G20" s="37" t="str">
        <f aca="false">IF($Q20="","",IF(INDEX(Holdings!$M$6:$M$205,$Q20)="","",INDEX(Holdings!$M$6:$M$205,$Q20)/Divisor))</f>
        <v/>
      </c>
      <c r="H20" s="37" t="str">
        <f aca="false">IF($Q20="","",IF(INDEX(Holdings!$R$6:$R$205,$Q20)="","",INDEX(Holdings!$R$6:$R$205,$Q20)/Divisor))</f>
        <v/>
      </c>
      <c r="I20" s="38" t="str">
        <f aca="false">IF(OR($Q20="",N($H$22)=0),"",H20/$H$22)</f>
        <v/>
      </c>
      <c r="J20" s="37" t="str">
        <f aca="false">IF($Q20="","",IF(INDEX(Holdings!$S$6:$S$205,$Q20)="","",INDEX(Holdings!$S$6:$S$205,$Q20)/Divisor))</f>
        <v/>
      </c>
      <c r="K20" s="36" t="str">
        <f aca="false">IF($Q20="","",INDEX(Holdings!$AB$6:$AB$205,$Q20)&amp;"")</f>
        <v/>
      </c>
      <c r="L20" s="38" t="str">
        <f aca="false">IF($Q20="","",IF(K20="XIRR",INDEX(Holdings!$W$6:$W$205,$Q20),IF(K20="Absolute",IF(INDEX(Holdings!$T$6:$T$205,$Q20)="","",INDEX(Holdings!$T$6:$T$205,$Q20)),"")))</f>
        <v/>
      </c>
      <c r="M20" s="38" t="str">
        <f aca="false">IF($Q20="","",IF(K20="XIRR",IF(INDEX(Holdings!$Z$6:$Z$205,$Q20)="","",INDEX(Holdings!$Z$6:$Z$205,$Q20)),IF(K20="Absolute",IF(INDEX(Holdings!$Y$6:$Y$205,$Q20)="","",INDEX(Holdings!$Y$6:$Y$205,$Q20)),"")))</f>
        <v/>
      </c>
      <c r="N20" s="38" t="str">
        <f aca="false">IF(OR(L20="",M20=""),"",L20-M20)</f>
        <v/>
      </c>
      <c r="O20" s="44" t="str">
        <f aca="false">IF($Q20="","",INDEX(Holdings!$X$6:$X$205,$Q20)&amp;"")</f>
        <v/>
      </c>
      <c r="Q20" s="55" t="str">
        <f aca="false">IFERROR(MATCH($R$5&amp;"|"&amp;$S20,Holdings!$AL$6:$AL$205,0),"")</f>
        <v/>
      </c>
      <c r="S20" s="55" t="n">
        <v>14</v>
      </c>
    </row>
    <row r="21" customFormat="false" ht="15" hidden="false" customHeight="false" outlineLevel="0" collapsed="false">
      <c r="B21" s="44" t="str">
        <f aca="false">IF($Q21="","",INDEX(Holdings!$F$6:$F$205,$Q21)&amp;"")</f>
        <v/>
      </c>
      <c r="C21" s="44" t="str">
        <f aca="false">IF($Q21="","",INDEX(Holdings!$D$6:$D$205,$Q21)&amp;"")</f>
        <v/>
      </c>
      <c r="D21" s="44" t="str">
        <f aca="false">IF($Q21="","",INDEX(Holdings!$E$6:$E$205,$Q21)&amp;"")</f>
        <v/>
      </c>
      <c r="E21" s="44" t="str">
        <f aca="false">IF($Q21="","",INDEX(Holdings!$H$6:$H$205,$Q21)&amp;"")</f>
        <v/>
      </c>
      <c r="F21" s="56" t="str">
        <f aca="false">IF($Q21="","",IF(INDEX(Holdings!$J$6:$J$205,$Q21)="","",INDEX(Holdings!$J$6:$J$205,$Q21)))</f>
        <v/>
      </c>
      <c r="G21" s="37" t="str">
        <f aca="false">IF($Q21="","",IF(INDEX(Holdings!$M$6:$M$205,$Q21)="","",INDEX(Holdings!$M$6:$M$205,$Q21)/Divisor))</f>
        <v/>
      </c>
      <c r="H21" s="37" t="str">
        <f aca="false">IF($Q21="","",IF(INDEX(Holdings!$R$6:$R$205,$Q21)="","",INDEX(Holdings!$R$6:$R$205,$Q21)/Divisor))</f>
        <v/>
      </c>
      <c r="I21" s="38" t="str">
        <f aca="false">IF(OR($Q21="",N($H$22)=0),"",H21/$H$22)</f>
        <v/>
      </c>
      <c r="J21" s="37" t="str">
        <f aca="false">IF($Q21="","",IF(INDEX(Holdings!$S$6:$S$205,$Q21)="","",INDEX(Holdings!$S$6:$S$205,$Q21)/Divisor))</f>
        <v/>
      </c>
      <c r="K21" s="36" t="str">
        <f aca="false">IF($Q21="","",INDEX(Holdings!$AB$6:$AB$205,$Q21)&amp;"")</f>
        <v/>
      </c>
      <c r="L21" s="38" t="str">
        <f aca="false">IF($Q21="","",IF(K21="XIRR",INDEX(Holdings!$W$6:$W$205,$Q21),IF(K21="Absolute",IF(INDEX(Holdings!$T$6:$T$205,$Q21)="","",INDEX(Holdings!$T$6:$T$205,$Q21)),"")))</f>
        <v/>
      </c>
      <c r="M21" s="38" t="str">
        <f aca="false">IF($Q21="","",IF(K21="XIRR",IF(INDEX(Holdings!$Z$6:$Z$205,$Q21)="","",INDEX(Holdings!$Z$6:$Z$205,$Q21)),IF(K21="Absolute",IF(INDEX(Holdings!$Y$6:$Y$205,$Q21)="","",INDEX(Holdings!$Y$6:$Y$205,$Q21)),"")))</f>
        <v/>
      </c>
      <c r="N21" s="38" t="str">
        <f aca="false">IF(OR(L21="",M21=""),"",L21-M21)</f>
        <v/>
      </c>
      <c r="O21" s="44" t="str">
        <f aca="false">IF($Q21="","",INDEX(Holdings!$X$6:$X$205,$Q21)&amp;"")</f>
        <v/>
      </c>
      <c r="Q21" s="55" t="str">
        <f aca="false">IFERROR(MATCH($R$5&amp;"|"&amp;$S21,Holdings!$AL$6:$AL$205,0),"")</f>
        <v/>
      </c>
      <c r="S21" s="55" t="n">
        <v>15</v>
      </c>
    </row>
    <row r="22" customFormat="false" ht="15" hidden="false" customHeight="false" outlineLevel="0" collapsed="false">
      <c r="B22" s="39" t="str">
        <f aca="false">"Total — "&amp;Lists!$L$6</f>
        <v>Total — Stable Growth</v>
      </c>
      <c r="C22" s="43"/>
      <c r="D22" s="43"/>
      <c r="E22" s="43"/>
      <c r="F22" s="43"/>
      <c r="G22" s="41" t="n">
        <f aca="false">SUMIFS(Holdings!$M$6:$M$205,Holdings!$I$6:$I$205,$R$5)/Divisor</f>
        <v>58.4168</v>
      </c>
      <c r="H22" s="41" t="n">
        <f aca="false">SUMIFS(Holdings!$R$6:$R$205,Holdings!$I$6:$I$205,$R$5)/Divisor</f>
        <v>76.199709</v>
      </c>
      <c r="I22" s="42" t="n">
        <f aca="false">IF(N(H22)=0,"",SUM(I7:I21))</f>
        <v>1</v>
      </c>
      <c r="J22" s="41" t="n">
        <f aca="false">SUMIFS(Holdings!$S$6:$S$205,Holdings!$I$6:$I$205,$R$5)/Divisor</f>
        <v>17.782909</v>
      </c>
      <c r="K22" s="40" t="str">
        <f aca="false">IF(SUMIFS(Holdings!$AN$6:$AN$205,Holdings!$I$6:$I$205,$R$5)&gt;0,"XIRR",IF(N(G22)&gt;0,"Absolute",""))</f>
        <v>XIRR</v>
      </c>
      <c r="L22" s="42" t="n">
        <f aca="false">IF(K22="XIRR",IF(SUMIFS(Holdings!$AN$6:$AN$205,Holdings!$I$6:$I$205,$R$5)=0,"",SUMIFS(Holdings!$AM$6:$AM$205,Holdings!$I$6:$I$205,$R$5)/SUMIFS(Holdings!$AN$6:$AN$205,Holdings!$I$6:$I$205,$R$5)),IF(K22="Absolute",J22/G22,""))</f>
        <v>0.131300835325166</v>
      </c>
      <c r="M22" s="42" t="n">
        <f aca="false">IF(K22="XIRR",IF(SUMIFS(Holdings!$AN$6:$AN$205,Holdings!$I$6:$I$205,$R$5)=0,"",SUMIFS(Holdings!$AO$6:$AO$205,Holdings!$I$6:$I$205,$R$5)/SUMIFS(Holdings!$AN$6:$AN$205,Holdings!$I$6:$I$205,$R$5)),IF(K22="Absolute",IF(SUMIFS(Holdings!$AQ$6:$AQ$205,Holdings!$I$6:$I$205,$R$5)=0,"",SUMIFS(Holdings!$AP$6:$AP$205,Holdings!$I$6:$I$205,$R$5)/SUMIFS(Holdings!$AQ$6:$AQ$205,Holdings!$I$6:$I$205,$R$5)),""))</f>
        <v>0.114519878931648</v>
      </c>
      <c r="N22" s="42" t="n">
        <f aca="false">IF(OR(L22="",M22=""),"",L22-M22)</f>
        <v>0.0167809563935179</v>
      </c>
      <c r="O22" s="43"/>
    </row>
    <row r="23" customFormat="false" ht="15" hidden="false" customHeight="false" outlineLevel="0" collapsed="false">
      <c r="B23" s="49" t="str">
        <f aca="false">IF(SUMPRODUCT((Holdings!$I$6:$I$205=$R$5)*ISNUMBER(Holdings!$R$6:$R$205))&gt;15,SUMPRODUCT((Holdings!$I$6:$I$205=$R$5)*ISNUMBER(Holdings!$R$6:$R$205))-15&amp;" more holding(s) in this basket are not listed; the total includes them.",IF(SUMPRODUCT((Holdings!$I$6:$I$205=$R$5)*ISNUMBER(Holdings!$R$6:$R$205))=0,"Nothing is held in this basket.",""))</f>
        <v/>
      </c>
    </row>
    <row r="26" customFormat="false" ht="19.5" hidden="false" customHeight="true" outlineLevel="0" collapsed="false">
      <c r="B26" s="54" t="str">
        <f aca="false">Lists!$L$7&amp;"  ·  "&amp;Lists!$K$7</f>
        <v>Entrepreneurial Growth  ·  EG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R26" s="55" t="str">
        <f aca="false">Lists!$K$7</f>
        <v>EG</v>
      </c>
    </row>
    <row r="27" customFormat="false" ht="30" hidden="false" customHeight="true" outlineLevel="0" collapsed="false">
      <c r="B27" s="23" t="s">
        <v>129</v>
      </c>
      <c r="C27" s="23" t="s">
        <v>99</v>
      </c>
      <c r="D27" s="23" t="s">
        <v>130</v>
      </c>
      <c r="E27" s="23" t="s">
        <v>78</v>
      </c>
      <c r="F27" s="23" t="s">
        <v>131</v>
      </c>
      <c r="G27" s="23" t="s">
        <v>80</v>
      </c>
      <c r="H27" s="23" t="s">
        <v>81</v>
      </c>
      <c r="I27" s="23" t="s">
        <v>132</v>
      </c>
      <c r="J27" s="23" t="s">
        <v>86</v>
      </c>
      <c r="K27" s="23" t="s">
        <v>133</v>
      </c>
      <c r="L27" s="23" t="s">
        <v>134</v>
      </c>
      <c r="M27" s="23" t="s">
        <v>135</v>
      </c>
      <c r="N27" s="23" t="s">
        <v>136</v>
      </c>
      <c r="O27" s="23" t="s">
        <v>137</v>
      </c>
    </row>
    <row r="28" customFormat="false" ht="15" hidden="false" customHeight="false" outlineLevel="0" collapsed="false">
      <c r="B28" s="44" t="str">
        <f aca="false">IF($Q28="","",INDEX(Holdings!$F$6:$F$205,$Q28)&amp;"")</f>
        <v>Fernhill Ventures Fund II – Class A</v>
      </c>
      <c r="C28" s="44" t="str">
        <f aca="false">IF($Q28="","",INDEX(Holdings!$D$6:$D$205,$Q28)&amp;"")</f>
        <v>Malhotra Family Trust</v>
      </c>
      <c r="D28" s="44" t="str">
        <f aca="false">IF($Q28="","",INDEX(Holdings!$E$6:$E$205,$Q28)&amp;"")</f>
        <v>Fernhill Partners</v>
      </c>
      <c r="E28" s="44" t="str">
        <f aca="false">IF($Q28="","",INDEX(Holdings!$H$6:$H$205,$Q28)&amp;"")</f>
        <v>AIF Cat I / II – PE / VC Fund</v>
      </c>
      <c r="F28" s="56" t="n">
        <f aca="false">IF($Q28="","",IF(INDEX(Holdings!$J$6:$J$205,$Q28)="","",INDEX(Holdings!$J$6:$J$205,$Q28)))</f>
        <v>45184</v>
      </c>
      <c r="G28" s="37" t="n">
        <f aca="false">IF($Q28="","",IF(INDEX(Holdings!$M$6:$M$205,$Q28)="","",INDEX(Holdings!$M$6:$M$205,$Q28)/Divisor))</f>
        <v>6</v>
      </c>
      <c r="H28" s="37" t="n">
        <f aca="false">IF($Q28="","",IF(INDEX(Holdings!$R$6:$R$205,$Q28)="","",INDEX(Holdings!$R$6:$R$205,$Q28)/Divisor))</f>
        <v>7.5888</v>
      </c>
      <c r="I28" s="38" t="n">
        <f aca="false">IF(OR($Q28="",N($H$43)=0),"",H28/$H$43)</f>
        <v>0.571067364999097</v>
      </c>
      <c r="J28" s="37" t="n">
        <f aca="false">IF($Q28="","",IF(INDEX(Holdings!$S$6:$S$205,$Q28)="","",INDEX(Holdings!$S$6:$S$205,$Q28)/Divisor))</f>
        <v>1.5888</v>
      </c>
      <c r="K28" s="36" t="str">
        <f aca="false">IF($Q28="","",INDEX(Holdings!$AB$6:$AB$205,$Q28)&amp;"")</f>
        <v>XIRR</v>
      </c>
      <c r="L28" s="38" t="n">
        <f aca="false">IF($Q28="","",IF(K28="XIRR",INDEX(Holdings!$W$6:$W$205,$Q28),IF(K28="Absolute",IF(INDEX(Holdings!$T$6:$T$205,$Q28)="","",INDEX(Holdings!$T$6:$T$205,$Q28)),"")))</f>
        <v>0.151</v>
      </c>
      <c r="M28" s="38" t="n">
        <f aca="false">IF($Q28="","",IF(K28="XIRR",IF(INDEX(Holdings!$Z$6:$Z$205,$Q28)="","",INDEX(Holdings!$Z$6:$Z$205,$Q28)),IF(K28="Absolute",IF(INDEX(Holdings!$Y$6:$Y$205,$Q28)="","",INDEX(Holdings!$Y$6:$Y$205,$Q28)),"")))</f>
        <v>0.128</v>
      </c>
      <c r="N28" s="38" t="n">
        <f aca="false">IF(OR(L28="",M28=""),"",L28-M28)</f>
        <v>0.023</v>
      </c>
      <c r="O28" s="44" t="str">
        <f aca="false">IF($Q28="","",INDEX(Holdings!$X$6:$X$205,$Q28)&amp;"")</f>
        <v>Nifty 500 TRI</v>
      </c>
      <c r="Q28" s="55" t="n">
        <f aca="false">IFERROR(MATCH($R$26&amp;"|"&amp;$S28,Holdings!$AL$6:$AL$205,0),"")</f>
        <v>15</v>
      </c>
      <c r="S28" s="55" t="n">
        <v>1</v>
      </c>
    </row>
    <row r="29" customFormat="false" ht="15" hidden="false" customHeight="false" outlineLevel="0" collapsed="false">
      <c r="B29" s="44" t="str">
        <f aca="false">IF($Q29="","",INDEX(Holdings!$F$6:$F$205,$Q29)&amp;"")</f>
        <v>Rangoli Foods Pvt Ltd – Equity</v>
      </c>
      <c r="C29" s="44" t="str">
        <f aca="false">IF($Q29="","",INDEX(Holdings!$D$6:$D$205,$Q29)&amp;"")</f>
        <v>Malhotra Holdings LLP</v>
      </c>
      <c r="D29" s="44" t="str">
        <f aca="false">IF($Q29="","",INDEX(Holdings!$E$6:$E$205,$Q29)&amp;"")</f>
        <v>Self-directed</v>
      </c>
      <c r="E29" s="44" t="str">
        <f aca="false">IF($Q29="","",INDEX(Holdings!$H$6:$H$205,$Q29)&amp;"")</f>
        <v>Pre-IPO</v>
      </c>
      <c r="F29" s="56" t="n">
        <f aca="false">IF($Q29="","",IF(INDEX(Holdings!$J$6:$J$205,$Q29)="","",INDEX(Holdings!$J$6:$J$205,$Q29)))</f>
        <v>45979</v>
      </c>
      <c r="G29" s="37" t="n">
        <f aca="false">IF($Q29="","",IF(INDEX(Holdings!$M$6:$M$205,$Q29)="","",INDEX(Holdings!$M$6:$M$205,$Q29)/Divisor))</f>
        <v>3.2</v>
      </c>
      <c r="H29" s="37" t="n">
        <f aca="false">IF($Q29="","",IF(INDEX(Holdings!$R$6:$R$205,$Q29)="","",INDEX(Holdings!$R$6:$R$205,$Q29)/Divisor))</f>
        <v>3.2</v>
      </c>
      <c r="I29" s="38" t="n">
        <f aca="false">IF(OR($Q29="",N($H$43)=0),"",H29/$H$43)</f>
        <v>0.240804286316296</v>
      </c>
      <c r="J29" s="37" t="n">
        <f aca="false">IF($Q29="","",IF(INDEX(Holdings!$S$6:$S$205,$Q29)="","",INDEX(Holdings!$S$6:$S$205,$Q29)/Divisor))</f>
        <v>0</v>
      </c>
      <c r="K29" s="36" t="str">
        <f aca="false">IF($Q29="","",INDEX(Holdings!$AB$6:$AB$205,$Q29)&amp;"")</f>
        <v>At cost</v>
      </c>
      <c r="L29" s="38" t="str">
        <f aca="false">IF($Q29="","",IF(K29="XIRR",INDEX(Holdings!$W$6:$W$205,$Q29),IF(K29="Absolute",IF(INDEX(Holdings!$T$6:$T$205,$Q29)="","",INDEX(Holdings!$T$6:$T$205,$Q29)),"")))</f>
        <v/>
      </c>
      <c r="M29" s="38" t="str">
        <f aca="false">IF($Q29="","",IF(K29="XIRR",IF(INDEX(Holdings!$Z$6:$Z$205,$Q29)="","",INDEX(Holdings!$Z$6:$Z$205,$Q29)),IF(K29="Absolute",IF(INDEX(Holdings!$Y$6:$Y$205,$Q29)="","",INDEX(Holdings!$Y$6:$Y$205,$Q29)),"")))</f>
        <v/>
      </c>
      <c r="N29" s="38" t="str">
        <f aca="false">IF(OR(L29="",M29=""),"",L29-M29)</f>
        <v/>
      </c>
      <c r="O29" s="44" t="str">
        <f aca="false">IF($Q29="","",INDEX(Holdings!$X$6:$X$205,$Q29)&amp;"")</f>
        <v/>
      </c>
      <c r="Q29" s="55" t="n">
        <f aca="false">IFERROR(MATCH($R$26&amp;"|"&amp;$S29,Holdings!$AL$6:$AL$205,0),"")</f>
        <v>21</v>
      </c>
      <c r="S29" s="55" t="n">
        <v>2</v>
      </c>
    </row>
    <row r="30" customFormat="false" ht="15" hidden="false" customHeight="false" outlineLevel="0" collapsed="false">
      <c r="B30" s="44" t="str">
        <f aca="false">IF($Q30="","",INDEX(Holdings!$F$6:$F$205,$Q30)&amp;"")</f>
        <v>Quill Robotics Pvt Ltd – Series A CCPS</v>
      </c>
      <c r="C30" s="44" t="str">
        <f aca="false">IF($Q30="","",INDEX(Holdings!$D$6:$D$205,$Q30)&amp;"")</f>
        <v>Rajiv Malhotra</v>
      </c>
      <c r="D30" s="44" t="str">
        <f aca="false">IF($Q30="","",INDEX(Holdings!$E$6:$E$205,$Q30)&amp;"")</f>
        <v>Self-directed</v>
      </c>
      <c r="E30" s="44" t="str">
        <f aca="false">IF($Q30="","",INDEX(Holdings!$H$6:$H$205,$Q30)&amp;"")</f>
        <v>Private Equity – Unlisted Shares</v>
      </c>
      <c r="F30" s="56" t="n">
        <f aca="false">IF($Q30="","",IF(INDEX(Holdings!$J$6:$J$205,$Q30)="","",INDEX(Holdings!$J$6:$J$205,$Q30)))</f>
        <v>45514</v>
      </c>
      <c r="G30" s="37" t="n">
        <f aca="false">IF($Q30="","",IF(INDEX(Holdings!$M$6:$M$205,$Q30)="","",INDEX(Holdings!$M$6:$M$205,$Q30)/Divisor))</f>
        <v>2.5</v>
      </c>
      <c r="H30" s="37" t="n">
        <f aca="false">IF($Q30="","",IF(INDEX(Holdings!$R$6:$R$205,$Q30)="","",INDEX(Holdings!$R$6:$R$205,$Q30)/Divisor))</f>
        <v>2.5</v>
      </c>
      <c r="I30" s="38" t="n">
        <f aca="false">IF(OR($Q30="",N($H$43)=0),"",H30/$H$43)</f>
        <v>0.188128348684607</v>
      </c>
      <c r="J30" s="37" t="n">
        <f aca="false">IF($Q30="","",IF(INDEX(Holdings!$S$6:$S$205,$Q30)="","",INDEX(Holdings!$S$6:$S$205,$Q30)/Divisor))</f>
        <v>0</v>
      </c>
      <c r="K30" s="36" t="str">
        <f aca="false">IF($Q30="","",INDEX(Holdings!$AB$6:$AB$205,$Q30)&amp;"")</f>
        <v>At cost</v>
      </c>
      <c r="L30" s="38" t="str">
        <f aca="false">IF($Q30="","",IF(K30="XIRR",INDEX(Holdings!$W$6:$W$205,$Q30),IF(K30="Absolute",IF(INDEX(Holdings!$T$6:$T$205,$Q30)="","",INDEX(Holdings!$T$6:$T$205,$Q30)),"")))</f>
        <v/>
      </c>
      <c r="M30" s="38" t="str">
        <f aca="false">IF($Q30="","",IF(K30="XIRR",IF(INDEX(Holdings!$Z$6:$Z$205,$Q30)="","",INDEX(Holdings!$Z$6:$Z$205,$Q30)),IF(K30="Absolute",IF(INDEX(Holdings!$Y$6:$Y$205,$Q30)="","",INDEX(Holdings!$Y$6:$Y$205,$Q30)),"")))</f>
        <v/>
      </c>
      <c r="N30" s="38" t="str">
        <f aca="false">IF(OR(L30="",M30=""),"",L30-M30)</f>
        <v/>
      </c>
      <c r="O30" s="44" t="str">
        <f aca="false">IF($Q30="","",INDEX(Holdings!$X$6:$X$205,$Q30)&amp;"")</f>
        <v/>
      </c>
      <c r="Q30" s="55" t="n">
        <f aca="false">IFERROR(MATCH($R$26&amp;"|"&amp;$S30,Holdings!$AL$6:$AL$205,0),"")</f>
        <v>5</v>
      </c>
      <c r="S30" s="55" t="n">
        <v>3</v>
      </c>
    </row>
    <row r="31" customFormat="false" ht="15" hidden="false" customHeight="false" outlineLevel="0" collapsed="false">
      <c r="B31" s="44" t="str">
        <f aca="false">IF($Q31="","",INDEX(Holdings!$F$6:$F$205,$Q31)&amp;"")</f>
        <v/>
      </c>
      <c r="C31" s="44" t="str">
        <f aca="false">IF($Q31="","",INDEX(Holdings!$D$6:$D$205,$Q31)&amp;"")</f>
        <v/>
      </c>
      <c r="D31" s="44" t="str">
        <f aca="false">IF($Q31="","",INDEX(Holdings!$E$6:$E$205,$Q31)&amp;"")</f>
        <v/>
      </c>
      <c r="E31" s="44" t="str">
        <f aca="false">IF($Q31="","",INDEX(Holdings!$H$6:$H$205,$Q31)&amp;"")</f>
        <v/>
      </c>
      <c r="F31" s="56" t="str">
        <f aca="false">IF($Q31="","",IF(INDEX(Holdings!$J$6:$J$205,$Q31)="","",INDEX(Holdings!$J$6:$J$205,$Q31)))</f>
        <v/>
      </c>
      <c r="G31" s="37" t="str">
        <f aca="false">IF($Q31="","",IF(INDEX(Holdings!$M$6:$M$205,$Q31)="","",INDEX(Holdings!$M$6:$M$205,$Q31)/Divisor))</f>
        <v/>
      </c>
      <c r="H31" s="37" t="str">
        <f aca="false">IF($Q31="","",IF(INDEX(Holdings!$R$6:$R$205,$Q31)="","",INDEX(Holdings!$R$6:$R$205,$Q31)/Divisor))</f>
        <v/>
      </c>
      <c r="I31" s="38" t="str">
        <f aca="false">IF(OR($Q31="",N($H$43)=0),"",H31/$H$43)</f>
        <v/>
      </c>
      <c r="J31" s="37" t="str">
        <f aca="false">IF($Q31="","",IF(INDEX(Holdings!$S$6:$S$205,$Q31)="","",INDEX(Holdings!$S$6:$S$205,$Q31)/Divisor))</f>
        <v/>
      </c>
      <c r="K31" s="36" t="str">
        <f aca="false">IF($Q31="","",INDEX(Holdings!$AB$6:$AB$205,$Q31)&amp;"")</f>
        <v/>
      </c>
      <c r="L31" s="38" t="str">
        <f aca="false">IF($Q31="","",IF(K31="XIRR",INDEX(Holdings!$W$6:$W$205,$Q31),IF(K31="Absolute",IF(INDEX(Holdings!$T$6:$T$205,$Q31)="","",INDEX(Holdings!$T$6:$T$205,$Q31)),"")))</f>
        <v/>
      </c>
      <c r="M31" s="38" t="str">
        <f aca="false">IF($Q31="","",IF(K31="XIRR",IF(INDEX(Holdings!$Z$6:$Z$205,$Q31)="","",INDEX(Holdings!$Z$6:$Z$205,$Q31)),IF(K31="Absolute",IF(INDEX(Holdings!$Y$6:$Y$205,$Q31)="","",INDEX(Holdings!$Y$6:$Y$205,$Q31)),"")))</f>
        <v/>
      </c>
      <c r="N31" s="38" t="str">
        <f aca="false">IF(OR(L31="",M31=""),"",L31-M31)</f>
        <v/>
      </c>
      <c r="O31" s="44" t="str">
        <f aca="false">IF($Q31="","",INDEX(Holdings!$X$6:$X$205,$Q31)&amp;"")</f>
        <v/>
      </c>
      <c r="Q31" s="55" t="str">
        <f aca="false">IFERROR(MATCH($R$26&amp;"|"&amp;$S31,Holdings!$AL$6:$AL$205,0),"")</f>
        <v/>
      </c>
      <c r="S31" s="55" t="n">
        <v>4</v>
      </c>
    </row>
    <row r="32" customFormat="false" ht="15" hidden="false" customHeight="false" outlineLevel="0" collapsed="false">
      <c r="B32" s="44" t="str">
        <f aca="false">IF($Q32="","",INDEX(Holdings!$F$6:$F$205,$Q32)&amp;"")</f>
        <v/>
      </c>
      <c r="C32" s="44" t="str">
        <f aca="false">IF($Q32="","",INDEX(Holdings!$D$6:$D$205,$Q32)&amp;"")</f>
        <v/>
      </c>
      <c r="D32" s="44" t="str">
        <f aca="false">IF($Q32="","",INDEX(Holdings!$E$6:$E$205,$Q32)&amp;"")</f>
        <v/>
      </c>
      <c r="E32" s="44" t="str">
        <f aca="false">IF($Q32="","",INDEX(Holdings!$H$6:$H$205,$Q32)&amp;"")</f>
        <v/>
      </c>
      <c r="F32" s="56" t="str">
        <f aca="false">IF($Q32="","",IF(INDEX(Holdings!$J$6:$J$205,$Q32)="","",INDEX(Holdings!$J$6:$J$205,$Q32)))</f>
        <v/>
      </c>
      <c r="G32" s="37" t="str">
        <f aca="false">IF($Q32="","",IF(INDEX(Holdings!$M$6:$M$205,$Q32)="","",INDEX(Holdings!$M$6:$M$205,$Q32)/Divisor))</f>
        <v/>
      </c>
      <c r="H32" s="37" t="str">
        <f aca="false">IF($Q32="","",IF(INDEX(Holdings!$R$6:$R$205,$Q32)="","",INDEX(Holdings!$R$6:$R$205,$Q32)/Divisor))</f>
        <v/>
      </c>
      <c r="I32" s="38" t="str">
        <f aca="false">IF(OR($Q32="",N($H$43)=0),"",H32/$H$43)</f>
        <v/>
      </c>
      <c r="J32" s="37" t="str">
        <f aca="false">IF($Q32="","",IF(INDEX(Holdings!$S$6:$S$205,$Q32)="","",INDEX(Holdings!$S$6:$S$205,$Q32)/Divisor))</f>
        <v/>
      </c>
      <c r="K32" s="36" t="str">
        <f aca="false">IF($Q32="","",INDEX(Holdings!$AB$6:$AB$205,$Q32)&amp;"")</f>
        <v/>
      </c>
      <c r="L32" s="38" t="str">
        <f aca="false">IF($Q32="","",IF(K32="XIRR",INDEX(Holdings!$W$6:$W$205,$Q32),IF(K32="Absolute",IF(INDEX(Holdings!$T$6:$T$205,$Q32)="","",INDEX(Holdings!$T$6:$T$205,$Q32)),"")))</f>
        <v/>
      </c>
      <c r="M32" s="38" t="str">
        <f aca="false">IF($Q32="","",IF(K32="XIRR",IF(INDEX(Holdings!$Z$6:$Z$205,$Q32)="","",INDEX(Holdings!$Z$6:$Z$205,$Q32)),IF(K32="Absolute",IF(INDEX(Holdings!$Y$6:$Y$205,$Q32)="","",INDEX(Holdings!$Y$6:$Y$205,$Q32)),"")))</f>
        <v/>
      </c>
      <c r="N32" s="38" t="str">
        <f aca="false">IF(OR(L32="",M32=""),"",L32-M32)</f>
        <v/>
      </c>
      <c r="O32" s="44" t="str">
        <f aca="false">IF($Q32="","",INDEX(Holdings!$X$6:$X$205,$Q32)&amp;"")</f>
        <v/>
      </c>
      <c r="Q32" s="55" t="str">
        <f aca="false">IFERROR(MATCH($R$26&amp;"|"&amp;$S32,Holdings!$AL$6:$AL$205,0),"")</f>
        <v/>
      </c>
      <c r="S32" s="55" t="n">
        <v>5</v>
      </c>
    </row>
    <row r="33" customFormat="false" ht="15" hidden="false" customHeight="false" outlineLevel="0" collapsed="false">
      <c r="B33" s="44" t="str">
        <f aca="false">IF($Q33="","",INDEX(Holdings!$F$6:$F$205,$Q33)&amp;"")</f>
        <v/>
      </c>
      <c r="C33" s="44" t="str">
        <f aca="false">IF($Q33="","",INDEX(Holdings!$D$6:$D$205,$Q33)&amp;"")</f>
        <v/>
      </c>
      <c r="D33" s="44" t="str">
        <f aca="false">IF($Q33="","",INDEX(Holdings!$E$6:$E$205,$Q33)&amp;"")</f>
        <v/>
      </c>
      <c r="E33" s="44" t="str">
        <f aca="false">IF($Q33="","",INDEX(Holdings!$H$6:$H$205,$Q33)&amp;"")</f>
        <v/>
      </c>
      <c r="F33" s="56" t="str">
        <f aca="false">IF($Q33="","",IF(INDEX(Holdings!$J$6:$J$205,$Q33)="","",INDEX(Holdings!$J$6:$J$205,$Q33)))</f>
        <v/>
      </c>
      <c r="G33" s="37" t="str">
        <f aca="false">IF($Q33="","",IF(INDEX(Holdings!$M$6:$M$205,$Q33)="","",INDEX(Holdings!$M$6:$M$205,$Q33)/Divisor))</f>
        <v/>
      </c>
      <c r="H33" s="37" t="str">
        <f aca="false">IF($Q33="","",IF(INDEX(Holdings!$R$6:$R$205,$Q33)="","",INDEX(Holdings!$R$6:$R$205,$Q33)/Divisor))</f>
        <v/>
      </c>
      <c r="I33" s="38" t="str">
        <f aca="false">IF(OR($Q33="",N($H$43)=0),"",H33/$H$43)</f>
        <v/>
      </c>
      <c r="J33" s="37" t="str">
        <f aca="false">IF($Q33="","",IF(INDEX(Holdings!$S$6:$S$205,$Q33)="","",INDEX(Holdings!$S$6:$S$205,$Q33)/Divisor))</f>
        <v/>
      </c>
      <c r="K33" s="36" t="str">
        <f aca="false">IF($Q33="","",INDEX(Holdings!$AB$6:$AB$205,$Q33)&amp;"")</f>
        <v/>
      </c>
      <c r="L33" s="38" t="str">
        <f aca="false">IF($Q33="","",IF(K33="XIRR",INDEX(Holdings!$W$6:$W$205,$Q33),IF(K33="Absolute",IF(INDEX(Holdings!$T$6:$T$205,$Q33)="","",INDEX(Holdings!$T$6:$T$205,$Q33)),"")))</f>
        <v/>
      </c>
      <c r="M33" s="38" t="str">
        <f aca="false">IF($Q33="","",IF(K33="XIRR",IF(INDEX(Holdings!$Z$6:$Z$205,$Q33)="","",INDEX(Holdings!$Z$6:$Z$205,$Q33)),IF(K33="Absolute",IF(INDEX(Holdings!$Y$6:$Y$205,$Q33)="","",INDEX(Holdings!$Y$6:$Y$205,$Q33)),"")))</f>
        <v/>
      </c>
      <c r="N33" s="38" t="str">
        <f aca="false">IF(OR(L33="",M33=""),"",L33-M33)</f>
        <v/>
      </c>
      <c r="O33" s="44" t="str">
        <f aca="false">IF($Q33="","",INDEX(Holdings!$X$6:$X$205,$Q33)&amp;"")</f>
        <v/>
      </c>
      <c r="Q33" s="55" t="str">
        <f aca="false">IFERROR(MATCH($R$26&amp;"|"&amp;$S33,Holdings!$AL$6:$AL$205,0),"")</f>
        <v/>
      </c>
      <c r="S33" s="55" t="n">
        <v>6</v>
      </c>
    </row>
    <row r="34" customFormat="false" ht="15" hidden="false" customHeight="false" outlineLevel="0" collapsed="false">
      <c r="B34" s="44" t="str">
        <f aca="false">IF($Q34="","",INDEX(Holdings!$F$6:$F$205,$Q34)&amp;"")</f>
        <v/>
      </c>
      <c r="C34" s="44" t="str">
        <f aca="false">IF($Q34="","",INDEX(Holdings!$D$6:$D$205,$Q34)&amp;"")</f>
        <v/>
      </c>
      <c r="D34" s="44" t="str">
        <f aca="false">IF($Q34="","",INDEX(Holdings!$E$6:$E$205,$Q34)&amp;"")</f>
        <v/>
      </c>
      <c r="E34" s="44" t="str">
        <f aca="false">IF($Q34="","",INDEX(Holdings!$H$6:$H$205,$Q34)&amp;"")</f>
        <v/>
      </c>
      <c r="F34" s="56" t="str">
        <f aca="false">IF($Q34="","",IF(INDEX(Holdings!$J$6:$J$205,$Q34)="","",INDEX(Holdings!$J$6:$J$205,$Q34)))</f>
        <v/>
      </c>
      <c r="G34" s="37" t="str">
        <f aca="false">IF($Q34="","",IF(INDEX(Holdings!$M$6:$M$205,$Q34)="","",INDEX(Holdings!$M$6:$M$205,$Q34)/Divisor))</f>
        <v/>
      </c>
      <c r="H34" s="37" t="str">
        <f aca="false">IF($Q34="","",IF(INDEX(Holdings!$R$6:$R$205,$Q34)="","",INDEX(Holdings!$R$6:$R$205,$Q34)/Divisor))</f>
        <v/>
      </c>
      <c r="I34" s="38" t="str">
        <f aca="false">IF(OR($Q34="",N($H$43)=0),"",H34/$H$43)</f>
        <v/>
      </c>
      <c r="J34" s="37" t="str">
        <f aca="false">IF($Q34="","",IF(INDEX(Holdings!$S$6:$S$205,$Q34)="","",INDEX(Holdings!$S$6:$S$205,$Q34)/Divisor))</f>
        <v/>
      </c>
      <c r="K34" s="36" t="str">
        <f aca="false">IF($Q34="","",INDEX(Holdings!$AB$6:$AB$205,$Q34)&amp;"")</f>
        <v/>
      </c>
      <c r="L34" s="38" t="str">
        <f aca="false">IF($Q34="","",IF(K34="XIRR",INDEX(Holdings!$W$6:$W$205,$Q34),IF(K34="Absolute",IF(INDEX(Holdings!$T$6:$T$205,$Q34)="","",INDEX(Holdings!$T$6:$T$205,$Q34)),"")))</f>
        <v/>
      </c>
      <c r="M34" s="38" t="str">
        <f aca="false">IF($Q34="","",IF(K34="XIRR",IF(INDEX(Holdings!$Z$6:$Z$205,$Q34)="","",INDEX(Holdings!$Z$6:$Z$205,$Q34)),IF(K34="Absolute",IF(INDEX(Holdings!$Y$6:$Y$205,$Q34)="","",INDEX(Holdings!$Y$6:$Y$205,$Q34)),"")))</f>
        <v/>
      </c>
      <c r="N34" s="38" t="str">
        <f aca="false">IF(OR(L34="",M34=""),"",L34-M34)</f>
        <v/>
      </c>
      <c r="O34" s="44" t="str">
        <f aca="false">IF($Q34="","",INDEX(Holdings!$X$6:$X$205,$Q34)&amp;"")</f>
        <v/>
      </c>
      <c r="Q34" s="55" t="str">
        <f aca="false">IFERROR(MATCH($R$26&amp;"|"&amp;$S34,Holdings!$AL$6:$AL$205,0),"")</f>
        <v/>
      </c>
      <c r="S34" s="55" t="n">
        <v>7</v>
      </c>
    </row>
    <row r="35" customFormat="false" ht="15" hidden="false" customHeight="false" outlineLevel="0" collapsed="false">
      <c r="B35" s="44" t="str">
        <f aca="false">IF($Q35="","",INDEX(Holdings!$F$6:$F$205,$Q35)&amp;"")</f>
        <v/>
      </c>
      <c r="C35" s="44" t="str">
        <f aca="false">IF($Q35="","",INDEX(Holdings!$D$6:$D$205,$Q35)&amp;"")</f>
        <v/>
      </c>
      <c r="D35" s="44" t="str">
        <f aca="false">IF($Q35="","",INDEX(Holdings!$E$6:$E$205,$Q35)&amp;"")</f>
        <v/>
      </c>
      <c r="E35" s="44" t="str">
        <f aca="false">IF($Q35="","",INDEX(Holdings!$H$6:$H$205,$Q35)&amp;"")</f>
        <v/>
      </c>
      <c r="F35" s="56" t="str">
        <f aca="false">IF($Q35="","",IF(INDEX(Holdings!$J$6:$J$205,$Q35)="","",INDEX(Holdings!$J$6:$J$205,$Q35)))</f>
        <v/>
      </c>
      <c r="G35" s="37" t="str">
        <f aca="false">IF($Q35="","",IF(INDEX(Holdings!$M$6:$M$205,$Q35)="","",INDEX(Holdings!$M$6:$M$205,$Q35)/Divisor))</f>
        <v/>
      </c>
      <c r="H35" s="37" t="str">
        <f aca="false">IF($Q35="","",IF(INDEX(Holdings!$R$6:$R$205,$Q35)="","",INDEX(Holdings!$R$6:$R$205,$Q35)/Divisor))</f>
        <v/>
      </c>
      <c r="I35" s="38" t="str">
        <f aca="false">IF(OR($Q35="",N($H$43)=0),"",H35/$H$43)</f>
        <v/>
      </c>
      <c r="J35" s="37" t="str">
        <f aca="false">IF($Q35="","",IF(INDEX(Holdings!$S$6:$S$205,$Q35)="","",INDEX(Holdings!$S$6:$S$205,$Q35)/Divisor))</f>
        <v/>
      </c>
      <c r="K35" s="36" t="str">
        <f aca="false">IF($Q35="","",INDEX(Holdings!$AB$6:$AB$205,$Q35)&amp;"")</f>
        <v/>
      </c>
      <c r="L35" s="38" t="str">
        <f aca="false">IF($Q35="","",IF(K35="XIRR",INDEX(Holdings!$W$6:$W$205,$Q35),IF(K35="Absolute",IF(INDEX(Holdings!$T$6:$T$205,$Q35)="","",INDEX(Holdings!$T$6:$T$205,$Q35)),"")))</f>
        <v/>
      </c>
      <c r="M35" s="38" t="str">
        <f aca="false">IF($Q35="","",IF(K35="XIRR",IF(INDEX(Holdings!$Z$6:$Z$205,$Q35)="","",INDEX(Holdings!$Z$6:$Z$205,$Q35)),IF(K35="Absolute",IF(INDEX(Holdings!$Y$6:$Y$205,$Q35)="","",INDEX(Holdings!$Y$6:$Y$205,$Q35)),"")))</f>
        <v/>
      </c>
      <c r="N35" s="38" t="str">
        <f aca="false">IF(OR(L35="",M35=""),"",L35-M35)</f>
        <v/>
      </c>
      <c r="O35" s="44" t="str">
        <f aca="false">IF($Q35="","",INDEX(Holdings!$X$6:$X$205,$Q35)&amp;"")</f>
        <v/>
      </c>
      <c r="Q35" s="55" t="str">
        <f aca="false">IFERROR(MATCH($R$26&amp;"|"&amp;$S35,Holdings!$AL$6:$AL$205,0),"")</f>
        <v/>
      </c>
      <c r="S35" s="55" t="n">
        <v>8</v>
      </c>
    </row>
    <row r="36" customFormat="false" ht="15" hidden="false" customHeight="false" outlineLevel="0" collapsed="false">
      <c r="B36" s="44" t="str">
        <f aca="false">IF($Q36="","",INDEX(Holdings!$F$6:$F$205,$Q36)&amp;"")</f>
        <v/>
      </c>
      <c r="C36" s="44" t="str">
        <f aca="false">IF($Q36="","",INDEX(Holdings!$D$6:$D$205,$Q36)&amp;"")</f>
        <v/>
      </c>
      <c r="D36" s="44" t="str">
        <f aca="false">IF($Q36="","",INDEX(Holdings!$E$6:$E$205,$Q36)&amp;"")</f>
        <v/>
      </c>
      <c r="E36" s="44" t="str">
        <f aca="false">IF($Q36="","",INDEX(Holdings!$H$6:$H$205,$Q36)&amp;"")</f>
        <v/>
      </c>
      <c r="F36" s="56" t="str">
        <f aca="false">IF($Q36="","",IF(INDEX(Holdings!$J$6:$J$205,$Q36)="","",INDEX(Holdings!$J$6:$J$205,$Q36)))</f>
        <v/>
      </c>
      <c r="G36" s="37" t="str">
        <f aca="false">IF($Q36="","",IF(INDEX(Holdings!$M$6:$M$205,$Q36)="","",INDEX(Holdings!$M$6:$M$205,$Q36)/Divisor))</f>
        <v/>
      </c>
      <c r="H36" s="37" t="str">
        <f aca="false">IF($Q36="","",IF(INDEX(Holdings!$R$6:$R$205,$Q36)="","",INDEX(Holdings!$R$6:$R$205,$Q36)/Divisor))</f>
        <v/>
      </c>
      <c r="I36" s="38" t="str">
        <f aca="false">IF(OR($Q36="",N($H$43)=0),"",H36/$H$43)</f>
        <v/>
      </c>
      <c r="J36" s="37" t="str">
        <f aca="false">IF($Q36="","",IF(INDEX(Holdings!$S$6:$S$205,$Q36)="","",INDEX(Holdings!$S$6:$S$205,$Q36)/Divisor))</f>
        <v/>
      </c>
      <c r="K36" s="36" t="str">
        <f aca="false">IF($Q36="","",INDEX(Holdings!$AB$6:$AB$205,$Q36)&amp;"")</f>
        <v/>
      </c>
      <c r="L36" s="38" t="str">
        <f aca="false">IF($Q36="","",IF(K36="XIRR",INDEX(Holdings!$W$6:$W$205,$Q36),IF(K36="Absolute",IF(INDEX(Holdings!$T$6:$T$205,$Q36)="","",INDEX(Holdings!$T$6:$T$205,$Q36)),"")))</f>
        <v/>
      </c>
      <c r="M36" s="38" t="str">
        <f aca="false">IF($Q36="","",IF(K36="XIRR",IF(INDEX(Holdings!$Z$6:$Z$205,$Q36)="","",INDEX(Holdings!$Z$6:$Z$205,$Q36)),IF(K36="Absolute",IF(INDEX(Holdings!$Y$6:$Y$205,$Q36)="","",INDEX(Holdings!$Y$6:$Y$205,$Q36)),"")))</f>
        <v/>
      </c>
      <c r="N36" s="38" t="str">
        <f aca="false">IF(OR(L36="",M36=""),"",L36-M36)</f>
        <v/>
      </c>
      <c r="O36" s="44" t="str">
        <f aca="false">IF($Q36="","",INDEX(Holdings!$X$6:$X$205,$Q36)&amp;"")</f>
        <v/>
      </c>
      <c r="Q36" s="55" t="str">
        <f aca="false">IFERROR(MATCH($R$26&amp;"|"&amp;$S36,Holdings!$AL$6:$AL$205,0),"")</f>
        <v/>
      </c>
      <c r="S36" s="55" t="n">
        <v>9</v>
      </c>
    </row>
    <row r="37" customFormat="false" ht="15" hidden="false" customHeight="false" outlineLevel="0" collapsed="false">
      <c r="B37" s="44" t="str">
        <f aca="false">IF($Q37="","",INDEX(Holdings!$F$6:$F$205,$Q37)&amp;"")</f>
        <v/>
      </c>
      <c r="C37" s="44" t="str">
        <f aca="false">IF($Q37="","",INDEX(Holdings!$D$6:$D$205,$Q37)&amp;"")</f>
        <v/>
      </c>
      <c r="D37" s="44" t="str">
        <f aca="false">IF($Q37="","",INDEX(Holdings!$E$6:$E$205,$Q37)&amp;"")</f>
        <v/>
      </c>
      <c r="E37" s="44" t="str">
        <f aca="false">IF($Q37="","",INDEX(Holdings!$H$6:$H$205,$Q37)&amp;"")</f>
        <v/>
      </c>
      <c r="F37" s="56" t="str">
        <f aca="false">IF($Q37="","",IF(INDEX(Holdings!$J$6:$J$205,$Q37)="","",INDEX(Holdings!$J$6:$J$205,$Q37)))</f>
        <v/>
      </c>
      <c r="G37" s="37" t="str">
        <f aca="false">IF($Q37="","",IF(INDEX(Holdings!$M$6:$M$205,$Q37)="","",INDEX(Holdings!$M$6:$M$205,$Q37)/Divisor))</f>
        <v/>
      </c>
      <c r="H37" s="37" t="str">
        <f aca="false">IF($Q37="","",IF(INDEX(Holdings!$R$6:$R$205,$Q37)="","",INDEX(Holdings!$R$6:$R$205,$Q37)/Divisor))</f>
        <v/>
      </c>
      <c r="I37" s="38" t="str">
        <f aca="false">IF(OR($Q37="",N($H$43)=0),"",H37/$H$43)</f>
        <v/>
      </c>
      <c r="J37" s="37" t="str">
        <f aca="false">IF($Q37="","",IF(INDEX(Holdings!$S$6:$S$205,$Q37)="","",INDEX(Holdings!$S$6:$S$205,$Q37)/Divisor))</f>
        <v/>
      </c>
      <c r="K37" s="36" t="str">
        <f aca="false">IF($Q37="","",INDEX(Holdings!$AB$6:$AB$205,$Q37)&amp;"")</f>
        <v/>
      </c>
      <c r="L37" s="38" t="str">
        <f aca="false">IF($Q37="","",IF(K37="XIRR",INDEX(Holdings!$W$6:$W$205,$Q37),IF(K37="Absolute",IF(INDEX(Holdings!$T$6:$T$205,$Q37)="","",INDEX(Holdings!$T$6:$T$205,$Q37)),"")))</f>
        <v/>
      </c>
      <c r="M37" s="38" t="str">
        <f aca="false">IF($Q37="","",IF(K37="XIRR",IF(INDEX(Holdings!$Z$6:$Z$205,$Q37)="","",INDEX(Holdings!$Z$6:$Z$205,$Q37)),IF(K37="Absolute",IF(INDEX(Holdings!$Y$6:$Y$205,$Q37)="","",INDEX(Holdings!$Y$6:$Y$205,$Q37)),"")))</f>
        <v/>
      </c>
      <c r="N37" s="38" t="str">
        <f aca="false">IF(OR(L37="",M37=""),"",L37-M37)</f>
        <v/>
      </c>
      <c r="O37" s="44" t="str">
        <f aca="false">IF($Q37="","",INDEX(Holdings!$X$6:$X$205,$Q37)&amp;"")</f>
        <v/>
      </c>
      <c r="Q37" s="55" t="str">
        <f aca="false">IFERROR(MATCH($R$26&amp;"|"&amp;$S37,Holdings!$AL$6:$AL$205,0),"")</f>
        <v/>
      </c>
      <c r="S37" s="55" t="n">
        <v>10</v>
      </c>
    </row>
    <row r="38" customFormat="false" ht="15" hidden="false" customHeight="false" outlineLevel="0" collapsed="false">
      <c r="B38" s="44" t="str">
        <f aca="false">IF($Q38="","",INDEX(Holdings!$F$6:$F$205,$Q38)&amp;"")</f>
        <v/>
      </c>
      <c r="C38" s="44" t="str">
        <f aca="false">IF($Q38="","",INDEX(Holdings!$D$6:$D$205,$Q38)&amp;"")</f>
        <v/>
      </c>
      <c r="D38" s="44" t="str">
        <f aca="false">IF($Q38="","",INDEX(Holdings!$E$6:$E$205,$Q38)&amp;"")</f>
        <v/>
      </c>
      <c r="E38" s="44" t="str">
        <f aca="false">IF($Q38="","",INDEX(Holdings!$H$6:$H$205,$Q38)&amp;"")</f>
        <v/>
      </c>
      <c r="F38" s="56" t="str">
        <f aca="false">IF($Q38="","",IF(INDEX(Holdings!$J$6:$J$205,$Q38)="","",INDEX(Holdings!$J$6:$J$205,$Q38)))</f>
        <v/>
      </c>
      <c r="G38" s="37" t="str">
        <f aca="false">IF($Q38="","",IF(INDEX(Holdings!$M$6:$M$205,$Q38)="","",INDEX(Holdings!$M$6:$M$205,$Q38)/Divisor))</f>
        <v/>
      </c>
      <c r="H38" s="37" t="str">
        <f aca="false">IF($Q38="","",IF(INDEX(Holdings!$R$6:$R$205,$Q38)="","",INDEX(Holdings!$R$6:$R$205,$Q38)/Divisor))</f>
        <v/>
      </c>
      <c r="I38" s="38" t="str">
        <f aca="false">IF(OR($Q38="",N($H$43)=0),"",H38/$H$43)</f>
        <v/>
      </c>
      <c r="J38" s="37" t="str">
        <f aca="false">IF($Q38="","",IF(INDEX(Holdings!$S$6:$S$205,$Q38)="","",INDEX(Holdings!$S$6:$S$205,$Q38)/Divisor))</f>
        <v/>
      </c>
      <c r="K38" s="36" t="str">
        <f aca="false">IF($Q38="","",INDEX(Holdings!$AB$6:$AB$205,$Q38)&amp;"")</f>
        <v/>
      </c>
      <c r="L38" s="38" t="str">
        <f aca="false">IF($Q38="","",IF(K38="XIRR",INDEX(Holdings!$W$6:$W$205,$Q38),IF(K38="Absolute",IF(INDEX(Holdings!$T$6:$T$205,$Q38)="","",INDEX(Holdings!$T$6:$T$205,$Q38)),"")))</f>
        <v/>
      </c>
      <c r="M38" s="38" t="str">
        <f aca="false">IF($Q38="","",IF(K38="XIRR",IF(INDEX(Holdings!$Z$6:$Z$205,$Q38)="","",INDEX(Holdings!$Z$6:$Z$205,$Q38)),IF(K38="Absolute",IF(INDEX(Holdings!$Y$6:$Y$205,$Q38)="","",INDEX(Holdings!$Y$6:$Y$205,$Q38)),"")))</f>
        <v/>
      </c>
      <c r="N38" s="38" t="str">
        <f aca="false">IF(OR(L38="",M38=""),"",L38-M38)</f>
        <v/>
      </c>
      <c r="O38" s="44" t="str">
        <f aca="false">IF($Q38="","",INDEX(Holdings!$X$6:$X$205,$Q38)&amp;"")</f>
        <v/>
      </c>
      <c r="Q38" s="55" t="str">
        <f aca="false">IFERROR(MATCH($R$26&amp;"|"&amp;$S38,Holdings!$AL$6:$AL$205,0),"")</f>
        <v/>
      </c>
      <c r="S38" s="55" t="n">
        <v>11</v>
      </c>
    </row>
    <row r="39" customFormat="false" ht="15" hidden="false" customHeight="false" outlineLevel="0" collapsed="false">
      <c r="B39" s="44" t="str">
        <f aca="false">IF($Q39="","",INDEX(Holdings!$F$6:$F$205,$Q39)&amp;"")</f>
        <v/>
      </c>
      <c r="C39" s="44" t="str">
        <f aca="false">IF($Q39="","",INDEX(Holdings!$D$6:$D$205,$Q39)&amp;"")</f>
        <v/>
      </c>
      <c r="D39" s="44" t="str">
        <f aca="false">IF($Q39="","",INDEX(Holdings!$E$6:$E$205,$Q39)&amp;"")</f>
        <v/>
      </c>
      <c r="E39" s="44" t="str">
        <f aca="false">IF($Q39="","",INDEX(Holdings!$H$6:$H$205,$Q39)&amp;"")</f>
        <v/>
      </c>
      <c r="F39" s="56" t="str">
        <f aca="false">IF($Q39="","",IF(INDEX(Holdings!$J$6:$J$205,$Q39)="","",INDEX(Holdings!$J$6:$J$205,$Q39)))</f>
        <v/>
      </c>
      <c r="G39" s="37" t="str">
        <f aca="false">IF($Q39="","",IF(INDEX(Holdings!$M$6:$M$205,$Q39)="","",INDEX(Holdings!$M$6:$M$205,$Q39)/Divisor))</f>
        <v/>
      </c>
      <c r="H39" s="37" t="str">
        <f aca="false">IF($Q39="","",IF(INDEX(Holdings!$R$6:$R$205,$Q39)="","",INDEX(Holdings!$R$6:$R$205,$Q39)/Divisor))</f>
        <v/>
      </c>
      <c r="I39" s="38" t="str">
        <f aca="false">IF(OR($Q39="",N($H$43)=0),"",H39/$H$43)</f>
        <v/>
      </c>
      <c r="J39" s="37" t="str">
        <f aca="false">IF($Q39="","",IF(INDEX(Holdings!$S$6:$S$205,$Q39)="","",INDEX(Holdings!$S$6:$S$205,$Q39)/Divisor))</f>
        <v/>
      </c>
      <c r="K39" s="36" t="str">
        <f aca="false">IF($Q39="","",INDEX(Holdings!$AB$6:$AB$205,$Q39)&amp;"")</f>
        <v/>
      </c>
      <c r="L39" s="38" t="str">
        <f aca="false">IF($Q39="","",IF(K39="XIRR",INDEX(Holdings!$W$6:$W$205,$Q39),IF(K39="Absolute",IF(INDEX(Holdings!$T$6:$T$205,$Q39)="","",INDEX(Holdings!$T$6:$T$205,$Q39)),"")))</f>
        <v/>
      </c>
      <c r="M39" s="38" t="str">
        <f aca="false">IF($Q39="","",IF(K39="XIRR",IF(INDEX(Holdings!$Z$6:$Z$205,$Q39)="","",INDEX(Holdings!$Z$6:$Z$205,$Q39)),IF(K39="Absolute",IF(INDEX(Holdings!$Y$6:$Y$205,$Q39)="","",INDEX(Holdings!$Y$6:$Y$205,$Q39)),"")))</f>
        <v/>
      </c>
      <c r="N39" s="38" t="str">
        <f aca="false">IF(OR(L39="",M39=""),"",L39-M39)</f>
        <v/>
      </c>
      <c r="O39" s="44" t="str">
        <f aca="false">IF($Q39="","",INDEX(Holdings!$X$6:$X$205,$Q39)&amp;"")</f>
        <v/>
      </c>
      <c r="Q39" s="55" t="str">
        <f aca="false">IFERROR(MATCH($R$26&amp;"|"&amp;$S39,Holdings!$AL$6:$AL$205,0),"")</f>
        <v/>
      </c>
      <c r="S39" s="55" t="n">
        <v>12</v>
      </c>
    </row>
    <row r="40" customFormat="false" ht="15" hidden="false" customHeight="false" outlineLevel="0" collapsed="false">
      <c r="B40" s="44" t="str">
        <f aca="false">IF($Q40="","",INDEX(Holdings!$F$6:$F$205,$Q40)&amp;"")</f>
        <v/>
      </c>
      <c r="C40" s="44" t="str">
        <f aca="false">IF($Q40="","",INDEX(Holdings!$D$6:$D$205,$Q40)&amp;"")</f>
        <v/>
      </c>
      <c r="D40" s="44" t="str">
        <f aca="false">IF($Q40="","",INDEX(Holdings!$E$6:$E$205,$Q40)&amp;"")</f>
        <v/>
      </c>
      <c r="E40" s="44" t="str">
        <f aca="false">IF($Q40="","",INDEX(Holdings!$H$6:$H$205,$Q40)&amp;"")</f>
        <v/>
      </c>
      <c r="F40" s="56" t="str">
        <f aca="false">IF($Q40="","",IF(INDEX(Holdings!$J$6:$J$205,$Q40)="","",INDEX(Holdings!$J$6:$J$205,$Q40)))</f>
        <v/>
      </c>
      <c r="G40" s="37" t="str">
        <f aca="false">IF($Q40="","",IF(INDEX(Holdings!$M$6:$M$205,$Q40)="","",INDEX(Holdings!$M$6:$M$205,$Q40)/Divisor))</f>
        <v/>
      </c>
      <c r="H40" s="37" t="str">
        <f aca="false">IF($Q40="","",IF(INDEX(Holdings!$R$6:$R$205,$Q40)="","",INDEX(Holdings!$R$6:$R$205,$Q40)/Divisor))</f>
        <v/>
      </c>
      <c r="I40" s="38" t="str">
        <f aca="false">IF(OR($Q40="",N($H$43)=0),"",H40/$H$43)</f>
        <v/>
      </c>
      <c r="J40" s="37" t="str">
        <f aca="false">IF($Q40="","",IF(INDEX(Holdings!$S$6:$S$205,$Q40)="","",INDEX(Holdings!$S$6:$S$205,$Q40)/Divisor))</f>
        <v/>
      </c>
      <c r="K40" s="36" t="str">
        <f aca="false">IF($Q40="","",INDEX(Holdings!$AB$6:$AB$205,$Q40)&amp;"")</f>
        <v/>
      </c>
      <c r="L40" s="38" t="str">
        <f aca="false">IF($Q40="","",IF(K40="XIRR",INDEX(Holdings!$W$6:$W$205,$Q40),IF(K40="Absolute",IF(INDEX(Holdings!$T$6:$T$205,$Q40)="","",INDEX(Holdings!$T$6:$T$205,$Q40)),"")))</f>
        <v/>
      </c>
      <c r="M40" s="38" t="str">
        <f aca="false">IF($Q40="","",IF(K40="XIRR",IF(INDEX(Holdings!$Z$6:$Z$205,$Q40)="","",INDEX(Holdings!$Z$6:$Z$205,$Q40)),IF(K40="Absolute",IF(INDEX(Holdings!$Y$6:$Y$205,$Q40)="","",INDEX(Holdings!$Y$6:$Y$205,$Q40)),"")))</f>
        <v/>
      </c>
      <c r="N40" s="38" t="str">
        <f aca="false">IF(OR(L40="",M40=""),"",L40-M40)</f>
        <v/>
      </c>
      <c r="O40" s="44" t="str">
        <f aca="false">IF($Q40="","",INDEX(Holdings!$X$6:$X$205,$Q40)&amp;"")</f>
        <v/>
      </c>
      <c r="Q40" s="55" t="str">
        <f aca="false">IFERROR(MATCH($R$26&amp;"|"&amp;$S40,Holdings!$AL$6:$AL$205,0),"")</f>
        <v/>
      </c>
      <c r="S40" s="55" t="n">
        <v>13</v>
      </c>
    </row>
    <row r="41" customFormat="false" ht="15" hidden="false" customHeight="false" outlineLevel="0" collapsed="false">
      <c r="B41" s="44" t="str">
        <f aca="false">IF($Q41="","",INDEX(Holdings!$F$6:$F$205,$Q41)&amp;"")</f>
        <v/>
      </c>
      <c r="C41" s="44" t="str">
        <f aca="false">IF($Q41="","",INDEX(Holdings!$D$6:$D$205,$Q41)&amp;"")</f>
        <v/>
      </c>
      <c r="D41" s="44" t="str">
        <f aca="false">IF($Q41="","",INDEX(Holdings!$E$6:$E$205,$Q41)&amp;"")</f>
        <v/>
      </c>
      <c r="E41" s="44" t="str">
        <f aca="false">IF($Q41="","",INDEX(Holdings!$H$6:$H$205,$Q41)&amp;"")</f>
        <v/>
      </c>
      <c r="F41" s="56" t="str">
        <f aca="false">IF($Q41="","",IF(INDEX(Holdings!$J$6:$J$205,$Q41)="","",INDEX(Holdings!$J$6:$J$205,$Q41)))</f>
        <v/>
      </c>
      <c r="G41" s="37" t="str">
        <f aca="false">IF($Q41="","",IF(INDEX(Holdings!$M$6:$M$205,$Q41)="","",INDEX(Holdings!$M$6:$M$205,$Q41)/Divisor))</f>
        <v/>
      </c>
      <c r="H41" s="37" t="str">
        <f aca="false">IF($Q41="","",IF(INDEX(Holdings!$R$6:$R$205,$Q41)="","",INDEX(Holdings!$R$6:$R$205,$Q41)/Divisor))</f>
        <v/>
      </c>
      <c r="I41" s="38" t="str">
        <f aca="false">IF(OR($Q41="",N($H$43)=0),"",H41/$H$43)</f>
        <v/>
      </c>
      <c r="J41" s="37" t="str">
        <f aca="false">IF($Q41="","",IF(INDEX(Holdings!$S$6:$S$205,$Q41)="","",INDEX(Holdings!$S$6:$S$205,$Q41)/Divisor))</f>
        <v/>
      </c>
      <c r="K41" s="36" t="str">
        <f aca="false">IF($Q41="","",INDEX(Holdings!$AB$6:$AB$205,$Q41)&amp;"")</f>
        <v/>
      </c>
      <c r="L41" s="38" t="str">
        <f aca="false">IF($Q41="","",IF(K41="XIRR",INDEX(Holdings!$W$6:$W$205,$Q41),IF(K41="Absolute",IF(INDEX(Holdings!$T$6:$T$205,$Q41)="","",INDEX(Holdings!$T$6:$T$205,$Q41)),"")))</f>
        <v/>
      </c>
      <c r="M41" s="38" t="str">
        <f aca="false">IF($Q41="","",IF(K41="XIRR",IF(INDEX(Holdings!$Z$6:$Z$205,$Q41)="","",INDEX(Holdings!$Z$6:$Z$205,$Q41)),IF(K41="Absolute",IF(INDEX(Holdings!$Y$6:$Y$205,$Q41)="","",INDEX(Holdings!$Y$6:$Y$205,$Q41)),"")))</f>
        <v/>
      </c>
      <c r="N41" s="38" t="str">
        <f aca="false">IF(OR(L41="",M41=""),"",L41-M41)</f>
        <v/>
      </c>
      <c r="O41" s="44" t="str">
        <f aca="false">IF($Q41="","",INDEX(Holdings!$X$6:$X$205,$Q41)&amp;"")</f>
        <v/>
      </c>
      <c r="Q41" s="55" t="str">
        <f aca="false">IFERROR(MATCH($R$26&amp;"|"&amp;$S41,Holdings!$AL$6:$AL$205,0),"")</f>
        <v/>
      </c>
      <c r="S41" s="55" t="n">
        <v>14</v>
      </c>
    </row>
    <row r="42" customFormat="false" ht="15" hidden="false" customHeight="false" outlineLevel="0" collapsed="false">
      <c r="B42" s="44" t="str">
        <f aca="false">IF($Q42="","",INDEX(Holdings!$F$6:$F$205,$Q42)&amp;"")</f>
        <v/>
      </c>
      <c r="C42" s="44" t="str">
        <f aca="false">IF($Q42="","",INDEX(Holdings!$D$6:$D$205,$Q42)&amp;"")</f>
        <v/>
      </c>
      <c r="D42" s="44" t="str">
        <f aca="false">IF($Q42="","",INDEX(Holdings!$E$6:$E$205,$Q42)&amp;"")</f>
        <v/>
      </c>
      <c r="E42" s="44" t="str">
        <f aca="false">IF($Q42="","",INDEX(Holdings!$H$6:$H$205,$Q42)&amp;"")</f>
        <v/>
      </c>
      <c r="F42" s="56" t="str">
        <f aca="false">IF($Q42="","",IF(INDEX(Holdings!$J$6:$J$205,$Q42)="","",INDEX(Holdings!$J$6:$J$205,$Q42)))</f>
        <v/>
      </c>
      <c r="G42" s="37" t="str">
        <f aca="false">IF($Q42="","",IF(INDEX(Holdings!$M$6:$M$205,$Q42)="","",INDEX(Holdings!$M$6:$M$205,$Q42)/Divisor))</f>
        <v/>
      </c>
      <c r="H42" s="37" t="str">
        <f aca="false">IF($Q42="","",IF(INDEX(Holdings!$R$6:$R$205,$Q42)="","",INDEX(Holdings!$R$6:$R$205,$Q42)/Divisor))</f>
        <v/>
      </c>
      <c r="I42" s="38" t="str">
        <f aca="false">IF(OR($Q42="",N($H$43)=0),"",H42/$H$43)</f>
        <v/>
      </c>
      <c r="J42" s="37" t="str">
        <f aca="false">IF($Q42="","",IF(INDEX(Holdings!$S$6:$S$205,$Q42)="","",INDEX(Holdings!$S$6:$S$205,$Q42)/Divisor))</f>
        <v/>
      </c>
      <c r="K42" s="36" t="str">
        <f aca="false">IF($Q42="","",INDEX(Holdings!$AB$6:$AB$205,$Q42)&amp;"")</f>
        <v/>
      </c>
      <c r="L42" s="38" t="str">
        <f aca="false">IF($Q42="","",IF(K42="XIRR",INDEX(Holdings!$W$6:$W$205,$Q42),IF(K42="Absolute",IF(INDEX(Holdings!$T$6:$T$205,$Q42)="","",INDEX(Holdings!$T$6:$T$205,$Q42)),"")))</f>
        <v/>
      </c>
      <c r="M42" s="38" t="str">
        <f aca="false">IF($Q42="","",IF(K42="XIRR",IF(INDEX(Holdings!$Z$6:$Z$205,$Q42)="","",INDEX(Holdings!$Z$6:$Z$205,$Q42)),IF(K42="Absolute",IF(INDEX(Holdings!$Y$6:$Y$205,$Q42)="","",INDEX(Holdings!$Y$6:$Y$205,$Q42)),"")))</f>
        <v/>
      </c>
      <c r="N42" s="38" t="str">
        <f aca="false">IF(OR(L42="",M42=""),"",L42-M42)</f>
        <v/>
      </c>
      <c r="O42" s="44" t="str">
        <f aca="false">IF($Q42="","",INDEX(Holdings!$X$6:$X$205,$Q42)&amp;"")</f>
        <v/>
      </c>
      <c r="Q42" s="55" t="str">
        <f aca="false">IFERROR(MATCH($R$26&amp;"|"&amp;$S42,Holdings!$AL$6:$AL$205,0),"")</f>
        <v/>
      </c>
      <c r="S42" s="55" t="n">
        <v>15</v>
      </c>
    </row>
    <row r="43" customFormat="false" ht="15" hidden="false" customHeight="false" outlineLevel="0" collapsed="false">
      <c r="B43" s="39" t="str">
        <f aca="false">"Total — "&amp;Lists!$L$7</f>
        <v>Total — Entrepreneurial Growth</v>
      </c>
      <c r="C43" s="43"/>
      <c r="D43" s="43"/>
      <c r="E43" s="43"/>
      <c r="F43" s="43"/>
      <c r="G43" s="41" t="n">
        <f aca="false">SUMIFS(Holdings!$M$6:$M$205,Holdings!$I$6:$I$205,$R$26)/Divisor</f>
        <v>11.7</v>
      </c>
      <c r="H43" s="41" t="n">
        <f aca="false">SUMIFS(Holdings!$R$6:$R$205,Holdings!$I$6:$I$205,$R$26)/Divisor</f>
        <v>13.2888</v>
      </c>
      <c r="I43" s="42" t="n">
        <f aca="false">IF(N(H43)=0,"",SUM(I28:I42))</f>
        <v>1</v>
      </c>
      <c r="J43" s="41" t="n">
        <f aca="false">SUMIFS(Holdings!$S$6:$S$205,Holdings!$I$6:$I$205,$R$26)/Divisor</f>
        <v>1.5888</v>
      </c>
      <c r="K43" s="40" t="str">
        <f aca="false">IF(SUMIFS(Holdings!$AN$6:$AN$205,Holdings!$I$6:$I$205,$R$26)&gt;0,"XIRR",IF(N(G43)&gt;0,"Absolute",""))</f>
        <v>XIRR</v>
      </c>
      <c r="L43" s="42" t="n">
        <f aca="false">IF(K43="XIRR",IF(SUMIFS(Holdings!$AN$6:$AN$205,Holdings!$I$6:$I$205,$R$26)=0,"",SUMIFS(Holdings!$AM$6:$AM$205,Holdings!$I$6:$I$205,$R$26)/SUMIFS(Holdings!$AN$6:$AN$205,Holdings!$I$6:$I$205,$R$26)),IF(K43="Absolute",J43/G43,""))</f>
        <v>0.151</v>
      </c>
      <c r="M43" s="42" t="n">
        <f aca="false">IF(K43="XIRR",IF(SUMIFS(Holdings!$AN$6:$AN$205,Holdings!$I$6:$I$205,$R$26)=0,"",SUMIFS(Holdings!$AO$6:$AO$205,Holdings!$I$6:$I$205,$R$26)/SUMIFS(Holdings!$AN$6:$AN$205,Holdings!$I$6:$I$205,$R$26)),IF(K43="Absolute",IF(SUMIFS(Holdings!$AQ$6:$AQ$205,Holdings!$I$6:$I$205,$R$26)=0,"",SUMIFS(Holdings!$AP$6:$AP$205,Holdings!$I$6:$I$205,$R$26)/SUMIFS(Holdings!$AQ$6:$AQ$205,Holdings!$I$6:$I$205,$R$26)),""))</f>
        <v>0.128</v>
      </c>
      <c r="N43" s="42" t="n">
        <f aca="false">IF(OR(L43="",M43=""),"",L43-M43)</f>
        <v>0.023</v>
      </c>
      <c r="O43" s="43"/>
    </row>
    <row r="44" customFormat="false" ht="15" hidden="false" customHeight="false" outlineLevel="0" collapsed="false">
      <c r="B44" s="49" t="str">
        <f aca="false">IF(SUMPRODUCT((Holdings!$I$6:$I$205=$R$26)*ISNUMBER(Holdings!$R$6:$R$205))&gt;15,SUMPRODUCT((Holdings!$I$6:$I$205=$R$26)*ISNUMBER(Holdings!$R$6:$R$205))-15&amp;" more holding(s) in this basket are not listed; the total includes them.",IF(SUMPRODUCT((Holdings!$I$6:$I$205=$R$26)*ISNUMBER(Holdings!$R$6:$R$205))=0,"Nothing is held in this basket.",""))</f>
        <v/>
      </c>
    </row>
    <row r="47" customFormat="false" ht="19.5" hidden="false" customHeight="true" outlineLevel="0" collapsed="false">
      <c r="B47" s="54" t="str">
        <f aca="false">Lists!$L$8&amp;"  ·  "&amp;Lists!$K$8</f>
        <v>Liquidity  ·  LQ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R47" s="55" t="str">
        <f aca="false">Lists!$K$8</f>
        <v>LQ</v>
      </c>
    </row>
    <row r="48" customFormat="false" ht="30" hidden="false" customHeight="true" outlineLevel="0" collapsed="false">
      <c r="B48" s="23" t="s">
        <v>129</v>
      </c>
      <c r="C48" s="23" t="s">
        <v>99</v>
      </c>
      <c r="D48" s="23" t="s">
        <v>130</v>
      </c>
      <c r="E48" s="23" t="s">
        <v>78</v>
      </c>
      <c r="F48" s="23" t="s">
        <v>131</v>
      </c>
      <c r="G48" s="23" t="s">
        <v>80</v>
      </c>
      <c r="H48" s="23" t="s">
        <v>81</v>
      </c>
      <c r="I48" s="23" t="s">
        <v>132</v>
      </c>
      <c r="J48" s="23" t="s">
        <v>86</v>
      </c>
      <c r="K48" s="23" t="s">
        <v>133</v>
      </c>
      <c r="L48" s="23" t="s">
        <v>134</v>
      </c>
      <c r="M48" s="23" t="s">
        <v>135</v>
      </c>
      <c r="N48" s="23" t="s">
        <v>136</v>
      </c>
      <c r="O48" s="23" t="s">
        <v>137</v>
      </c>
    </row>
    <row r="49" customFormat="false" ht="15" hidden="false" customHeight="false" outlineLevel="0" collapsed="false">
      <c r="B49" s="44" t="str">
        <f aca="false">IF($Q49="","",INDEX(Holdings!$F$6:$F$205,$Q49)&amp;"")</f>
        <v>Malabar Arbitrage Fund – Direct Growth</v>
      </c>
      <c r="C49" s="44" t="str">
        <f aca="false">IF($Q49="","",INDEX(Holdings!$D$6:$D$205,$Q49)&amp;"")</f>
        <v>Malhotra Family Trust</v>
      </c>
      <c r="D49" s="44" t="str">
        <f aca="false">IF($Q49="","",INDEX(Holdings!$E$6:$E$205,$Q49)&amp;"")</f>
        <v>Granite Wealth</v>
      </c>
      <c r="E49" s="44" t="str">
        <f aca="false">IF($Q49="","",INDEX(Holdings!$H$6:$H$205,$Q49)&amp;"")</f>
        <v>Arbitrage Fund</v>
      </c>
      <c r="F49" s="56" t="n">
        <f aca="false">IF($Q49="","",IF(INDEX(Holdings!$J$6:$J$205,$Q49)="","",INDEX(Holdings!$J$6:$J$205,$Q49)))</f>
        <v>45993</v>
      </c>
      <c r="G49" s="37" t="n">
        <f aca="false">IF($Q49="","",IF(INDEX(Holdings!$M$6:$M$205,$Q49)="","",INDEX(Holdings!$M$6:$M$205,$Q49)/Divisor))</f>
        <v>5.8156</v>
      </c>
      <c r="H49" s="37" t="n">
        <f aca="false">IF($Q49="","",IF(INDEX(Holdings!$R$6:$R$205,$Q49)="","",INDEX(Holdings!$R$6:$R$205,$Q49)/Divisor))</f>
        <v>5.997504</v>
      </c>
      <c r="I49" s="38" t="n">
        <f aca="false">IF(OR($Q49="",N($H$64)=0),"",H49/$H$64)</f>
        <v>0.338046631854549</v>
      </c>
      <c r="J49" s="37" t="n">
        <f aca="false">IF($Q49="","",IF(INDEX(Holdings!$S$6:$S$205,$Q49)="","",INDEX(Holdings!$S$6:$S$205,$Q49)/Divisor))</f>
        <v>0.181904</v>
      </c>
      <c r="K49" s="36" t="str">
        <f aca="false">IF($Q49="","",INDEX(Holdings!$AB$6:$AB$205,$Q49)&amp;"")</f>
        <v>Absolute</v>
      </c>
      <c r="L49" s="38" t="n">
        <f aca="false">IF($Q49="","",IF(K49="XIRR",INDEX(Holdings!$W$6:$W$205,$Q49),IF(K49="Absolute",IF(INDEX(Holdings!$T$6:$T$205,$Q49)="","",INDEX(Holdings!$T$6:$T$205,$Q49)),"")))</f>
        <v>0.0312786298920146</v>
      </c>
      <c r="M49" s="38" t="n">
        <f aca="false">IF($Q49="","",IF(K49="XIRR",IF(INDEX(Holdings!$Z$6:$Z$205,$Q49)="","",INDEX(Holdings!$Z$6:$Z$205,$Q49)),IF(K49="Absolute",IF(INDEX(Holdings!$Y$6:$Y$205,$Q49)="","",INDEX(Holdings!$Y$6:$Y$205,$Q49)),"")))</f>
        <v>0.033</v>
      </c>
      <c r="N49" s="38" t="n">
        <f aca="false">IF(OR(L49="",M49=""),"",L49-M49)</f>
        <v>-0.00172137010798542</v>
      </c>
      <c r="O49" s="44" t="str">
        <f aca="false">IF($Q49="","",INDEX(Holdings!$X$6:$X$205,$Q49)&amp;"")</f>
        <v>Nifty 50 Arbitrage Index</v>
      </c>
      <c r="Q49" s="55" t="n">
        <f aca="false">IFERROR(MATCH($R$47&amp;"|"&amp;$S49,Holdings!$AL$6:$AL$205,0),"")</f>
        <v>17</v>
      </c>
      <c r="S49" s="55" t="n">
        <v>1</v>
      </c>
    </row>
    <row r="50" customFormat="false" ht="15" hidden="false" customHeight="false" outlineLevel="0" collapsed="false">
      <c r="B50" s="44" t="str">
        <f aca="false">IF($Q50="","",INDEX(Holdings!$F$6:$F$205,$Q50)&amp;"")</f>
        <v>Lotus Liquid Fund – Direct Growth</v>
      </c>
      <c r="C50" s="44" t="str">
        <f aca="false">IF($Q50="","",INDEX(Holdings!$D$6:$D$205,$Q50)&amp;"")</f>
        <v>Arjun Malhotra</v>
      </c>
      <c r="D50" s="44" t="str">
        <f aca="false">IF($Q50="","",INDEX(Holdings!$E$6:$E$205,$Q50)&amp;"")</f>
        <v>Self-directed</v>
      </c>
      <c r="E50" s="44" t="str">
        <f aca="false">IF($Q50="","",INDEX(Holdings!$H$6:$H$205,$Q50)&amp;"")</f>
        <v>Liquid / Overnight Fund</v>
      </c>
      <c r="F50" s="56" t="n">
        <f aca="false">IF($Q50="","",IF(INDEX(Holdings!$J$6:$J$205,$Q50)="","",INDEX(Holdings!$J$6:$J$205,$Q50)))</f>
        <v>46092</v>
      </c>
      <c r="G50" s="37" t="n">
        <f aca="false">IF($Q50="","",IF(INDEX(Holdings!$M$6:$M$205,$Q50)="","",INDEX(Holdings!$M$6:$M$205,$Q50)/Divisor))</f>
        <v>4.945</v>
      </c>
      <c r="H50" s="37" t="n">
        <f aca="false">IF($Q50="","",IF(INDEX(Holdings!$R$6:$R$205,$Q50)="","",INDEX(Holdings!$R$6:$R$205,$Q50)/Divisor))</f>
        <v>4.99946439565116</v>
      </c>
      <c r="I50" s="38" t="n">
        <f aca="false">IF(OR($Q50="",N($H$64)=0),"",H50/$H$64)</f>
        <v>0.281792575715933</v>
      </c>
      <c r="J50" s="37" t="n">
        <f aca="false">IF($Q50="","",IF(INDEX(Holdings!$S$6:$S$205,$Q50)="","",INDEX(Holdings!$S$6:$S$205,$Q50)/Divisor))</f>
        <v>0.0544643956511594</v>
      </c>
      <c r="K50" s="36" t="str">
        <f aca="false">IF($Q50="","",INDEX(Holdings!$AB$6:$AB$205,$Q50)&amp;"")</f>
        <v>Absolute</v>
      </c>
      <c r="L50" s="38" t="n">
        <f aca="false">IF($Q50="","",IF(K50="XIRR",INDEX(Holdings!$W$6:$W$205,$Q50),IF(K50="Absolute",IF(INDEX(Holdings!$T$6:$T$205,$Q50)="","",INDEX(Holdings!$T$6:$T$205,$Q50)),"")))</f>
        <v>0.0110140334987178</v>
      </c>
      <c r="M50" s="38" t="n">
        <f aca="false">IF($Q50="","",IF(K50="XIRR",IF(INDEX(Holdings!$Z$6:$Z$205,$Q50)="","",INDEX(Holdings!$Z$6:$Z$205,$Q50)),IF(K50="Absolute",IF(INDEX(Holdings!$Y$6:$Y$205,$Q50)="","",INDEX(Holdings!$Y$6:$Y$205,$Q50)),"")))</f>
        <v>0.012</v>
      </c>
      <c r="N50" s="38" t="n">
        <f aca="false">IF(OR(L50="",M50=""),"",L50-M50)</f>
        <v>-0.000985966501282217</v>
      </c>
      <c r="O50" s="44" t="str">
        <f aca="false">IF($Q50="","",INDEX(Holdings!$X$6:$X$205,$Q50)&amp;"")</f>
        <v>CRISIL Liquid Debt Index</v>
      </c>
      <c r="Q50" s="55" t="n">
        <f aca="false">IFERROR(MATCH($R$47&amp;"|"&amp;$S50,Holdings!$AL$6:$AL$205,0),"")</f>
        <v>13</v>
      </c>
      <c r="S50" s="55" t="n">
        <v>2</v>
      </c>
    </row>
    <row r="51" customFormat="false" ht="15" hidden="false" customHeight="false" outlineLevel="0" collapsed="false">
      <c r="B51" s="44" t="str">
        <f aca="false">IF($Q51="","",INDEX(Holdings!$F$6:$F$205,$Q51)&amp;"")</f>
        <v>Meridian Bank – Operating Current Account</v>
      </c>
      <c r="C51" s="44" t="str">
        <f aca="false">IF($Q51="","",INDEX(Holdings!$D$6:$D$205,$Q51)&amp;"")</f>
        <v>Malhotra Holdings LLP</v>
      </c>
      <c r="D51" s="44" t="str">
        <f aca="false">IF($Q51="","",INDEX(Holdings!$E$6:$E$205,$Q51)&amp;"")</f>
        <v>Self-directed</v>
      </c>
      <c r="E51" s="44" t="str">
        <f aca="false">IF($Q51="","",INDEX(Holdings!$H$6:$H$205,$Q51)&amp;"")</f>
        <v>Bank / Cash Balance</v>
      </c>
      <c r="F51" s="56" t="str">
        <f aca="false">IF($Q51="","",IF(INDEX(Holdings!$J$6:$J$205,$Q51)="","",INDEX(Holdings!$J$6:$J$205,$Q51)))</f>
        <v/>
      </c>
      <c r="G51" s="37" t="n">
        <f aca="false">IF($Q51="","",IF(INDEX(Holdings!$M$6:$M$205,$Q51)="","",INDEX(Holdings!$M$6:$M$205,$Q51)/Divisor))</f>
        <v>3.745</v>
      </c>
      <c r="H51" s="37" t="n">
        <f aca="false">IF($Q51="","",IF(INDEX(Holdings!$R$6:$R$205,$Q51)="","",INDEX(Holdings!$R$6:$R$205,$Q51)/Divisor))</f>
        <v>3.745</v>
      </c>
      <c r="I51" s="38" t="n">
        <f aca="false">IF(OR($Q51="",N($H$64)=0),"",H51/$H$64)</f>
        <v>0.2110852508469</v>
      </c>
      <c r="J51" s="37" t="n">
        <f aca="false">IF($Q51="","",IF(INDEX(Holdings!$S$6:$S$205,$Q51)="","",INDEX(Holdings!$S$6:$S$205,$Q51)/Divisor))</f>
        <v>0</v>
      </c>
      <c r="K51" s="36" t="str">
        <f aca="false">IF($Q51="","",INDEX(Holdings!$AB$6:$AB$205,$Q51)&amp;"")</f>
        <v>No date</v>
      </c>
      <c r="L51" s="38" t="str">
        <f aca="false">IF($Q51="","",IF(K51="XIRR",INDEX(Holdings!$W$6:$W$205,$Q51),IF(K51="Absolute",IF(INDEX(Holdings!$T$6:$T$205,$Q51)="","",INDEX(Holdings!$T$6:$T$205,$Q51)),"")))</f>
        <v/>
      </c>
      <c r="M51" s="38" t="str">
        <f aca="false">IF($Q51="","",IF(K51="XIRR",IF(INDEX(Holdings!$Z$6:$Z$205,$Q51)="","",INDEX(Holdings!$Z$6:$Z$205,$Q51)),IF(K51="Absolute",IF(INDEX(Holdings!$Y$6:$Y$205,$Q51)="","",INDEX(Holdings!$Y$6:$Y$205,$Q51)),"")))</f>
        <v/>
      </c>
      <c r="N51" s="38" t="str">
        <f aca="false">IF(OR(L51="",M51=""),"",L51-M51)</f>
        <v/>
      </c>
      <c r="O51" s="44" t="str">
        <f aca="false">IF($Q51="","",INDEX(Holdings!$X$6:$X$205,$Q51)&amp;"")</f>
        <v/>
      </c>
      <c r="Q51" s="55" t="n">
        <f aca="false">IFERROR(MATCH($R$47&amp;"|"&amp;$S51,Holdings!$AL$6:$AL$205,0),"")</f>
        <v>20</v>
      </c>
      <c r="S51" s="55" t="n">
        <v>3</v>
      </c>
    </row>
    <row r="52" customFormat="false" ht="15" hidden="false" customHeight="false" outlineLevel="0" collapsed="false">
      <c r="B52" s="44" t="str">
        <f aca="false">IF($Q52="","",INDEX(Holdings!$F$6:$F$205,$Q52)&amp;"")</f>
        <v>Lotus Liquid Fund – Direct Growth</v>
      </c>
      <c r="C52" s="44" t="str">
        <f aca="false">IF($Q52="","",INDEX(Holdings!$D$6:$D$205,$Q52)&amp;"")</f>
        <v>Malhotra Holdings LLP</v>
      </c>
      <c r="D52" s="44" t="str">
        <f aca="false">IF($Q52="","",INDEX(Holdings!$E$6:$E$205,$Q52)&amp;"")</f>
        <v>Orchid Wealth Advisors</v>
      </c>
      <c r="E52" s="44" t="str">
        <f aca="false">IF($Q52="","",INDEX(Holdings!$H$6:$H$205,$Q52)&amp;"")</f>
        <v>Liquid / Overnight Fund</v>
      </c>
      <c r="F52" s="56" t="n">
        <f aca="false">IF($Q52="","",IF(INDEX(Holdings!$J$6:$J$205,$Q52)="","",INDEX(Holdings!$J$6:$J$205,$Q52)))</f>
        <v>46027</v>
      </c>
      <c r="G52" s="37" t="n">
        <f aca="false">IF($Q52="","",IF(INDEX(Holdings!$M$6:$M$205,$Q52)="","",INDEX(Holdings!$M$6:$M$205,$Q52)/Divisor))</f>
        <v>2.95</v>
      </c>
      <c r="H52" s="37" t="n">
        <f aca="false">IF($Q52="","",IF(INDEX(Holdings!$R$6:$R$205,$Q52)="","",INDEX(Holdings!$R$6:$R$205,$Q52)/Divisor))</f>
        <v>2.99967856913961</v>
      </c>
      <c r="I52" s="38" t="n">
        <f aca="false">IF(OR($Q52="",N($H$64)=0),"",H52/$H$64)</f>
        <v>0.169075541582618</v>
      </c>
      <c r="J52" s="37" t="n">
        <f aca="false">IF($Q52="","",IF(INDEX(Holdings!$S$6:$S$205,$Q52)="","",INDEX(Holdings!$S$6:$S$205,$Q52)/Divisor))</f>
        <v>0.0496785691396099</v>
      </c>
      <c r="K52" s="36" t="str">
        <f aca="false">IF($Q52="","",INDEX(Holdings!$AB$6:$AB$205,$Q52)&amp;"")</f>
        <v>Absolute</v>
      </c>
      <c r="L52" s="38" t="n">
        <f aca="false">IF($Q52="","",IF(K52="XIRR",INDEX(Holdings!$W$6:$W$205,$Q52),IF(K52="Absolute",IF(INDEX(Holdings!$T$6:$T$205,$Q52)="","",INDEX(Holdings!$T$6:$T$205,$Q52)),"")))</f>
        <v>0.0168401929286813</v>
      </c>
      <c r="M52" s="38" t="n">
        <f aca="false">IF($Q52="","",IF(K52="XIRR",IF(INDEX(Holdings!$Z$6:$Z$205,$Q52)="","",INDEX(Holdings!$Z$6:$Z$205,$Q52)),IF(K52="Absolute",IF(INDEX(Holdings!$Y$6:$Y$205,$Q52)="","",INDEX(Holdings!$Y$6:$Y$205,$Q52)),"")))</f>
        <v>0.017</v>
      </c>
      <c r="N52" s="38" t="n">
        <f aca="false">IF(OR(L52="",M52=""),"",L52-M52)</f>
        <v>-0.000159807071318692</v>
      </c>
      <c r="O52" s="44" t="str">
        <f aca="false">IF($Q52="","",INDEX(Holdings!$X$6:$X$205,$Q52)&amp;"")</f>
        <v>CRISIL Liquid Debt Index</v>
      </c>
      <c r="Q52" s="55" t="n">
        <f aca="false">IFERROR(MATCH($R$47&amp;"|"&amp;$S52,Holdings!$AL$6:$AL$205,0),"")</f>
        <v>22</v>
      </c>
      <c r="S52" s="55" t="n">
        <v>4</v>
      </c>
    </row>
    <row r="53" customFormat="false" ht="15" hidden="false" customHeight="false" outlineLevel="0" collapsed="false">
      <c r="B53" s="44" t="str">
        <f aca="false">IF($Q53="","",INDEX(Holdings!$F$6:$F$205,$Q53)&amp;"")</f>
        <v/>
      </c>
      <c r="C53" s="44" t="str">
        <f aca="false">IF($Q53="","",INDEX(Holdings!$D$6:$D$205,$Q53)&amp;"")</f>
        <v/>
      </c>
      <c r="D53" s="44" t="str">
        <f aca="false">IF($Q53="","",INDEX(Holdings!$E$6:$E$205,$Q53)&amp;"")</f>
        <v/>
      </c>
      <c r="E53" s="44" t="str">
        <f aca="false">IF($Q53="","",INDEX(Holdings!$H$6:$H$205,$Q53)&amp;"")</f>
        <v/>
      </c>
      <c r="F53" s="56" t="str">
        <f aca="false">IF($Q53="","",IF(INDEX(Holdings!$J$6:$J$205,$Q53)="","",INDEX(Holdings!$J$6:$J$205,$Q53)))</f>
        <v/>
      </c>
      <c r="G53" s="37" t="str">
        <f aca="false">IF($Q53="","",IF(INDEX(Holdings!$M$6:$M$205,$Q53)="","",INDEX(Holdings!$M$6:$M$205,$Q53)/Divisor))</f>
        <v/>
      </c>
      <c r="H53" s="37" t="str">
        <f aca="false">IF($Q53="","",IF(INDEX(Holdings!$R$6:$R$205,$Q53)="","",INDEX(Holdings!$R$6:$R$205,$Q53)/Divisor))</f>
        <v/>
      </c>
      <c r="I53" s="38" t="str">
        <f aca="false">IF(OR($Q53="",N($H$64)=0),"",H53/$H$64)</f>
        <v/>
      </c>
      <c r="J53" s="37" t="str">
        <f aca="false">IF($Q53="","",IF(INDEX(Holdings!$S$6:$S$205,$Q53)="","",INDEX(Holdings!$S$6:$S$205,$Q53)/Divisor))</f>
        <v/>
      </c>
      <c r="K53" s="36" t="str">
        <f aca="false">IF($Q53="","",INDEX(Holdings!$AB$6:$AB$205,$Q53)&amp;"")</f>
        <v/>
      </c>
      <c r="L53" s="38" t="str">
        <f aca="false">IF($Q53="","",IF(K53="XIRR",INDEX(Holdings!$W$6:$W$205,$Q53),IF(K53="Absolute",IF(INDEX(Holdings!$T$6:$T$205,$Q53)="","",INDEX(Holdings!$T$6:$T$205,$Q53)),"")))</f>
        <v/>
      </c>
      <c r="M53" s="38" t="str">
        <f aca="false">IF($Q53="","",IF(K53="XIRR",IF(INDEX(Holdings!$Z$6:$Z$205,$Q53)="","",INDEX(Holdings!$Z$6:$Z$205,$Q53)),IF(K53="Absolute",IF(INDEX(Holdings!$Y$6:$Y$205,$Q53)="","",INDEX(Holdings!$Y$6:$Y$205,$Q53)),"")))</f>
        <v/>
      </c>
      <c r="N53" s="38" t="str">
        <f aca="false">IF(OR(L53="",M53=""),"",L53-M53)</f>
        <v/>
      </c>
      <c r="O53" s="44" t="str">
        <f aca="false">IF($Q53="","",INDEX(Holdings!$X$6:$X$205,$Q53)&amp;"")</f>
        <v/>
      </c>
      <c r="Q53" s="55" t="str">
        <f aca="false">IFERROR(MATCH($R$47&amp;"|"&amp;$S53,Holdings!$AL$6:$AL$205,0),"")</f>
        <v/>
      </c>
      <c r="S53" s="55" t="n">
        <v>5</v>
      </c>
    </row>
    <row r="54" customFormat="false" ht="15" hidden="false" customHeight="false" outlineLevel="0" collapsed="false">
      <c r="B54" s="44" t="str">
        <f aca="false">IF($Q54="","",INDEX(Holdings!$F$6:$F$205,$Q54)&amp;"")</f>
        <v/>
      </c>
      <c r="C54" s="44" t="str">
        <f aca="false">IF($Q54="","",INDEX(Holdings!$D$6:$D$205,$Q54)&amp;"")</f>
        <v/>
      </c>
      <c r="D54" s="44" t="str">
        <f aca="false">IF($Q54="","",INDEX(Holdings!$E$6:$E$205,$Q54)&amp;"")</f>
        <v/>
      </c>
      <c r="E54" s="44" t="str">
        <f aca="false">IF($Q54="","",INDEX(Holdings!$H$6:$H$205,$Q54)&amp;"")</f>
        <v/>
      </c>
      <c r="F54" s="56" t="str">
        <f aca="false">IF($Q54="","",IF(INDEX(Holdings!$J$6:$J$205,$Q54)="","",INDEX(Holdings!$J$6:$J$205,$Q54)))</f>
        <v/>
      </c>
      <c r="G54" s="37" t="str">
        <f aca="false">IF($Q54="","",IF(INDEX(Holdings!$M$6:$M$205,$Q54)="","",INDEX(Holdings!$M$6:$M$205,$Q54)/Divisor))</f>
        <v/>
      </c>
      <c r="H54" s="37" t="str">
        <f aca="false">IF($Q54="","",IF(INDEX(Holdings!$R$6:$R$205,$Q54)="","",INDEX(Holdings!$R$6:$R$205,$Q54)/Divisor))</f>
        <v/>
      </c>
      <c r="I54" s="38" t="str">
        <f aca="false">IF(OR($Q54="",N($H$64)=0),"",H54/$H$64)</f>
        <v/>
      </c>
      <c r="J54" s="37" t="str">
        <f aca="false">IF($Q54="","",IF(INDEX(Holdings!$S$6:$S$205,$Q54)="","",INDEX(Holdings!$S$6:$S$205,$Q54)/Divisor))</f>
        <v/>
      </c>
      <c r="K54" s="36" t="str">
        <f aca="false">IF($Q54="","",INDEX(Holdings!$AB$6:$AB$205,$Q54)&amp;"")</f>
        <v/>
      </c>
      <c r="L54" s="38" t="str">
        <f aca="false">IF($Q54="","",IF(K54="XIRR",INDEX(Holdings!$W$6:$W$205,$Q54),IF(K54="Absolute",IF(INDEX(Holdings!$T$6:$T$205,$Q54)="","",INDEX(Holdings!$T$6:$T$205,$Q54)),"")))</f>
        <v/>
      </c>
      <c r="M54" s="38" t="str">
        <f aca="false">IF($Q54="","",IF(K54="XIRR",IF(INDEX(Holdings!$Z$6:$Z$205,$Q54)="","",INDEX(Holdings!$Z$6:$Z$205,$Q54)),IF(K54="Absolute",IF(INDEX(Holdings!$Y$6:$Y$205,$Q54)="","",INDEX(Holdings!$Y$6:$Y$205,$Q54)),"")))</f>
        <v/>
      </c>
      <c r="N54" s="38" t="str">
        <f aca="false">IF(OR(L54="",M54=""),"",L54-M54)</f>
        <v/>
      </c>
      <c r="O54" s="44" t="str">
        <f aca="false">IF($Q54="","",INDEX(Holdings!$X$6:$X$205,$Q54)&amp;"")</f>
        <v/>
      </c>
      <c r="Q54" s="55" t="str">
        <f aca="false">IFERROR(MATCH($R$47&amp;"|"&amp;$S54,Holdings!$AL$6:$AL$205,0),"")</f>
        <v/>
      </c>
      <c r="S54" s="55" t="n">
        <v>6</v>
      </c>
    </row>
    <row r="55" customFormat="false" ht="15" hidden="false" customHeight="false" outlineLevel="0" collapsed="false">
      <c r="B55" s="44" t="str">
        <f aca="false">IF($Q55="","",INDEX(Holdings!$F$6:$F$205,$Q55)&amp;"")</f>
        <v/>
      </c>
      <c r="C55" s="44" t="str">
        <f aca="false">IF($Q55="","",INDEX(Holdings!$D$6:$D$205,$Q55)&amp;"")</f>
        <v/>
      </c>
      <c r="D55" s="44" t="str">
        <f aca="false">IF($Q55="","",INDEX(Holdings!$E$6:$E$205,$Q55)&amp;"")</f>
        <v/>
      </c>
      <c r="E55" s="44" t="str">
        <f aca="false">IF($Q55="","",INDEX(Holdings!$H$6:$H$205,$Q55)&amp;"")</f>
        <v/>
      </c>
      <c r="F55" s="56" t="str">
        <f aca="false">IF($Q55="","",IF(INDEX(Holdings!$J$6:$J$205,$Q55)="","",INDEX(Holdings!$J$6:$J$205,$Q55)))</f>
        <v/>
      </c>
      <c r="G55" s="37" t="str">
        <f aca="false">IF($Q55="","",IF(INDEX(Holdings!$M$6:$M$205,$Q55)="","",INDEX(Holdings!$M$6:$M$205,$Q55)/Divisor))</f>
        <v/>
      </c>
      <c r="H55" s="37" t="str">
        <f aca="false">IF($Q55="","",IF(INDEX(Holdings!$R$6:$R$205,$Q55)="","",INDEX(Holdings!$R$6:$R$205,$Q55)/Divisor))</f>
        <v/>
      </c>
      <c r="I55" s="38" t="str">
        <f aca="false">IF(OR($Q55="",N($H$64)=0),"",H55/$H$64)</f>
        <v/>
      </c>
      <c r="J55" s="37" t="str">
        <f aca="false">IF($Q55="","",IF(INDEX(Holdings!$S$6:$S$205,$Q55)="","",INDEX(Holdings!$S$6:$S$205,$Q55)/Divisor))</f>
        <v/>
      </c>
      <c r="K55" s="36" t="str">
        <f aca="false">IF($Q55="","",INDEX(Holdings!$AB$6:$AB$205,$Q55)&amp;"")</f>
        <v/>
      </c>
      <c r="L55" s="38" t="str">
        <f aca="false">IF($Q55="","",IF(K55="XIRR",INDEX(Holdings!$W$6:$W$205,$Q55),IF(K55="Absolute",IF(INDEX(Holdings!$T$6:$T$205,$Q55)="","",INDEX(Holdings!$T$6:$T$205,$Q55)),"")))</f>
        <v/>
      </c>
      <c r="M55" s="38" t="str">
        <f aca="false">IF($Q55="","",IF(K55="XIRR",IF(INDEX(Holdings!$Z$6:$Z$205,$Q55)="","",INDEX(Holdings!$Z$6:$Z$205,$Q55)),IF(K55="Absolute",IF(INDEX(Holdings!$Y$6:$Y$205,$Q55)="","",INDEX(Holdings!$Y$6:$Y$205,$Q55)),"")))</f>
        <v/>
      </c>
      <c r="N55" s="38" t="str">
        <f aca="false">IF(OR(L55="",M55=""),"",L55-M55)</f>
        <v/>
      </c>
      <c r="O55" s="44" t="str">
        <f aca="false">IF($Q55="","",INDEX(Holdings!$X$6:$X$205,$Q55)&amp;"")</f>
        <v/>
      </c>
      <c r="Q55" s="55" t="str">
        <f aca="false">IFERROR(MATCH($R$47&amp;"|"&amp;$S55,Holdings!$AL$6:$AL$205,0),"")</f>
        <v/>
      </c>
      <c r="S55" s="55" t="n">
        <v>7</v>
      </c>
    </row>
    <row r="56" customFormat="false" ht="15" hidden="false" customHeight="false" outlineLevel="0" collapsed="false">
      <c r="B56" s="44" t="str">
        <f aca="false">IF($Q56="","",INDEX(Holdings!$F$6:$F$205,$Q56)&amp;"")</f>
        <v/>
      </c>
      <c r="C56" s="44" t="str">
        <f aca="false">IF($Q56="","",INDEX(Holdings!$D$6:$D$205,$Q56)&amp;"")</f>
        <v/>
      </c>
      <c r="D56" s="44" t="str">
        <f aca="false">IF($Q56="","",INDEX(Holdings!$E$6:$E$205,$Q56)&amp;"")</f>
        <v/>
      </c>
      <c r="E56" s="44" t="str">
        <f aca="false">IF($Q56="","",INDEX(Holdings!$H$6:$H$205,$Q56)&amp;"")</f>
        <v/>
      </c>
      <c r="F56" s="56" t="str">
        <f aca="false">IF($Q56="","",IF(INDEX(Holdings!$J$6:$J$205,$Q56)="","",INDEX(Holdings!$J$6:$J$205,$Q56)))</f>
        <v/>
      </c>
      <c r="G56" s="37" t="str">
        <f aca="false">IF($Q56="","",IF(INDEX(Holdings!$M$6:$M$205,$Q56)="","",INDEX(Holdings!$M$6:$M$205,$Q56)/Divisor))</f>
        <v/>
      </c>
      <c r="H56" s="37" t="str">
        <f aca="false">IF($Q56="","",IF(INDEX(Holdings!$R$6:$R$205,$Q56)="","",INDEX(Holdings!$R$6:$R$205,$Q56)/Divisor))</f>
        <v/>
      </c>
      <c r="I56" s="38" t="str">
        <f aca="false">IF(OR($Q56="",N($H$64)=0),"",H56/$H$64)</f>
        <v/>
      </c>
      <c r="J56" s="37" t="str">
        <f aca="false">IF($Q56="","",IF(INDEX(Holdings!$S$6:$S$205,$Q56)="","",INDEX(Holdings!$S$6:$S$205,$Q56)/Divisor))</f>
        <v/>
      </c>
      <c r="K56" s="36" t="str">
        <f aca="false">IF($Q56="","",INDEX(Holdings!$AB$6:$AB$205,$Q56)&amp;"")</f>
        <v/>
      </c>
      <c r="L56" s="38" t="str">
        <f aca="false">IF($Q56="","",IF(K56="XIRR",INDEX(Holdings!$W$6:$W$205,$Q56),IF(K56="Absolute",IF(INDEX(Holdings!$T$6:$T$205,$Q56)="","",INDEX(Holdings!$T$6:$T$205,$Q56)),"")))</f>
        <v/>
      </c>
      <c r="M56" s="38" t="str">
        <f aca="false">IF($Q56="","",IF(K56="XIRR",IF(INDEX(Holdings!$Z$6:$Z$205,$Q56)="","",INDEX(Holdings!$Z$6:$Z$205,$Q56)),IF(K56="Absolute",IF(INDEX(Holdings!$Y$6:$Y$205,$Q56)="","",INDEX(Holdings!$Y$6:$Y$205,$Q56)),"")))</f>
        <v/>
      </c>
      <c r="N56" s="38" t="str">
        <f aca="false">IF(OR(L56="",M56=""),"",L56-M56)</f>
        <v/>
      </c>
      <c r="O56" s="44" t="str">
        <f aca="false">IF($Q56="","",INDEX(Holdings!$X$6:$X$205,$Q56)&amp;"")</f>
        <v/>
      </c>
      <c r="Q56" s="55" t="str">
        <f aca="false">IFERROR(MATCH($R$47&amp;"|"&amp;$S56,Holdings!$AL$6:$AL$205,0),"")</f>
        <v/>
      </c>
      <c r="S56" s="55" t="n">
        <v>8</v>
      </c>
    </row>
    <row r="57" customFormat="false" ht="15" hidden="false" customHeight="false" outlineLevel="0" collapsed="false">
      <c r="B57" s="44" t="str">
        <f aca="false">IF($Q57="","",INDEX(Holdings!$F$6:$F$205,$Q57)&amp;"")</f>
        <v/>
      </c>
      <c r="C57" s="44" t="str">
        <f aca="false">IF($Q57="","",INDEX(Holdings!$D$6:$D$205,$Q57)&amp;"")</f>
        <v/>
      </c>
      <c r="D57" s="44" t="str">
        <f aca="false">IF($Q57="","",INDEX(Holdings!$E$6:$E$205,$Q57)&amp;"")</f>
        <v/>
      </c>
      <c r="E57" s="44" t="str">
        <f aca="false">IF($Q57="","",INDEX(Holdings!$H$6:$H$205,$Q57)&amp;"")</f>
        <v/>
      </c>
      <c r="F57" s="56" t="str">
        <f aca="false">IF($Q57="","",IF(INDEX(Holdings!$J$6:$J$205,$Q57)="","",INDEX(Holdings!$J$6:$J$205,$Q57)))</f>
        <v/>
      </c>
      <c r="G57" s="37" t="str">
        <f aca="false">IF($Q57="","",IF(INDEX(Holdings!$M$6:$M$205,$Q57)="","",INDEX(Holdings!$M$6:$M$205,$Q57)/Divisor))</f>
        <v/>
      </c>
      <c r="H57" s="37" t="str">
        <f aca="false">IF($Q57="","",IF(INDEX(Holdings!$R$6:$R$205,$Q57)="","",INDEX(Holdings!$R$6:$R$205,$Q57)/Divisor))</f>
        <v/>
      </c>
      <c r="I57" s="38" t="str">
        <f aca="false">IF(OR($Q57="",N($H$64)=0),"",H57/$H$64)</f>
        <v/>
      </c>
      <c r="J57" s="37" t="str">
        <f aca="false">IF($Q57="","",IF(INDEX(Holdings!$S$6:$S$205,$Q57)="","",INDEX(Holdings!$S$6:$S$205,$Q57)/Divisor))</f>
        <v/>
      </c>
      <c r="K57" s="36" t="str">
        <f aca="false">IF($Q57="","",INDEX(Holdings!$AB$6:$AB$205,$Q57)&amp;"")</f>
        <v/>
      </c>
      <c r="L57" s="38" t="str">
        <f aca="false">IF($Q57="","",IF(K57="XIRR",INDEX(Holdings!$W$6:$W$205,$Q57),IF(K57="Absolute",IF(INDEX(Holdings!$T$6:$T$205,$Q57)="","",INDEX(Holdings!$T$6:$T$205,$Q57)),"")))</f>
        <v/>
      </c>
      <c r="M57" s="38" t="str">
        <f aca="false">IF($Q57="","",IF(K57="XIRR",IF(INDEX(Holdings!$Z$6:$Z$205,$Q57)="","",INDEX(Holdings!$Z$6:$Z$205,$Q57)),IF(K57="Absolute",IF(INDEX(Holdings!$Y$6:$Y$205,$Q57)="","",INDEX(Holdings!$Y$6:$Y$205,$Q57)),"")))</f>
        <v/>
      </c>
      <c r="N57" s="38" t="str">
        <f aca="false">IF(OR(L57="",M57=""),"",L57-M57)</f>
        <v/>
      </c>
      <c r="O57" s="44" t="str">
        <f aca="false">IF($Q57="","",INDEX(Holdings!$X$6:$X$205,$Q57)&amp;"")</f>
        <v/>
      </c>
      <c r="Q57" s="55" t="str">
        <f aca="false">IFERROR(MATCH($R$47&amp;"|"&amp;$S57,Holdings!$AL$6:$AL$205,0),"")</f>
        <v/>
      </c>
      <c r="S57" s="55" t="n">
        <v>9</v>
      </c>
    </row>
    <row r="58" customFormat="false" ht="15" hidden="false" customHeight="false" outlineLevel="0" collapsed="false">
      <c r="B58" s="44" t="str">
        <f aca="false">IF($Q58="","",INDEX(Holdings!$F$6:$F$205,$Q58)&amp;"")</f>
        <v/>
      </c>
      <c r="C58" s="44" t="str">
        <f aca="false">IF($Q58="","",INDEX(Holdings!$D$6:$D$205,$Q58)&amp;"")</f>
        <v/>
      </c>
      <c r="D58" s="44" t="str">
        <f aca="false">IF($Q58="","",INDEX(Holdings!$E$6:$E$205,$Q58)&amp;"")</f>
        <v/>
      </c>
      <c r="E58" s="44" t="str">
        <f aca="false">IF($Q58="","",INDEX(Holdings!$H$6:$H$205,$Q58)&amp;"")</f>
        <v/>
      </c>
      <c r="F58" s="56" t="str">
        <f aca="false">IF($Q58="","",IF(INDEX(Holdings!$J$6:$J$205,$Q58)="","",INDEX(Holdings!$J$6:$J$205,$Q58)))</f>
        <v/>
      </c>
      <c r="G58" s="37" t="str">
        <f aca="false">IF($Q58="","",IF(INDEX(Holdings!$M$6:$M$205,$Q58)="","",INDEX(Holdings!$M$6:$M$205,$Q58)/Divisor))</f>
        <v/>
      </c>
      <c r="H58" s="37" t="str">
        <f aca="false">IF($Q58="","",IF(INDEX(Holdings!$R$6:$R$205,$Q58)="","",INDEX(Holdings!$R$6:$R$205,$Q58)/Divisor))</f>
        <v/>
      </c>
      <c r="I58" s="38" t="str">
        <f aca="false">IF(OR($Q58="",N($H$64)=0),"",H58/$H$64)</f>
        <v/>
      </c>
      <c r="J58" s="37" t="str">
        <f aca="false">IF($Q58="","",IF(INDEX(Holdings!$S$6:$S$205,$Q58)="","",INDEX(Holdings!$S$6:$S$205,$Q58)/Divisor))</f>
        <v/>
      </c>
      <c r="K58" s="36" t="str">
        <f aca="false">IF($Q58="","",INDEX(Holdings!$AB$6:$AB$205,$Q58)&amp;"")</f>
        <v/>
      </c>
      <c r="L58" s="38" t="str">
        <f aca="false">IF($Q58="","",IF(K58="XIRR",INDEX(Holdings!$W$6:$W$205,$Q58),IF(K58="Absolute",IF(INDEX(Holdings!$T$6:$T$205,$Q58)="","",INDEX(Holdings!$T$6:$T$205,$Q58)),"")))</f>
        <v/>
      </c>
      <c r="M58" s="38" t="str">
        <f aca="false">IF($Q58="","",IF(K58="XIRR",IF(INDEX(Holdings!$Z$6:$Z$205,$Q58)="","",INDEX(Holdings!$Z$6:$Z$205,$Q58)),IF(K58="Absolute",IF(INDEX(Holdings!$Y$6:$Y$205,$Q58)="","",INDEX(Holdings!$Y$6:$Y$205,$Q58)),"")))</f>
        <v/>
      </c>
      <c r="N58" s="38" t="str">
        <f aca="false">IF(OR(L58="",M58=""),"",L58-M58)</f>
        <v/>
      </c>
      <c r="O58" s="44" t="str">
        <f aca="false">IF($Q58="","",INDEX(Holdings!$X$6:$X$205,$Q58)&amp;"")</f>
        <v/>
      </c>
      <c r="Q58" s="55" t="str">
        <f aca="false">IFERROR(MATCH($R$47&amp;"|"&amp;$S58,Holdings!$AL$6:$AL$205,0),"")</f>
        <v/>
      </c>
      <c r="S58" s="55" t="n">
        <v>10</v>
      </c>
    </row>
    <row r="59" customFormat="false" ht="15" hidden="false" customHeight="false" outlineLevel="0" collapsed="false">
      <c r="B59" s="44" t="str">
        <f aca="false">IF($Q59="","",INDEX(Holdings!$F$6:$F$205,$Q59)&amp;"")</f>
        <v/>
      </c>
      <c r="C59" s="44" t="str">
        <f aca="false">IF($Q59="","",INDEX(Holdings!$D$6:$D$205,$Q59)&amp;"")</f>
        <v/>
      </c>
      <c r="D59" s="44" t="str">
        <f aca="false">IF($Q59="","",INDEX(Holdings!$E$6:$E$205,$Q59)&amp;"")</f>
        <v/>
      </c>
      <c r="E59" s="44" t="str">
        <f aca="false">IF($Q59="","",INDEX(Holdings!$H$6:$H$205,$Q59)&amp;"")</f>
        <v/>
      </c>
      <c r="F59" s="56" t="str">
        <f aca="false">IF($Q59="","",IF(INDEX(Holdings!$J$6:$J$205,$Q59)="","",INDEX(Holdings!$J$6:$J$205,$Q59)))</f>
        <v/>
      </c>
      <c r="G59" s="37" t="str">
        <f aca="false">IF($Q59="","",IF(INDEX(Holdings!$M$6:$M$205,$Q59)="","",INDEX(Holdings!$M$6:$M$205,$Q59)/Divisor))</f>
        <v/>
      </c>
      <c r="H59" s="37" t="str">
        <f aca="false">IF($Q59="","",IF(INDEX(Holdings!$R$6:$R$205,$Q59)="","",INDEX(Holdings!$R$6:$R$205,$Q59)/Divisor))</f>
        <v/>
      </c>
      <c r="I59" s="38" t="str">
        <f aca="false">IF(OR($Q59="",N($H$64)=0),"",H59/$H$64)</f>
        <v/>
      </c>
      <c r="J59" s="37" t="str">
        <f aca="false">IF($Q59="","",IF(INDEX(Holdings!$S$6:$S$205,$Q59)="","",INDEX(Holdings!$S$6:$S$205,$Q59)/Divisor))</f>
        <v/>
      </c>
      <c r="K59" s="36" t="str">
        <f aca="false">IF($Q59="","",INDEX(Holdings!$AB$6:$AB$205,$Q59)&amp;"")</f>
        <v/>
      </c>
      <c r="L59" s="38" t="str">
        <f aca="false">IF($Q59="","",IF(K59="XIRR",INDEX(Holdings!$W$6:$W$205,$Q59),IF(K59="Absolute",IF(INDEX(Holdings!$T$6:$T$205,$Q59)="","",INDEX(Holdings!$T$6:$T$205,$Q59)),"")))</f>
        <v/>
      </c>
      <c r="M59" s="38" t="str">
        <f aca="false">IF($Q59="","",IF(K59="XIRR",IF(INDEX(Holdings!$Z$6:$Z$205,$Q59)="","",INDEX(Holdings!$Z$6:$Z$205,$Q59)),IF(K59="Absolute",IF(INDEX(Holdings!$Y$6:$Y$205,$Q59)="","",INDEX(Holdings!$Y$6:$Y$205,$Q59)),"")))</f>
        <v/>
      </c>
      <c r="N59" s="38" t="str">
        <f aca="false">IF(OR(L59="",M59=""),"",L59-M59)</f>
        <v/>
      </c>
      <c r="O59" s="44" t="str">
        <f aca="false">IF($Q59="","",INDEX(Holdings!$X$6:$X$205,$Q59)&amp;"")</f>
        <v/>
      </c>
      <c r="Q59" s="55" t="str">
        <f aca="false">IFERROR(MATCH($R$47&amp;"|"&amp;$S59,Holdings!$AL$6:$AL$205,0),"")</f>
        <v/>
      </c>
      <c r="S59" s="55" t="n">
        <v>11</v>
      </c>
    </row>
    <row r="60" customFormat="false" ht="15" hidden="false" customHeight="false" outlineLevel="0" collapsed="false">
      <c r="B60" s="44" t="str">
        <f aca="false">IF($Q60="","",INDEX(Holdings!$F$6:$F$205,$Q60)&amp;"")</f>
        <v/>
      </c>
      <c r="C60" s="44" t="str">
        <f aca="false">IF($Q60="","",INDEX(Holdings!$D$6:$D$205,$Q60)&amp;"")</f>
        <v/>
      </c>
      <c r="D60" s="44" t="str">
        <f aca="false">IF($Q60="","",INDEX(Holdings!$E$6:$E$205,$Q60)&amp;"")</f>
        <v/>
      </c>
      <c r="E60" s="44" t="str">
        <f aca="false">IF($Q60="","",INDEX(Holdings!$H$6:$H$205,$Q60)&amp;"")</f>
        <v/>
      </c>
      <c r="F60" s="56" t="str">
        <f aca="false">IF($Q60="","",IF(INDEX(Holdings!$J$6:$J$205,$Q60)="","",INDEX(Holdings!$J$6:$J$205,$Q60)))</f>
        <v/>
      </c>
      <c r="G60" s="37" t="str">
        <f aca="false">IF($Q60="","",IF(INDEX(Holdings!$M$6:$M$205,$Q60)="","",INDEX(Holdings!$M$6:$M$205,$Q60)/Divisor))</f>
        <v/>
      </c>
      <c r="H60" s="37" t="str">
        <f aca="false">IF($Q60="","",IF(INDEX(Holdings!$R$6:$R$205,$Q60)="","",INDEX(Holdings!$R$6:$R$205,$Q60)/Divisor))</f>
        <v/>
      </c>
      <c r="I60" s="38" t="str">
        <f aca="false">IF(OR($Q60="",N($H$64)=0),"",H60/$H$64)</f>
        <v/>
      </c>
      <c r="J60" s="37" t="str">
        <f aca="false">IF($Q60="","",IF(INDEX(Holdings!$S$6:$S$205,$Q60)="","",INDEX(Holdings!$S$6:$S$205,$Q60)/Divisor))</f>
        <v/>
      </c>
      <c r="K60" s="36" t="str">
        <f aca="false">IF($Q60="","",INDEX(Holdings!$AB$6:$AB$205,$Q60)&amp;"")</f>
        <v/>
      </c>
      <c r="L60" s="38" t="str">
        <f aca="false">IF($Q60="","",IF(K60="XIRR",INDEX(Holdings!$W$6:$W$205,$Q60),IF(K60="Absolute",IF(INDEX(Holdings!$T$6:$T$205,$Q60)="","",INDEX(Holdings!$T$6:$T$205,$Q60)),"")))</f>
        <v/>
      </c>
      <c r="M60" s="38" t="str">
        <f aca="false">IF($Q60="","",IF(K60="XIRR",IF(INDEX(Holdings!$Z$6:$Z$205,$Q60)="","",INDEX(Holdings!$Z$6:$Z$205,$Q60)),IF(K60="Absolute",IF(INDEX(Holdings!$Y$6:$Y$205,$Q60)="","",INDEX(Holdings!$Y$6:$Y$205,$Q60)),"")))</f>
        <v/>
      </c>
      <c r="N60" s="38" t="str">
        <f aca="false">IF(OR(L60="",M60=""),"",L60-M60)</f>
        <v/>
      </c>
      <c r="O60" s="44" t="str">
        <f aca="false">IF($Q60="","",INDEX(Holdings!$X$6:$X$205,$Q60)&amp;"")</f>
        <v/>
      </c>
      <c r="Q60" s="55" t="str">
        <f aca="false">IFERROR(MATCH($R$47&amp;"|"&amp;$S60,Holdings!$AL$6:$AL$205,0),"")</f>
        <v/>
      </c>
      <c r="S60" s="55" t="n">
        <v>12</v>
      </c>
    </row>
    <row r="61" customFormat="false" ht="15" hidden="false" customHeight="false" outlineLevel="0" collapsed="false">
      <c r="B61" s="44" t="str">
        <f aca="false">IF($Q61="","",INDEX(Holdings!$F$6:$F$205,$Q61)&amp;"")</f>
        <v/>
      </c>
      <c r="C61" s="44" t="str">
        <f aca="false">IF($Q61="","",INDEX(Holdings!$D$6:$D$205,$Q61)&amp;"")</f>
        <v/>
      </c>
      <c r="D61" s="44" t="str">
        <f aca="false">IF($Q61="","",INDEX(Holdings!$E$6:$E$205,$Q61)&amp;"")</f>
        <v/>
      </c>
      <c r="E61" s="44" t="str">
        <f aca="false">IF($Q61="","",INDEX(Holdings!$H$6:$H$205,$Q61)&amp;"")</f>
        <v/>
      </c>
      <c r="F61" s="56" t="str">
        <f aca="false">IF($Q61="","",IF(INDEX(Holdings!$J$6:$J$205,$Q61)="","",INDEX(Holdings!$J$6:$J$205,$Q61)))</f>
        <v/>
      </c>
      <c r="G61" s="37" t="str">
        <f aca="false">IF($Q61="","",IF(INDEX(Holdings!$M$6:$M$205,$Q61)="","",INDEX(Holdings!$M$6:$M$205,$Q61)/Divisor))</f>
        <v/>
      </c>
      <c r="H61" s="37" t="str">
        <f aca="false">IF($Q61="","",IF(INDEX(Holdings!$R$6:$R$205,$Q61)="","",INDEX(Holdings!$R$6:$R$205,$Q61)/Divisor))</f>
        <v/>
      </c>
      <c r="I61" s="38" t="str">
        <f aca="false">IF(OR($Q61="",N($H$64)=0),"",H61/$H$64)</f>
        <v/>
      </c>
      <c r="J61" s="37" t="str">
        <f aca="false">IF($Q61="","",IF(INDEX(Holdings!$S$6:$S$205,$Q61)="","",INDEX(Holdings!$S$6:$S$205,$Q61)/Divisor))</f>
        <v/>
      </c>
      <c r="K61" s="36" t="str">
        <f aca="false">IF($Q61="","",INDEX(Holdings!$AB$6:$AB$205,$Q61)&amp;"")</f>
        <v/>
      </c>
      <c r="L61" s="38" t="str">
        <f aca="false">IF($Q61="","",IF(K61="XIRR",INDEX(Holdings!$W$6:$W$205,$Q61),IF(K61="Absolute",IF(INDEX(Holdings!$T$6:$T$205,$Q61)="","",INDEX(Holdings!$T$6:$T$205,$Q61)),"")))</f>
        <v/>
      </c>
      <c r="M61" s="38" t="str">
        <f aca="false">IF($Q61="","",IF(K61="XIRR",IF(INDEX(Holdings!$Z$6:$Z$205,$Q61)="","",INDEX(Holdings!$Z$6:$Z$205,$Q61)),IF(K61="Absolute",IF(INDEX(Holdings!$Y$6:$Y$205,$Q61)="","",INDEX(Holdings!$Y$6:$Y$205,$Q61)),"")))</f>
        <v/>
      </c>
      <c r="N61" s="38" t="str">
        <f aca="false">IF(OR(L61="",M61=""),"",L61-M61)</f>
        <v/>
      </c>
      <c r="O61" s="44" t="str">
        <f aca="false">IF($Q61="","",INDEX(Holdings!$X$6:$X$205,$Q61)&amp;"")</f>
        <v/>
      </c>
      <c r="Q61" s="55" t="str">
        <f aca="false">IFERROR(MATCH($R$47&amp;"|"&amp;$S61,Holdings!$AL$6:$AL$205,0),"")</f>
        <v/>
      </c>
      <c r="S61" s="55" t="n">
        <v>13</v>
      </c>
    </row>
    <row r="62" customFormat="false" ht="15" hidden="false" customHeight="false" outlineLevel="0" collapsed="false">
      <c r="B62" s="44" t="str">
        <f aca="false">IF($Q62="","",INDEX(Holdings!$F$6:$F$205,$Q62)&amp;"")</f>
        <v/>
      </c>
      <c r="C62" s="44" t="str">
        <f aca="false">IF($Q62="","",INDEX(Holdings!$D$6:$D$205,$Q62)&amp;"")</f>
        <v/>
      </c>
      <c r="D62" s="44" t="str">
        <f aca="false">IF($Q62="","",INDEX(Holdings!$E$6:$E$205,$Q62)&amp;"")</f>
        <v/>
      </c>
      <c r="E62" s="44" t="str">
        <f aca="false">IF($Q62="","",INDEX(Holdings!$H$6:$H$205,$Q62)&amp;"")</f>
        <v/>
      </c>
      <c r="F62" s="56" t="str">
        <f aca="false">IF($Q62="","",IF(INDEX(Holdings!$J$6:$J$205,$Q62)="","",INDEX(Holdings!$J$6:$J$205,$Q62)))</f>
        <v/>
      </c>
      <c r="G62" s="37" t="str">
        <f aca="false">IF($Q62="","",IF(INDEX(Holdings!$M$6:$M$205,$Q62)="","",INDEX(Holdings!$M$6:$M$205,$Q62)/Divisor))</f>
        <v/>
      </c>
      <c r="H62" s="37" t="str">
        <f aca="false">IF($Q62="","",IF(INDEX(Holdings!$R$6:$R$205,$Q62)="","",INDEX(Holdings!$R$6:$R$205,$Q62)/Divisor))</f>
        <v/>
      </c>
      <c r="I62" s="38" t="str">
        <f aca="false">IF(OR($Q62="",N($H$64)=0),"",H62/$H$64)</f>
        <v/>
      </c>
      <c r="J62" s="37" t="str">
        <f aca="false">IF($Q62="","",IF(INDEX(Holdings!$S$6:$S$205,$Q62)="","",INDEX(Holdings!$S$6:$S$205,$Q62)/Divisor))</f>
        <v/>
      </c>
      <c r="K62" s="36" t="str">
        <f aca="false">IF($Q62="","",INDEX(Holdings!$AB$6:$AB$205,$Q62)&amp;"")</f>
        <v/>
      </c>
      <c r="L62" s="38" t="str">
        <f aca="false">IF($Q62="","",IF(K62="XIRR",INDEX(Holdings!$W$6:$W$205,$Q62),IF(K62="Absolute",IF(INDEX(Holdings!$T$6:$T$205,$Q62)="","",INDEX(Holdings!$T$6:$T$205,$Q62)),"")))</f>
        <v/>
      </c>
      <c r="M62" s="38" t="str">
        <f aca="false">IF($Q62="","",IF(K62="XIRR",IF(INDEX(Holdings!$Z$6:$Z$205,$Q62)="","",INDEX(Holdings!$Z$6:$Z$205,$Q62)),IF(K62="Absolute",IF(INDEX(Holdings!$Y$6:$Y$205,$Q62)="","",INDEX(Holdings!$Y$6:$Y$205,$Q62)),"")))</f>
        <v/>
      </c>
      <c r="N62" s="38" t="str">
        <f aca="false">IF(OR(L62="",M62=""),"",L62-M62)</f>
        <v/>
      </c>
      <c r="O62" s="44" t="str">
        <f aca="false">IF($Q62="","",INDEX(Holdings!$X$6:$X$205,$Q62)&amp;"")</f>
        <v/>
      </c>
      <c r="Q62" s="55" t="str">
        <f aca="false">IFERROR(MATCH($R$47&amp;"|"&amp;$S62,Holdings!$AL$6:$AL$205,0),"")</f>
        <v/>
      </c>
      <c r="S62" s="55" t="n">
        <v>14</v>
      </c>
    </row>
    <row r="63" customFormat="false" ht="15" hidden="false" customHeight="false" outlineLevel="0" collapsed="false">
      <c r="B63" s="44" t="str">
        <f aca="false">IF($Q63="","",INDEX(Holdings!$F$6:$F$205,$Q63)&amp;"")</f>
        <v/>
      </c>
      <c r="C63" s="44" t="str">
        <f aca="false">IF($Q63="","",INDEX(Holdings!$D$6:$D$205,$Q63)&amp;"")</f>
        <v/>
      </c>
      <c r="D63" s="44" t="str">
        <f aca="false">IF($Q63="","",INDEX(Holdings!$E$6:$E$205,$Q63)&amp;"")</f>
        <v/>
      </c>
      <c r="E63" s="44" t="str">
        <f aca="false">IF($Q63="","",INDEX(Holdings!$H$6:$H$205,$Q63)&amp;"")</f>
        <v/>
      </c>
      <c r="F63" s="56" t="str">
        <f aca="false">IF($Q63="","",IF(INDEX(Holdings!$J$6:$J$205,$Q63)="","",INDEX(Holdings!$J$6:$J$205,$Q63)))</f>
        <v/>
      </c>
      <c r="G63" s="37" t="str">
        <f aca="false">IF($Q63="","",IF(INDEX(Holdings!$M$6:$M$205,$Q63)="","",INDEX(Holdings!$M$6:$M$205,$Q63)/Divisor))</f>
        <v/>
      </c>
      <c r="H63" s="37" t="str">
        <f aca="false">IF($Q63="","",IF(INDEX(Holdings!$R$6:$R$205,$Q63)="","",INDEX(Holdings!$R$6:$R$205,$Q63)/Divisor))</f>
        <v/>
      </c>
      <c r="I63" s="38" t="str">
        <f aca="false">IF(OR($Q63="",N($H$64)=0),"",H63/$H$64)</f>
        <v/>
      </c>
      <c r="J63" s="37" t="str">
        <f aca="false">IF($Q63="","",IF(INDEX(Holdings!$S$6:$S$205,$Q63)="","",INDEX(Holdings!$S$6:$S$205,$Q63)/Divisor))</f>
        <v/>
      </c>
      <c r="K63" s="36" t="str">
        <f aca="false">IF($Q63="","",INDEX(Holdings!$AB$6:$AB$205,$Q63)&amp;"")</f>
        <v/>
      </c>
      <c r="L63" s="38" t="str">
        <f aca="false">IF($Q63="","",IF(K63="XIRR",INDEX(Holdings!$W$6:$W$205,$Q63),IF(K63="Absolute",IF(INDEX(Holdings!$T$6:$T$205,$Q63)="","",INDEX(Holdings!$T$6:$T$205,$Q63)),"")))</f>
        <v/>
      </c>
      <c r="M63" s="38" t="str">
        <f aca="false">IF($Q63="","",IF(K63="XIRR",IF(INDEX(Holdings!$Z$6:$Z$205,$Q63)="","",INDEX(Holdings!$Z$6:$Z$205,$Q63)),IF(K63="Absolute",IF(INDEX(Holdings!$Y$6:$Y$205,$Q63)="","",INDEX(Holdings!$Y$6:$Y$205,$Q63)),"")))</f>
        <v/>
      </c>
      <c r="N63" s="38" t="str">
        <f aca="false">IF(OR(L63="",M63=""),"",L63-M63)</f>
        <v/>
      </c>
      <c r="O63" s="44" t="str">
        <f aca="false">IF($Q63="","",INDEX(Holdings!$X$6:$X$205,$Q63)&amp;"")</f>
        <v/>
      </c>
      <c r="Q63" s="55" t="str">
        <f aca="false">IFERROR(MATCH($R$47&amp;"|"&amp;$S63,Holdings!$AL$6:$AL$205,0),"")</f>
        <v/>
      </c>
      <c r="S63" s="55" t="n">
        <v>15</v>
      </c>
    </row>
    <row r="64" customFormat="false" ht="15" hidden="false" customHeight="false" outlineLevel="0" collapsed="false">
      <c r="B64" s="39" t="str">
        <f aca="false">"Total — "&amp;Lists!$L$8</f>
        <v>Total — Liquidity</v>
      </c>
      <c r="C64" s="43"/>
      <c r="D64" s="43"/>
      <c r="E64" s="43"/>
      <c r="F64" s="43"/>
      <c r="G64" s="41" t="n">
        <f aca="false">SUMIFS(Holdings!$M$6:$M$205,Holdings!$I$6:$I$205,$R$47)/Divisor</f>
        <v>17.4556</v>
      </c>
      <c r="H64" s="41" t="n">
        <f aca="false">SUMIFS(Holdings!$R$6:$R$205,Holdings!$I$6:$I$205,$R$47)/Divisor</f>
        <v>17.7416469647908</v>
      </c>
      <c r="I64" s="42" t="n">
        <f aca="false">IF(N(H64)=0,"",SUM(I49:I63))</f>
        <v>1</v>
      </c>
      <c r="J64" s="41" t="n">
        <f aca="false">SUMIFS(Holdings!$S$6:$S$205,Holdings!$I$6:$I$205,$R$47)/Divisor</f>
        <v>0.286046964790769</v>
      </c>
      <c r="K64" s="40" t="str">
        <f aca="false">IF(SUMIFS(Holdings!$AN$6:$AN$205,Holdings!$I$6:$I$205,$R$47)&gt;0,"XIRR",IF(N(G64)&gt;0,"Absolute",""))</f>
        <v>Absolute</v>
      </c>
      <c r="L64" s="42" t="n">
        <f aca="false">IF(K64="XIRR",IF(SUMIFS(Holdings!$AN$6:$AN$205,Holdings!$I$6:$I$205,$R$47)=0,"",SUMIFS(Holdings!$AM$6:$AM$205,Holdings!$I$6:$I$205,$R$47)/SUMIFS(Holdings!$AN$6:$AN$205,Holdings!$I$6:$I$205,$R$47)),IF(K64="Absolute",J64/G64,""))</f>
        <v>0.0163871173028008</v>
      </c>
      <c r="M64" s="42" t="n">
        <f aca="false">IF(K64="XIRR",IF(SUMIFS(Holdings!$AN$6:$AN$205,Holdings!$I$6:$I$205,$R$47)=0,"",SUMIFS(Holdings!$AO$6:$AO$205,Holdings!$I$6:$I$205,$R$47)/SUMIFS(Holdings!$AN$6:$AN$205,Holdings!$I$6:$I$205,$R$47)),IF(K64="Absolute",IF(SUMIFS(Holdings!$AQ$6:$AQ$205,Holdings!$I$6:$I$205,$R$47)=0,"",SUMIFS(Holdings!$AP$6:$AP$205,Holdings!$I$6:$I$205,$R$47)/SUMIFS(Holdings!$AQ$6:$AQ$205,Holdings!$I$6:$I$205,$R$47)),""))</f>
        <v>0.0219833413563228</v>
      </c>
      <c r="N64" s="42" t="n">
        <f aca="false">IF(OR(L64="",M64=""),"",L64-M64)</f>
        <v>-0.00559622405352207</v>
      </c>
      <c r="O64" s="43"/>
    </row>
    <row r="65" customFormat="false" ht="15" hidden="false" customHeight="false" outlineLevel="0" collapsed="false">
      <c r="B65" s="49" t="str">
        <f aca="false">IF(SUMPRODUCT((Holdings!$I$6:$I$205=$R$47)*ISNUMBER(Holdings!$R$6:$R$205))&gt;15,SUMPRODUCT((Holdings!$I$6:$I$205=$R$47)*ISNUMBER(Holdings!$R$6:$R$205))-15&amp;" more holding(s) in this basket are not listed; the total includes them.",IF(SUMPRODUCT((Holdings!$I$6:$I$205=$R$47)*ISNUMBER(Holdings!$R$6:$R$205))=0,"Nothing is held in this basket.",""))</f>
        <v/>
      </c>
    </row>
    <row r="68" customFormat="false" ht="19.5" hidden="false" customHeight="true" outlineLevel="0" collapsed="false">
      <c r="B68" s="54" t="str">
        <f aca="false">Lists!$L$9&amp;"  ·  "&amp;Lists!$K$9</f>
        <v>Thematic &amp; Tactical  ·  TT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R68" s="55" t="str">
        <f aca="false">Lists!$K$9</f>
        <v>TT</v>
      </c>
    </row>
    <row r="69" customFormat="false" ht="30" hidden="false" customHeight="true" outlineLevel="0" collapsed="false">
      <c r="B69" s="23" t="s">
        <v>129</v>
      </c>
      <c r="C69" s="23" t="s">
        <v>99</v>
      </c>
      <c r="D69" s="23" t="s">
        <v>130</v>
      </c>
      <c r="E69" s="23" t="s">
        <v>78</v>
      </c>
      <c r="F69" s="23" t="s">
        <v>131</v>
      </c>
      <c r="G69" s="23" t="s">
        <v>80</v>
      </c>
      <c r="H69" s="23" t="s">
        <v>81</v>
      </c>
      <c r="I69" s="23" t="s">
        <v>132</v>
      </c>
      <c r="J69" s="23" t="s">
        <v>86</v>
      </c>
      <c r="K69" s="23" t="s">
        <v>133</v>
      </c>
      <c r="L69" s="23" t="s">
        <v>134</v>
      </c>
      <c r="M69" s="23" t="s">
        <v>135</v>
      </c>
      <c r="N69" s="23" t="s">
        <v>136</v>
      </c>
      <c r="O69" s="23" t="s">
        <v>137</v>
      </c>
    </row>
    <row r="70" customFormat="false" ht="15" hidden="false" customHeight="false" outlineLevel="0" collapsed="false">
      <c r="B70" s="44" t="str">
        <f aca="false">IF($Q70="","",INDEX(Holdings!$F$6:$F$205,$Q70)&amp;"")</f>
        <v>Aravali Cements Ltd</v>
      </c>
      <c r="C70" s="44" t="str">
        <f aca="false">IF($Q70="","",INDEX(Holdings!$D$6:$D$205,$Q70)&amp;"")</f>
        <v>Rajiv Malhotra</v>
      </c>
      <c r="D70" s="44" t="str">
        <f aca="false">IF($Q70="","",INDEX(Holdings!$E$6:$E$205,$Q70)&amp;"")</f>
        <v>Self-directed</v>
      </c>
      <c r="E70" s="44" t="str">
        <f aca="false">IF($Q70="","",INDEX(Holdings!$H$6:$H$205,$Q70)&amp;"")</f>
        <v>Direct Equity</v>
      </c>
      <c r="F70" s="56" t="n">
        <f aca="false">IF($Q70="","",IF(INDEX(Holdings!$J$6:$J$205,$Q70)="","",INDEX(Holdings!$J$6:$J$205,$Q70)))</f>
        <v>42441</v>
      </c>
      <c r="G70" s="37" t="n">
        <f aca="false">IF($Q70="","",IF(INDEX(Holdings!$M$6:$M$205,$Q70)="","",INDEX(Holdings!$M$6:$M$205,$Q70)/Divisor))</f>
        <v>4.53888</v>
      </c>
      <c r="H70" s="37" t="n">
        <f aca="false">IF($Q70="","",IF(INDEX(Holdings!$R$6:$R$205,$Q70)="","",INDEX(Holdings!$R$6:$R$205,$Q70)/Divisor))</f>
        <v>8.107</v>
      </c>
      <c r="I70" s="38" t="n">
        <f aca="false">IF(OR($Q70="",N($H$85)=0),"",H70/$H$85)</f>
        <v>0.259470705792357</v>
      </c>
      <c r="J70" s="37" t="n">
        <f aca="false">IF($Q70="","",IF(INDEX(Holdings!$S$6:$S$205,$Q70)="","",INDEX(Holdings!$S$6:$S$205,$Q70)/Divisor))</f>
        <v>3.56812</v>
      </c>
      <c r="K70" s="36" t="str">
        <f aca="false">IF($Q70="","",INDEX(Holdings!$AB$6:$AB$205,$Q70)&amp;"")</f>
        <v>XIRR</v>
      </c>
      <c r="L70" s="38" t="n">
        <f aca="false">IF($Q70="","",IF(K70="XIRR",INDEX(Holdings!$W$6:$W$205,$Q70),IF(K70="Absolute",IF(INDEX(Holdings!$T$6:$T$205,$Q70)="","",INDEX(Holdings!$T$6:$T$205,$Q70)),"")))</f>
        <v>0.179</v>
      </c>
      <c r="M70" s="38" t="n">
        <f aca="false">IF($Q70="","",IF(K70="XIRR",IF(INDEX(Holdings!$Z$6:$Z$205,$Q70)="","",INDEX(Holdings!$Z$6:$Z$205,$Q70)),IF(K70="Absolute",IF(INDEX(Holdings!$Y$6:$Y$205,$Q70)="","",INDEX(Holdings!$Y$6:$Y$205,$Q70)),"")))</f>
        <v>0.131</v>
      </c>
      <c r="N70" s="38" t="n">
        <f aca="false">IF(OR(L70="",M70=""),"",L70-M70)</f>
        <v>0.048</v>
      </c>
      <c r="O70" s="44" t="str">
        <f aca="false">IF($Q70="","",INDEX(Holdings!$X$6:$X$205,$Q70)&amp;"")</f>
        <v>Nifty 500 TRI</v>
      </c>
      <c r="Q70" s="55" t="n">
        <f aca="false">IFERROR(MATCH($R$68&amp;"|"&amp;$S70,Holdings!$AL$6:$AL$205,0),"")</f>
        <v>1</v>
      </c>
      <c r="S70" s="55" t="n">
        <v>1</v>
      </c>
    </row>
    <row r="71" customFormat="false" ht="15" hidden="false" customHeight="false" outlineLevel="0" collapsed="false">
      <c r="B71" s="44" t="str">
        <f aca="false">IF($Q71="","",INDEX(Holdings!$F$6:$F$205,$Q71)&amp;"")</f>
        <v>Deccan Financial Services Ltd</v>
      </c>
      <c r="C71" s="44" t="str">
        <f aca="false">IF($Q71="","",INDEX(Holdings!$D$6:$D$205,$Q71)&amp;"")</f>
        <v>Nisha Malhotra</v>
      </c>
      <c r="D71" s="44" t="str">
        <f aca="false">IF($Q71="","",INDEX(Holdings!$E$6:$E$205,$Q71)&amp;"")</f>
        <v>Self-directed</v>
      </c>
      <c r="E71" s="44" t="str">
        <f aca="false">IF($Q71="","",INDEX(Holdings!$H$6:$H$205,$Q71)&amp;"")</f>
        <v>Direct Equity</v>
      </c>
      <c r="F71" s="56" t="n">
        <f aca="false">IF($Q71="","",IF(INDEX(Holdings!$J$6:$J$205,$Q71)="","",INDEX(Holdings!$J$6:$J$205,$Q71)))</f>
        <v>45910</v>
      </c>
      <c r="G71" s="37" t="n">
        <f aca="false">IF($Q71="","",IF(INDEX(Holdings!$M$6:$M$205,$Q71)="","",INDEX(Holdings!$M$6:$M$205,$Q71)/Divisor))</f>
        <v>5.60025</v>
      </c>
      <c r="H71" s="37" t="n">
        <f aca="false">IF($Q71="","",IF(INDEX(Holdings!$R$6:$R$205,$Q71)="","",INDEX(Holdings!$R$6:$R$205,$Q71)/Divisor))</f>
        <v>6.04152</v>
      </c>
      <c r="I71" s="38" t="n">
        <f aca="false">IF(OR($Q71="",N($H$85)=0),"",H71/$H$85)</f>
        <v>0.193363446214215</v>
      </c>
      <c r="J71" s="37" t="n">
        <f aca="false">IF($Q71="","",IF(INDEX(Holdings!$S$6:$S$205,$Q71)="","",INDEX(Holdings!$S$6:$S$205,$Q71)/Divisor))</f>
        <v>0.44127</v>
      </c>
      <c r="K71" s="36" t="str">
        <f aca="false">IF($Q71="","",INDEX(Holdings!$AB$6:$AB$205,$Q71)&amp;"")</f>
        <v>Absolute</v>
      </c>
      <c r="L71" s="38" t="n">
        <f aca="false">IF($Q71="","",IF(K71="XIRR",INDEX(Holdings!$W$6:$W$205,$Q71),IF(K71="Absolute",IF(INDEX(Holdings!$T$6:$T$205,$Q71)="","",INDEX(Holdings!$T$6:$T$205,$Q71)),"")))</f>
        <v>0.0787946966653274</v>
      </c>
      <c r="M71" s="38" t="n">
        <f aca="false">IF($Q71="","",IF(K71="XIRR",IF(INDEX(Holdings!$Z$6:$Z$205,$Q71)="","",INDEX(Holdings!$Z$6:$Z$205,$Q71)),IF(K71="Absolute",IF(INDEX(Holdings!$Y$6:$Y$205,$Q71)="","",INDEX(Holdings!$Y$6:$Y$205,$Q71)),"")))</f>
        <v>0.062</v>
      </c>
      <c r="N71" s="38" t="n">
        <f aca="false">IF(OR(L71="",M71=""),"",L71-M71)</f>
        <v>0.0167946966653274</v>
      </c>
      <c r="O71" s="44" t="str">
        <f aca="false">IF($Q71="","",INDEX(Holdings!$X$6:$X$205,$Q71)&amp;"")</f>
        <v>Nifty 500 TRI</v>
      </c>
      <c r="Q71" s="55" t="n">
        <f aca="false">IFERROR(MATCH($R$68&amp;"|"&amp;$S71,Holdings!$AL$6:$AL$205,0),"")</f>
        <v>9</v>
      </c>
      <c r="S71" s="55" t="n">
        <v>2</v>
      </c>
    </row>
    <row r="72" customFormat="false" ht="15" hidden="false" customHeight="false" outlineLevel="0" collapsed="false">
      <c r="B72" s="44" t="str">
        <f aca="false">IF($Q72="","",INDEX(Holdings!$F$6:$F$205,$Q72)&amp;"")</f>
        <v>Indus Midcap Opportunities Fund – Direct Growth</v>
      </c>
      <c r="C72" s="44" t="str">
        <f aca="false">IF($Q72="","",INDEX(Holdings!$D$6:$D$205,$Q72)&amp;"")</f>
        <v>Nisha Malhotra</v>
      </c>
      <c r="D72" s="44" t="str">
        <f aca="false">IF($Q72="","",INDEX(Holdings!$E$6:$E$205,$Q72)&amp;"")</f>
        <v>Orchid Wealth Advisors</v>
      </c>
      <c r="E72" s="44" t="str">
        <f aca="false">IF($Q72="","",INDEX(Holdings!$H$6:$H$205,$Q72)&amp;"")</f>
        <v>Equity MF – Mid &amp; Small Cap</v>
      </c>
      <c r="F72" s="56" t="n">
        <f aca="false">IF($Q72="","",IF(INDEX(Holdings!$J$6:$J$205,$Q72)="","",INDEX(Holdings!$J$6:$J$205,$Q72)))</f>
        <v>45031</v>
      </c>
      <c r="G72" s="37" t="n">
        <f aca="false">IF($Q72="","",IF(INDEX(Holdings!$M$6:$M$205,$Q72)="","",INDEX(Holdings!$M$6:$M$205,$Q72)/Divisor))</f>
        <v>4.25</v>
      </c>
      <c r="H72" s="37" t="n">
        <f aca="false">IF($Q72="","",IF(INDEX(Holdings!$R$6:$R$205,$Q72)="","",INDEX(Holdings!$R$6:$R$205,$Q72)/Divisor))</f>
        <v>5.8950698716962</v>
      </c>
      <c r="I72" s="38" t="n">
        <f aca="false">IF(OR($Q72="",N($H$85)=0),"",H72/$H$85)</f>
        <v>0.18867619838464</v>
      </c>
      <c r="J72" s="37" t="n">
        <f aca="false">IF($Q72="","",IF(INDEX(Holdings!$S$6:$S$205,$Q72)="","",INDEX(Holdings!$S$6:$S$205,$Q72)/Divisor))</f>
        <v>1.6450698716962</v>
      </c>
      <c r="K72" s="36" t="str">
        <f aca="false">IF($Q72="","",INDEX(Holdings!$AB$6:$AB$205,$Q72)&amp;"")</f>
        <v>XIRR</v>
      </c>
      <c r="L72" s="38" t="n">
        <f aca="false">IF($Q72="","",IF(K72="XIRR",INDEX(Holdings!$W$6:$W$205,$Q72),IF(K72="Absolute",IF(INDEX(Holdings!$T$6:$T$205,$Q72)="","",INDEX(Holdings!$T$6:$T$205,$Q72)),"")))</f>
        <v>0.214</v>
      </c>
      <c r="M72" s="38" t="n">
        <f aca="false">IF($Q72="","",IF(K72="XIRR",IF(INDEX(Holdings!$Z$6:$Z$205,$Q72)="","",INDEX(Holdings!$Z$6:$Z$205,$Q72)),IF(K72="Absolute",IF(INDEX(Holdings!$Y$6:$Y$205,$Q72)="","",INDEX(Holdings!$Y$6:$Y$205,$Q72)),"")))</f>
        <v>0.189</v>
      </c>
      <c r="N72" s="38" t="n">
        <f aca="false">IF(OR(L72="",M72=""),"",L72-M72)</f>
        <v>0.025</v>
      </c>
      <c r="O72" s="44" t="str">
        <f aca="false">IF($Q72="","",INDEX(Holdings!$X$6:$X$205,$Q72)&amp;"")</f>
        <v>Nifty Midsmallcap 400 TRI</v>
      </c>
      <c r="Q72" s="55" t="n">
        <f aca="false">IFERROR(MATCH($R$68&amp;"|"&amp;$S72,Holdings!$AL$6:$AL$205,0),"")</f>
        <v>7</v>
      </c>
      <c r="S72" s="55" t="n">
        <v>3</v>
      </c>
    </row>
    <row r="73" customFormat="false" ht="15" hidden="false" customHeight="false" outlineLevel="0" collapsed="false">
      <c r="B73" s="44" t="str">
        <f aca="false">IF($Q73="","",INDEX(Holdings!$F$6:$F$205,$Q73)&amp;"")</f>
        <v>Sahyadri Precision Engineering Ltd</v>
      </c>
      <c r="C73" s="44" t="str">
        <f aca="false">IF($Q73="","",INDEX(Holdings!$D$6:$D$205,$Q73)&amp;"")</f>
        <v>Rajiv Malhotra</v>
      </c>
      <c r="D73" s="44" t="str">
        <f aca="false">IF($Q73="","",INDEX(Holdings!$E$6:$E$205,$Q73)&amp;"")</f>
        <v>Self-directed</v>
      </c>
      <c r="E73" s="44" t="str">
        <f aca="false">IF($Q73="","",INDEX(Holdings!$H$6:$H$205,$Q73)&amp;"")</f>
        <v>Direct Equity</v>
      </c>
      <c r="F73" s="56" t="n">
        <f aca="false">IF($Q73="","",IF(INDEX(Holdings!$J$6:$J$205,$Q73)="","",INDEX(Holdings!$J$6:$J$205,$Q73)))</f>
        <v>42907</v>
      </c>
      <c r="G73" s="37" t="n">
        <f aca="false">IF($Q73="","",IF(INDEX(Holdings!$M$6:$M$205,$Q73)="","",INDEX(Holdings!$M$6:$M$205,$Q73)/Divisor))</f>
        <v>2.48</v>
      </c>
      <c r="H73" s="37" t="n">
        <f aca="false">IF($Q73="","",IF(INDEX(Holdings!$R$6:$R$205,$Q73)="","",INDEX(Holdings!$R$6:$R$205,$Q73)/Divisor))</f>
        <v>4.8984</v>
      </c>
      <c r="I73" s="38" t="n">
        <f aca="false">IF(OR($Q73="",N($H$85)=0),"",H73/$H$85)</f>
        <v>0.156777020507374</v>
      </c>
      <c r="J73" s="37" t="n">
        <f aca="false">IF($Q73="","",IF(INDEX(Holdings!$S$6:$S$205,$Q73)="","",INDEX(Holdings!$S$6:$S$205,$Q73)/Divisor))</f>
        <v>2.4184</v>
      </c>
      <c r="K73" s="36" t="str">
        <f aca="false">IF($Q73="","",INDEX(Holdings!$AB$6:$AB$205,$Q73)&amp;"")</f>
        <v>XIRR</v>
      </c>
      <c r="L73" s="38" t="n">
        <f aca="false">IF($Q73="","",IF(K73="XIRR",INDEX(Holdings!$W$6:$W$205,$Q73),IF(K73="Absolute",IF(INDEX(Holdings!$T$6:$T$205,$Q73)="","",INDEX(Holdings!$T$6:$T$205,$Q73)),"")))</f>
        <v>0.124</v>
      </c>
      <c r="M73" s="38" t="n">
        <f aca="false">IF($Q73="","",IF(K73="XIRR",IF(INDEX(Holdings!$Z$6:$Z$205,$Q73)="","",INDEX(Holdings!$Z$6:$Z$205,$Q73)),IF(K73="Absolute",IF(INDEX(Holdings!$Y$6:$Y$205,$Q73)="","",INDEX(Holdings!$Y$6:$Y$205,$Q73)),"")))</f>
        <v>0.129</v>
      </c>
      <c r="N73" s="38" t="n">
        <f aca="false">IF(OR(L73="",M73=""),"",L73-M73)</f>
        <v>-0.005</v>
      </c>
      <c r="O73" s="44" t="str">
        <f aca="false">IF($Q73="","",INDEX(Holdings!$X$6:$X$205,$Q73)&amp;"")</f>
        <v>Nifty 500 TRI</v>
      </c>
      <c r="Q73" s="55" t="n">
        <f aca="false">IFERROR(MATCH($R$68&amp;"|"&amp;$S73,Holdings!$AL$6:$AL$205,0),"")</f>
        <v>2</v>
      </c>
      <c r="S73" s="55" t="n">
        <v>4</v>
      </c>
    </row>
    <row r="74" customFormat="false" ht="15" hidden="false" customHeight="false" outlineLevel="0" collapsed="false">
      <c r="B74" s="44" t="str">
        <f aca="false">IF($Q74="","",INDEX(Holdings!$F$6:$F$205,$Q74)&amp;"")</f>
        <v>Kaveri Gold ETF</v>
      </c>
      <c r="C74" s="44" t="str">
        <f aca="false">IF($Q74="","",INDEX(Holdings!$D$6:$D$205,$Q74)&amp;"")</f>
        <v>Nisha Malhotra</v>
      </c>
      <c r="D74" s="44" t="str">
        <f aca="false">IF($Q74="","",INDEX(Holdings!$E$6:$E$205,$Q74)&amp;"")</f>
        <v>Self-directed</v>
      </c>
      <c r="E74" s="44" t="str">
        <f aca="false">IF($Q74="","",INDEX(Holdings!$H$6:$H$205,$Q74)&amp;"")</f>
        <v>Gold / Silver (ETF, SGB, FoF)</v>
      </c>
      <c r="F74" s="56" t="n">
        <f aca="false">IF($Q74="","",IF(INDEX(Holdings!$J$6:$J$205,$Q74)="","",INDEX(Holdings!$J$6:$J$205,$Q74)))</f>
        <v>45334</v>
      </c>
      <c r="G74" s="37" t="n">
        <f aca="false">IF($Q74="","",IF(INDEX(Holdings!$M$6:$M$205,$Q74)="","",INDEX(Holdings!$M$6:$M$205,$Q74)/Divisor))</f>
        <v>2.52</v>
      </c>
      <c r="H74" s="37" t="n">
        <f aca="false">IF($Q74="","",IF(INDEX(Holdings!$R$6:$R$205,$Q74)="","",INDEX(Holdings!$R$6:$R$205,$Q74)/Divisor))</f>
        <v>3.03156</v>
      </c>
      <c r="I74" s="38" t="n">
        <f aca="false">IF(OR($Q74="",N($H$85)=0),"",H74/$H$85)</f>
        <v>0.0970273853277264</v>
      </c>
      <c r="J74" s="37" t="n">
        <f aca="false">IF($Q74="","",IF(INDEX(Holdings!$S$6:$S$205,$Q74)="","",INDEX(Holdings!$S$6:$S$205,$Q74)/Divisor))</f>
        <v>0.51156</v>
      </c>
      <c r="K74" s="36" t="str">
        <f aca="false">IF($Q74="","",INDEX(Holdings!$AB$6:$AB$205,$Q74)&amp;"")</f>
        <v>XIRR</v>
      </c>
      <c r="L74" s="38" t="n">
        <f aca="false">IF($Q74="","",IF(K74="XIRR",INDEX(Holdings!$W$6:$W$205,$Q74),IF(K74="Absolute",IF(INDEX(Holdings!$T$6:$T$205,$Q74)="","",INDEX(Holdings!$T$6:$T$205,$Q74)),"")))</f>
        <v>0.116</v>
      </c>
      <c r="M74" s="38" t="n">
        <f aca="false">IF($Q74="","",IF(K74="XIRR",IF(INDEX(Holdings!$Z$6:$Z$205,$Q74)="","",INDEX(Holdings!$Z$6:$Z$205,$Q74)),IF(K74="Absolute",IF(INDEX(Holdings!$Y$6:$Y$205,$Q74)="","",INDEX(Holdings!$Y$6:$Y$205,$Q74)),"")))</f>
        <v>0.123</v>
      </c>
      <c r="N74" s="38" t="n">
        <f aca="false">IF(OR(L74="",M74=""),"",L74-M74)</f>
        <v>-0.00699999999999999</v>
      </c>
      <c r="O74" s="44" t="str">
        <f aca="false">IF($Q74="","",INDEX(Holdings!$X$6:$X$205,$Q74)&amp;"")</f>
        <v>Domestic gold price (MCX)</v>
      </c>
      <c r="Q74" s="55" t="n">
        <f aca="false">IFERROR(MATCH($R$68&amp;"|"&amp;$S74,Holdings!$AL$6:$AL$205,0),"")</f>
        <v>11</v>
      </c>
      <c r="S74" s="55" t="n">
        <v>5</v>
      </c>
    </row>
    <row r="75" customFormat="false" ht="15" hidden="false" customHeight="false" outlineLevel="0" collapsed="false">
      <c r="B75" s="44" t="str">
        <f aca="false">IF($Q75="","",INDEX(Holdings!$F$6:$F$205,$Q75)&amp;"")</f>
        <v>Kaveri Silver ETF</v>
      </c>
      <c r="C75" s="44" t="str">
        <f aca="false">IF($Q75="","",INDEX(Holdings!$D$6:$D$205,$Q75)&amp;"")</f>
        <v>Arjun Malhotra</v>
      </c>
      <c r="D75" s="44" t="str">
        <f aca="false">IF($Q75="","",INDEX(Holdings!$E$6:$E$205,$Q75)&amp;"")</f>
        <v>Self-directed</v>
      </c>
      <c r="E75" s="44" t="str">
        <f aca="false">IF($Q75="","",INDEX(Holdings!$H$6:$H$205,$Q75)&amp;"")</f>
        <v>Gold / Silver (ETF, SGB, FoF)</v>
      </c>
      <c r="F75" s="56" t="n">
        <f aca="false">IF($Q75="","",IF(INDEX(Holdings!$J$6:$J$205,$Q75)="","",INDEX(Holdings!$J$6:$J$205,$Q75)))</f>
        <v>45875</v>
      </c>
      <c r="G75" s="37" t="n">
        <f aca="false">IF($Q75="","",IF(INDEX(Holdings!$M$6:$M$205,$Q75)="","",INDEX(Holdings!$M$6:$M$205,$Q75)/Divisor))</f>
        <v>1.44</v>
      </c>
      <c r="H75" s="37" t="n">
        <f aca="false">IF($Q75="","",IF(INDEX(Holdings!$R$6:$R$205,$Q75)="","",INDEX(Holdings!$R$6:$R$205,$Q75)/Divisor))</f>
        <v>1.7352</v>
      </c>
      <c r="I75" s="38" t="n">
        <f aca="false">IF(OR($Q75="",N($H$85)=0),"",H75/$H$85)</f>
        <v>0.0555363967794373</v>
      </c>
      <c r="J75" s="37" t="n">
        <f aca="false">IF($Q75="","",IF(INDEX(Holdings!$S$6:$S$205,$Q75)="","",INDEX(Holdings!$S$6:$S$205,$Q75)/Divisor))</f>
        <v>0.2952</v>
      </c>
      <c r="K75" s="36" t="str">
        <f aca="false">IF($Q75="","",INDEX(Holdings!$AB$6:$AB$205,$Q75)&amp;"")</f>
        <v>Absolute</v>
      </c>
      <c r="L75" s="38" t="n">
        <f aca="false">IF($Q75="","",IF(K75="XIRR",INDEX(Holdings!$W$6:$W$205,$Q75),IF(K75="Absolute",IF(INDEX(Holdings!$T$6:$T$205,$Q75)="","",INDEX(Holdings!$T$6:$T$205,$Q75)),"")))</f>
        <v>0.205</v>
      </c>
      <c r="M75" s="38" t="n">
        <f aca="false">IF($Q75="","",IF(K75="XIRR",IF(INDEX(Holdings!$Z$6:$Z$205,$Q75)="","",INDEX(Holdings!$Z$6:$Z$205,$Q75)),IF(K75="Absolute",IF(INDEX(Holdings!$Y$6:$Y$205,$Q75)="","",INDEX(Holdings!$Y$6:$Y$205,$Q75)),"")))</f>
        <v>0.184</v>
      </c>
      <c r="N75" s="38" t="n">
        <f aca="false">IF(OR(L75="",M75=""),"",L75-M75)</f>
        <v>0.021</v>
      </c>
      <c r="O75" s="44" t="str">
        <f aca="false">IF($Q75="","",INDEX(Holdings!$X$6:$X$205,$Q75)&amp;"")</f>
        <v>Domestic silver price (MCX)</v>
      </c>
      <c r="Q75" s="55" t="n">
        <f aca="false">IFERROR(MATCH($R$68&amp;"|"&amp;$S75,Holdings!$AL$6:$AL$205,0),"")</f>
        <v>14</v>
      </c>
      <c r="S75" s="55" t="n">
        <v>6</v>
      </c>
    </row>
    <row r="76" customFormat="false" ht="15" hidden="false" customHeight="false" outlineLevel="0" collapsed="false">
      <c r="B76" s="44" t="str">
        <f aca="false">IF($Q76="","",INDEX(Holdings!$F$6:$F$205,$Q76)&amp;"")</f>
        <v>Eastern Speciality Chemicals Ltd</v>
      </c>
      <c r="C76" s="44" t="str">
        <f aca="false">IF($Q76="","",INDEX(Holdings!$D$6:$D$205,$Q76)&amp;"")</f>
        <v>Nisha Malhotra</v>
      </c>
      <c r="D76" s="44" t="str">
        <f aca="false">IF($Q76="","",INDEX(Holdings!$E$6:$E$205,$Q76)&amp;"")</f>
        <v>Self-directed</v>
      </c>
      <c r="E76" s="44" t="str">
        <f aca="false">IF($Q76="","",INDEX(Holdings!$H$6:$H$205,$Q76)&amp;"")</f>
        <v>Direct Equity</v>
      </c>
      <c r="F76" s="56" t="n">
        <f aca="false">IF($Q76="","",IF(INDEX(Holdings!$J$6:$J$205,$Q76)="","",INDEX(Holdings!$J$6:$J$205,$Q76)))</f>
        <v>45417</v>
      </c>
      <c r="G76" s="37" t="n">
        <f aca="false">IF($Q76="","",IF(INDEX(Holdings!$M$6:$M$205,$Q76)="","",INDEX(Holdings!$M$6:$M$205,$Q76)/Divisor))</f>
        <v>1.792</v>
      </c>
      <c r="H76" s="37" t="n">
        <f aca="false">IF($Q76="","",IF(INDEX(Holdings!$R$6:$R$205,$Q76)="","",INDEX(Holdings!$R$6:$R$205,$Q76)/Divisor))</f>
        <v>1.535625</v>
      </c>
      <c r="I76" s="38" t="n">
        <f aca="false">IF(OR($Q76="",N($H$85)=0),"",H76/$H$85)</f>
        <v>0.0491488469942505</v>
      </c>
      <c r="J76" s="37" t="n">
        <f aca="false">IF($Q76="","",IF(INDEX(Holdings!$S$6:$S$205,$Q76)="","",INDEX(Holdings!$S$6:$S$205,$Q76)/Divisor))</f>
        <v>-0.256375</v>
      </c>
      <c r="K76" s="36" t="str">
        <f aca="false">IF($Q76="","",INDEX(Holdings!$AB$6:$AB$205,$Q76)&amp;"")</f>
        <v>XIRR</v>
      </c>
      <c r="L76" s="38" t="n">
        <f aca="false">IF($Q76="","",IF(K76="XIRR",INDEX(Holdings!$W$6:$W$205,$Q76),IF(K76="Absolute",IF(INDEX(Holdings!$T$6:$T$205,$Q76)="","",INDEX(Holdings!$T$6:$T$205,$Q76)),"")))</f>
        <v>-0.089</v>
      </c>
      <c r="M76" s="38" t="n">
        <f aca="false">IF($Q76="","",IF(K76="XIRR",IF(INDEX(Holdings!$Z$6:$Z$205,$Q76)="","",INDEX(Holdings!$Z$6:$Z$205,$Q76)),IF(K76="Absolute",IF(INDEX(Holdings!$Y$6:$Y$205,$Q76)="","",INDEX(Holdings!$Y$6:$Y$205,$Q76)),"")))</f>
        <v>0.098</v>
      </c>
      <c r="N76" s="38" t="n">
        <f aca="false">IF(OR(L76="",M76=""),"",L76-M76)</f>
        <v>-0.187</v>
      </c>
      <c r="O76" s="44" t="str">
        <f aca="false">IF($Q76="","",INDEX(Holdings!$X$6:$X$205,$Q76)&amp;"")</f>
        <v>Nifty 500 TRI</v>
      </c>
      <c r="Q76" s="55" t="n">
        <f aca="false">IFERROR(MATCH($R$68&amp;"|"&amp;$S76,Holdings!$AL$6:$AL$205,0),"")</f>
        <v>10</v>
      </c>
      <c r="S76" s="55" t="n">
        <v>7</v>
      </c>
    </row>
    <row r="77" customFormat="false" ht="15" hidden="false" customHeight="false" outlineLevel="0" collapsed="false">
      <c r="B77" s="44" t="str">
        <f aca="false">IF($Q77="","",INDEX(Holdings!$F$6:$F$205,$Q77)&amp;"")</f>
        <v/>
      </c>
      <c r="C77" s="44" t="str">
        <f aca="false">IF($Q77="","",INDEX(Holdings!$D$6:$D$205,$Q77)&amp;"")</f>
        <v/>
      </c>
      <c r="D77" s="44" t="str">
        <f aca="false">IF($Q77="","",INDEX(Holdings!$E$6:$E$205,$Q77)&amp;"")</f>
        <v/>
      </c>
      <c r="E77" s="44" t="str">
        <f aca="false">IF($Q77="","",INDEX(Holdings!$H$6:$H$205,$Q77)&amp;"")</f>
        <v/>
      </c>
      <c r="F77" s="56" t="str">
        <f aca="false">IF($Q77="","",IF(INDEX(Holdings!$J$6:$J$205,$Q77)="","",INDEX(Holdings!$J$6:$J$205,$Q77)))</f>
        <v/>
      </c>
      <c r="G77" s="37" t="str">
        <f aca="false">IF($Q77="","",IF(INDEX(Holdings!$M$6:$M$205,$Q77)="","",INDEX(Holdings!$M$6:$M$205,$Q77)/Divisor))</f>
        <v/>
      </c>
      <c r="H77" s="37" t="str">
        <f aca="false">IF($Q77="","",IF(INDEX(Holdings!$R$6:$R$205,$Q77)="","",INDEX(Holdings!$R$6:$R$205,$Q77)/Divisor))</f>
        <v/>
      </c>
      <c r="I77" s="38" t="str">
        <f aca="false">IF(OR($Q77="",N($H$85)=0),"",H77/$H$85)</f>
        <v/>
      </c>
      <c r="J77" s="37" t="str">
        <f aca="false">IF($Q77="","",IF(INDEX(Holdings!$S$6:$S$205,$Q77)="","",INDEX(Holdings!$S$6:$S$205,$Q77)/Divisor))</f>
        <v/>
      </c>
      <c r="K77" s="36" t="str">
        <f aca="false">IF($Q77="","",INDEX(Holdings!$AB$6:$AB$205,$Q77)&amp;"")</f>
        <v/>
      </c>
      <c r="L77" s="38" t="str">
        <f aca="false">IF($Q77="","",IF(K77="XIRR",INDEX(Holdings!$W$6:$W$205,$Q77),IF(K77="Absolute",IF(INDEX(Holdings!$T$6:$T$205,$Q77)="","",INDEX(Holdings!$T$6:$T$205,$Q77)),"")))</f>
        <v/>
      </c>
      <c r="M77" s="38" t="str">
        <f aca="false">IF($Q77="","",IF(K77="XIRR",IF(INDEX(Holdings!$Z$6:$Z$205,$Q77)="","",INDEX(Holdings!$Z$6:$Z$205,$Q77)),IF(K77="Absolute",IF(INDEX(Holdings!$Y$6:$Y$205,$Q77)="","",INDEX(Holdings!$Y$6:$Y$205,$Q77)),"")))</f>
        <v/>
      </c>
      <c r="N77" s="38" t="str">
        <f aca="false">IF(OR(L77="",M77=""),"",L77-M77)</f>
        <v/>
      </c>
      <c r="O77" s="44" t="str">
        <f aca="false">IF($Q77="","",INDEX(Holdings!$X$6:$X$205,$Q77)&amp;"")</f>
        <v/>
      </c>
      <c r="Q77" s="55" t="str">
        <f aca="false">IFERROR(MATCH($R$68&amp;"|"&amp;$S77,Holdings!$AL$6:$AL$205,0),"")</f>
        <v/>
      </c>
      <c r="S77" s="55" t="n">
        <v>8</v>
      </c>
    </row>
    <row r="78" customFormat="false" ht="15" hidden="false" customHeight="false" outlineLevel="0" collapsed="false">
      <c r="B78" s="44" t="str">
        <f aca="false">IF($Q78="","",INDEX(Holdings!$F$6:$F$205,$Q78)&amp;"")</f>
        <v/>
      </c>
      <c r="C78" s="44" t="str">
        <f aca="false">IF($Q78="","",INDEX(Holdings!$D$6:$D$205,$Q78)&amp;"")</f>
        <v/>
      </c>
      <c r="D78" s="44" t="str">
        <f aca="false">IF($Q78="","",INDEX(Holdings!$E$6:$E$205,$Q78)&amp;"")</f>
        <v/>
      </c>
      <c r="E78" s="44" t="str">
        <f aca="false">IF($Q78="","",INDEX(Holdings!$H$6:$H$205,$Q78)&amp;"")</f>
        <v/>
      </c>
      <c r="F78" s="56" t="str">
        <f aca="false">IF($Q78="","",IF(INDEX(Holdings!$J$6:$J$205,$Q78)="","",INDEX(Holdings!$J$6:$J$205,$Q78)))</f>
        <v/>
      </c>
      <c r="G78" s="37" t="str">
        <f aca="false">IF($Q78="","",IF(INDEX(Holdings!$M$6:$M$205,$Q78)="","",INDEX(Holdings!$M$6:$M$205,$Q78)/Divisor))</f>
        <v/>
      </c>
      <c r="H78" s="37" t="str">
        <f aca="false">IF($Q78="","",IF(INDEX(Holdings!$R$6:$R$205,$Q78)="","",INDEX(Holdings!$R$6:$R$205,$Q78)/Divisor))</f>
        <v/>
      </c>
      <c r="I78" s="38" t="str">
        <f aca="false">IF(OR($Q78="",N($H$85)=0),"",H78/$H$85)</f>
        <v/>
      </c>
      <c r="J78" s="37" t="str">
        <f aca="false">IF($Q78="","",IF(INDEX(Holdings!$S$6:$S$205,$Q78)="","",INDEX(Holdings!$S$6:$S$205,$Q78)/Divisor))</f>
        <v/>
      </c>
      <c r="K78" s="36" t="str">
        <f aca="false">IF($Q78="","",INDEX(Holdings!$AB$6:$AB$205,$Q78)&amp;"")</f>
        <v/>
      </c>
      <c r="L78" s="38" t="str">
        <f aca="false">IF($Q78="","",IF(K78="XIRR",INDEX(Holdings!$W$6:$W$205,$Q78),IF(K78="Absolute",IF(INDEX(Holdings!$T$6:$T$205,$Q78)="","",INDEX(Holdings!$T$6:$T$205,$Q78)),"")))</f>
        <v/>
      </c>
      <c r="M78" s="38" t="str">
        <f aca="false">IF($Q78="","",IF(K78="XIRR",IF(INDEX(Holdings!$Z$6:$Z$205,$Q78)="","",INDEX(Holdings!$Z$6:$Z$205,$Q78)),IF(K78="Absolute",IF(INDEX(Holdings!$Y$6:$Y$205,$Q78)="","",INDEX(Holdings!$Y$6:$Y$205,$Q78)),"")))</f>
        <v/>
      </c>
      <c r="N78" s="38" t="str">
        <f aca="false">IF(OR(L78="",M78=""),"",L78-M78)</f>
        <v/>
      </c>
      <c r="O78" s="44" t="str">
        <f aca="false">IF($Q78="","",INDEX(Holdings!$X$6:$X$205,$Q78)&amp;"")</f>
        <v/>
      </c>
      <c r="Q78" s="55" t="str">
        <f aca="false">IFERROR(MATCH($R$68&amp;"|"&amp;$S78,Holdings!$AL$6:$AL$205,0),"")</f>
        <v/>
      </c>
      <c r="S78" s="55" t="n">
        <v>9</v>
      </c>
    </row>
    <row r="79" customFormat="false" ht="15" hidden="false" customHeight="false" outlineLevel="0" collapsed="false">
      <c r="B79" s="44" t="str">
        <f aca="false">IF($Q79="","",INDEX(Holdings!$F$6:$F$205,$Q79)&amp;"")</f>
        <v/>
      </c>
      <c r="C79" s="44" t="str">
        <f aca="false">IF($Q79="","",INDEX(Holdings!$D$6:$D$205,$Q79)&amp;"")</f>
        <v/>
      </c>
      <c r="D79" s="44" t="str">
        <f aca="false">IF($Q79="","",INDEX(Holdings!$E$6:$E$205,$Q79)&amp;"")</f>
        <v/>
      </c>
      <c r="E79" s="44" t="str">
        <f aca="false">IF($Q79="","",INDEX(Holdings!$H$6:$H$205,$Q79)&amp;"")</f>
        <v/>
      </c>
      <c r="F79" s="56" t="str">
        <f aca="false">IF($Q79="","",IF(INDEX(Holdings!$J$6:$J$205,$Q79)="","",INDEX(Holdings!$J$6:$J$205,$Q79)))</f>
        <v/>
      </c>
      <c r="G79" s="37" t="str">
        <f aca="false">IF($Q79="","",IF(INDEX(Holdings!$M$6:$M$205,$Q79)="","",INDEX(Holdings!$M$6:$M$205,$Q79)/Divisor))</f>
        <v/>
      </c>
      <c r="H79" s="37" t="str">
        <f aca="false">IF($Q79="","",IF(INDEX(Holdings!$R$6:$R$205,$Q79)="","",INDEX(Holdings!$R$6:$R$205,$Q79)/Divisor))</f>
        <v/>
      </c>
      <c r="I79" s="38" t="str">
        <f aca="false">IF(OR($Q79="",N($H$85)=0),"",H79/$H$85)</f>
        <v/>
      </c>
      <c r="J79" s="37" t="str">
        <f aca="false">IF($Q79="","",IF(INDEX(Holdings!$S$6:$S$205,$Q79)="","",INDEX(Holdings!$S$6:$S$205,$Q79)/Divisor))</f>
        <v/>
      </c>
      <c r="K79" s="36" t="str">
        <f aca="false">IF($Q79="","",INDEX(Holdings!$AB$6:$AB$205,$Q79)&amp;"")</f>
        <v/>
      </c>
      <c r="L79" s="38" t="str">
        <f aca="false">IF($Q79="","",IF(K79="XIRR",INDEX(Holdings!$W$6:$W$205,$Q79),IF(K79="Absolute",IF(INDEX(Holdings!$T$6:$T$205,$Q79)="","",INDEX(Holdings!$T$6:$T$205,$Q79)),"")))</f>
        <v/>
      </c>
      <c r="M79" s="38" t="str">
        <f aca="false">IF($Q79="","",IF(K79="XIRR",IF(INDEX(Holdings!$Z$6:$Z$205,$Q79)="","",INDEX(Holdings!$Z$6:$Z$205,$Q79)),IF(K79="Absolute",IF(INDEX(Holdings!$Y$6:$Y$205,$Q79)="","",INDEX(Holdings!$Y$6:$Y$205,$Q79)),"")))</f>
        <v/>
      </c>
      <c r="N79" s="38" t="str">
        <f aca="false">IF(OR(L79="",M79=""),"",L79-M79)</f>
        <v/>
      </c>
      <c r="O79" s="44" t="str">
        <f aca="false">IF($Q79="","",INDEX(Holdings!$X$6:$X$205,$Q79)&amp;"")</f>
        <v/>
      </c>
      <c r="Q79" s="55" t="str">
        <f aca="false">IFERROR(MATCH($R$68&amp;"|"&amp;$S79,Holdings!$AL$6:$AL$205,0),"")</f>
        <v/>
      </c>
      <c r="S79" s="55" t="n">
        <v>10</v>
      </c>
    </row>
    <row r="80" customFormat="false" ht="15" hidden="false" customHeight="false" outlineLevel="0" collapsed="false">
      <c r="B80" s="44" t="str">
        <f aca="false">IF($Q80="","",INDEX(Holdings!$F$6:$F$205,$Q80)&amp;"")</f>
        <v/>
      </c>
      <c r="C80" s="44" t="str">
        <f aca="false">IF($Q80="","",INDEX(Holdings!$D$6:$D$205,$Q80)&amp;"")</f>
        <v/>
      </c>
      <c r="D80" s="44" t="str">
        <f aca="false">IF($Q80="","",INDEX(Holdings!$E$6:$E$205,$Q80)&amp;"")</f>
        <v/>
      </c>
      <c r="E80" s="44" t="str">
        <f aca="false">IF($Q80="","",INDEX(Holdings!$H$6:$H$205,$Q80)&amp;"")</f>
        <v/>
      </c>
      <c r="F80" s="56" t="str">
        <f aca="false">IF($Q80="","",IF(INDEX(Holdings!$J$6:$J$205,$Q80)="","",INDEX(Holdings!$J$6:$J$205,$Q80)))</f>
        <v/>
      </c>
      <c r="G80" s="37" t="str">
        <f aca="false">IF($Q80="","",IF(INDEX(Holdings!$M$6:$M$205,$Q80)="","",INDEX(Holdings!$M$6:$M$205,$Q80)/Divisor))</f>
        <v/>
      </c>
      <c r="H80" s="37" t="str">
        <f aca="false">IF($Q80="","",IF(INDEX(Holdings!$R$6:$R$205,$Q80)="","",INDEX(Holdings!$R$6:$R$205,$Q80)/Divisor))</f>
        <v/>
      </c>
      <c r="I80" s="38" t="str">
        <f aca="false">IF(OR($Q80="",N($H$85)=0),"",H80/$H$85)</f>
        <v/>
      </c>
      <c r="J80" s="37" t="str">
        <f aca="false">IF($Q80="","",IF(INDEX(Holdings!$S$6:$S$205,$Q80)="","",INDEX(Holdings!$S$6:$S$205,$Q80)/Divisor))</f>
        <v/>
      </c>
      <c r="K80" s="36" t="str">
        <f aca="false">IF($Q80="","",INDEX(Holdings!$AB$6:$AB$205,$Q80)&amp;"")</f>
        <v/>
      </c>
      <c r="L80" s="38" t="str">
        <f aca="false">IF($Q80="","",IF(K80="XIRR",INDEX(Holdings!$W$6:$W$205,$Q80),IF(K80="Absolute",IF(INDEX(Holdings!$T$6:$T$205,$Q80)="","",INDEX(Holdings!$T$6:$T$205,$Q80)),"")))</f>
        <v/>
      </c>
      <c r="M80" s="38" t="str">
        <f aca="false">IF($Q80="","",IF(K80="XIRR",IF(INDEX(Holdings!$Z$6:$Z$205,$Q80)="","",INDEX(Holdings!$Z$6:$Z$205,$Q80)),IF(K80="Absolute",IF(INDEX(Holdings!$Y$6:$Y$205,$Q80)="","",INDEX(Holdings!$Y$6:$Y$205,$Q80)),"")))</f>
        <v/>
      </c>
      <c r="N80" s="38" t="str">
        <f aca="false">IF(OR(L80="",M80=""),"",L80-M80)</f>
        <v/>
      </c>
      <c r="O80" s="44" t="str">
        <f aca="false">IF($Q80="","",INDEX(Holdings!$X$6:$X$205,$Q80)&amp;"")</f>
        <v/>
      </c>
      <c r="Q80" s="55" t="str">
        <f aca="false">IFERROR(MATCH($R$68&amp;"|"&amp;$S80,Holdings!$AL$6:$AL$205,0),"")</f>
        <v/>
      </c>
      <c r="S80" s="55" t="n">
        <v>11</v>
      </c>
    </row>
    <row r="81" customFormat="false" ht="15" hidden="false" customHeight="false" outlineLevel="0" collapsed="false">
      <c r="B81" s="44" t="str">
        <f aca="false">IF($Q81="","",INDEX(Holdings!$F$6:$F$205,$Q81)&amp;"")</f>
        <v/>
      </c>
      <c r="C81" s="44" t="str">
        <f aca="false">IF($Q81="","",INDEX(Holdings!$D$6:$D$205,$Q81)&amp;"")</f>
        <v/>
      </c>
      <c r="D81" s="44" t="str">
        <f aca="false">IF($Q81="","",INDEX(Holdings!$E$6:$E$205,$Q81)&amp;"")</f>
        <v/>
      </c>
      <c r="E81" s="44" t="str">
        <f aca="false">IF($Q81="","",INDEX(Holdings!$H$6:$H$205,$Q81)&amp;"")</f>
        <v/>
      </c>
      <c r="F81" s="56" t="str">
        <f aca="false">IF($Q81="","",IF(INDEX(Holdings!$J$6:$J$205,$Q81)="","",INDEX(Holdings!$J$6:$J$205,$Q81)))</f>
        <v/>
      </c>
      <c r="G81" s="37" t="str">
        <f aca="false">IF($Q81="","",IF(INDEX(Holdings!$M$6:$M$205,$Q81)="","",INDEX(Holdings!$M$6:$M$205,$Q81)/Divisor))</f>
        <v/>
      </c>
      <c r="H81" s="37" t="str">
        <f aca="false">IF($Q81="","",IF(INDEX(Holdings!$R$6:$R$205,$Q81)="","",INDEX(Holdings!$R$6:$R$205,$Q81)/Divisor))</f>
        <v/>
      </c>
      <c r="I81" s="38" t="str">
        <f aca="false">IF(OR($Q81="",N($H$85)=0),"",H81/$H$85)</f>
        <v/>
      </c>
      <c r="J81" s="37" t="str">
        <f aca="false">IF($Q81="","",IF(INDEX(Holdings!$S$6:$S$205,$Q81)="","",INDEX(Holdings!$S$6:$S$205,$Q81)/Divisor))</f>
        <v/>
      </c>
      <c r="K81" s="36" t="str">
        <f aca="false">IF($Q81="","",INDEX(Holdings!$AB$6:$AB$205,$Q81)&amp;"")</f>
        <v/>
      </c>
      <c r="L81" s="38" t="str">
        <f aca="false">IF($Q81="","",IF(K81="XIRR",INDEX(Holdings!$W$6:$W$205,$Q81),IF(K81="Absolute",IF(INDEX(Holdings!$T$6:$T$205,$Q81)="","",INDEX(Holdings!$T$6:$T$205,$Q81)),"")))</f>
        <v/>
      </c>
      <c r="M81" s="38" t="str">
        <f aca="false">IF($Q81="","",IF(K81="XIRR",IF(INDEX(Holdings!$Z$6:$Z$205,$Q81)="","",INDEX(Holdings!$Z$6:$Z$205,$Q81)),IF(K81="Absolute",IF(INDEX(Holdings!$Y$6:$Y$205,$Q81)="","",INDEX(Holdings!$Y$6:$Y$205,$Q81)),"")))</f>
        <v/>
      </c>
      <c r="N81" s="38" t="str">
        <f aca="false">IF(OR(L81="",M81=""),"",L81-M81)</f>
        <v/>
      </c>
      <c r="O81" s="44" t="str">
        <f aca="false">IF($Q81="","",INDEX(Holdings!$X$6:$X$205,$Q81)&amp;"")</f>
        <v/>
      </c>
      <c r="Q81" s="55" t="str">
        <f aca="false">IFERROR(MATCH($R$68&amp;"|"&amp;$S81,Holdings!$AL$6:$AL$205,0),"")</f>
        <v/>
      </c>
      <c r="S81" s="55" t="n">
        <v>12</v>
      </c>
    </row>
    <row r="82" customFormat="false" ht="15" hidden="false" customHeight="false" outlineLevel="0" collapsed="false">
      <c r="B82" s="44" t="str">
        <f aca="false">IF($Q82="","",INDEX(Holdings!$F$6:$F$205,$Q82)&amp;"")</f>
        <v/>
      </c>
      <c r="C82" s="44" t="str">
        <f aca="false">IF($Q82="","",INDEX(Holdings!$D$6:$D$205,$Q82)&amp;"")</f>
        <v/>
      </c>
      <c r="D82" s="44" t="str">
        <f aca="false">IF($Q82="","",INDEX(Holdings!$E$6:$E$205,$Q82)&amp;"")</f>
        <v/>
      </c>
      <c r="E82" s="44" t="str">
        <f aca="false">IF($Q82="","",INDEX(Holdings!$H$6:$H$205,$Q82)&amp;"")</f>
        <v/>
      </c>
      <c r="F82" s="56" t="str">
        <f aca="false">IF($Q82="","",IF(INDEX(Holdings!$J$6:$J$205,$Q82)="","",INDEX(Holdings!$J$6:$J$205,$Q82)))</f>
        <v/>
      </c>
      <c r="G82" s="37" t="str">
        <f aca="false">IF($Q82="","",IF(INDEX(Holdings!$M$6:$M$205,$Q82)="","",INDEX(Holdings!$M$6:$M$205,$Q82)/Divisor))</f>
        <v/>
      </c>
      <c r="H82" s="37" t="str">
        <f aca="false">IF($Q82="","",IF(INDEX(Holdings!$R$6:$R$205,$Q82)="","",INDEX(Holdings!$R$6:$R$205,$Q82)/Divisor))</f>
        <v/>
      </c>
      <c r="I82" s="38" t="str">
        <f aca="false">IF(OR($Q82="",N($H$85)=0),"",H82/$H$85)</f>
        <v/>
      </c>
      <c r="J82" s="37" t="str">
        <f aca="false">IF($Q82="","",IF(INDEX(Holdings!$S$6:$S$205,$Q82)="","",INDEX(Holdings!$S$6:$S$205,$Q82)/Divisor))</f>
        <v/>
      </c>
      <c r="K82" s="36" t="str">
        <f aca="false">IF($Q82="","",INDEX(Holdings!$AB$6:$AB$205,$Q82)&amp;"")</f>
        <v/>
      </c>
      <c r="L82" s="38" t="str">
        <f aca="false">IF($Q82="","",IF(K82="XIRR",INDEX(Holdings!$W$6:$W$205,$Q82),IF(K82="Absolute",IF(INDEX(Holdings!$T$6:$T$205,$Q82)="","",INDEX(Holdings!$T$6:$T$205,$Q82)),"")))</f>
        <v/>
      </c>
      <c r="M82" s="38" t="str">
        <f aca="false">IF($Q82="","",IF(K82="XIRR",IF(INDEX(Holdings!$Z$6:$Z$205,$Q82)="","",INDEX(Holdings!$Z$6:$Z$205,$Q82)),IF(K82="Absolute",IF(INDEX(Holdings!$Y$6:$Y$205,$Q82)="","",INDEX(Holdings!$Y$6:$Y$205,$Q82)),"")))</f>
        <v/>
      </c>
      <c r="N82" s="38" t="str">
        <f aca="false">IF(OR(L82="",M82=""),"",L82-M82)</f>
        <v/>
      </c>
      <c r="O82" s="44" t="str">
        <f aca="false">IF($Q82="","",INDEX(Holdings!$X$6:$X$205,$Q82)&amp;"")</f>
        <v/>
      </c>
      <c r="Q82" s="55" t="str">
        <f aca="false">IFERROR(MATCH($R$68&amp;"|"&amp;$S82,Holdings!$AL$6:$AL$205,0),"")</f>
        <v/>
      </c>
      <c r="S82" s="55" t="n">
        <v>13</v>
      </c>
    </row>
    <row r="83" customFormat="false" ht="15" hidden="false" customHeight="false" outlineLevel="0" collapsed="false">
      <c r="B83" s="44" t="str">
        <f aca="false">IF($Q83="","",INDEX(Holdings!$F$6:$F$205,$Q83)&amp;"")</f>
        <v/>
      </c>
      <c r="C83" s="44" t="str">
        <f aca="false">IF($Q83="","",INDEX(Holdings!$D$6:$D$205,$Q83)&amp;"")</f>
        <v/>
      </c>
      <c r="D83" s="44" t="str">
        <f aca="false">IF($Q83="","",INDEX(Holdings!$E$6:$E$205,$Q83)&amp;"")</f>
        <v/>
      </c>
      <c r="E83" s="44" t="str">
        <f aca="false">IF($Q83="","",INDEX(Holdings!$H$6:$H$205,$Q83)&amp;"")</f>
        <v/>
      </c>
      <c r="F83" s="56" t="str">
        <f aca="false">IF($Q83="","",IF(INDEX(Holdings!$J$6:$J$205,$Q83)="","",INDEX(Holdings!$J$6:$J$205,$Q83)))</f>
        <v/>
      </c>
      <c r="G83" s="37" t="str">
        <f aca="false">IF($Q83="","",IF(INDEX(Holdings!$M$6:$M$205,$Q83)="","",INDEX(Holdings!$M$6:$M$205,$Q83)/Divisor))</f>
        <v/>
      </c>
      <c r="H83" s="37" t="str">
        <f aca="false">IF($Q83="","",IF(INDEX(Holdings!$R$6:$R$205,$Q83)="","",INDEX(Holdings!$R$6:$R$205,$Q83)/Divisor))</f>
        <v/>
      </c>
      <c r="I83" s="38" t="str">
        <f aca="false">IF(OR($Q83="",N($H$85)=0),"",H83/$H$85)</f>
        <v/>
      </c>
      <c r="J83" s="37" t="str">
        <f aca="false">IF($Q83="","",IF(INDEX(Holdings!$S$6:$S$205,$Q83)="","",INDEX(Holdings!$S$6:$S$205,$Q83)/Divisor))</f>
        <v/>
      </c>
      <c r="K83" s="36" t="str">
        <f aca="false">IF($Q83="","",INDEX(Holdings!$AB$6:$AB$205,$Q83)&amp;"")</f>
        <v/>
      </c>
      <c r="L83" s="38" t="str">
        <f aca="false">IF($Q83="","",IF(K83="XIRR",INDEX(Holdings!$W$6:$W$205,$Q83),IF(K83="Absolute",IF(INDEX(Holdings!$T$6:$T$205,$Q83)="","",INDEX(Holdings!$T$6:$T$205,$Q83)),"")))</f>
        <v/>
      </c>
      <c r="M83" s="38" t="str">
        <f aca="false">IF($Q83="","",IF(K83="XIRR",IF(INDEX(Holdings!$Z$6:$Z$205,$Q83)="","",INDEX(Holdings!$Z$6:$Z$205,$Q83)),IF(K83="Absolute",IF(INDEX(Holdings!$Y$6:$Y$205,$Q83)="","",INDEX(Holdings!$Y$6:$Y$205,$Q83)),"")))</f>
        <v/>
      </c>
      <c r="N83" s="38" t="str">
        <f aca="false">IF(OR(L83="",M83=""),"",L83-M83)</f>
        <v/>
      </c>
      <c r="O83" s="44" t="str">
        <f aca="false">IF($Q83="","",INDEX(Holdings!$X$6:$X$205,$Q83)&amp;"")</f>
        <v/>
      </c>
      <c r="Q83" s="55" t="str">
        <f aca="false">IFERROR(MATCH($R$68&amp;"|"&amp;$S83,Holdings!$AL$6:$AL$205,0),"")</f>
        <v/>
      </c>
      <c r="S83" s="55" t="n">
        <v>14</v>
      </c>
    </row>
    <row r="84" customFormat="false" ht="15" hidden="false" customHeight="false" outlineLevel="0" collapsed="false">
      <c r="B84" s="44" t="str">
        <f aca="false">IF($Q84="","",INDEX(Holdings!$F$6:$F$205,$Q84)&amp;"")</f>
        <v/>
      </c>
      <c r="C84" s="44" t="str">
        <f aca="false">IF($Q84="","",INDEX(Holdings!$D$6:$D$205,$Q84)&amp;"")</f>
        <v/>
      </c>
      <c r="D84" s="44" t="str">
        <f aca="false">IF($Q84="","",INDEX(Holdings!$E$6:$E$205,$Q84)&amp;"")</f>
        <v/>
      </c>
      <c r="E84" s="44" t="str">
        <f aca="false">IF($Q84="","",INDEX(Holdings!$H$6:$H$205,$Q84)&amp;"")</f>
        <v/>
      </c>
      <c r="F84" s="56" t="str">
        <f aca="false">IF($Q84="","",IF(INDEX(Holdings!$J$6:$J$205,$Q84)="","",INDEX(Holdings!$J$6:$J$205,$Q84)))</f>
        <v/>
      </c>
      <c r="G84" s="37" t="str">
        <f aca="false">IF($Q84="","",IF(INDEX(Holdings!$M$6:$M$205,$Q84)="","",INDEX(Holdings!$M$6:$M$205,$Q84)/Divisor))</f>
        <v/>
      </c>
      <c r="H84" s="37" t="str">
        <f aca="false">IF($Q84="","",IF(INDEX(Holdings!$R$6:$R$205,$Q84)="","",INDEX(Holdings!$R$6:$R$205,$Q84)/Divisor))</f>
        <v/>
      </c>
      <c r="I84" s="38" t="str">
        <f aca="false">IF(OR($Q84="",N($H$85)=0),"",H84/$H$85)</f>
        <v/>
      </c>
      <c r="J84" s="37" t="str">
        <f aca="false">IF($Q84="","",IF(INDEX(Holdings!$S$6:$S$205,$Q84)="","",INDEX(Holdings!$S$6:$S$205,$Q84)/Divisor))</f>
        <v/>
      </c>
      <c r="K84" s="36" t="str">
        <f aca="false">IF($Q84="","",INDEX(Holdings!$AB$6:$AB$205,$Q84)&amp;"")</f>
        <v/>
      </c>
      <c r="L84" s="38" t="str">
        <f aca="false">IF($Q84="","",IF(K84="XIRR",INDEX(Holdings!$W$6:$W$205,$Q84),IF(K84="Absolute",IF(INDEX(Holdings!$T$6:$T$205,$Q84)="","",INDEX(Holdings!$T$6:$T$205,$Q84)),"")))</f>
        <v/>
      </c>
      <c r="M84" s="38" t="str">
        <f aca="false">IF($Q84="","",IF(K84="XIRR",IF(INDEX(Holdings!$Z$6:$Z$205,$Q84)="","",INDEX(Holdings!$Z$6:$Z$205,$Q84)),IF(K84="Absolute",IF(INDEX(Holdings!$Y$6:$Y$205,$Q84)="","",INDEX(Holdings!$Y$6:$Y$205,$Q84)),"")))</f>
        <v/>
      </c>
      <c r="N84" s="38" t="str">
        <f aca="false">IF(OR(L84="",M84=""),"",L84-M84)</f>
        <v/>
      </c>
      <c r="O84" s="44" t="str">
        <f aca="false">IF($Q84="","",INDEX(Holdings!$X$6:$X$205,$Q84)&amp;"")</f>
        <v/>
      </c>
      <c r="Q84" s="55" t="str">
        <f aca="false">IFERROR(MATCH($R$68&amp;"|"&amp;$S84,Holdings!$AL$6:$AL$205,0),"")</f>
        <v/>
      </c>
      <c r="S84" s="55" t="n">
        <v>15</v>
      </c>
    </row>
    <row r="85" customFormat="false" ht="15" hidden="false" customHeight="false" outlineLevel="0" collapsed="false">
      <c r="B85" s="39" t="str">
        <f aca="false">"Total — "&amp;Lists!$L$9</f>
        <v>Total — Thematic &amp; Tactical</v>
      </c>
      <c r="C85" s="43"/>
      <c r="D85" s="43"/>
      <c r="E85" s="43"/>
      <c r="F85" s="43"/>
      <c r="G85" s="41" t="n">
        <f aca="false">SUMIFS(Holdings!$M$6:$M$205,Holdings!$I$6:$I$205,$R$68)/Divisor</f>
        <v>22.62113</v>
      </c>
      <c r="H85" s="41" t="n">
        <f aca="false">SUMIFS(Holdings!$R$6:$R$205,Holdings!$I$6:$I$205,$R$68)/Divisor</f>
        <v>31.2443748716962</v>
      </c>
      <c r="I85" s="42" t="n">
        <f aca="false">IF(N(H85)=0,"",SUM(I70:I84))</f>
        <v>1</v>
      </c>
      <c r="J85" s="41" t="n">
        <f aca="false">SUMIFS(Holdings!$S$6:$S$205,Holdings!$I$6:$I$205,$R$68)/Divisor</f>
        <v>8.6232448716962</v>
      </c>
      <c r="K85" s="40" t="str">
        <f aca="false">IF(SUMIFS(Holdings!$AN$6:$AN$205,Holdings!$I$6:$I$205,$R$68)&gt;0,"XIRR",IF(N(G85)&gt;0,"Absolute",""))</f>
        <v>XIRR</v>
      </c>
      <c r="L85" s="42" t="n">
        <f aca="false">IF(K85="XIRR",IF(SUMIFS(Holdings!$AN$6:$AN$205,Holdings!$I$6:$I$205,$R$68)=0,"",SUMIFS(Holdings!$AM$6:$AM$205,Holdings!$I$6:$I$205,$R$68)/SUMIFS(Holdings!$AN$6:$AN$205,Holdings!$I$6:$I$205,$R$68)),IF(K85="Absolute",J85/G85,""))</f>
        <v>0.150636691517335</v>
      </c>
      <c r="M85" s="42" t="n">
        <f aca="false">IF(K85="XIRR",IF(SUMIFS(Holdings!$AN$6:$AN$205,Holdings!$I$6:$I$205,$R$68)=0,"",SUMIFS(Holdings!$AO$6:$AO$205,Holdings!$I$6:$I$205,$R$68)/SUMIFS(Holdings!$AN$6:$AN$205,Holdings!$I$6:$I$205,$R$68)),IF(K85="Absolute",IF(SUMIFS(Holdings!$AQ$6:$AQ$205,Holdings!$I$6:$I$205,$R$68)=0,"",SUMIFS(Holdings!$AP$6:$AP$205,Holdings!$I$6:$I$205,$R$68)/SUMIFS(Holdings!$AQ$6:$AQ$205,Holdings!$I$6:$I$205,$R$68)),""))</f>
        <v>0.141959303303398</v>
      </c>
      <c r="N85" s="42" t="n">
        <f aca="false">IF(OR(L85="",M85=""),"",L85-M85)</f>
        <v>0.00867738821393732</v>
      </c>
      <c r="O85" s="43"/>
    </row>
    <row r="86" customFormat="false" ht="15" hidden="false" customHeight="false" outlineLevel="0" collapsed="false">
      <c r="B86" s="49" t="str">
        <f aca="false">IF(SUMPRODUCT((Holdings!$I$6:$I$205=$R$68)*ISNUMBER(Holdings!$R$6:$R$205))&gt;15,SUMPRODUCT((Holdings!$I$6:$I$205=$R$68)*ISNUMBER(Holdings!$R$6:$R$205))-15&amp;" more holding(s) in this basket are not listed; the total includes them.",IF(SUMPRODUCT((Holdings!$I$6:$I$205=$R$68)*ISNUMBER(Holdings!$R$6:$R$205))=0,"Nothing is held in this basket.",""))</f>
        <v/>
      </c>
    </row>
    <row r="88" customFormat="false" ht="15" hidden="false" customHeight="false" outlineLevel="0" collapsed="false">
      <c r="B88" s="57" t="s">
        <v>138</v>
      </c>
      <c r="C88" s="7" t="s">
        <v>139</v>
      </c>
    </row>
    <row r="89" customFormat="false" ht="15" hidden="false" customHeight="false" outlineLevel="0" collapsed="false">
      <c r="C89" s="7" t="s">
        <v>140</v>
      </c>
    </row>
  </sheetData>
  <mergeCells count="4">
    <mergeCell ref="B5:O5"/>
    <mergeCell ref="B26:O26"/>
    <mergeCell ref="B47:O47"/>
    <mergeCell ref="B68:O68"/>
  </mergeCells>
  <conditionalFormatting sqref="B7:O21">
    <cfRule type="expression" priority="2" aboveAverage="0" equalAverage="0" bottom="0" percent="0" rank="0" text="" dxfId="5">
      <formula>$K7="Absolute"</formula>
    </cfRule>
  </conditionalFormatting>
  <conditionalFormatting sqref="B28:O42">
    <cfRule type="expression" priority="3" aboveAverage="0" equalAverage="0" bottom="0" percent="0" rank="0" text="" dxfId="5">
      <formula>$K28="Absolute"</formula>
    </cfRule>
  </conditionalFormatting>
  <conditionalFormatting sqref="B49:O63">
    <cfRule type="expression" priority="4" aboveAverage="0" equalAverage="0" bottom="0" percent="0" rank="0" text="" dxfId="5">
      <formula>$K49="Absolute"</formula>
    </cfRule>
  </conditionalFormatting>
  <conditionalFormatting sqref="B70:O84">
    <cfRule type="expression" priority="5" aboveAverage="0" equalAverage="0" bottom="0" percent="0" rank="0" text="" dxfId="5">
      <formula>$K70="Absolute"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5" man="true" max="16383" min="0"/>
    <brk id="46" man="true" max="16383" min="0"/>
    <brk id="67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8"/>
    <col collapsed="false" customWidth="true" hidden="false" outlineLevel="0" max="19" min="19" style="0" width="1.7"/>
    <col collapsed="false" customWidth="true" hidden="false" outlineLevel="0" max="20" min="20" style="0" width="12"/>
    <col collapsed="false" customWidth="true" hidden="false" outlineLevel="0" max="21" min="21" style="0" width="10"/>
  </cols>
  <sheetData>
    <row r="1" customFormat="false" ht="21.75" hidden="false" customHeight="true" outlineLevel="0" collapsed="false">
      <c r="A1" s="28" t="str">
        <f aca="false">"Investor Summary — "&amp;ClientName</f>
        <v>Investor Summary — Malhotra Family Office (DEMO)</v>
      </c>
      <c r="U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market values as at "&amp;TEXT(ValDate,"dd-mmm-yyyy")&amp;" · each entity's column: its value by category and the share of its own portfolio"</f>
        <v>Figures in ₹ Crore · market values as at 30-Jun-2026 · each entity's column: its value by category and the share of its own portfolio</v>
      </c>
    </row>
    <row r="3" customFormat="false" ht="15" hidden="false" customHeight="false" outlineLevel="0" collapsed="false">
      <c r="A3" s="3" t="s">
        <v>2</v>
      </c>
    </row>
    <row r="5" customFormat="false" ht="15" hidden="true" customHeight="false" outlineLevel="0" collapsed="false">
      <c r="C5" s="55" t="str">
        <f aca="true">IFERROR(INDEX(L_EntityID,1),"")</f>
        <v>E01</v>
      </c>
      <c r="E5" s="55" t="str">
        <f aca="true">IFERROR(INDEX(L_EntityID,2),"")</f>
        <v>E02</v>
      </c>
      <c r="G5" s="55" t="str">
        <f aca="true">IFERROR(INDEX(L_EntityID,3),"")</f>
        <v>E03</v>
      </c>
      <c r="I5" s="55" t="str">
        <f aca="true">IFERROR(INDEX(L_EntityID,4),"")</f>
        <v>E04</v>
      </c>
      <c r="K5" s="55" t="str">
        <f aca="true">IFERROR(INDEX(L_EntityID,5),"")</f>
        <v>E05</v>
      </c>
      <c r="M5" s="55" t="str">
        <f aca="true">IFERROR(INDEX(L_EntityID,6),"")</f>
        <v/>
      </c>
      <c r="O5" s="55" t="str">
        <f aca="true">IFERROR(INDEX(L_EntityID,7),"")</f>
        <v/>
      </c>
      <c r="Q5" s="55" t="str">
        <f aca="true">IFERROR(INDEX(L_EntityID,8),"")</f>
        <v/>
      </c>
    </row>
    <row r="6" customFormat="false" ht="24" hidden="false" customHeight="true" outlineLevel="0" collapsed="false">
      <c r="B6" s="23" t="s">
        <v>78</v>
      </c>
      <c r="C6" s="23" t="str">
        <f aca="false">IF(C$5="","",IFERROR(INDEX(Entities!$C$6:$C$25,MATCH(C$5,Entities!$A$6:$A$25,0))&amp;"",C$5))</f>
        <v>Rajiv</v>
      </c>
      <c r="D6" s="23"/>
      <c r="E6" s="23" t="str">
        <f aca="false">IF(E$5="","",IFERROR(INDEX(Entities!$C$6:$C$25,MATCH(E$5,Entities!$A$6:$A$25,0))&amp;"",E$5))</f>
        <v>Nisha</v>
      </c>
      <c r="F6" s="23"/>
      <c r="G6" s="23" t="str">
        <f aca="false">IF(G$5="","",IFERROR(INDEX(Entities!$C$6:$C$25,MATCH(G$5,Entities!$A$6:$A$25,0))&amp;"",G$5))</f>
        <v>Arjun</v>
      </c>
      <c r="H6" s="23"/>
      <c r="I6" s="23" t="str">
        <f aca="false">IF(I$5="","",IFERROR(INDEX(Entities!$C$6:$C$25,MATCH(I$5,Entities!$A$6:$A$25,0))&amp;"",I$5))</f>
        <v>Family Trust</v>
      </c>
      <c r="J6" s="23"/>
      <c r="K6" s="23" t="str">
        <f aca="false">IF(K$5="","",IFERROR(INDEX(Entities!$C$6:$C$25,MATCH(K$5,Entities!$A$6:$A$25,0))&amp;"",K$5))</f>
        <v>Holdings LLP</v>
      </c>
      <c r="L6" s="23"/>
      <c r="M6" s="23" t="str">
        <f aca="false">IF(M$5="","",IFERROR(INDEX(Entities!$C$6:$C$25,MATCH(M$5,Entities!$A$6:$A$25,0))&amp;"",M$5))</f>
        <v/>
      </c>
      <c r="N6" s="23"/>
      <c r="O6" s="23" t="str">
        <f aca="false">IF(O$5="","",IFERROR(INDEX(Entities!$C$6:$C$25,MATCH(O$5,Entities!$A$6:$A$25,0))&amp;"",O$5))</f>
        <v/>
      </c>
      <c r="P6" s="23"/>
      <c r="Q6" s="23" t="str">
        <f aca="false">IF(Q$5="","",IFERROR(INDEX(Entities!$C$6:$C$25,MATCH(Q$5,Entities!$A$6:$A$25,0))&amp;"",Q$5))</f>
        <v/>
      </c>
      <c r="R6" s="23"/>
      <c r="T6" s="23" t="s">
        <v>141</v>
      </c>
      <c r="U6" s="23"/>
    </row>
    <row r="7" customFormat="false" ht="24" hidden="false" customHeight="true" outlineLevel="0" collapsed="false">
      <c r="B7" s="23"/>
      <c r="C7" s="23" t="s">
        <v>142</v>
      </c>
      <c r="D7" s="23" t="s">
        <v>143</v>
      </c>
      <c r="E7" s="23" t="s">
        <v>142</v>
      </c>
      <c r="F7" s="23" t="s">
        <v>143</v>
      </c>
      <c r="G7" s="23" t="s">
        <v>142</v>
      </c>
      <c r="H7" s="23" t="s">
        <v>143</v>
      </c>
      <c r="I7" s="23" t="s">
        <v>142</v>
      </c>
      <c r="J7" s="23" t="s">
        <v>143</v>
      </c>
      <c r="K7" s="23" t="s">
        <v>142</v>
      </c>
      <c r="L7" s="23" t="s">
        <v>143</v>
      </c>
      <c r="M7" s="23" t="s">
        <v>142</v>
      </c>
      <c r="N7" s="23" t="s">
        <v>143</v>
      </c>
      <c r="O7" s="23" t="s">
        <v>142</v>
      </c>
      <c r="P7" s="23" t="s">
        <v>143</v>
      </c>
      <c r="Q7" s="23" t="s">
        <v>142</v>
      </c>
      <c r="R7" s="23" t="s">
        <v>143</v>
      </c>
      <c r="T7" s="23" t="s">
        <v>142</v>
      </c>
      <c r="U7" s="23" t="s">
        <v>144</v>
      </c>
    </row>
    <row r="8" customFormat="false" ht="15" hidden="false" customHeight="false" outlineLevel="0" collapsed="false">
      <c r="B8" s="30" t="str">
        <f aca="false">Lists!$A$6</f>
        <v>Equity</v>
      </c>
      <c r="C8" s="32" t="n">
        <f aca="false">IF(C$5="","",SUMIFS(Holdings!$R$6:$R$205,Holdings!$AK$6:$AK$205,C$5,Holdings!$G$6:$G$205,$B8)/Divisor)</f>
        <v>36.5834</v>
      </c>
      <c r="D8" s="33" t="n">
        <f aca="false">IF(OR(C$5="",N(C$32)=0),"",C8/C$32)</f>
        <v>0.936034224248658</v>
      </c>
      <c r="E8" s="32" t="n">
        <f aca="false">IF(E$5="","",SUMIFS(Holdings!$R$6:$R$205,Holdings!$AK$6:$AK$205,E$5,Holdings!$G$6:$G$205,$B8)/Divisor)</f>
        <v>27.1285398716962</v>
      </c>
      <c r="F8" s="33" t="n">
        <f aca="false">IF(OR(E$5="",N(E$32)=0),"",E8/E$32)</f>
        <v>0.89948441772751</v>
      </c>
      <c r="G8" s="32" t="n">
        <f aca="false">IF(G$5="","",SUMIFS(Holdings!$R$6:$R$205,Holdings!$AK$6:$AK$205,G$5,Holdings!$G$6:$G$205,$B8)/Divisor)</f>
        <v>20.6422</v>
      </c>
      <c r="H8" s="33" t="n">
        <f aca="false">IF(OR(G$5="",N(G$32)=0),"",G8/G$32)</f>
        <v>0.754001616170442</v>
      </c>
      <c r="I8" s="32" t="n">
        <f aca="false">IF(I$5="","",SUMIFS(Holdings!$R$6:$R$205,Holdings!$AK$6:$AK$205,I$5,Holdings!$G$6:$G$205,$B8)/Divisor)</f>
        <v>0</v>
      </c>
      <c r="J8" s="33" t="n">
        <f aca="false">IF(OR(I$5="",N(I$32)=0),"",I8/I$32)</f>
        <v>0</v>
      </c>
      <c r="K8" s="32" t="n">
        <f aca="false">IF(K$5="","",SUMIFS(Holdings!$R$6:$R$205,Holdings!$AK$6:$AK$205,K$5,Holdings!$G$6:$G$205,$B8)/Divisor)</f>
        <v>0</v>
      </c>
      <c r="L8" s="33" t="n">
        <f aca="false">IF(OR(K$5="",N(K$32)=0),"",K8/K$32)</f>
        <v>0</v>
      </c>
      <c r="M8" s="32" t="str">
        <f aca="false">IF(M$5="","",SUMIFS(Holdings!$R$6:$R$205,Holdings!$AK$6:$AK$205,M$5,Holdings!$G$6:$G$205,$B8)/Divisor)</f>
        <v/>
      </c>
      <c r="N8" s="33" t="str">
        <f aca="false">IF(OR(M$5="",N(M$32)=0),"",M8/M$32)</f>
        <v/>
      </c>
      <c r="O8" s="32" t="str">
        <f aca="false">IF(O$5="","",SUMIFS(Holdings!$R$6:$R$205,Holdings!$AK$6:$AK$205,O$5,Holdings!$G$6:$G$205,$B8)/Divisor)</f>
        <v/>
      </c>
      <c r="P8" s="33" t="str">
        <f aca="false">IF(OR(O$5="",N(O$32)=0),"",O8/O$32)</f>
        <v/>
      </c>
      <c r="Q8" s="32" t="str">
        <f aca="false">IF(Q$5="","",SUMIFS(Holdings!$R$6:$R$205,Holdings!$AK$6:$AK$205,Q$5,Holdings!$G$6:$G$205,$B8)/Divisor)</f>
        <v/>
      </c>
      <c r="R8" s="33" t="str">
        <f aca="false">IF(OR(Q$5="",N(Q$32)=0),"",Q8/Q$32)</f>
        <v/>
      </c>
      <c r="S8" s="34"/>
      <c r="T8" s="32" t="n">
        <f aca="false">SUMIFS(Holdings!$R$6:$R$205,Holdings!$G$6:$G$205,$B8)/Divisor</f>
        <v>84.3541398716962</v>
      </c>
      <c r="U8" s="33" t="n">
        <f aca="false">IF(N($T$32)=0,"",T8/$T$32)</f>
        <v>0.609167183034568</v>
      </c>
    </row>
    <row r="9" customFormat="false" ht="15" hidden="false" customHeight="false" outlineLevel="0" collapsed="false">
      <c r="B9" s="35" t="str">
        <f aca="false">Lists!$D$6</f>
        <v>Direct Equity</v>
      </c>
      <c r="C9" s="37" t="n">
        <f aca="false">IF(C$5="","",SUMIFS(Holdings!$R$6:$R$205,Holdings!$AK$6:$AK$205,C$5,Holdings!$H$6:$H$205,$B9)/Divisor)</f>
        <v>18.4594</v>
      </c>
      <c r="D9" s="38" t="n">
        <f aca="false">IF(OR(C$5="",N(C$32)=0),"",C9/C$32)</f>
        <v>0.472307936361729</v>
      </c>
      <c r="E9" s="37" t="n">
        <f aca="false">IF(E$5="","",SUMIFS(Holdings!$R$6:$R$205,Holdings!$AK$6:$AK$205,E$5,Holdings!$H$6:$H$205,$B9)/Divisor)</f>
        <v>7.577145</v>
      </c>
      <c r="F9" s="38" t="n">
        <f aca="false">IF(OR(E$5="",N(E$32)=0),"",E9/E$32)</f>
        <v>0.251230766218741</v>
      </c>
      <c r="G9" s="37" t="n">
        <f aca="false">IF(G$5="","",SUMIFS(Holdings!$R$6:$R$205,Holdings!$AK$6:$AK$205,G$5,Holdings!$H$6:$H$205,$B9)/Divisor)</f>
        <v>0</v>
      </c>
      <c r="H9" s="38" t="n">
        <f aca="false">IF(OR(G$5="",N(G$32)=0),"",G9/G$32)</f>
        <v>0</v>
      </c>
      <c r="I9" s="37" t="n">
        <f aca="false">IF(I$5="","",SUMIFS(Holdings!$R$6:$R$205,Holdings!$AK$6:$AK$205,I$5,Holdings!$H$6:$H$205,$B9)/Divisor)</f>
        <v>0</v>
      </c>
      <c r="J9" s="38" t="n">
        <f aca="false">IF(OR(I$5="",N(I$32)=0),"",I9/I$32)</f>
        <v>0</v>
      </c>
      <c r="K9" s="37" t="n">
        <f aca="false">IF(K$5="","",SUMIFS(Holdings!$R$6:$R$205,Holdings!$AK$6:$AK$205,K$5,Holdings!$H$6:$H$205,$B9)/Divisor)</f>
        <v>0</v>
      </c>
      <c r="L9" s="38" t="n">
        <f aca="false">IF(OR(K$5="",N(K$32)=0),"",K9/K$32)</f>
        <v>0</v>
      </c>
      <c r="M9" s="37" t="str">
        <f aca="false">IF(M$5="","",SUMIFS(Holdings!$R$6:$R$205,Holdings!$AK$6:$AK$205,M$5,Holdings!$H$6:$H$205,$B9)/Divisor)</f>
        <v/>
      </c>
      <c r="N9" s="38" t="str">
        <f aca="false">IF(OR(M$5="",N(M$32)=0),"",M9/M$32)</f>
        <v/>
      </c>
      <c r="O9" s="37" t="str">
        <f aca="false">IF(O$5="","",SUMIFS(Holdings!$R$6:$R$205,Holdings!$AK$6:$AK$205,O$5,Holdings!$H$6:$H$205,$B9)/Divisor)</f>
        <v/>
      </c>
      <c r="P9" s="38" t="str">
        <f aca="false">IF(OR(O$5="",N(O$32)=0),"",O9/O$32)</f>
        <v/>
      </c>
      <c r="Q9" s="37" t="str">
        <f aca="false">IF(Q$5="","",SUMIFS(Holdings!$R$6:$R$205,Holdings!$AK$6:$AK$205,Q$5,Holdings!$H$6:$H$205,$B9)/Divisor)</f>
        <v/>
      </c>
      <c r="R9" s="38" t="str">
        <f aca="false">IF(OR(Q$5="",N(Q$32)=0),"",Q9/Q$32)</f>
        <v/>
      </c>
      <c r="T9" s="37" t="n">
        <f aca="false">SUMIFS(Holdings!$R$6:$R$205,Holdings!$H$6:$H$205,$B9)/Divisor</f>
        <v>26.036545</v>
      </c>
      <c r="U9" s="38" t="n">
        <f aca="false">IF(N($T$32)=0,"",T9/$T$32)</f>
        <v>0.188024070872241</v>
      </c>
    </row>
    <row r="10" customFormat="false" ht="15" hidden="false" customHeight="false" outlineLevel="0" collapsed="false">
      <c r="B10" s="35" t="str">
        <f aca="false">Lists!$D$7</f>
        <v>Equity MF – Large / Flexi / Multi Cap</v>
      </c>
      <c r="C10" s="37" t="n">
        <f aca="false">IF(C$5="","",SUMIFS(Holdings!$R$6:$R$205,Holdings!$AK$6:$AK$205,C$5,Holdings!$H$6:$H$205,$B10)/Divisor)</f>
        <v>0</v>
      </c>
      <c r="D10" s="38" t="n">
        <f aca="false">IF(OR(C$5="",N(C$32)=0),"",C10/C$32)</f>
        <v>0</v>
      </c>
      <c r="E10" s="37" t="n">
        <f aca="false">IF(E$5="","",SUMIFS(Holdings!$R$6:$R$205,Holdings!$AK$6:$AK$205,E$5,Holdings!$H$6:$H$205,$B10)/Divisor)</f>
        <v>9.64312</v>
      </c>
      <c r="F10" s="38" t="n">
        <f aca="false">IF(OR(E$5="",N(E$32)=0),"",E10/E$32)</f>
        <v>0.319731036734716</v>
      </c>
      <c r="G10" s="37" t="n">
        <f aca="false">IF(G$5="","",SUMIFS(Holdings!$R$6:$R$205,Holdings!$AK$6:$AK$205,G$5,Holdings!$H$6:$H$205,$B10)/Divisor)</f>
        <v>0</v>
      </c>
      <c r="H10" s="38" t="n">
        <f aca="false">IF(OR(G$5="",N(G$32)=0),"",G10/G$32)</f>
        <v>0</v>
      </c>
      <c r="I10" s="37" t="n">
        <f aca="false">IF(I$5="","",SUMIFS(Holdings!$R$6:$R$205,Holdings!$AK$6:$AK$205,I$5,Holdings!$H$6:$H$205,$B10)/Divisor)</f>
        <v>0</v>
      </c>
      <c r="J10" s="38" t="n">
        <f aca="false">IF(OR(I$5="",N(I$32)=0),"",I10/I$32)</f>
        <v>0</v>
      </c>
      <c r="K10" s="37" t="n">
        <f aca="false">IF(K$5="","",SUMIFS(Holdings!$R$6:$R$205,Holdings!$AK$6:$AK$205,K$5,Holdings!$H$6:$H$205,$B10)/Divisor)</f>
        <v>0</v>
      </c>
      <c r="L10" s="38" t="n">
        <f aca="false">IF(OR(K$5="",N(K$32)=0),"",K10/K$32)</f>
        <v>0</v>
      </c>
      <c r="M10" s="37" t="str">
        <f aca="false">IF(M$5="","",SUMIFS(Holdings!$R$6:$R$205,Holdings!$AK$6:$AK$205,M$5,Holdings!$H$6:$H$205,$B10)/Divisor)</f>
        <v/>
      </c>
      <c r="N10" s="38" t="str">
        <f aca="false">IF(OR(M$5="",N(M$32)=0),"",M10/M$32)</f>
        <v/>
      </c>
      <c r="O10" s="37" t="str">
        <f aca="false">IF(O$5="","",SUMIFS(Holdings!$R$6:$R$205,Holdings!$AK$6:$AK$205,O$5,Holdings!$H$6:$H$205,$B10)/Divisor)</f>
        <v/>
      </c>
      <c r="P10" s="38" t="str">
        <f aca="false">IF(OR(O$5="",N(O$32)=0),"",O10/O$32)</f>
        <v/>
      </c>
      <c r="Q10" s="37" t="str">
        <f aca="false">IF(Q$5="","",SUMIFS(Holdings!$R$6:$R$205,Holdings!$AK$6:$AK$205,Q$5,Holdings!$H$6:$H$205,$B10)/Divisor)</f>
        <v/>
      </c>
      <c r="R10" s="38" t="str">
        <f aca="false">IF(OR(Q$5="",N(Q$32)=0),"",Q10/Q$32)</f>
        <v/>
      </c>
      <c r="T10" s="37" t="n">
        <f aca="false">SUMIFS(Holdings!$R$6:$R$205,Holdings!$H$6:$H$205,$B10)/Divisor</f>
        <v>9.64312</v>
      </c>
      <c r="U10" s="38" t="n">
        <f aca="false">IF(N($T$32)=0,"",T10/$T$32)</f>
        <v>0.069638221135313</v>
      </c>
    </row>
    <row r="11" customFormat="false" ht="15" hidden="false" customHeight="false" outlineLevel="0" collapsed="false">
      <c r="B11" s="35" t="str">
        <f aca="false">Lists!$D$8</f>
        <v>Equity MF – Mid &amp; Small Cap</v>
      </c>
      <c r="C11" s="37" t="n">
        <f aca="false">IF(C$5="","",SUMIFS(Holdings!$R$6:$R$205,Holdings!$AK$6:$AK$205,C$5,Holdings!$H$6:$H$205,$B11)/Divisor)</f>
        <v>0</v>
      </c>
      <c r="D11" s="38" t="n">
        <f aca="false">IF(OR(C$5="",N(C$32)=0),"",C11/C$32)</f>
        <v>0</v>
      </c>
      <c r="E11" s="37" t="n">
        <f aca="false">IF(E$5="","",SUMIFS(Holdings!$R$6:$R$205,Holdings!$AK$6:$AK$205,E$5,Holdings!$H$6:$H$205,$B11)/Divisor)</f>
        <v>5.8950698716962</v>
      </c>
      <c r="F11" s="38" t="n">
        <f aca="false">IF(OR(E$5="",N(E$32)=0),"",E11/E$32)</f>
        <v>0.195459229139637</v>
      </c>
      <c r="G11" s="37" t="n">
        <f aca="false">IF(G$5="","",SUMIFS(Holdings!$R$6:$R$205,Holdings!$AK$6:$AK$205,G$5,Holdings!$H$6:$H$205,$B11)/Divisor)</f>
        <v>0</v>
      </c>
      <c r="H11" s="38" t="n">
        <f aca="false">IF(OR(G$5="",N(G$32)=0),"",G11/G$32)</f>
        <v>0</v>
      </c>
      <c r="I11" s="37" t="n">
        <f aca="false">IF(I$5="","",SUMIFS(Holdings!$R$6:$R$205,Holdings!$AK$6:$AK$205,I$5,Holdings!$H$6:$H$205,$B11)/Divisor)</f>
        <v>0</v>
      </c>
      <c r="J11" s="38" t="n">
        <f aca="false">IF(OR(I$5="",N(I$32)=0),"",I11/I$32)</f>
        <v>0</v>
      </c>
      <c r="K11" s="37" t="n">
        <f aca="false">IF(K$5="","",SUMIFS(Holdings!$R$6:$R$205,Holdings!$AK$6:$AK$205,K$5,Holdings!$H$6:$H$205,$B11)/Divisor)</f>
        <v>0</v>
      </c>
      <c r="L11" s="38" t="n">
        <f aca="false">IF(OR(K$5="",N(K$32)=0),"",K11/K$32)</f>
        <v>0</v>
      </c>
      <c r="M11" s="37" t="str">
        <f aca="false">IF(M$5="","",SUMIFS(Holdings!$R$6:$R$205,Holdings!$AK$6:$AK$205,M$5,Holdings!$H$6:$H$205,$B11)/Divisor)</f>
        <v/>
      </c>
      <c r="N11" s="38" t="str">
        <f aca="false">IF(OR(M$5="",N(M$32)=0),"",M11/M$32)</f>
        <v/>
      </c>
      <c r="O11" s="37" t="str">
        <f aca="false">IF(O$5="","",SUMIFS(Holdings!$R$6:$R$205,Holdings!$AK$6:$AK$205,O$5,Holdings!$H$6:$H$205,$B11)/Divisor)</f>
        <v/>
      </c>
      <c r="P11" s="38" t="str">
        <f aca="false">IF(OR(O$5="",N(O$32)=0),"",O11/O$32)</f>
        <v/>
      </c>
      <c r="Q11" s="37" t="str">
        <f aca="false">IF(Q$5="","",SUMIFS(Holdings!$R$6:$R$205,Holdings!$AK$6:$AK$205,Q$5,Holdings!$H$6:$H$205,$B11)/Divisor)</f>
        <v/>
      </c>
      <c r="R11" s="38" t="str">
        <f aca="false">IF(OR(Q$5="",N(Q$32)=0),"",Q11/Q$32)</f>
        <v/>
      </c>
      <c r="T11" s="37" t="n">
        <f aca="false">SUMIFS(Holdings!$R$6:$R$205,Holdings!$H$6:$H$205,$B11)/Divisor</f>
        <v>5.8950698716962</v>
      </c>
      <c r="U11" s="38" t="n">
        <f aca="false">IF(N($T$32)=0,"",T11/$T$32)</f>
        <v>0.0425715099815517</v>
      </c>
    </row>
    <row r="12" customFormat="false" ht="15" hidden="false" customHeight="false" outlineLevel="0" collapsed="false">
      <c r="B12" s="35" t="str">
        <f aca="false">Lists!$D$9</f>
        <v>Equity MF – Hybrid / BAF</v>
      </c>
      <c r="C12" s="37" t="n">
        <f aca="false">IF(C$5="","",SUMIFS(Holdings!$R$6:$R$205,Holdings!$AK$6:$AK$205,C$5,Holdings!$H$6:$H$205,$B12)/Divisor)</f>
        <v>0</v>
      </c>
      <c r="D12" s="38" t="n">
        <f aca="false">IF(OR(C$5="",N(C$32)=0),"",C12/C$32)</f>
        <v>0</v>
      </c>
      <c r="E12" s="37" t="n">
        <f aca="false">IF(E$5="","",SUMIFS(Holdings!$R$6:$R$205,Holdings!$AK$6:$AK$205,E$5,Holdings!$H$6:$H$205,$B12)/Divisor)</f>
        <v>4.013205</v>
      </c>
      <c r="F12" s="38" t="n">
        <f aca="false">IF(OR(E$5="",N(E$32)=0),"",E12/E$32)</f>
        <v>0.133063385634416</v>
      </c>
      <c r="G12" s="37" t="n">
        <f aca="false">IF(G$5="","",SUMIFS(Holdings!$R$6:$R$205,Holdings!$AK$6:$AK$205,G$5,Holdings!$H$6:$H$205,$B12)/Divisor)</f>
        <v>0</v>
      </c>
      <c r="H12" s="38" t="n">
        <f aca="false">IF(OR(G$5="",N(G$32)=0),"",G12/G$32)</f>
        <v>0</v>
      </c>
      <c r="I12" s="37" t="n">
        <f aca="false">IF(I$5="","",SUMIFS(Holdings!$R$6:$R$205,Holdings!$AK$6:$AK$205,I$5,Holdings!$H$6:$H$205,$B12)/Divisor)</f>
        <v>0</v>
      </c>
      <c r="J12" s="38" t="n">
        <f aca="false">IF(OR(I$5="",N(I$32)=0),"",I12/I$32)</f>
        <v>0</v>
      </c>
      <c r="K12" s="37" t="n">
        <f aca="false">IF(K$5="","",SUMIFS(Holdings!$R$6:$R$205,Holdings!$AK$6:$AK$205,K$5,Holdings!$H$6:$H$205,$B12)/Divisor)</f>
        <v>0</v>
      </c>
      <c r="L12" s="38" t="n">
        <f aca="false">IF(OR(K$5="",N(K$32)=0),"",K12/K$32)</f>
        <v>0</v>
      </c>
      <c r="M12" s="37" t="str">
        <f aca="false">IF(M$5="","",SUMIFS(Holdings!$R$6:$R$205,Holdings!$AK$6:$AK$205,M$5,Holdings!$H$6:$H$205,$B12)/Divisor)</f>
        <v/>
      </c>
      <c r="N12" s="38" t="str">
        <f aca="false">IF(OR(M$5="",N(M$32)=0),"",M12/M$32)</f>
        <v/>
      </c>
      <c r="O12" s="37" t="str">
        <f aca="false">IF(O$5="","",SUMIFS(Holdings!$R$6:$R$205,Holdings!$AK$6:$AK$205,O$5,Holdings!$H$6:$H$205,$B12)/Divisor)</f>
        <v/>
      </c>
      <c r="P12" s="38" t="str">
        <f aca="false">IF(OR(O$5="",N(O$32)=0),"",O12/O$32)</f>
        <v/>
      </c>
      <c r="Q12" s="37" t="str">
        <f aca="false">IF(Q$5="","",SUMIFS(Holdings!$R$6:$R$205,Holdings!$AK$6:$AK$205,Q$5,Holdings!$H$6:$H$205,$B12)/Divisor)</f>
        <v/>
      </c>
      <c r="R12" s="38" t="str">
        <f aca="false">IF(OR(Q$5="",N(Q$32)=0),"",Q12/Q$32)</f>
        <v/>
      </c>
      <c r="T12" s="37" t="n">
        <f aca="false">SUMIFS(Holdings!$R$6:$R$205,Holdings!$H$6:$H$205,$B12)/Divisor</f>
        <v>4.013205</v>
      </c>
      <c r="U12" s="38" t="n">
        <f aca="false">IF(N($T$32)=0,"",T12/$T$32)</f>
        <v>0.0289815388848572</v>
      </c>
    </row>
    <row r="13" customFormat="false" ht="15" hidden="false" customHeight="false" outlineLevel="0" collapsed="false">
      <c r="B13" s="35" t="str">
        <f aca="false">Lists!$D$10</f>
        <v>Equity ETF / Index Fund</v>
      </c>
      <c r="C13" s="37" t="n">
        <f aca="false">IF(C$5="","",SUMIFS(Holdings!$R$6:$R$205,Holdings!$AK$6:$AK$205,C$5,Holdings!$H$6:$H$205,$B13)/Divisor)</f>
        <v>0</v>
      </c>
      <c r="D13" s="38" t="n">
        <f aca="false">IF(OR(C$5="",N(C$32)=0),"",C13/C$32)</f>
        <v>0</v>
      </c>
      <c r="E13" s="37" t="n">
        <f aca="false">IF(E$5="","",SUMIFS(Holdings!$R$6:$R$205,Holdings!$AK$6:$AK$205,E$5,Holdings!$H$6:$H$205,$B13)/Divisor)</f>
        <v>0</v>
      </c>
      <c r="F13" s="38" t="n">
        <f aca="false">IF(OR(E$5="",N(E$32)=0),"",E13/E$32)</f>
        <v>0</v>
      </c>
      <c r="G13" s="37" t="n">
        <f aca="false">IF(G$5="","",SUMIFS(Holdings!$R$6:$R$205,Holdings!$AK$6:$AK$205,G$5,Holdings!$H$6:$H$205,$B13)/Divisor)</f>
        <v>0</v>
      </c>
      <c r="H13" s="38" t="n">
        <f aca="false">IF(OR(G$5="",N(G$32)=0),"",G13/G$32)</f>
        <v>0</v>
      </c>
      <c r="I13" s="37" t="n">
        <f aca="false">IF(I$5="","",SUMIFS(Holdings!$R$6:$R$205,Holdings!$AK$6:$AK$205,I$5,Holdings!$H$6:$H$205,$B13)/Divisor)</f>
        <v>0</v>
      </c>
      <c r="J13" s="38" t="n">
        <f aca="false">IF(OR(I$5="",N(I$32)=0),"",I13/I$32)</f>
        <v>0</v>
      </c>
      <c r="K13" s="37" t="n">
        <f aca="false">IF(K$5="","",SUMIFS(Holdings!$R$6:$R$205,Holdings!$AK$6:$AK$205,K$5,Holdings!$H$6:$H$205,$B13)/Divisor)</f>
        <v>0</v>
      </c>
      <c r="L13" s="38" t="n">
        <f aca="false">IF(OR(K$5="",N(K$32)=0),"",K13/K$32)</f>
        <v>0</v>
      </c>
      <c r="M13" s="37" t="str">
        <f aca="false">IF(M$5="","",SUMIFS(Holdings!$R$6:$R$205,Holdings!$AK$6:$AK$205,M$5,Holdings!$H$6:$H$205,$B13)/Divisor)</f>
        <v/>
      </c>
      <c r="N13" s="38" t="str">
        <f aca="false">IF(OR(M$5="",N(M$32)=0),"",M13/M$32)</f>
        <v/>
      </c>
      <c r="O13" s="37" t="str">
        <f aca="false">IF(O$5="","",SUMIFS(Holdings!$R$6:$R$205,Holdings!$AK$6:$AK$205,O$5,Holdings!$H$6:$H$205,$B13)/Divisor)</f>
        <v/>
      </c>
      <c r="P13" s="38" t="str">
        <f aca="false">IF(OR(O$5="",N(O$32)=0),"",O13/O$32)</f>
        <v/>
      </c>
      <c r="Q13" s="37" t="str">
        <f aca="false">IF(Q$5="","",SUMIFS(Holdings!$R$6:$R$205,Holdings!$AK$6:$AK$205,Q$5,Holdings!$H$6:$H$205,$B13)/Divisor)</f>
        <v/>
      </c>
      <c r="R13" s="38" t="str">
        <f aca="false">IF(OR(Q$5="",N(Q$32)=0),"",Q13/Q$32)</f>
        <v/>
      </c>
      <c r="T13" s="37" t="n">
        <f aca="false">SUMIFS(Holdings!$R$6:$R$205,Holdings!$H$6:$H$205,$B13)/Divisor</f>
        <v>0</v>
      </c>
      <c r="U13" s="38" t="n">
        <f aca="false">IF(N($T$32)=0,"",T13/$T$32)</f>
        <v>0</v>
      </c>
    </row>
    <row r="14" customFormat="false" ht="15" hidden="false" customHeight="false" outlineLevel="0" collapsed="false">
      <c r="B14" s="35" t="str">
        <f aca="false">Lists!$D$11</f>
        <v>PMS – Equity</v>
      </c>
      <c r="C14" s="37" t="n">
        <f aca="false">IF(C$5="","",SUMIFS(Holdings!$R$6:$R$205,Holdings!$AK$6:$AK$205,C$5,Holdings!$H$6:$H$205,$B14)/Divisor)</f>
        <v>18.124</v>
      </c>
      <c r="D14" s="38" t="n">
        <f aca="false">IF(OR(C$5="",N(C$32)=0),"",C14/C$32)</f>
        <v>0.463726287886929</v>
      </c>
      <c r="E14" s="37" t="n">
        <f aca="false">IF(E$5="","",SUMIFS(Holdings!$R$6:$R$205,Holdings!$AK$6:$AK$205,E$5,Holdings!$H$6:$H$205,$B14)/Divisor)</f>
        <v>0</v>
      </c>
      <c r="F14" s="38" t="n">
        <f aca="false">IF(OR(E$5="",N(E$32)=0),"",E14/E$32)</f>
        <v>0</v>
      </c>
      <c r="G14" s="37" t="n">
        <f aca="false">IF(G$5="","",SUMIFS(Holdings!$R$6:$R$205,Holdings!$AK$6:$AK$205,G$5,Holdings!$H$6:$H$205,$B14)/Divisor)</f>
        <v>0</v>
      </c>
      <c r="H14" s="38" t="n">
        <f aca="false">IF(OR(G$5="",N(G$32)=0),"",G14/G$32)</f>
        <v>0</v>
      </c>
      <c r="I14" s="37" t="n">
        <f aca="false">IF(I$5="","",SUMIFS(Holdings!$R$6:$R$205,Holdings!$AK$6:$AK$205,I$5,Holdings!$H$6:$H$205,$B14)/Divisor)</f>
        <v>0</v>
      </c>
      <c r="J14" s="38" t="n">
        <f aca="false">IF(OR(I$5="",N(I$32)=0),"",I14/I$32)</f>
        <v>0</v>
      </c>
      <c r="K14" s="37" t="n">
        <f aca="false">IF(K$5="","",SUMIFS(Holdings!$R$6:$R$205,Holdings!$AK$6:$AK$205,K$5,Holdings!$H$6:$H$205,$B14)/Divisor)</f>
        <v>0</v>
      </c>
      <c r="L14" s="38" t="n">
        <f aca="false">IF(OR(K$5="",N(K$32)=0),"",K14/K$32)</f>
        <v>0</v>
      </c>
      <c r="M14" s="37" t="str">
        <f aca="false">IF(M$5="","",SUMIFS(Holdings!$R$6:$R$205,Holdings!$AK$6:$AK$205,M$5,Holdings!$H$6:$H$205,$B14)/Divisor)</f>
        <v/>
      </c>
      <c r="N14" s="38" t="str">
        <f aca="false">IF(OR(M$5="",N(M$32)=0),"",M14/M$32)</f>
        <v/>
      </c>
      <c r="O14" s="37" t="str">
        <f aca="false">IF(O$5="","",SUMIFS(Holdings!$R$6:$R$205,Holdings!$AK$6:$AK$205,O$5,Holdings!$H$6:$H$205,$B14)/Divisor)</f>
        <v/>
      </c>
      <c r="P14" s="38" t="str">
        <f aca="false">IF(OR(O$5="",N(O$32)=0),"",O14/O$32)</f>
        <v/>
      </c>
      <c r="Q14" s="37" t="str">
        <f aca="false">IF(Q$5="","",SUMIFS(Holdings!$R$6:$R$205,Holdings!$AK$6:$AK$205,Q$5,Holdings!$H$6:$H$205,$B14)/Divisor)</f>
        <v/>
      </c>
      <c r="R14" s="38" t="str">
        <f aca="false">IF(OR(Q$5="",N(Q$32)=0),"",Q14/Q$32)</f>
        <v/>
      </c>
      <c r="T14" s="37" t="n">
        <f aca="false">SUMIFS(Holdings!$R$6:$R$205,Holdings!$H$6:$H$205,$B14)/Divisor</f>
        <v>18.124</v>
      </c>
      <c r="U14" s="38" t="n">
        <f aca="false">IF(N($T$32)=0,"",T14/$T$32)</f>
        <v>0.130883274278077</v>
      </c>
    </row>
    <row r="15" customFormat="false" ht="15" hidden="false" customHeight="false" outlineLevel="0" collapsed="false">
      <c r="B15" s="35" t="str">
        <f aca="false">Lists!$D$12</f>
        <v>AIF Cat III – Listed Equity</v>
      </c>
      <c r="C15" s="37" t="n">
        <f aca="false">IF(C$5="","",SUMIFS(Holdings!$R$6:$R$205,Holdings!$AK$6:$AK$205,C$5,Holdings!$H$6:$H$205,$B15)/Divisor)</f>
        <v>0</v>
      </c>
      <c r="D15" s="38" t="n">
        <f aca="false">IF(OR(C$5="",N(C$32)=0),"",C15/C$32)</f>
        <v>0</v>
      </c>
      <c r="E15" s="37" t="n">
        <f aca="false">IF(E$5="","",SUMIFS(Holdings!$R$6:$R$205,Holdings!$AK$6:$AK$205,E$5,Holdings!$H$6:$H$205,$B15)/Divisor)</f>
        <v>0</v>
      </c>
      <c r="F15" s="38" t="n">
        <f aca="false">IF(OR(E$5="",N(E$32)=0),"",E15/E$32)</f>
        <v>0</v>
      </c>
      <c r="G15" s="37" t="n">
        <f aca="false">IF(G$5="","",SUMIFS(Holdings!$R$6:$R$205,Holdings!$AK$6:$AK$205,G$5,Holdings!$H$6:$H$205,$B15)/Divisor)</f>
        <v>20.6422</v>
      </c>
      <c r="H15" s="38" t="n">
        <f aca="false">IF(OR(G$5="",N(G$32)=0),"",G15/G$32)</f>
        <v>0.754001616170442</v>
      </c>
      <c r="I15" s="37" t="n">
        <f aca="false">IF(I$5="","",SUMIFS(Holdings!$R$6:$R$205,Holdings!$AK$6:$AK$205,I$5,Holdings!$H$6:$H$205,$B15)/Divisor)</f>
        <v>0</v>
      </c>
      <c r="J15" s="38" t="n">
        <f aca="false">IF(OR(I$5="",N(I$32)=0),"",I15/I$32)</f>
        <v>0</v>
      </c>
      <c r="K15" s="37" t="n">
        <f aca="false">IF(K$5="","",SUMIFS(Holdings!$R$6:$R$205,Holdings!$AK$6:$AK$205,K$5,Holdings!$H$6:$H$205,$B15)/Divisor)</f>
        <v>0</v>
      </c>
      <c r="L15" s="38" t="n">
        <f aca="false">IF(OR(K$5="",N(K$32)=0),"",K15/K$32)</f>
        <v>0</v>
      </c>
      <c r="M15" s="37" t="str">
        <f aca="false">IF(M$5="","",SUMIFS(Holdings!$R$6:$R$205,Holdings!$AK$6:$AK$205,M$5,Holdings!$H$6:$H$205,$B15)/Divisor)</f>
        <v/>
      </c>
      <c r="N15" s="38" t="str">
        <f aca="false">IF(OR(M$5="",N(M$32)=0),"",M15/M$32)</f>
        <v/>
      </c>
      <c r="O15" s="37" t="str">
        <f aca="false">IF(O$5="","",SUMIFS(Holdings!$R$6:$R$205,Holdings!$AK$6:$AK$205,O$5,Holdings!$H$6:$H$205,$B15)/Divisor)</f>
        <v/>
      </c>
      <c r="P15" s="38" t="str">
        <f aca="false">IF(OR(O$5="",N(O$32)=0),"",O15/O$32)</f>
        <v/>
      </c>
      <c r="Q15" s="37" t="str">
        <f aca="false">IF(Q$5="","",SUMIFS(Holdings!$R$6:$R$205,Holdings!$AK$6:$AK$205,Q$5,Holdings!$H$6:$H$205,$B15)/Divisor)</f>
        <v/>
      </c>
      <c r="R15" s="38" t="str">
        <f aca="false">IF(OR(Q$5="",N(Q$32)=0),"",Q15/Q$32)</f>
        <v/>
      </c>
      <c r="T15" s="37" t="n">
        <f aca="false">SUMIFS(Holdings!$R$6:$R$205,Holdings!$H$6:$H$205,$B15)/Divisor</f>
        <v>20.6422</v>
      </c>
      <c r="U15" s="38" t="n">
        <f aca="false">IF(N($T$32)=0,"",T15/$T$32)</f>
        <v>0.149068567882527</v>
      </c>
    </row>
    <row r="16" customFormat="false" ht="15" hidden="false" customHeight="false" outlineLevel="0" collapsed="false">
      <c r="B16" s="30" t="str">
        <f aca="false">Lists!$A$7</f>
        <v>Debt</v>
      </c>
      <c r="C16" s="32" t="n">
        <f aca="false">IF(C$5="","",SUMIFS(Holdings!$R$6:$R$205,Holdings!$AK$6:$AK$205,C$5,Holdings!$G$6:$G$205,$B16)/Divisor)</f>
        <v>0</v>
      </c>
      <c r="D16" s="33" t="n">
        <f aca="false">IF(OR(C$5="",N(C$32)=0),"",C16/C$32)</f>
        <v>0</v>
      </c>
      <c r="E16" s="32" t="n">
        <f aca="false">IF(E$5="","",SUMIFS(Holdings!$R$6:$R$205,Holdings!$AK$6:$AK$205,E$5,Holdings!$G$6:$G$205,$B16)/Divisor)</f>
        <v>0</v>
      </c>
      <c r="F16" s="33" t="n">
        <f aca="false">IF(OR(E$5="",N(E$32)=0),"",E16/E$32)</f>
        <v>0</v>
      </c>
      <c r="G16" s="32" t="n">
        <f aca="false">IF(G$5="","",SUMIFS(Holdings!$R$6:$R$205,Holdings!$AK$6:$AK$205,G$5,Holdings!$G$6:$G$205,$B16)/Divisor)</f>
        <v>0</v>
      </c>
      <c r="H16" s="33" t="n">
        <f aca="false">IF(OR(G$5="",N(G$32)=0),"",G16/G$32)</f>
        <v>0</v>
      </c>
      <c r="I16" s="32" t="n">
        <f aca="false">IF(I$5="","",SUMIFS(Holdings!$R$6:$R$205,Holdings!$AK$6:$AK$205,I$5,Holdings!$G$6:$G$205,$B16)/Divisor)</f>
        <v>13.595184</v>
      </c>
      <c r="J16" s="33" t="n">
        <f aca="false">IF(OR(I$5="",N(I$32)=0),"",I16/I$32)</f>
        <v>0.426054595423154</v>
      </c>
      <c r="K16" s="32" t="n">
        <f aca="false">IF(K$5="","",SUMIFS(Holdings!$R$6:$R$205,Holdings!$AK$6:$AK$205,K$5,Holdings!$G$6:$G$205,$B16)/Divisor)</f>
        <v>0</v>
      </c>
      <c r="L16" s="33" t="n">
        <f aca="false">IF(OR(K$5="",N(K$32)=0),"",K16/K$32)</f>
        <v>0</v>
      </c>
      <c r="M16" s="32" t="str">
        <f aca="false">IF(M$5="","",SUMIFS(Holdings!$R$6:$R$205,Holdings!$AK$6:$AK$205,M$5,Holdings!$G$6:$G$205,$B16)/Divisor)</f>
        <v/>
      </c>
      <c r="N16" s="33" t="str">
        <f aca="false">IF(OR(M$5="",N(M$32)=0),"",M16/M$32)</f>
        <v/>
      </c>
      <c r="O16" s="32" t="str">
        <f aca="false">IF(O$5="","",SUMIFS(Holdings!$R$6:$R$205,Holdings!$AK$6:$AK$205,O$5,Holdings!$G$6:$G$205,$B16)/Divisor)</f>
        <v/>
      </c>
      <c r="P16" s="33" t="str">
        <f aca="false">IF(OR(O$5="",N(O$32)=0),"",O16/O$32)</f>
        <v/>
      </c>
      <c r="Q16" s="32" t="str">
        <f aca="false">IF(Q$5="","",SUMIFS(Holdings!$R$6:$R$205,Holdings!$AK$6:$AK$205,Q$5,Holdings!$G$6:$G$205,$B16)/Divisor)</f>
        <v/>
      </c>
      <c r="R16" s="33" t="str">
        <f aca="false">IF(OR(Q$5="",N(Q$32)=0),"",Q16/Q$32)</f>
        <v/>
      </c>
      <c r="S16" s="34"/>
      <c r="T16" s="32" t="n">
        <f aca="false">SUMIFS(Holdings!$R$6:$R$205,Holdings!$G$6:$G$205,$B16)/Divisor</f>
        <v>13.595184</v>
      </c>
      <c r="U16" s="33" t="n">
        <f aca="false">IF(N($T$32)=0,"",T16/$T$32)</f>
        <v>0.0981782275619581</v>
      </c>
    </row>
    <row r="17" customFormat="false" ht="15" hidden="false" customHeight="false" outlineLevel="0" collapsed="false">
      <c r="B17" s="35" t="str">
        <f aca="false">Lists!$D$13</f>
        <v>Debt MF</v>
      </c>
      <c r="C17" s="37" t="n">
        <f aca="false">IF(C$5="","",SUMIFS(Holdings!$R$6:$R$205,Holdings!$AK$6:$AK$205,C$5,Holdings!$H$6:$H$205,$B17)/Divisor)</f>
        <v>0</v>
      </c>
      <c r="D17" s="38" t="n">
        <f aca="false">IF(OR(C$5="",N(C$32)=0),"",C17/C$32)</f>
        <v>0</v>
      </c>
      <c r="E17" s="37" t="n">
        <f aca="false">IF(E$5="","",SUMIFS(Holdings!$R$6:$R$205,Holdings!$AK$6:$AK$205,E$5,Holdings!$H$6:$H$205,$B17)/Divisor)</f>
        <v>0</v>
      </c>
      <c r="F17" s="38" t="n">
        <f aca="false">IF(OR(E$5="",N(E$32)=0),"",E17/E$32)</f>
        <v>0</v>
      </c>
      <c r="G17" s="37" t="n">
        <f aca="false">IF(G$5="","",SUMIFS(Holdings!$R$6:$R$205,Holdings!$AK$6:$AK$205,G$5,Holdings!$H$6:$H$205,$B17)/Divisor)</f>
        <v>0</v>
      </c>
      <c r="H17" s="38" t="n">
        <f aca="false">IF(OR(G$5="",N(G$32)=0),"",G17/G$32)</f>
        <v>0</v>
      </c>
      <c r="I17" s="37" t="n">
        <f aca="false">IF(I$5="","",SUMIFS(Holdings!$R$6:$R$205,Holdings!$AK$6:$AK$205,I$5,Holdings!$H$6:$H$205,$B17)/Divisor)</f>
        <v>7.494984</v>
      </c>
      <c r="J17" s="38" t="n">
        <f aca="false">IF(OR(I$5="",N(I$32)=0),"",I17/I$32)</f>
        <v>0.234882615477879</v>
      </c>
      <c r="K17" s="37" t="n">
        <f aca="false">IF(K$5="","",SUMIFS(Holdings!$R$6:$R$205,Holdings!$AK$6:$AK$205,K$5,Holdings!$H$6:$H$205,$B17)/Divisor)</f>
        <v>0</v>
      </c>
      <c r="L17" s="38" t="n">
        <f aca="false">IF(OR(K$5="",N(K$32)=0),"",K17/K$32)</f>
        <v>0</v>
      </c>
      <c r="M17" s="37" t="str">
        <f aca="false">IF(M$5="","",SUMIFS(Holdings!$R$6:$R$205,Holdings!$AK$6:$AK$205,M$5,Holdings!$H$6:$H$205,$B17)/Divisor)</f>
        <v/>
      </c>
      <c r="N17" s="38" t="str">
        <f aca="false">IF(OR(M$5="",N(M$32)=0),"",M17/M$32)</f>
        <v/>
      </c>
      <c r="O17" s="37" t="str">
        <f aca="false">IF(O$5="","",SUMIFS(Holdings!$R$6:$R$205,Holdings!$AK$6:$AK$205,O$5,Holdings!$H$6:$H$205,$B17)/Divisor)</f>
        <v/>
      </c>
      <c r="P17" s="38" t="str">
        <f aca="false">IF(OR(O$5="",N(O$32)=0),"",O17/O$32)</f>
        <v/>
      </c>
      <c r="Q17" s="37" t="str">
        <f aca="false">IF(Q$5="","",SUMIFS(Holdings!$R$6:$R$205,Holdings!$AK$6:$AK$205,Q$5,Holdings!$H$6:$H$205,$B17)/Divisor)</f>
        <v/>
      </c>
      <c r="R17" s="38" t="str">
        <f aca="false">IF(OR(Q$5="",N(Q$32)=0),"",Q17/Q$32)</f>
        <v/>
      </c>
      <c r="T17" s="37" t="n">
        <f aca="false">SUMIFS(Holdings!$R$6:$R$205,Holdings!$H$6:$H$205,$B17)/Divisor</f>
        <v>7.494984</v>
      </c>
      <c r="U17" s="38" t="n">
        <f aca="false">IF(N($T$32)=0,"",T17/$T$32)</f>
        <v>0.0541253612106489</v>
      </c>
    </row>
    <row r="18" customFormat="false" ht="15" hidden="false" customHeight="false" outlineLevel="0" collapsed="false">
      <c r="B18" s="35" t="str">
        <f aca="false">Lists!$D$14</f>
        <v>Bonds / NCDs</v>
      </c>
      <c r="C18" s="37" t="n">
        <f aca="false">IF(C$5="","",SUMIFS(Holdings!$R$6:$R$205,Holdings!$AK$6:$AK$205,C$5,Holdings!$H$6:$H$205,$B18)/Divisor)</f>
        <v>0</v>
      </c>
      <c r="D18" s="38" t="n">
        <f aca="false">IF(OR(C$5="",N(C$32)=0),"",C18/C$32)</f>
        <v>0</v>
      </c>
      <c r="E18" s="37" t="n">
        <f aca="false">IF(E$5="","",SUMIFS(Holdings!$R$6:$R$205,Holdings!$AK$6:$AK$205,E$5,Holdings!$H$6:$H$205,$B18)/Divisor)</f>
        <v>0</v>
      </c>
      <c r="F18" s="38" t="n">
        <f aca="false">IF(OR(E$5="",N(E$32)=0),"",E18/E$32)</f>
        <v>0</v>
      </c>
      <c r="G18" s="37" t="n">
        <f aca="false">IF(G$5="","",SUMIFS(Holdings!$R$6:$R$205,Holdings!$AK$6:$AK$205,G$5,Holdings!$H$6:$H$205,$B18)/Divisor)</f>
        <v>0</v>
      </c>
      <c r="H18" s="38" t="n">
        <f aca="false">IF(OR(G$5="",N(G$32)=0),"",G18/G$32)</f>
        <v>0</v>
      </c>
      <c r="I18" s="37" t="n">
        <f aca="false">IF(I$5="","",SUMIFS(Holdings!$R$6:$R$205,Holdings!$AK$6:$AK$205,I$5,Holdings!$H$6:$H$205,$B18)/Divisor)</f>
        <v>5.062</v>
      </c>
      <c r="J18" s="38" t="n">
        <f aca="false">IF(OR(I$5="",N(I$32)=0),"",I18/I$32)</f>
        <v>0.158636202498768</v>
      </c>
      <c r="K18" s="37" t="n">
        <f aca="false">IF(K$5="","",SUMIFS(Holdings!$R$6:$R$205,Holdings!$AK$6:$AK$205,K$5,Holdings!$H$6:$H$205,$B18)/Divisor)</f>
        <v>0</v>
      </c>
      <c r="L18" s="38" t="n">
        <f aca="false">IF(OR(K$5="",N(K$32)=0),"",K18/K$32)</f>
        <v>0</v>
      </c>
      <c r="M18" s="37" t="str">
        <f aca="false">IF(M$5="","",SUMIFS(Holdings!$R$6:$R$205,Holdings!$AK$6:$AK$205,M$5,Holdings!$H$6:$H$205,$B18)/Divisor)</f>
        <v/>
      </c>
      <c r="N18" s="38" t="str">
        <f aca="false">IF(OR(M$5="",N(M$32)=0),"",M18/M$32)</f>
        <v/>
      </c>
      <c r="O18" s="37" t="str">
        <f aca="false">IF(O$5="","",SUMIFS(Holdings!$R$6:$R$205,Holdings!$AK$6:$AK$205,O$5,Holdings!$H$6:$H$205,$B18)/Divisor)</f>
        <v/>
      </c>
      <c r="P18" s="38" t="str">
        <f aca="false">IF(OR(O$5="",N(O$32)=0),"",O18/O$32)</f>
        <v/>
      </c>
      <c r="Q18" s="37" t="str">
        <f aca="false">IF(Q$5="","",SUMIFS(Holdings!$R$6:$R$205,Holdings!$AK$6:$AK$205,Q$5,Holdings!$H$6:$H$205,$B18)/Divisor)</f>
        <v/>
      </c>
      <c r="R18" s="38" t="str">
        <f aca="false">IF(OR(Q$5="",N(Q$32)=0),"",Q18/Q$32)</f>
        <v/>
      </c>
      <c r="T18" s="37" t="n">
        <f aca="false">SUMIFS(Holdings!$R$6:$R$205,Holdings!$H$6:$H$205,$B18)/Divisor</f>
        <v>5.062</v>
      </c>
      <c r="U18" s="38" t="n">
        <f aca="false">IF(N($T$32)=0,"",T18/$T$32)</f>
        <v>0.0365554587505864</v>
      </c>
    </row>
    <row r="19" customFormat="false" ht="15" hidden="false" customHeight="false" outlineLevel="0" collapsed="false">
      <c r="B19" s="35" t="str">
        <f aca="false">Lists!$D$15</f>
        <v>AIF Cat II – Private Credit</v>
      </c>
      <c r="C19" s="37" t="n">
        <f aca="false">IF(C$5="","",SUMIFS(Holdings!$R$6:$R$205,Holdings!$AK$6:$AK$205,C$5,Holdings!$H$6:$H$205,$B19)/Divisor)</f>
        <v>0</v>
      </c>
      <c r="D19" s="38" t="n">
        <f aca="false">IF(OR(C$5="",N(C$32)=0),"",C19/C$32)</f>
        <v>0</v>
      </c>
      <c r="E19" s="37" t="n">
        <f aca="false">IF(E$5="","",SUMIFS(Holdings!$R$6:$R$205,Holdings!$AK$6:$AK$205,E$5,Holdings!$H$6:$H$205,$B19)/Divisor)</f>
        <v>0</v>
      </c>
      <c r="F19" s="38" t="n">
        <f aca="false">IF(OR(E$5="",N(E$32)=0),"",E19/E$32)</f>
        <v>0</v>
      </c>
      <c r="G19" s="37" t="n">
        <f aca="false">IF(G$5="","",SUMIFS(Holdings!$R$6:$R$205,Holdings!$AK$6:$AK$205,G$5,Holdings!$H$6:$H$205,$B19)/Divisor)</f>
        <v>0</v>
      </c>
      <c r="H19" s="38" t="n">
        <f aca="false">IF(OR(G$5="",N(G$32)=0),"",G19/G$32)</f>
        <v>0</v>
      </c>
      <c r="I19" s="37" t="n">
        <f aca="false">IF(I$5="","",SUMIFS(Holdings!$R$6:$R$205,Holdings!$AK$6:$AK$205,I$5,Holdings!$H$6:$H$205,$B19)/Divisor)</f>
        <v>1.0382</v>
      </c>
      <c r="J19" s="38" t="n">
        <f aca="false">IF(OR(I$5="",N(I$32)=0),"",I19/I$32)</f>
        <v>0.0325357774465074</v>
      </c>
      <c r="K19" s="37" t="n">
        <f aca="false">IF(K$5="","",SUMIFS(Holdings!$R$6:$R$205,Holdings!$AK$6:$AK$205,K$5,Holdings!$H$6:$H$205,$B19)/Divisor)</f>
        <v>0</v>
      </c>
      <c r="L19" s="38" t="n">
        <f aca="false">IF(OR(K$5="",N(K$32)=0),"",K19/K$32)</f>
        <v>0</v>
      </c>
      <c r="M19" s="37" t="str">
        <f aca="false">IF(M$5="","",SUMIFS(Holdings!$R$6:$R$205,Holdings!$AK$6:$AK$205,M$5,Holdings!$H$6:$H$205,$B19)/Divisor)</f>
        <v/>
      </c>
      <c r="N19" s="38" t="str">
        <f aca="false">IF(OR(M$5="",N(M$32)=0),"",M19/M$32)</f>
        <v/>
      </c>
      <c r="O19" s="37" t="str">
        <f aca="false">IF(O$5="","",SUMIFS(Holdings!$R$6:$R$205,Holdings!$AK$6:$AK$205,O$5,Holdings!$H$6:$H$205,$B19)/Divisor)</f>
        <v/>
      </c>
      <c r="P19" s="38" t="str">
        <f aca="false">IF(OR(O$5="",N(O$32)=0),"",O19/O$32)</f>
        <v/>
      </c>
      <c r="Q19" s="37" t="str">
        <f aca="false">IF(Q$5="","",SUMIFS(Holdings!$R$6:$R$205,Holdings!$AK$6:$AK$205,Q$5,Holdings!$H$6:$H$205,$B19)/Divisor)</f>
        <v/>
      </c>
      <c r="R19" s="38" t="str">
        <f aca="false">IF(OR(Q$5="",N(Q$32)=0),"",Q19/Q$32)</f>
        <v/>
      </c>
      <c r="T19" s="37" t="n">
        <f aca="false">SUMIFS(Holdings!$R$6:$R$205,Holdings!$H$6:$H$205,$B19)/Divisor</f>
        <v>1.0382</v>
      </c>
      <c r="U19" s="38" t="n">
        <f aca="false">IF(N($T$32)=0,"",T19/$T$32)</f>
        <v>0.00749740760072279</v>
      </c>
    </row>
    <row r="20" customFormat="false" ht="15" hidden="false" customHeight="false" outlineLevel="0" collapsed="false">
      <c r="B20" s="35" t="str">
        <f aca="false">Lists!$D$16</f>
        <v>Structured Product / MLD</v>
      </c>
      <c r="C20" s="37" t="n">
        <f aca="false">IF(C$5="","",SUMIFS(Holdings!$R$6:$R$205,Holdings!$AK$6:$AK$205,C$5,Holdings!$H$6:$H$205,$B20)/Divisor)</f>
        <v>0</v>
      </c>
      <c r="D20" s="38" t="n">
        <f aca="false">IF(OR(C$5="",N(C$32)=0),"",C20/C$32)</f>
        <v>0</v>
      </c>
      <c r="E20" s="37" t="n">
        <f aca="false">IF(E$5="","",SUMIFS(Holdings!$R$6:$R$205,Holdings!$AK$6:$AK$205,E$5,Holdings!$H$6:$H$205,$B20)/Divisor)</f>
        <v>0</v>
      </c>
      <c r="F20" s="38" t="n">
        <f aca="false">IF(OR(E$5="",N(E$32)=0),"",E20/E$32)</f>
        <v>0</v>
      </c>
      <c r="G20" s="37" t="n">
        <f aca="false">IF(G$5="","",SUMIFS(Holdings!$R$6:$R$205,Holdings!$AK$6:$AK$205,G$5,Holdings!$H$6:$H$205,$B20)/Divisor)</f>
        <v>0</v>
      </c>
      <c r="H20" s="38" t="n">
        <f aca="false">IF(OR(G$5="",N(G$32)=0),"",G20/G$32)</f>
        <v>0</v>
      </c>
      <c r="I20" s="37" t="n">
        <f aca="false">IF(I$5="","",SUMIFS(Holdings!$R$6:$R$205,Holdings!$AK$6:$AK$205,I$5,Holdings!$H$6:$H$205,$B20)/Divisor)</f>
        <v>0</v>
      </c>
      <c r="J20" s="38" t="n">
        <f aca="false">IF(OR(I$5="",N(I$32)=0),"",I20/I$32)</f>
        <v>0</v>
      </c>
      <c r="K20" s="37" t="n">
        <f aca="false">IF(K$5="","",SUMIFS(Holdings!$R$6:$R$205,Holdings!$AK$6:$AK$205,K$5,Holdings!$H$6:$H$205,$B20)/Divisor)</f>
        <v>0</v>
      </c>
      <c r="L20" s="38" t="n">
        <f aca="false">IF(OR(K$5="",N(K$32)=0),"",K20/K$32)</f>
        <v>0</v>
      </c>
      <c r="M20" s="37" t="str">
        <f aca="false">IF(M$5="","",SUMIFS(Holdings!$R$6:$R$205,Holdings!$AK$6:$AK$205,M$5,Holdings!$H$6:$H$205,$B20)/Divisor)</f>
        <v/>
      </c>
      <c r="N20" s="38" t="str">
        <f aca="false">IF(OR(M$5="",N(M$32)=0),"",M20/M$32)</f>
        <v/>
      </c>
      <c r="O20" s="37" t="str">
        <f aca="false">IF(O$5="","",SUMIFS(Holdings!$R$6:$R$205,Holdings!$AK$6:$AK$205,O$5,Holdings!$H$6:$H$205,$B20)/Divisor)</f>
        <v/>
      </c>
      <c r="P20" s="38" t="str">
        <f aca="false">IF(OR(O$5="",N(O$32)=0),"",O20/O$32)</f>
        <v/>
      </c>
      <c r="Q20" s="37" t="str">
        <f aca="false">IF(Q$5="","",SUMIFS(Holdings!$R$6:$R$205,Holdings!$AK$6:$AK$205,Q$5,Holdings!$H$6:$H$205,$B20)/Divisor)</f>
        <v/>
      </c>
      <c r="R20" s="38" t="str">
        <f aca="false">IF(OR(Q$5="",N(Q$32)=0),"",Q20/Q$32)</f>
        <v/>
      </c>
      <c r="T20" s="37" t="n">
        <f aca="false">SUMIFS(Holdings!$R$6:$R$205,Holdings!$H$6:$H$205,$B20)/Divisor</f>
        <v>0</v>
      </c>
      <c r="U20" s="38" t="n">
        <f aca="false">IF(N($T$32)=0,"",T20/$T$32)</f>
        <v>0</v>
      </c>
    </row>
    <row r="21" customFormat="false" ht="15" hidden="false" customHeight="false" outlineLevel="0" collapsed="false">
      <c r="B21" s="30" t="str">
        <f aca="false">Lists!$A$8</f>
        <v>Cash</v>
      </c>
      <c r="C21" s="32" t="n">
        <f aca="false">IF(C$5="","",SUMIFS(Holdings!$R$6:$R$205,Holdings!$AK$6:$AK$205,C$5,Holdings!$G$6:$G$205,$B21)/Divisor)</f>
        <v>0</v>
      </c>
      <c r="D21" s="33" t="n">
        <f aca="false">IF(OR(C$5="",N(C$32)=0),"",C21/C$32)</f>
        <v>0</v>
      </c>
      <c r="E21" s="32" t="n">
        <f aca="false">IF(E$5="","",SUMIFS(Holdings!$R$6:$R$205,Holdings!$AK$6:$AK$205,E$5,Holdings!$G$6:$G$205,$B21)/Divisor)</f>
        <v>0</v>
      </c>
      <c r="F21" s="33" t="n">
        <f aca="false">IF(OR(E$5="",N(E$32)=0),"",E21/E$32)</f>
        <v>0</v>
      </c>
      <c r="G21" s="32" t="n">
        <f aca="false">IF(G$5="","",SUMIFS(Holdings!$R$6:$R$205,Holdings!$AK$6:$AK$205,G$5,Holdings!$G$6:$G$205,$B21)/Divisor)</f>
        <v>4.99946439565116</v>
      </c>
      <c r="H21" s="33" t="n">
        <f aca="false">IF(OR(G$5="",N(G$32)=0),"",G21/G$32)</f>
        <v>0.182616399139024</v>
      </c>
      <c r="I21" s="32" t="n">
        <f aca="false">IF(I$5="","",SUMIFS(Holdings!$R$6:$R$205,Holdings!$AK$6:$AK$205,I$5,Holdings!$G$6:$G$205,$B21)/Divisor)</f>
        <v>5.997504</v>
      </c>
      <c r="J21" s="33" t="n">
        <f aca="false">IF(OR(I$5="",N(I$32)=0),"",I21/I$32)</f>
        <v>0.187953626833499</v>
      </c>
      <c r="K21" s="32" t="n">
        <f aca="false">IF(K$5="","",SUMIFS(Holdings!$R$6:$R$205,Holdings!$AK$6:$AK$205,K$5,Holdings!$G$6:$G$205,$B21)/Divisor)</f>
        <v>6.74467856913961</v>
      </c>
      <c r="L21" s="33" t="n">
        <f aca="false">IF(OR(K$5="",N(K$32)=0),"",K21/K$32)</f>
        <v>0.678219866257894</v>
      </c>
      <c r="M21" s="32" t="str">
        <f aca="false">IF(M$5="","",SUMIFS(Holdings!$R$6:$R$205,Holdings!$AK$6:$AK$205,M$5,Holdings!$G$6:$G$205,$B21)/Divisor)</f>
        <v/>
      </c>
      <c r="N21" s="33" t="str">
        <f aca="false">IF(OR(M$5="",N(M$32)=0),"",M21/M$32)</f>
        <v/>
      </c>
      <c r="O21" s="32" t="str">
        <f aca="false">IF(O$5="","",SUMIFS(Holdings!$R$6:$R$205,Holdings!$AK$6:$AK$205,O$5,Holdings!$G$6:$G$205,$B21)/Divisor)</f>
        <v/>
      </c>
      <c r="P21" s="33" t="str">
        <f aca="false">IF(OR(O$5="",N(O$32)=0),"",O21/O$32)</f>
        <v/>
      </c>
      <c r="Q21" s="32" t="str">
        <f aca="false">IF(Q$5="","",SUMIFS(Holdings!$R$6:$R$205,Holdings!$AK$6:$AK$205,Q$5,Holdings!$G$6:$G$205,$B21)/Divisor)</f>
        <v/>
      </c>
      <c r="R21" s="33" t="str">
        <f aca="false">IF(OR(Q$5="",N(Q$32)=0),"",Q21/Q$32)</f>
        <v/>
      </c>
      <c r="S21" s="34"/>
      <c r="T21" s="32" t="n">
        <f aca="false">SUMIFS(Holdings!$R$6:$R$205,Holdings!$G$6:$G$205,$B21)/Divisor</f>
        <v>17.7416469647908</v>
      </c>
      <c r="U21" s="33" t="n">
        <f aca="false">IF(N($T$32)=0,"",T21/$T$32)</f>
        <v>0.128122094782472</v>
      </c>
    </row>
    <row r="22" customFormat="false" ht="15" hidden="false" customHeight="false" outlineLevel="0" collapsed="false">
      <c r="B22" s="35" t="str">
        <f aca="false">Lists!$D$17</f>
        <v>Liquid / Overnight Fund</v>
      </c>
      <c r="C22" s="37" t="n">
        <f aca="false">IF(C$5="","",SUMIFS(Holdings!$R$6:$R$205,Holdings!$AK$6:$AK$205,C$5,Holdings!$H$6:$H$205,$B22)/Divisor)</f>
        <v>0</v>
      </c>
      <c r="D22" s="38" t="n">
        <f aca="false">IF(OR(C$5="",N(C$32)=0),"",C22/C$32)</f>
        <v>0</v>
      </c>
      <c r="E22" s="37" t="n">
        <f aca="false">IF(E$5="","",SUMIFS(Holdings!$R$6:$R$205,Holdings!$AK$6:$AK$205,E$5,Holdings!$H$6:$H$205,$B22)/Divisor)</f>
        <v>0</v>
      </c>
      <c r="F22" s="38" t="n">
        <f aca="false">IF(OR(E$5="",N(E$32)=0),"",E22/E$32)</f>
        <v>0</v>
      </c>
      <c r="G22" s="37" t="n">
        <f aca="false">IF(G$5="","",SUMIFS(Holdings!$R$6:$R$205,Holdings!$AK$6:$AK$205,G$5,Holdings!$H$6:$H$205,$B22)/Divisor)</f>
        <v>4.99946439565116</v>
      </c>
      <c r="H22" s="38" t="n">
        <f aca="false">IF(OR(G$5="",N(G$32)=0),"",G22/G$32)</f>
        <v>0.182616399139024</v>
      </c>
      <c r="I22" s="37" t="n">
        <f aca="false">IF(I$5="","",SUMIFS(Holdings!$R$6:$R$205,Holdings!$AK$6:$AK$205,I$5,Holdings!$H$6:$H$205,$B22)/Divisor)</f>
        <v>0</v>
      </c>
      <c r="J22" s="38" t="n">
        <f aca="false">IF(OR(I$5="",N(I$32)=0),"",I22/I$32)</f>
        <v>0</v>
      </c>
      <c r="K22" s="37" t="n">
        <f aca="false">IF(K$5="","",SUMIFS(Holdings!$R$6:$R$205,Holdings!$AK$6:$AK$205,K$5,Holdings!$H$6:$H$205,$B22)/Divisor)</f>
        <v>2.99967856913961</v>
      </c>
      <c r="L22" s="38" t="n">
        <f aca="false">IF(OR(K$5="",N(K$32)=0),"",K22/K$32)</f>
        <v>0.301636553487835</v>
      </c>
      <c r="M22" s="37" t="str">
        <f aca="false">IF(M$5="","",SUMIFS(Holdings!$R$6:$R$205,Holdings!$AK$6:$AK$205,M$5,Holdings!$H$6:$H$205,$B22)/Divisor)</f>
        <v/>
      </c>
      <c r="N22" s="38" t="str">
        <f aca="false">IF(OR(M$5="",N(M$32)=0),"",M22/M$32)</f>
        <v/>
      </c>
      <c r="O22" s="37" t="str">
        <f aca="false">IF(O$5="","",SUMIFS(Holdings!$R$6:$R$205,Holdings!$AK$6:$AK$205,O$5,Holdings!$H$6:$H$205,$B22)/Divisor)</f>
        <v/>
      </c>
      <c r="P22" s="38" t="str">
        <f aca="false">IF(OR(O$5="",N(O$32)=0),"",O22/O$32)</f>
        <v/>
      </c>
      <c r="Q22" s="37" t="str">
        <f aca="false">IF(Q$5="","",SUMIFS(Holdings!$R$6:$R$205,Holdings!$AK$6:$AK$205,Q$5,Holdings!$H$6:$H$205,$B22)/Divisor)</f>
        <v/>
      </c>
      <c r="R22" s="38" t="str">
        <f aca="false">IF(OR(Q$5="",N(Q$32)=0),"",Q22/Q$32)</f>
        <v/>
      </c>
      <c r="T22" s="37" t="n">
        <f aca="false">SUMIFS(Holdings!$R$6:$R$205,Holdings!$H$6:$H$205,$B22)/Divisor</f>
        <v>7.99914296479077</v>
      </c>
      <c r="U22" s="38" t="n">
        <f aca="false">IF(N($T$32)=0,"",T22/$T$32)</f>
        <v>0.0577661676589198</v>
      </c>
    </row>
    <row r="23" customFormat="false" ht="15" hidden="false" customHeight="false" outlineLevel="0" collapsed="false">
      <c r="B23" s="35" t="str">
        <f aca="false">Lists!$D$18</f>
        <v>Arbitrage Fund</v>
      </c>
      <c r="C23" s="37" t="n">
        <f aca="false">IF(C$5="","",SUMIFS(Holdings!$R$6:$R$205,Holdings!$AK$6:$AK$205,C$5,Holdings!$H$6:$H$205,$B23)/Divisor)</f>
        <v>0</v>
      </c>
      <c r="D23" s="38" t="n">
        <f aca="false">IF(OR(C$5="",N(C$32)=0),"",C23/C$32)</f>
        <v>0</v>
      </c>
      <c r="E23" s="37" t="n">
        <f aca="false">IF(E$5="","",SUMIFS(Holdings!$R$6:$R$205,Holdings!$AK$6:$AK$205,E$5,Holdings!$H$6:$H$205,$B23)/Divisor)</f>
        <v>0</v>
      </c>
      <c r="F23" s="38" t="n">
        <f aca="false">IF(OR(E$5="",N(E$32)=0),"",E23/E$32)</f>
        <v>0</v>
      </c>
      <c r="G23" s="37" t="n">
        <f aca="false">IF(G$5="","",SUMIFS(Holdings!$R$6:$R$205,Holdings!$AK$6:$AK$205,G$5,Holdings!$H$6:$H$205,$B23)/Divisor)</f>
        <v>0</v>
      </c>
      <c r="H23" s="38" t="n">
        <f aca="false">IF(OR(G$5="",N(G$32)=0),"",G23/G$32)</f>
        <v>0</v>
      </c>
      <c r="I23" s="37" t="n">
        <f aca="false">IF(I$5="","",SUMIFS(Holdings!$R$6:$R$205,Holdings!$AK$6:$AK$205,I$5,Holdings!$H$6:$H$205,$B23)/Divisor)</f>
        <v>5.997504</v>
      </c>
      <c r="J23" s="38" t="n">
        <f aca="false">IF(OR(I$5="",N(I$32)=0),"",I23/I$32)</f>
        <v>0.187953626833499</v>
      </c>
      <c r="K23" s="37" t="n">
        <f aca="false">IF(K$5="","",SUMIFS(Holdings!$R$6:$R$205,Holdings!$AK$6:$AK$205,K$5,Holdings!$H$6:$H$205,$B23)/Divisor)</f>
        <v>0</v>
      </c>
      <c r="L23" s="38" t="n">
        <f aca="false">IF(OR(K$5="",N(K$32)=0),"",K23/K$32)</f>
        <v>0</v>
      </c>
      <c r="M23" s="37" t="str">
        <f aca="false">IF(M$5="","",SUMIFS(Holdings!$R$6:$R$205,Holdings!$AK$6:$AK$205,M$5,Holdings!$H$6:$H$205,$B23)/Divisor)</f>
        <v/>
      </c>
      <c r="N23" s="38" t="str">
        <f aca="false">IF(OR(M$5="",N(M$32)=0),"",M23/M$32)</f>
        <v/>
      </c>
      <c r="O23" s="37" t="str">
        <f aca="false">IF(O$5="","",SUMIFS(Holdings!$R$6:$R$205,Holdings!$AK$6:$AK$205,O$5,Holdings!$H$6:$H$205,$B23)/Divisor)</f>
        <v/>
      </c>
      <c r="P23" s="38" t="str">
        <f aca="false">IF(OR(O$5="",N(O$32)=0),"",O23/O$32)</f>
        <v/>
      </c>
      <c r="Q23" s="37" t="str">
        <f aca="false">IF(Q$5="","",SUMIFS(Holdings!$R$6:$R$205,Holdings!$AK$6:$AK$205,Q$5,Holdings!$H$6:$H$205,$B23)/Divisor)</f>
        <v/>
      </c>
      <c r="R23" s="38" t="str">
        <f aca="false">IF(OR(Q$5="",N(Q$32)=0),"",Q23/Q$32)</f>
        <v/>
      </c>
      <c r="T23" s="37" t="n">
        <f aca="false">SUMIFS(Holdings!$R$6:$R$205,Holdings!$H$6:$H$205,$B23)/Divisor</f>
        <v>5.997504</v>
      </c>
      <c r="U23" s="38" t="n">
        <f aca="false">IF(N($T$32)=0,"",T23/$T$32)</f>
        <v>0.043311242607364</v>
      </c>
    </row>
    <row r="24" customFormat="false" ht="15" hidden="false" customHeight="false" outlineLevel="0" collapsed="false">
      <c r="B24" s="35" t="str">
        <f aca="false">Lists!$D$19</f>
        <v>Bank / Cash Balance</v>
      </c>
      <c r="C24" s="37" t="n">
        <f aca="false">IF(C$5="","",SUMIFS(Holdings!$R$6:$R$205,Holdings!$AK$6:$AK$205,C$5,Holdings!$H$6:$H$205,$B24)/Divisor)</f>
        <v>0</v>
      </c>
      <c r="D24" s="38" t="n">
        <f aca="false">IF(OR(C$5="",N(C$32)=0),"",C24/C$32)</f>
        <v>0</v>
      </c>
      <c r="E24" s="37" t="n">
        <f aca="false">IF(E$5="","",SUMIFS(Holdings!$R$6:$R$205,Holdings!$AK$6:$AK$205,E$5,Holdings!$H$6:$H$205,$B24)/Divisor)</f>
        <v>0</v>
      </c>
      <c r="F24" s="38" t="n">
        <f aca="false">IF(OR(E$5="",N(E$32)=0),"",E24/E$32)</f>
        <v>0</v>
      </c>
      <c r="G24" s="37" t="n">
        <f aca="false">IF(G$5="","",SUMIFS(Holdings!$R$6:$R$205,Holdings!$AK$6:$AK$205,G$5,Holdings!$H$6:$H$205,$B24)/Divisor)</f>
        <v>0</v>
      </c>
      <c r="H24" s="38" t="n">
        <f aca="false">IF(OR(G$5="",N(G$32)=0),"",G24/G$32)</f>
        <v>0</v>
      </c>
      <c r="I24" s="37" t="n">
        <f aca="false">IF(I$5="","",SUMIFS(Holdings!$R$6:$R$205,Holdings!$AK$6:$AK$205,I$5,Holdings!$H$6:$H$205,$B24)/Divisor)</f>
        <v>0</v>
      </c>
      <c r="J24" s="38" t="n">
        <f aca="false">IF(OR(I$5="",N(I$32)=0),"",I24/I$32)</f>
        <v>0</v>
      </c>
      <c r="K24" s="37" t="n">
        <f aca="false">IF(K$5="","",SUMIFS(Holdings!$R$6:$R$205,Holdings!$AK$6:$AK$205,K$5,Holdings!$H$6:$H$205,$B24)/Divisor)</f>
        <v>3.745</v>
      </c>
      <c r="L24" s="38" t="n">
        <f aca="false">IF(OR(K$5="",N(K$32)=0),"",K24/K$32)</f>
        <v>0.376583312770059</v>
      </c>
      <c r="M24" s="37" t="str">
        <f aca="false">IF(M$5="","",SUMIFS(Holdings!$R$6:$R$205,Holdings!$AK$6:$AK$205,M$5,Holdings!$H$6:$H$205,$B24)/Divisor)</f>
        <v/>
      </c>
      <c r="N24" s="38" t="str">
        <f aca="false">IF(OR(M$5="",N(M$32)=0),"",M24/M$32)</f>
        <v/>
      </c>
      <c r="O24" s="37" t="str">
        <f aca="false">IF(O$5="","",SUMIFS(Holdings!$R$6:$R$205,Holdings!$AK$6:$AK$205,O$5,Holdings!$H$6:$H$205,$B24)/Divisor)</f>
        <v/>
      </c>
      <c r="P24" s="38" t="str">
        <f aca="false">IF(OR(O$5="",N(O$32)=0),"",O24/O$32)</f>
        <v/>
      </c>
      <c r="Q24" s="37" t="str">
        <f aca="false">IF(Q$5="","",SUMIFS(Holdings!$R$6:$R$205,Holdings!$AK$6:$AK$205,Q$5,Holdings!$H$6:$H$205,$B24)/Divisor)</f>
        <v/>
      </c>
      <c r="R24" s="38" t="str">
        <f aca="false">IF(OR(Q$5="",N(Q$32)=0),"",Q24/Q$32)</f>
        <v/>
      </c>
      <c r="T24" s="37" t="n">
        <f aca="false">SUMIFS(Holdings!$R$6:$R$205,Holdings!$H$6:$H$205,$B24)/Divisor</f>
        <v>3.745</v>
      </c>
      <c r="U24" s="38" t="n">
        <f aca="false">IF(N($T$32)=0,"",T24/$T$32)</f>
        <v>0.0270446845161885</v>
      </c>
    </row>
    <row r="25" customFormat="false" ht="15" hidden="false" customHeight="false" outlineLevel="0" collapsed="false">
      <c r="B25" s="30" t="str">
        <f aca="false">Lists!$A$9</f>
        <v>Alternate</v>
      </c>
      <c r="C25" s="32" t="n">
        <f aca="false">IF(C$5="","",SUMIFS(Holdings!$R$6:$R$205,Holdings!$AK$6:$AK$205,C$5,Holdings!$G$6:$G$205,$B25)/Divisor)</f>
        <v>2.5</v>
      </c>
      <c r="D25" s="33" t="n">
        <f aca="false">IF(OR(C$5="",N(C$32)=0),"",C25/C$32)</f>
        <v>0.063965775751342</v>
      </c>
      <c r="E25" s="32" t="n">
        <f aca="false">IF(E$5="","",SUMIFS(Holdings!$R$6:$R$205,Holdings!$AK$6:$AK$205,E$5,Holdings!$G$6:$G$205,$B25)/Divisor)</f>
        <v>3.03156</v>
      </c>
      <c r="F25" s="33" t="n">
        <f aca="false">IF(OR(E$5="",N(E$32)=0),"",E25/E$32)</f>
        <v>0.10051558227249</v>
      </c>
      <c r="G25" s="32" t="n">
        <f aca="false">IF(G$5="","",SUMIFS(Holdings!$R$6:$R$205,Holdings!$AK$6:$AK$205,G$5,Holdings!$G$6:$G$205,$B25)/Divisor)</f>
        <v>1.7352</v>
      </c>
      <c r="H25" s="33" t="n">
        <f aca="false">IF(OR(G$5="",N(G$32)=0),"",G25/G$32)</f>
        <v>0.0633819846905345</v>
      </c>
      <c r="I25" s="32" t="n">
        <f aca="false">IF(I$5="","",SUMIFS(Holdings!$R$6:$R$205,Holdings!$AK$6:$AK$205,I$5,Holdings!$G$6:$G$205,$B25)/Divisor)</f>
        <v>12.3168</v>
      </c>
      <c r="J25" s="33" t="n">
        <f aca="false">IF(OR(I$5="",N(I$32)=0),"",I25/I$32)</f>
        <v>0.385991777743347</v>
      </c>
      <c r="K25" s="32" t="n">
        <f aca="false">IF(K$5="","",SUMIFS(Holdings!$R$6:$R$205,Holdings!$AK$6:$AK$205,K$5,Holdings!$G$6:$G$205,$B25)/Divisor)</f>
        <v>3.2</v>
      </c>
      <c r="L25" s="33" t="n">
        <f aca="false">IF(OR(K$5="",N(K$32)=0),"",K25/K$32)</f>
        <v>0.321780133742106</v>
      </c>
      <c r="M25" s="32" t="str">
        <f aca="false">IF(M$5="","",SUMIFS(Holdings!$R$6:$R$205,Holdings!$AK$6:$AK$205,M$5,Holdings!$G$6:$G$205,$B25)/Divisor)</f>
        <v/>
      </c>
      <c r="N25" s="33" t="str">
        <f aca="false">IF(OR(M$5="",N(M$32)=0),"",M25/M$32)</f>
        <v/>
      </c>
      <c r="O25" s="32" t="str">
        <f aca="false">IF(O$5="","",SUMIFS(Holdings!$R$6:$R$205,Holdings!$AK$6:$AK$205,O$5,Holdings!$G$6:$G$205,$B25)/Divisor)</f>
        <v/>
      </c>
      <c r="P25" s="33" t="str">
        <f aca="false">IF(OR(O$5="",N(O$32)=0),"",O25/O$32)</f>
        <v/>
      </c>
      <c r="Q25" s="32" t="str">
        <f aca="false">IF(Q$5="","",SUMIFS(Holdings!$R$6:$R$205,Holdings!$AK$6:$AK$205,Q$5,Holdings!$G$6:$G$205,$B25)/Divisor)</f>
        <v/>
      </c>
      <c r="R25" s="33" t="str">
        <f aca="false">IF(OR(Q$5="",N(Q$32)=0),"",Q25/Q$32)</f>
        <v/>
      </c>
      <c r="S25" s="34"/>
      <c r="T25" s="32" t="n">
        <f aca="false">SUMIFS(Holdings!$R$6:$R$205,Holdings!$G$6:$G$205,$B25)/Divisor</f>
        <v>22.78356</v>
      </c>
      <c r="U25" s="33" t="n">
        <f aca="false">IF(N($T$32)=0,"",T25/$T$32)</f>
        <v>0.164532494621002</v>
      </c>
    </row>
    <row r="26" customFormat="false" ht="15" hidden="false" customHeight="false" outlineLevel="0" collapsed="false">
      <c r="B26" s="35" t="str">
        <f aca="false">Lists!$D$20</f>
        <v>Gold / Silver (ETF, SGB, FoF)</v>
      </c>
      <c r="C26" s="37" t="n">
        <f aca="false">IF(C$5="","",SUMIFS(Holdings!$R$6:$R$205,Holdings!$AK$6:$AK$205,C$5,Holdings!$H$6:$H$205,$B26)/Divisor)</f>
        <v>0</v>
      </c>
      <c r="D26" s="38" t="n">
        <f aca="false">IF(OR(C$5="",N(C$32)=0),"",C26/C$32)</f>
        <v>0</v>
      </c>
      <c r="E26" s="37" t="n">
        <f aca="false">IF(E$5="","",SUMIFS(Holdings!$R$6:$R$205,Holdings!$AK$6:$AK$205,E$5,Holdings!$H$6:$H$205,$B26)/Divisor)</f>
        <v>3.03156</v>
      </c>
      <c r="F26" s="38" t="n">
        <f aca="false">IF(OR(E$5="",N(E$32)=0),"",E26/E$32)</f>
        <v>0.10051558227249</v>
      </c>
      <c r="G26" s="37" t="n">
        <f aca="false">IF(G$5="","",SUMIFS(Holdings!$R$6:$R$205,Holdings!$AK$6:$AK$205,G$5,Holdings!$H$6:$H$205,$B26)/Divisor)</f>
        <v>1.7352</v>
      </c>
      <c r="H26" s="38" t="n">
        <f aca="false">IF(OR(G$5="",N(G$32)=0),"",G26/G$32)</f>
        <v>0.0633819846905345</v>
      </c>
      <c r="I26" s="37" t="n">
        <f aca="false">IF(I$5="","",SUMIFS(Holdings!$R$6:$R$205,Holdings!$AK$6:$AK$205,I$5,Holdings!$H$6:$H$205,$B26)/Divisor)</f>
        <v>0</v>
      </c>
      <c r="J26" s="38" t="n">
        <f aca="false">IF(OR(I$5="",N(I$32)=0),"",I26/I$32)</f>
        <v>0</v>
      </c>
      <c r="K26" s="37" t="n">
        <f aca="false">IF(K$5="","",SUMIFS(Holdings!$R$6:$R$205,Holdings!$AK$6:$AK$205,K$5,Holdings!$H$6:$H$205,$B26)/Divisor)</f>
        <v>0</v>
      </c>
      <c r="L26" s="38" t="n">
        <f aca="false">IF(OR(K$5="",N(K$32)=0),"",K26/K$32)</f>
        <v>0</v>
      </c>
      <c r="M26" s="37" t="str">
        <f aca="false">IF(M$5="","",SUMIFS(Holdings!$R$6:$R$205,Holdings!$AK$6:$AK$205,M$5,Holdings!$H$6:$H$205,$B26)/Divisor)</f>
        <v/>
      </c>
      <c r="N26" s="38" t="str">
        <f aca="false">IF(OR(M$5="",N(M$32)=0),"",M26/M$32)</f>
        <v/>
      </c>
      <c r="O26" s="37" t="str">
        <f aca="false">IF(O$5="","",SUMIFS(Holdings!$R$6:$R$205,Holdings!$AK$6:$AK$205,O$5,Holdings!$H$6:$H$205,$B26)/Divisor)</f>
        <v/>
      </c>
      <c r="P26" s="38" t="str">
        <f aca="false">IF(OR(O$5="",N(O$32)=0),"",O26/O$32)</f>
        <v/>
      </c>
      <c r="Q26" s="37" t="str">
        <f aca="false">IF(Q$5="","",SUMIFS(Holdings!$R$6:$R$205,Holdings!$AK$6:$AK$205,Q$5,Holdings!$H$6:$H$205,$B26)/Divisor)</f>
        <v/>
      </c>
      <c r="R26" s="38" t="str">
        <f aca="false">IF(OR(Q$5="",N(Q$32)=0),"",Q26/Q$32)</f>
        <v/>
      </c>
      <c r="T26" s="37" t="n">
        <f aca="false">SUMIFS(Holdings!$R$6:$R$205,Holdings!$H$6:$H$205,$B26)/Divisor</f>
        <v>4.76676</v>
      </c>
      <c r="U26" s="38" t="n">
        <f aca="false">IF(N($T$32)=0,"",T26/$T$32)</f>
        <v>0.0344233699237347</v>
      </c>
    </row>
    <row r="27" customFormat="false" ht="15" hidden="false" customHeight="false" outlineLevel="0" collapsed="false">
      <c r="B27" s="35" t="str">
        <f aca="false">Lists!$D$21</f>
        <v>REIT / InvIT</v>
      </c>
      <c r="C27" s="37" t="n">
        <f aca="false">IF(C$5="","",SUMIFS(Holdings!$R$6:$R$205,Holdings!$AK$6:$AK$205,C$5,Holdings!$H$6:$H$205,$B27)/Divisor)</f>
        <v>0</v>
      </c>
      <c r="D27" s="38" t="n">
        <f aca="false">IF(OR(C$5="",N(C$32)=0),"",C27/C$32)</f>
        <v>0</v>
      </c>
      <c r="E27" s="37" t="n">
        <f aca="false">IF(E$5="","",SUMIFS(Holdings!$R$6:$R$205,Holdings!$AK$6:$AK$205,E$5,Holdings!$H$6:$H$205,$B27)/Divisor)</f>
        <v>0</v>
      </c>
      <c r="F27" s="38" t="n">
        <f aca="false">IF(OR(E$5="",N(E$32)=0),"",E27/E$32)</f>
        <v>0</v>
      </c>
      <c r="G27" s="37" t="n">
        <f aca="false">IF(G$5="","",SUMIFS(Holdings!$R$6:$R$205,Holdings!$AK$6:$AK$205,G$5,Holdings!$H$6:$H$205,$B27)/Divisor)</f>
        <v>0</v>
      </c>
      <c r="H27" s="38" t="n">
        <f aca="false">IF(OR(G$5="",N(G$32)=0),"",G27/G$32)</f>
        <v>0</v>
      </c>
      <c r="I27" s="37" t="n">
        <f aca="false">IF(I$5="","",SUMIFS(Holdings!$R$6:$R$205,Holdings!$AK$6:$AK$205,I$5,Holdings!$H$6:$H$205,$B27)/Divisor)</f>
        <v>4.728</v>
      </c>
      <c r="J27" s="38" t="n">
        <f aca="false">IF(OR(I$5="",N(I$32)=0),"",I27/I$32)</f>
        <v>0.148169096288853</v>
      </c>
      <c r="K27" s="37" t="n">
        <f aca="false">IF(K$5="","",SUMIFS(Holdings!$R$6:$R$205,Holdings!$AK$6:$AK$205,K$5,Holdings!$H$6:$H$205,$B27)/Divisor)</f>
        <v>0</v>
      </c>
      <c r="L27" s="38" t="n">
        <f aca="false">IF(OR(K$5="",N(K$32)=0),"",K27/K$32)</f>
        <v>0</v>
      </c>
      <c r="M27" s="37" t="str">
        <f aca="false">IF(M$5="","",SUMIFS(Holdings!$R$6:$R$205,Holdings!$AK$6:$AK$205,M$5,Holdings!$H$6:$H$205,$B27)/Divisor)</f>
        <v/>
      </c>
      <c r="N27" s="38" t="str">
        <f aca="false">IF(OR(M$5="",N(M$32)=0),"",M27/M$32)</f>
        <v/>
      </c>
      <c r="O27" s="37" t="str">
        <f aca="false">IF(O$5="","",SUMIFS(Holdings!$R$6:$R$205,Holdings!$AK$6:$AK$205,O$5,Holdings!$H$6:$H$205,$B27)/Divisor)</f>
        <v/>
      </c>
      <c r="P27" s="38" t="str">
        <f aca="false">IF(OR(O$5="",N(O$32)=0),"",O27/O$32)</f>
        <v/>
      </c>
      <c r="Q27" s="37" t="str">
        <f aca="false">IF(Q$5="","",SUMIFS(Holdings!$R$6:$R$205,Holdings!$AK$6:$AK$205,Q$5,Holdings!$H$6:$H$205,$B27)/Divisor)</f>
        <v/>
      </c>
      <c r="R27" s="38" t="str">
        <f aca="false">IF(OR(Q$5="",N(Q$32)=0),"",Q27/Q$32)</f>
        <v/>
      </c>
      <c r="T27" s="37" t="n">
        <f aca="false">SUMIFS(Holdings!$R$6:$R$205,Holdings!$H$6:$H$205,$B27)/Divisor</f>
        <v>4.728</v>
      </c>
      <c r="U27" s="38" t="n">
        <f aca="false">IF(N($T$32)=0,"",T27/$T$32)</f>
        <v>0.0341434628551506</v>
      </c>
    </row>
    <row r="28" customFormat="false" ht="15" hidden="false" customHeight="false" outlineLevel="0" collapsed="false">
      <c r="B28" s="35" t="str">
        <f aca="false">Lists!$D$22</f>
        <v>AIF Cat I / II – PE / VC Fund</v>
      </c>
      <c r="C28" s="37" t="n">
        <f aca="false">IF(C$5="","",SUMIFS(Holdings!$R$6:$R$205,Holdings!$AK$6:$AK$205,C$5,Holdings!$H$6:$H$205,$B28)/Divisor)</f>
        <v>0</v>
      </c>
      <c r="D28" s="38" t="n">
        <f aca="false">IF(OR(C$5="",N(C$32)=0),"",C28/C$32)</f>
        <v>0</v>
      </c>
      <c r="E28" s="37" t="n">
        <f aca="false">IF(E$5="","",SUMIFS(Holdings!$R$6:$R$205,Holdings!$AK$6:$AK$205,E$5,Holdings!$H$6:$H$205,$B28)/Divisor)</f>
        <v>0</v>
      </c>
      <c r="F28" s="38" t="n">
        <f aca="false">IF(OR(E$5="",N(E$32)=0),"",E28/E$32)</f>
        <v>0</v>
      </c>
      <c r="G28" s="37" t="n">
        <f aca="false">IF(G$5="","",SUMIFS(Holdings!$R$6:$R$205,Holdings!$AK$6:$AK$205,G$5,Holdings!$H$6:$H$205,$B28)/Divisor)</f>
        <v>0</v>
      </c>
      <c r="H28" s="38" t="n">
        <f aca="false">IF(OR(G$5="",N(G$32)=0),"",G28/G$32)</f>
        <v>0</v>
      </c>
      <c r="I28" s="37" t="n">
        <f aca="false">IF(I$5="","",SUMIFS(Holdings!$R$6:$R$205,Holdings!$AK$6:$AK$205,I$5,Holdings!$H$6:$H$205,$B28)/Divisor)</f>
        <v>7.5888</v>
      </c>
      <c r="J28" s="38" t="n">
        <f aca="false">IF(OR(I$5="",N(I$32)=0),"",I28/I$32)</f>
        <v>0.237822681454494</v>
      </c>
      <c r="K28" s="37" t="n">
        <f aca="false">IF(K$5="","",SUMIFS(Holdings!$R$6:$R$205,Holdings!$AK$6:$AK$205,K$5,Holdings!$H$6:$H$205,$B28)/Divisor)</f>
        <v>0</v>
      </c>
      <c r="L28" s="38" t="n">
        <f aca="false">IF(OR(K$5="",N(K$32)=0),"",K28/K$32)</f>
        <v>0</v>
      </c>
      <c r="M28" s="37" t="str">
        <f aca="false">IF(M$5="","",SUMIFS(Holdings!$R$6:$R$205,Holdings!$AK$6:$AK$205,M$5,Holdings!$H$6:$H$205,$B28)/Divisor)</f>
        <v/>
      </c>
      <c r="N28" s="38" t="str">
        <f aca="false">IF(OR(M$5="",N(M$32)=0),"",M28/M$32)</f>
        <v/>
      </c>
      <c r="O28" s="37" t="str">
        <f aca="false">IF(O$5="","",SUMIFS(Holdings!$R$6:$R$205,Holdings!$AK$6:$AK$205,O$5,Holdings!$H$6:$H$205,$B28)/Divisor)</f>
        <v/>
      </c>
      <c r="P28" s="38" t="str">
        <f aca="false">IF(OR(O$5="",N(O$32)=0),"",O28/O$32)</f>
        <v/>
      </c>
      <c r="Q28" s="37" t="str">
        <f aca="false">IF(Q$5="","",SUMIFS(Holdings!$R$6:$R$205,Holdings!$AK$6:$AK$205,Q$5,Holdings!$H$6:$H$205,$B28)/Divisor)</f>
        <v/>
      </c>
      <c r="R28" s="38" t="str">
        <f aca="false">IF(OR(Q$5="",N(Q$32)=0),"",Q28/Q$32)</f>
        <v/>
      </c>
      <c r="T28" s="37" t="n">
        <f aca="false">SUMIFS(Holdings!$R$6:$R$205,Holdings!$H$6:$H$205,$B28)/Divisor</f>
        <v>7.5888</v>
      </c>
      <c r="U28" s="38" t="n">
        <f aca="false">IF(N($T$32)=0,"",T28/$T$32)</f>
        <v>0.0548028576385717</v>
      </c>
    </row>
    <row r="29" customFormat="false" ht="15" hidden="false" customHeight="false" outlineLevel="0" collapsed="false">
      <c r="B29" s="35" t="str">
        <f aca="false">Lists!$D$23</f>
        <v>Private Equity – Unlisted Shares</v>
      </c>
      <c r="C29" s="37" t="n">
        <f aca="false">IF(C$5="","",SUMIFS(Holdings!$R$6:$R$205,Holdings!$AK$6:$AK$205,C$5,Holdings!$H$6:$H$205,$B29)/Divisor)</f>
        <v>2.5</v>
      </c>
      <c r="D29" s="38" t="n">
        <f aca="false">IF(OR(C$5="",N(C$32)=0),"",C29/C$32)</f>
        <v>0.063965775751342</v>
      </c>
      <c r="E29" s="37" t="n">
        <f aca="false">IF(E$5="","",SUMIFS(Holdings!$R$6:$R$205,Holdings!$AK$6:$AK$205,E$5,Holdings!$H$6:$H$205,$B29)/Divisor)</f>
        <v>0</v>
      </c>
      <c r="F29" s="38" t="n">
        <f aca="false">IF(OR(E$5="",N(E$32)=0),"",E29/E$32)</f>
        <v>0</v>
      </c>
      <c r="G29" s="37" t="n">
        <f aca="false">IF(G$5="","",SUMIFS(Holdings!$R$6:$R$205,Holdings!$AK$6:$AK$205,G$5,Holdings!$H$6:$H$205,$B29)/Divisor)</f>
        <v>0</v>
      </c>
      <c r="H29" s="38" t="n">
        <f aca="false">IF(OR(G$5="",N(G$32)=0),"",G29/G$32)</f>
        <v>0</v>
      </c>
      <c r="I29" s="37" t="n">
        <f aca="false">IF(I$5="","",SUMIFS(Holdings!$R$6:$R$205,Holdings!$AK$6:$AK$205,I$5,Holdings!$H$6:$H$205,$B29)/Divisor)</f>
        <v>0</v>
      </c>
      <c r="J29" s="38" t="n">
        <f aca="false">IF(OR(I$5="",N(I$32)=0),"",I29/I$32)</f>
        <v>0</v>
      </c>
      <c r="K29" s="37" t="n">
        <f aca="false">IF(K$5="","",SUMIFS(Holdings!$R$6:$R$205,Holdings!$AK$6:$AK$205,K$5,Holdings!$H$6:$H$205,$B29)/Divisor)</f>
        <v>0</v>
      </c>
      <c r="L29" s="38" t="n">
        <f aca="false">IF(OR(K$5="",N(K$32)=0),"",K29/K$32)</f>
        <v>0</v>
      </c>
      <c r="M29" s="37" t="str">
        <f aca="false">IF(M$5="","",SUMIFS(Holdings!$R$6:$R$205,Holdings!$AK$6:$AK$205,M$5,Holdings!$H$6:$H$205,$B29)/Divisor)</f>
        <v/>
      </c>
      <c r="N29" s="38" t="str">
        <f aca="false">IF(OR(M$5="",N(M$32)=0),"",M29/M$32)</f>
        <v/>
      </c>
      <c r="O29" s="37" t="str">
        <f aca="false">IF(O$5="","",SUMIFS(Holdings!$R$6:$R$205,Holdings!$AK$6:$AK$205,O$5,Holdings!$H$6:$H$205,$B29)/Divisor)</f>
        <v/>
      </c>
      <c r="P29" s="38" t="str">
        <f aca="false">IF(OR(O$5="",N(O$32)=0),"",O29/O$32)</f>
        <v/>
      </c>
      <c r="Q29" s="37" t="str">
        <f aca="false">IF(Q$5="","",SUMIFS(Holdings!$R$6:$R$205,Holdings!$AK$6:$AK$205,Q$5,Holdings!$H$6:$H$205,$B29)/Divisor)</f>
        <v/>
      </c>
      <c r="R29" s="38" t="str">
        <f aca="false">IF(OR(Q$5="",N(Q$32)=0),"",Q29/Q$32)</f>
        <v/>
      </c>
      <c r="T29" s="37" t="n">
        <f aca="false">SUMIFS(Holdings!$R$6:$R$205,Holdings!$H$6:$H$205,$B29)/Divisor</f>
        <v>2.5</v>
      </c>
      <c r="U29" s="38" t="n">
        <f aca="false">IF(N($T$32)=0,"",T29/$T$32)</f>
        <v>0.0180538614927827</v>
      </c>
    </row>
    <row r="30" customFormat="false" ht="15" hidden="false" customHeight="false" outlineLevel="0" collapsed="false">
      <c r="B30" s="35" t="str">
        <f aca="false">Lists!$D$24</f>
        <v>Pre-IPO</v>
      </c>
      <c r="C30" s="37" t="n">
        <f aca="false">IF(C$5="","",SUMIFS(Holdings!$R$6:$R$205,Holdings!$AK$6:$AK$205,C$5,Holdings!$H$6:$H$205,$B30)/Divisor)</f>
        <v>0</v>
      </c>
      <c r="D30" s="38" t="n">
        <f aca="false">IF(OR(C$5="",N(C$32)=0),"",C30/C$32)</f>
        <v>0</v>
      </c>
      <c r="E30" s="37" t="n">
        <f aca="false">IF(E$5="","",SUMIFS(Holdings!$R$6:$R$205,Holdings!$AK$6:$AK$205,E$5,Holdings!$H$6:$H$205,$B30)/Divisor)</f>
        <v>0</v>
      </c>
      <c r="F30" s="38" t="n">
        <f aca="false">IF(OR(E$5="",N(E$32)=0),"",E30/E$32)</f>
        <v>0</v>
      </c>
      <c r="G30" s="37" t="n">
        <f aca="false">IF(G$5="","",SUMIFS(Holdings!$R$6:$R$205,Holdings!$AK$6:$AK$205,G$5,Holdings!$H$6:$H$205,$B30)/Divisor)</f>
        <v>0</v>
      </c>
      <c r="H30" s="38" t="n">
        <f aca="false">IF(OR(G$5="",N(G$32)=0),"",G30/G$32)</f>
        <v>0</v>
      </c>
      <c r="I30" s="37" t="n">
        <f aca="false">IF(I$5="","",SUMIFS(Holdings!$R$6:$R$205,Holdings!$AK$6:$AK$205,I$5,Holdings!$H$6:$H$205,$B30)/Divisor)</f>
        <v>0</v>
      </c>
      <c r="J30" s="38" t="n">
        <f aca="false">IF(OR(I$5="",N(I$32)=0),"",I30/I$32)</f>
        <v>0</v>
      </c>
      <c r="K30" s="37" t="n">
        <f aca="false">IF(K$5="","",SUMIFS(Holdings!$R$6:$R$205,Holdings!$AK$6:$AK$205,K$5,Holdings!$H$6:$H$205,$B30)/Divisor)</f>
        <v>3.2</v>
      </c>
      <c r="L30" s="38" t="n">
        <f aca="false">IF(OR(K$5="",N(K$32)=0),"",K30/K$32)</f>
        <v>0.321780133742106</v>
      </c>
      <c r="M30" s="37" t="str">
        <f aca="false">IF(M$5="","",SUMIFS(Holdings!$R$6:$R$205,Holdings!$AK$6:$AK$205,M$5,Holdings!$H$6:$H$205,$B30)/Divisor)</f>
        <v/>
      </c>
      <c r="N30" s="38" t="str">
        <f aca="false">IF(OR(M$5="",N(M$32)=0),"",M30/M$32)</f>
        <v/>
      </c>
      <c r="O30" s="37" t="str">
        <f aca="false">IF(O$5="","",SUMIFS(Holdings!$R$6:$R$205,Holdings!$AK$6:$AK$205,O$5,Holdings!$H$6:$H$205,$B30)/Divisor)</f>
        <v/>
      </c>
      <c r="P30" s="38" t="str">
        <f aca="false">IF(OR(O$5="",N(O$32)=0),"",O30/O$32)</f>
        <v/>
      </c>
      <c r="Q30" s="37" t="str">
        <f aca="false">IF(Q$5="","",SUMIFS(Holdings!$R$6:$R$205,Holdings!$AK$6:$AK$205,Q$5,Holdings!$H$6:$H$205,$B30)/Divisor)</f>
        <v/>
      </c>
      <c r="R30" s="38" t="str">
        <f aca="false">IF(OR(Q$5="",N(Q$32)=0),"",Q30/Q$32)</f>
        <v/>
      </c>
      <c r="T30" s="37" t="n">
        <f aca="false">SUMIFS(Holdings!$R$6:$R$205,Holdings!$H$6:$H$205,$B30)/Divisor</f>
        <v>3.2</v>
      </c>
      <c r="U30" s="38" t="n">
        <f aca="false">IF(N($T$32)=0,"",T30/$T$32)</f>
        <v>0.0231089427107618</v>
      </c>
    </row>
    <row r="32" customFormat="false" ht="15" hidden="false" customHeight="false" outlineLevel="0" collapsed="false">
      <c r="B32" s="39" t="s">
        <v>92</v>
      </c>
      <c r="C32" s="41" t="n">
        <f aca="false">IF(C$5="","",SUMIFS(Holdings!$R$6:$R$205,Holdings!$AK$6:$AK$205,C$5)/Divisor)</f>
        <v>39.0834</v>
      </c>
      <c r="D32" s="42" t="n">
        <f aca="false">IF(OR(C$5="",N($T$32)=0),"",C32/$T$32)</f>
        <v>0.282242516106809</v>
      </c>
      <c r="E32" s="41" t="n">
        <f aca="false">IF(E$5="","",SUMIFS(Holdings!$R$6:$R$205,Holdings!$AK$6:$AK$205,E$5)/Divisor)</f>
        <v>30.1600998716962</v>
      </c>
      <c r="F32" s="42" t="n">
        <f aca="false">IF(OR(E$5="",N($T$32)=0),"",E32/$T$32)</f>
        <v>0.217802506276838</v>
      </c>
      <c r="G32" s="41" t="n">
        <f aca="false">IF(G$5="","",SUMIFS(Holdings!$R$6:$R$205,Holdings!$AK$6:$AK$205,G$5)/Divisor)</f>
        <v>27.3768643956512</v>
      </c>
      <c r="H32" s="42" t="n">
        <f aca="false">IF(OR(G$5="",N($T$32)=0),"",G32/$T$32)</f>
        <v>0.197703247162312</v>
      </c>
      <c r="I32" s="41" t="n">
        <f aca="false">IF(I$5="","",SUMIFS(Holdings!$R$6:$R$205,Holdings!$AK$6:$AK$205,I$5)/Divisor)</f>
        <v>31.909488</v>
      </c>
      <c r="J32" s="42" t="n">
        <f aca="false">IF(OR(I$5="",N($T$32)=0),"",I32/$T$32)</f>
        <v>0.230435790663044</v>
      </c>
      <c r="K32" s="41" t="n">
        <f aca="false">IF(K$5="","",SUMIFS(Holdings!$R$6:$R$205,Holdings!$AK$6:$AK$205,K$5)/Divisor)</f>
        <v>9.94467856913961</v>
      </c>
      <c r="L32" s="42" t="n">
        <f aca="false">IF(OR(K$5="",N($T$32)=0),"",K32/$T$32)</f>
        <v>0.0718159397909963</v>
      </c>
      <c r="M32" s="41" t="str">
        <f aca="false">IF(M$5="","",SUMIFS(Holdings!$R$6:$R$205,Holdings!$AK$6:$AK$205,M$5)/Divisor)</f>
        <v/>
      </c>
      <c r="N32" s="42" t="str">
        <f aca="false">IF(OR(M$5="",N($T$32)=0),"",M32/$T$32)</f>
        <v/>
      </c>
      <c r="O32" s="41" t="str">
        <f aca="false">IF(O$5="","",SUMIFS(Holdings!$R$6:$R$205,Holdings!$AK$6:$AK$205,O$5)/Divisor)</f>
        <v/>
      </c>
      <c r="P32" s="42" t="str">
        <f aca="false">IF(OR(O$5="",N($T$32)=0),"",O32/$T$32)</f>
        <v/>
      </c>
      <c r="Q32" s="41" t="str">
        <f aca="false">IF(Q$5="","",SUMIFS(Holdings!$R$6:$R$205,Holdings!$AK$6:$AK$205,Q$5)/Divisor)</f>
        <v/>
      </c>
      <c r="R32" s="42" t="str">
        <f aca="false">IF(OR(Q$5="",N($T$32)=0),"",Q32/$T$32)</f>
        <v/>
      </c>
      <c r="S32" s="43"/>
      <c r="T32" s="41" t="n">
        <f aca="false">SUM(Holdings!$R$6:$R$205)/Divisor</f>
        <v>138.474530836487</v>
      </c>
      <c r="U32" s="42" t="n">
        <f aca="false">IF(N(T32)=0,"",T32/T32)</f>
        <v>1</v>
      </c>
    </row>
    <row r="34" customFormat="false" ht="15" hidden="false" customHeight="false" outlineLevel="0" collapsed="false">
      <c r="B34" s="7" t="s">
        <v>145</v>
      </c>
    </row>
    <row r="35" customFormat="false" ht="15" hidden="false" customHeight="false" outlineLevel="0" collapsed="false">
      <c r="B35" s="49" t="str">
        <f aca="false">IF(COUNTA(Entities!$A$6:$A$25)&gt;8,COUNTA(Entities!$A$6:$A$25)-8&amp;" more entit(ies) are not shown here but are in the Family column: see Checks.","")</f>
        <v/>
      </c>
    </row>
  </sheetData>
  <mergeCells count="10">
    <mergeCell ref="B6:B7"/>
    <mergeCell ref="C6:D6"/>
    <mergeCell ref="E6:F6"/>
    <mergeCell ref="G6:H6"/>
    <mergeCell ref="I6:J6"/>
    <mergeCell ref="K6:L6"/>
    <mergeCell ref="M6:N6"/>
    <mergeCell ref="O6:P6"/>
    <mergeCell ref="Q6:R6"/>
    <mergeCell ref="T6:U6"/>
  </mergeCells>
  <conditionalFormatting sqref="B8:B30">
    <cfRule type="expression" priority="2" aboveAverage="0" equalAverage="0" bottom="0" percent="0" rank="0" text="" dxfId="2">
      <formula>AND(N($T8)=0)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.7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.7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.7"/>
    <col collapsed="false" customWidth="true" hidden="false" outlineLevel="0" max="15" min="15" style="0" width="11"/>
  </cols>
  <sheetData>
    <row r="1" customFormat="false" ht="21.75" hidden="false" customHeight="true" outlineLevel="0" collapsed="false">
      <c r="A1" s="28" t="str">
        <f aca="false">"Period Change — "&amp;ClientName</f>
        <v>Period Change — Malhotra Family Office (DEMO)</v>
      </c>
      <c r="O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from "&amp;TEXT(PrevDate,"dd-mmm-yyyy")&amp;" to "&amp;TEXT(ValDate,"dd-mmm-yyyy")&amp;" ("&amp;(ValDate-PrevDate)&amp;" days)"</f>
        <v>Figures in ₹ Crore · from 31-Mar-2026 to 30-Jun-2026 (91 days)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B5" s="23" t="s">
        <v>78</v>
      </c>
      <c r="C5" s="23" t="str">
        <f aca="false">"Value on "&amp;TEXT(PrevDate,"dd-mmm-yyyy")</f>
        <v>Value on 31-Mar-2026</v>
      </c>
      <c r="D5" s="23" t="s">
        <v>146</v>
      </c>
      <c r="E5" s="23"/>
      <c r="F5" s="23" t="s">
        <v>147</v>
      </c>
      <c r="G5" s="23" t="str">
        <f aca="false">"Value on "&amp;TEXT(ValDate,"dd-mmm-yyyy")</f>
        <v>Value on 30-Jun-2026</v>
      </c>
      <c r="I5" s="23" t="s">
        <v>148</v>
      </c>
      <c r="J5" s="23"/>
      <c r="L5" s="23" t="s">
        <v>149</v>
      </c>
      <c r="M5" s="23" t="s">
        <v>150</v>
      </c>
      <c r="O5" s="23" t="s">
        <v>151</v>
      </c>
    </row>
    <row r="6" customFormat="false" ht="36" hidden="false" customHeight="true" outlineLevel="0" collapsed="false">
      <c r="B6" s="23"/>
      <c r="C6" s="23"/>
      <c r="D6" s="23" t="s">
        <v>152</v>
      </c>
      <c r="E6" s="23" t="s">
        <v>153</v>
      </c>
      <c r="F6" s="23"/>
      <c r="G6" s="23"/>
      <c r="I6" s="23" t="s">
        <v>154</v>
      </c>
      <c r="J6" s="23" t="s">
        <v>155</v>
      </c>
      <c r="L6" s="23"/>
      <c r="M6" s="23"/>
      <c r="O6" s="23"/>
    </row>
    <row r="7" customFormat="false" ht="15" hidden="false" customHeight="false" outlineLevel="0" collapsed="false">
      <c r="B7" s="30" t="str">
        <f aca="false">Lists!$A$6</f>
        <v>Equity</v>
      </c>
      <c r="C7" s="32" t="n">
        <f aca="false">SUMIFS(Holdings!$AD$6:$AD$205,Holdings!$G$6:$G$205,$B7)/Divisor</f>
        <v>79.3604971</v>
      </c>
      <c r="D7" s="32" t="n">
        <f aca="false">-SUMIFS(Transactions!$N$6:$N$305,Transactions!$H$6:$H$305,$B7,Transactions!$O$6:$O$305,"Investment",Transactions!$B$6:$B$305,"&gt;"&amp;PrevDate,Transactions!$B$6:$B$305,"&lt;="&amp;ValDate)/Divisor</f>
        <v>1.0338</v>
      </c>
      <c r="E7" s="32" t="n">
        <f aca="false">SUMIFS(Transactions!$N$6:$N$305,Transactions!$H$6:$H$305,$B7,Transactions!$O$6:$O$305,"Divestment",Transactions!$B$6:$B$305,"&gt;"&amp;PrevDate,Transactions!$B$6:$B$305,"&lt;="&amp;ValDate)/Divisor</f>
        <v>0</v>
      </c>
      <c r="F7" s="32" t="n">
        <f aca="false">G7-C7-D7+E7</f>
        <v>3.9598427716962</v>
      </c>
      <c r="G7" s="32" t="n">
        <f aca="false">SUMIFS(Holdings!$R$6:$R$205,Holdings!$G$6:$G$205,$B7)/Divisor</f>
        <v>84.3541398716962</v>
      </c>
      <c r="H7" s="34"/>
      <c r="I7" s="32" t="n">
        <f aca="false">SUMIFS(Transactions!$L$6:$L$305,Transactions!$H$6:$H$305,$B7,Transactions!$O$6:$O$305,"Income",Transactions!$B$6:$B$305,"&gt;"&amp;PrevDate,Transactions!$B$6:$B$305,"&lt;="&amp;ValDate)/Divisor</f>
        <v>0.0648</v>
      </c>
      <c r="J7" s="32" t="n">
        <f aca="false">-SUMIFS(Transactions!$N$6:$N$305,Transactions!$H$6:$H$305,$B7,Transactions!$O$6:$O$305,"Charges",Transactions!$B$6:$B$305,"&gt;"&amp;PrevDate,Transactions!$B$6:$B$305,"&lt;="&amp;ValDate)/Divisor</f>
        <v>0.05625</v>
      </c>
      <c r="K7" s="34"/>
      <c r="L7" s="32" t="n">
        <f aca="false">F7+I7-J7</f>
        <v>3.9683927716962</v>
      </c>
      <c r="M7" s="33" t="n">
        <f aca="false">IF((C7+0.5*(D7-E7-I7))&lt;=0,"",L7/(C7+0.5*(D7-E7-I7)))</f>
        <v>0.0497012075374751</v>
      </c>
      <c r="N7" s="34"/>
      <c r="O7" s="58" t="n">
        <f aca="false">COUNTIFS(Transactions!$H$6:$H$305,$B7,Transactions!$B$6:$B$305,"&gt;"&amp;PrevDate,Transactions!$B$6:$B$305,"&lt;="&amp;ValDate)</f>
        <v>6</v>
      </c>
    </row>
    <row r="8" customFormat="false" ht="15" hidden="false" customHeight="false" outlineLevel="0" collapsed="false">
      <c r="B8" s="35" t="str">
        <f aca="false">Lists!$D$6</f>
        <v>Direct Equity</v>
      </c>
      <c r="C8" s="37" t="n">
        <f aca="false">SUMIFS(Holdings!$AD$6:$AD$205,Holdings!$H$6:$H$205,$B8)/Divisor</f>
        <v>24.8512655</v>
      </c>
      <c r="D8" s="37" t="n">
        <f aca="false">-SUMIFS(Transactions!$N$6:$N$305,Transactions!$G$6:$G$305,$B8,Transactions!$O$6:$O$305,"Investment",Transactions!$B$6:$B$305,"&gt;"&amp;PrevDate,Transactions!$B$6:$B$305,"&lt;="&amp;ValDate)/Divisor</f>
        <v>-0</v>
      </c>
      <c r="E8" s="37" t="n">
        <f aca="false">SUMIFS(Transactions!$N$6:$N$305,Transactions!$G$6:$G$305,$B8,Transactions!$O$6:$O$305,"Divestment",Transactions!$B$6:$B$305,"&gt;"&amp;PrevDate,Transactions!$B$6:$B$305,"&lt;="&amp;ValDate)/Divisor</f>
        <v>0</v>
      </c>
      <c r="F8" s="37" t="n">
        <f aca="false">G8-C8-D8+E8</f>
        <v>1.1852795</v>
      </c>
      <c r="G8" s="37" t="n">
        <f aca="false">SUMIFS(Holdings!$R$6:$R$205,Holdings!$H$6:$H$205,$B8)/Divisor</f>
        <v>26.036545</v>
      </c>
      <c r="I8" s="37" t="n">
        <f aca="false">SUMIFS(Transactions!$L$6:$L$305,Transactions!$G$6:$G$305,$B8,Transactions!$O$6:$O$305,"Income",Transactions!$B$6:$B$305,"&gt;"&amp;PrevDate,Transactions!$B$6:$B$305,"&lt;="&amp;ValDate)/Divisor</f>
        <v>0.0648</v>
      </c>
      <c r="J8" s="37" t="n">
        <f aca="false">-SUMIFS(Transactions!$N$6:$N$305,Transactions!$G$6:$G$305,$B8,Transactions!$O$6:$O$305,"Charges",Transactions!$B$6:$B$305,"&gt;"&amp;PrevDate,Transactions!$B$6:$B$305,"&lt;="&amp;ValDate)/Divisor</f>
        <v>-0</v>
      </c>
      <c r="L8" s="37" t="n">
        <f aca="false">F8+I8-J8</f>
        <v>1.2500795</v>
      </c>
      <c r="M8" s="38" t="n">
        <f aca="false">IF((C8+0.5*(D8-E8-I8))&lt;=0,"",L8/(C8+0.5*(D8-E8-I8)))</f>
        <v>0.0503681161413281</v>
      </c>
      <c r="O8" s="59" t="n">
        <f aca="false">COUNTIFS(Transactions!$G$6:$G$305,$B8,Transactions!$B$6:$B$305,"&gt;"&amp;PrevDate,Transactions!$B$6:$B$305,"&lt;="&amp;ValDate)</f>
        <v>1</v>
      </c>
    </row>
    <row r="9" customFormat="false" ht="15" hidden="false" customHeight="false" outlineLevel="0" collapsed="false">
      <c r="B9" s="35" t="str">
        <f aca="false">Lists!$D$7</f>
        <v>Equity MF – Large / Flexi / Multi Cap</v>
      </c>
      <c r="C9" s="37" t="n">
        <f aca="false">SUMIFS(Holdings!$AD$6:$AD$205,Holdings!$H$6:$H$205,$B9)/Divisor</f>
        <v>9.2633237</v>
      </c>
      <c r="D9" s="37" t="n">
        <f aca="false">-SUMIFS(Transactions!$N$6:$N$305,Transactions!$G$6:$G$305,$B9,Transactions!$O$6:$O$305,"Investment",Transactions!$B$6:$B$305,"&gt;"&amp;PrevDate,Transactions!$B$6:$B$305,"&lt;="&amp;ValDate)/Divisor</f>
        <v>-0</v>
      </c>
      <c r="E9" s="37" t="n">
        <f aca="false">SUMIFS(Transactions!$N$6:$N$305,Transactions!$G$6:$G$305,$B9,Transactions!$O$6:$O$305,"Divestment",Transactions!$B$6:$B$305,"&gt;"&amp;PrevDate,Transactions!$B$6:$B$305,"&lt;="&amp;ValDate)/Divisor</f>
        <v>0</v>
      </c>
      <c r="F9" s="37" t="n">
        <f aca="false">G9-C9-D9+E9</f>
        <v>0.379796299999999</v>
      </c>
      <c r="G9" s="37" t="n">
        <f aca="false">SUMIFS(Holdings!$R$6:$R$205,Holdings!$H$6:$H$205,$B9)/Divisor</f>
        <v>9.64312</v>
      </c>
      <c r="I9" s="37" t="n">
        <f aca="false">SUMIFS(Transactions!$L$6:$L$305,Transactions!$G$6:$G$305,$B9,Transactions!$O$6:$O$305,"Income",Transactions!$B$6:$B$305,"&gt;"&amp;PrevDate,Transactions!$B$6:$B$305,"&lt;="&amp;ValDate)/Divisor</f>
        <v>0</v>
      </c>
      <c r="J9" s="37" t="n">
        <f aca="false">-SUMIFS(Transactions!$N$6:$N$305,Transactions!$G$6:$G$305,$B9,Transactions!$O$6:$O$305,"Charges",Transactions!$B$6:$B$305,"&gt;"&amp;PrevDate,Transactions!$B$6:$B$305,"&lt;="&amp;ValDate)/Divisor</f>
        <v>-0</v>
      </c>
      <c r="L9" s="37" t="n">
        <f aca="false">F9+I9-J9</f>
        <v>0.379796299999999</v>
      </c>
      <c r="M9" s="38" t="n">
        <f aca="false">IF((C9+0.5*(D9-E9-I9))&lt;=0,"",L9/(C9+0.5*(D9-E9-I9)))</f>
        <v>0.0410000030550588</v>
      </c>
      <c r="O9" s="59" t="n">
        <f aca="false">COUNTIFS(Transactions!$G$6:$G$305,$B9,Transactions!$B$6:$B$305,"&gt;"&amp;PrevDate,Transactions!$B$6:$B$305,"&lt;="&amp;ValDate)</f>
        <v>0</v>
      </c>
    </row>
    <row r="10" customFormat="false" ht="15" hidden="false" customHeight="false" outlineLevel="0" collapsed="false">
      <c r="B10" s="35" t="str">
        <f aca="false">Lists!$D$8</f>
        <v>Equity MF – Mid &amp; Small Cap</v>
      </c>
      <c r="C10" s="37" t="n">
        <f aca="false">SUMIFS(Holdings!$AD$6:$AD$205,Holdings!$H$6:$H$205,$B10)/Divisor</f>
        <v>5.3731995</v>
      </c>
      <c r="D10" s="37" t="n">
        <f aca="false">-SUMIFS(Transactions!$N$6:$N$305,Transactions!$G$6:$G$305,$B10,Transactions!$O$6:$O$305,"Investment",Transactions!$B$6:$B$305,"&gt;"&amp;PrevDate,Transactions!$B$6:$B$305,"&lt;="&amp;ValDate)/Divisor</f>
        <v>0.135</v>
      </c>
      <c r="E10" s="37" t="n">
        <f aca="false">SUMIFS(Transactions!$N$6:$N$305,Transactions!$G$6:$G$305,$B10,Transactions!$O$6:$O$305,"Divestment",Transactions!$B$6:$B$305,"&gt;"&amp;PrevDate,Transactions!$B$6:$B$305,"&lt;="&amp;ValDate)/Divisor</f>
        <v>0</v>
      </c>
      <c r="F10" s="37" t="n">
        <f aca="false">G10-C10-D10+E10</f>
        <v>0.3868703716962</v>
      </c>
      <c r="G10" s="37" t="n">
        <f aca="false">SUMIFS(Holdings!$R$6:$R$205,Holdings!$H$6:$H$205,$B10)/Divisor</f>
        <v>5.8950698716962</v>
      </c>
      <c r="I10" s="37" t="n">
        <f aca="false">SUMIFS(Transactions!$L$6:$L$305,Transactions!$G$6:$G$305,$B10,Transactions!$O$6:$O$305,"Income",Transactions!$B$6:$B$305,"&gt;"&amp;PrevDate,Transactions!$B$6:$B$305,"&lt;="&amp;ValDate)/Divisor</f>
        <v>0</v>
      </c>
      <c r="J10" s="37" t="n">
        <f aca="false">-SUMIFS(Transactions!$N$6:$N$305,Transactions!$G$6:$G$305,$B10,Transactions!$O$6:$O$305,"Charges",Transactions!$B$6:$B$305,"&gt;"&amp;PrevDate,Transactions!$B$6:$B$305,"&lt;="&amp;ValDate)/Divisor</f>
        <v>-0</v>
      </c>
      <c r="L10" s="37" t="n">
        <f aca="false">F10+I10-J10</f>
        <v>0.3868703716962</v>
      </c>
      <c r="M10" s="38" t="n">
        <f aca="false">IF((C10+0.5*(D10-E10-I10))&lt;=0,"",L10/(C10+0.5*(D10-E10-I10)))</f>
        <v>0.071106733922026</v>
      </c>
      <c r="O10" s="59" t="n">
        <f aca="false">COUNTIFS(Transactions!$G$6:$G$305,$B10,Transactions!$B$6:$B$305,"&gt;"&amp;PrevDate,Transactions!$B$6:$B$305,"&lt;="&amp;ValDate)</f>
        <v>3</v>
      </c>
    </row>
    <row r="11" customFormat="false" ht="15" hidden="false" customHeight="false" outlineLevel="0" collapsed="false">
      <c r="B11" s="35" t="str">
        <f aca="false">Lists!$D$9</f>
        <v>Equity MF – Hybrid / BAF</v>
      </c>
      <c r="C11" s="37" t="n">
        <f aca="false">SUMIFS(Holdings!$AD$6:$AD$205,Holdings!$H$6:$H$205,$B11)/Divisor</f>
        <v>3.900102</v>
      </c>
      <c r="D11" s="37" t="n">
        <f aca="false">-SUMIFS(Transactions!$N$6:$N$305,Transactions!$G$6:$G$305,$B11,Transactions!$O$6:$O$305,"Investment",Transactions!$B$6:$B$305,"&gt;"&amp;PrevDate,Transactions!$B$6:$B$305,"&lt;="&amp;ValDate)/Divisor</f>
        <v>-0</v>
      </c>
      <c r="E11" s="37" t="n">
        <f aca="false">SUMIFS(Transactions!$N$6:$N$305,Transactions!$G$6:$G$305,$B11,Transactions!$O$6:$O$305,"Divestment",Transactions!$B$6:$B$305,"&gt;"&amp;PrevDate,Transactions!$B$6:$B$305,"&lt;="&amp;ValDate)/Divisor</f>
        <v>0</v>
      </c>
      <c r="F11" s="37" t="n">
        <f aca="false">G11-C11-D11+E11</f>
        <v>0.113103</v>
      </c>
      <c r="G11" s="37" t="n">
        <f aca="false">SUMIFS(Holdings!$R$6:$R$205,Holdings!$H$6:$H$205,$B11)/Divisor</f>
        <v>4.013205</v>
      </c>
      <c r="I11" s="37" t="n">
        <f aca="false">SUMIFS(Transactions!$L$6:$L$305,Transactions!$G$6:$G$305,$B11,Transactions!$O$6:$O$305,"Income",Transactions!$B$6:$B$305,"&gt;"&amp;PrevDate,Transactions!$B$6:$B$305,"&lt;="&amp;ValDate)/Divisor</f>
        <v>0</v>
      </c>
      <c r="J11" s="37" t="n">
        <f aca="false">-SUMIFS(Transactions!$N$6:$N$305,Transactions!$G$6:$G$305,$B11,Transactions!$O$6:$O$305,"Charges",Transactions!$B$6:$B$305,"&gt;"&amp;PrevDate,Transactions!$B$6:$B$305,"&lt;="&amp;ValDate)/Divisor</f>
        <v>-0</v>
      </c>
      <c r="L11" s="37" t="n">
        <f aca="false">F11+I11-J11</f>
        <v>0.113103</v>
      </c>
      <c r="M11" s="38" t="n">
        <f aca="false">IF((C11+0.5*(D11-E11-I11))&lt;=0,"",L11/(C11+0.5*(D11-E11-I11)))</f>
        <v>0.0290000107689492</v>
      </c>
      <c r="O11" s="59" t="n">
        <f aca="false">COUNTIFS(Transactions!$G$6:$G$305,$B11,Transactions!$B$6:$B$305,"&gt;"&amp;PrevDate,Transactions!$B$6:$B$305,"&lt;="&amp;ValDate)</f>
        <v>0</v>
      </c>
    </row>
    <row r="12" customFormat="false" ht="15" hidden="false" customHeight="false" outlineLevel="0" collapsed="false">
      <c r="B12" s="35" t="str">
        <f aca="false">Lists!$D$10</f>
        <v>Equity ETF / Index Fund</v>
      </c>
      <c r="C12" s="37" t="n">
        <f aca="false">SUMIFS(Holdings!$AD$6:$AD$205,Holdings!$H$6:$H$205,$B12)/Divisor</f>
        <v>0</v>
      </c>
      <c r="D12" s="37" t="n">
        <f aca="false">-SUMIFS(Transactions!$N$6:$N$305,Transactions!$G$6:$G$305,$B12,Transactions!$O$6:$O$305,"Investment",Transactions!$B$6:$B$305,"&gt;"&amp;PrevDate,Transactions!$B$6:$B$305,"&lt;="&amp;ValDate)/Divisor</f>
        <v>-0</v>
      </c>
      <c r="E12" s="37" t="n">
        <f aca="false">SUMIFS(Transactions!$N$6:$N$305,Transactions!$G$6:$G$305,$B12,Transactions!$O$6:$O$305,"Divestment",Transactions!$B$6:$B$305,"&gt;"&amp;PrevDate,Transactions!$B$6:$B$305,"&lt;="&amp;ValDate)/Divisor</f>
        <v>0</v>
      </c>
      <c r="F12" s="37" t="n">
        <f aca="false">G12-C12-D12+E12</f>
        <v>0</v>
      </c>
      <c r="G12" s="37" t="n">
        <f aca="false">SUMIFS(Holdings!$R$6:$R$205,Holdings!$H$6:$H$205,$B12)/Divisor</f>
        <v>0</v>
      </c>
      <c r="I12" s="37" t="n">
        <f aca="false">SUMIFS(Transactions!$L$6:$L$305,Transactions!$G$6:$G$305,$B12,Transactions!$O$6:$O$305,"Income",Transactions!$B$6:$B$305,"&gt;"&amp;PrevDate,Transactions!$B$6:$B$305,"&lt;="&amp;ValDate)/Divisor</f>
        <v>0</v>
      </c>
      <c r="J12" s="37" t="n">
        <f aca="false">-SUMIFS(Transactions!$N$6:$N$305,Transactions!$G$6:$G$305,$B12,Transactions!$O$6:$O$305,"Charges",Transactions!$B$6:$B$305,"&gt;"&amp;PrevDate,Transactions!$B$6:$B$305,"&lt;="&amp;ValDate)/Divisor</f>
        <v>-0</v>
      </c>
      <c r="L12" s="37" t="n">
        <f aca="false">F12+I12-J12</f>
        <v>0</v>
      </c>
      <c r="M12" s="38" t="str">
        <f aca="false">IF((C12+0.5*(D12-E12-I12))&lt;=0,"",L12/(C12+0.5*(D12-E12-I12)))</f>
        <v/>
      </c>
      <c r="O12" s="59" t="n">
        <f aca="false">COUNTIFS(Transactions!$G$6:$G$305,$B12,Transactions!$B$6:$B$305,"&gt;"&amp;PrevDate,Transactions!$B$6:$B$305,"&lt;="&amp;ValDate)</f>
        <v>0</v>
      </c>
    </row>
    <row r="13" customFormat="false" ht="15" hidden="false" customHeight="false" outlineLevel="0" collapsed="false">
      <c r="B13" s="35" t="str">
        <f aca="false">Lists!$D$11</f>
        <v>PMS – Equity</v>
      </c>
      <c r="C13" s="37" t="n">
        <f aca="false">SUMIFS(Holdings!$AD$6:$AD$205,Holdings!$H$6:$H$205,$B13)/Divisor</f>
        <v>17.2938931</v>
      </c>
      <c r="D13" s="37" t="n">
        <f aca="false">-SUMIFS(Transactions!$N$6:$N$305,Transactions!$G$6:$G$305,$B13,Transactions!$O$6:$O$305,"Investment",Transactions!$B$6:$B$305,"&gt;"&amp;PrevDate,Transactions!$B$6:$B$305,"&lt;="&amp;ValDate)/Divisor</f>
        <v>-0</v>
      </c>
      <c r="E13" s="37" t="n">
        <f aca="false">SUMIFS(Transactions!$N$6:$N$305,Transactions!$G$6:$G$305,$B13,Transactions!$O$6:$O$305,"Divestment",Transactions!$B$6:$B$305,"&gt;"&amp;PrevDate,Transactions!$B$6:$B$305,"&lt;="&amp;ValDate)/Divisor</f>
        <v>0</v>
      </c>
      <c r="F13" s="37" t="n">
        <f aca="false">G13-C13-D13+E13</f>
        <v>0.830106900000001</v>
      </c>
      <c r="G13" s="37" t="n">
        <f aca="false">SUMIFS(Holdings!$R$6:$R$205,Holdings!$H$6:$H$205,$B13)/Divisor</f>
        <v>18.124</v>
      </c>
      <c r="I13" s="37" t="n">
        <f aca="false">SUMIFS(Transactions!$L$6:$L$305,Transactions!$G$6:$G$305,$B13,Transactions!$O$6:$O$305,"Income",Transactions!$B$6:$B$305,"&gt;"&amp;PrevDate,Transactions!$B$6:$B$305,"&lt;="&amp;ValDate)/Divisor</f>
        <v>0</v>
      </c>
      <c r="J13" s="37" t="n">
        <f aca="false">-SUMIFS(Transactions!$N$6:$N$305,Transactions!$G$6:$G$305,$B13,Transactions!$O$6:$O$305,"Charges",Transactions!$B$6:$B$305,"&gt;"&amp;PrevDate,Transactions!$B$6:$B$305,"&lt;="&amp;ValDate)/Divisor</f>
        <v>0.05625</v>
      </c>
      <c r="L13" s="37" t="n">
        <f aca="false">F13+I13-J13</f>
        <v>0.773856900000001</v>
      </c>
      <c r="M13" s="38" t="n">
        <f aca="false">IF((C13+0.5*(D13-E13-I13))&lt;=0,"",L13/(C13+0.5*(D13-E13-I13)))</f>
        <v>0.0447474085519819</v>
      </c>
      <c r="O13" s="59" t="n">
        <f aca="false">COUNTIFS(Transactions!$G$6:$G$305,$B13,Transactions!$B$6:$B$305,"&gt;"&amp;PrevDate,Transactions!$B$6:$B$305,"&lt;="&amp;ValDate)</f>
        <v>1</v>
      </c>
    </row>
    <row r="14" customFormat="false" ht="15" hidden="false" customHeight="false" outlineLevel="0" collapsed="false">
      <c r="B14" s="35" t="str">
        <f aca="false">Lists!$D$12</f>
        <v>AIF Cat III – Listed Equity</v>
      </c>
      <c r="C14" s="37" t="n">
        <f aca="false">SUMIFS(Holdings!$AD$6:$AD$205,Holdings!$H$6:$H$205,$B14)/Divisor</f>
        <v>18.6787133</v>
      </c>
      <c r="D14" s="37" t="n">
        <f aca="false">-SUMIFS(Transactions!$N$6:$N$305,Transactions!$G$6:$G$305,$B14,Transactions!$O$6:$O$305,"Investment",Transactions!$B$6:$B$305,"&gt;"&amp;PrevDate,Transactions!$B$6:$B$305,"&lt;="&amp;ValDate)/Divisor</f>
        <v>0.8988</v>
      </c>
      <c r="E14" s="37" t="n">
        <f aca="false">SUMIFS(Transactions!$N$6:$N$305,Transactions!$G$6:$G$305,$B14,Transactions!$O$6:$O$305,"Divestment",Transactions!$B$6:$B$305,"&gt;"&amp;PrevDate,Transactions!$B$6:$B$305,"&lt;="&amp;ValDate)/Divisor</f>
        <v>0</v>
      </c>
      <c r="F14" s="37" t="n">
        <f aca="false">G14-C14-D14+E14</f>
        <v>1.0646867</v>
      </c>
      <c r="G14" s="37" t="n">
        <f aca="false">SUMIFS(Holdings!$R$6:$R$205,Holdings!$H$6:$H$205,$B14)/Divisor</f>
        <v>20.6422</v>
      </c>
      <c r="I14" s="37" t="n">
        <f aca="false">SUMIFS(Transactions!$L$6:$L$305,Transactions!$G$6:$G$305,$B14,Transactions!$O$6:$O$305,"Income",Transactions!$B$6:$B$305,"&gt;"&amp;PrevDate,Transactions!$B$6:$B$305,"&lt;="&amp;ValDate)/Divisor</f>
        <v>0</v>
      </c>
      <c r="J14" s="37" t="n">
        <f aca="false">-SUMIFS(Transactions!$N$6:$N$305,Transactions!$G$6:$G$305,$B14,Transactions!$O$6:$O$305,"Charges",Transactions!$B$6:$B$305,"&gt;"&amp;PrevDate,Transactions!$B$6:$B$305,"&lt;="&amp;ValDate)/Divisor</f>
        <v>-0</v>
      </c>
      <c r="L14" s="37" t="n">
        <f aca="false">F14+I14-J14</f>
        <v>1.0646867</v>
      </c>
      <c r="M14" s="38" t="n">
        <f aca="false">IF((C14+0.5*(D14-E14-I14))&lt;=0,"",L14/(C14+0.5*(D14-E14-I14)))</f>
        <v>0.0556608319546081</v>
      </c>
      <c r="O14" s="59" t="n">
        <f aca="false">COUNTIFS(Transactions!$G$6:$G$305,$B14,Transactions!$B$6:$B$305,"&gt;"&amp;PrevDate,Transactions!$B$6:$B$305,"&lt;="&amp;ValDate)</f>
        <v>1</v>
      </c>
    </row>
    <row r="15" customFormat="false" ht="15" hidden="false" customHeight="false" outlineLevel="0" collapsed="false">
      <c r="B15" s="30" t="str">
        <f aca="false">Lists!$A$7</f>
        <v>Debt</v>
      </c>
      <c r="C15" s="32" t="n">
        <f aca="false">SUMIFS(Holdings!$AD$6:$AD$205,Holdings!$G$6:$G$205,$B15)/Divisor</f>
        <v>12.8821583</v>
      </c>
      <c r="D15" s="32" t="n">
        <f aca="false">-SUMIFS(Transactions!$N$6:$N$305,Transactions!$H$6:$H$305,$B15,Transactions!$O$6:$O$305,"Investment",Transactions!$B$6:$B$305,"&gt;"&amp;PrevDate,Transactions!$B$6:$B$305,"&lt;="&amp;ValDate)/Divisor</f>
        <v>0.5</v>
      </c>
      <c r="E15" s="32" t="n">
        <f aca="false">SUMIFS(Transactions!$N$6:$N$305,Transactions!$H$6:$H$305,$B15,Transactions!$O$6:$O$305,"Divestment",Transactions!$B$6:$B$305,"&gt;"&amp;PrevDate,Transactions!$B$6:$B$305,"&lt;="&amp;ValDate)/Divisor</f>
        <v>0</v>
      </c>
      <c r="F15" s="32" t="n">
        <f aca="false">G15-C15-D15+E15</f>
        <v>0.213025699999999</v>
      </c>
      <c r="G15" s="32" t="n">
        <f aca="false">SUMIFS(Holdings!$R$6:$R$205,Holdings!$G$6:$G$205,$B15)/Divisor</f>
        <v>13.595184</v>
      </c>
      <c r="H15" s="34"/>
      <c r="I15" s="32" t="n">
        <f aca="false">SUMIFS(Transactions!$L$6:$L$305,Transactions!$H$6:$H$305,$B15,Transactions!$O$6:$O$305,"Income",Transactions!$B$6:$B$305,"&gt;"&amp;PrevDate,Transactions!$B$6:$B$305,"&lt;="&amp;ValDate)/Divisor</f>
        <v>0.215</v>
      </c>
      <c r="J15" s="32" t="n">
        <f aca="false">-SUMIFS(Transactions!$N$6:$N$305,Transactions!$H$6:$H$305,$B15,Transactions!$O$6:$O$305,"Charges",Transactions!$B$6:$B$305,"&gt;"&amp;PrevDate,Transactions!$B$6:$B$305,"&lt;="&amp;ValDate)/Divisor</f>
        <v>-0</v>
      </c>
      <c r="K15" s="34"/>
      <c r="L15" s="32" t="n">
        <f aca="false">F15+I15-J15</f>
        <v>0.428025699999999</v>
      </c>
      <c r="M15" s="33" t="n">
        <f aca="false">IF((C15+0.5*(D15-E15-I15))&lt;=0,"",L15/(C15+0.5*(D15-E15-I15)))</f>
        <v>0.0328627200914744</v>
      </c>
      <c r="N15" s="34"/>
      <c r="O15" s="58" t="n">
        <f aca="false">COUNTIFS(Transactions!$H$6:$H$305,$B15,Transactions!$B$6:$B$305,"&gt;"&amp;PrevDate,Transactions!$B$6:$B$305,"&lt;="&amp;ValDate)</f>
        <v>2</v>
      </c>
    </row>
    <row r="16" customFormat="false" ht="15" hidden="false" customHeight="false" outlineLevel="0" collapsed="false">
      <c r="B16" s="35" t="str">
        <f aca="false">Lists!$D$13</f>
        <v>Debt MF</v>
      </c>
      <c r="C16" s="37" t="n">
        <f aca="false">SUMIFS(Holdings!$AD$6:$AD$205,Holdings!$H$6:$H$205,$B16)/Divisor</f>
        <v>7.3552345</v>
      </c>
      <c r="D16" s="37" t="n">
        <f aca="false">-SUMIFS(Transactions!$N$6:$N$305,Transactions!$G$6:$G$305,$B16,Transactions!$O$6:$O$305,"Investment",Transactions!$B$6:$B$305,"&gt;"&amp;PrevDate,Transactions!$B$6:$B$305,"&lt;="&amp;ValDate)/Divisor</f>
        <v>-0</v>
      </c>
      <c r="E16" s="37" t="n">
        <f aca="false">SUMIFS(Transactions!$N$6:$N$305,Transactions!$G$6:$G$305,$B16,Transactions!$O$6:$O$305,"Divestment",Transactions!$B$6:$B$305,"&gt;"&amp;PrevDate,Transactions!$B$6:$B$305,"&lt;="&amp;ValDate)/Divisor</f>
        <v>0</v>
      </c>
      <c r="F16" s="37" t="n">
        <f aca="false">G16-C16-D16+E16</f>
        <v>0.1397495</v>
      </c>
      <c r="G16" s="37" t="n">
        <f aca="false">SUMIFS(Holdings!$R$6:$R$205,Holdings!$H$6:$H$205,$B16)/Divisor</f>
        <v>7.494984</v>
      </c>
      <c r="I16" s="37" t="n">
        <f aca="false">SUMIFS(Transactions!$L$6:$L$305,Transactions!$G$6:$G$305,$B16,Transactions!$O$6:$O$305,"Income",Transactions!$B$6:$B$305,"&gt;"&amp;PrevDate,Transactions!$B$6:$B$305,"&lt;="&amp;ValDate)/Divisor</f>
        <v>0</v>
      </c>
      <c r="J16" s="37" t="n">
        <f aca="false">-SUMIFS(Transactions!$N$6:$N$305,Transactions!$G$6:$G$305,$B16,Transactions!$O$6:$O$305,"Charges",Transactions!$B$6:$B$305,"&gt;"&amp;PrevDate,Transactions!$B$6:$B$305,"&lt;="&amp;ValDate)/Divisor</f>
        <v>-0</v>
      </c>
      <c r="L16" s="37" t="n">
        <f aca="false">F16+I16-J16</f>
        <v>0.1397495</v>
      </c>
      <c r="M16" s="38" t="n">
        <f aca="false">IF((C16+0.5*(D16-E16-I16))&lt;=0,"",L16/(C16+0.5*(D16-E16-I16)))</f>
        <v>0.019000006050113</v>
      </c>
      <c r="O16" s="59" t="n">
        <f aca="false">COUNTIFS(Transactions!$G$6:$G$305,$B16,Transactions!$B$6:$B$305,"&gt;"&amp;PrevDate,Transactions!$B$6:$B$305,"&lt;="&amp;ValDate)</f>
        <v>0</v>
      </c>
    </row>
    <row r="17" customFormat="false" ht="15" hidden="false" customHeight="false" outlineLevel="0" collapsed="false">
      <c r="B17" s="35" t="str">
        <f aca="false">Lists!$D$14</f>
        <v>Bonds / NCDs</v>
      </c>
      <c r="C17" s="37" t="n">
        <f aca="false">SUMIFS(Holdings!$AD$6:$AD$205,Holdings!$H$6:$H$205,$B17)/Divisor</f>
        <v>5.0069238</v>
      </c>
      <c r="D17" s="37" t="n">
        <f aca="false">-SUMIFS(Transactions!$N$6:$N$305,Transactions!$G$6:$G$305,$B17,Transactions!$O$6:$O$305,"Investment",Transactions!$B$6:$B$305,"&gt;"&amp;PrevDate,Transactions!$B$6:$B$305,"&lt;="&amp;ValDate)/Divisor</f>
        <v>-0</v>
      </c>
      <c r="E17" s="37" t="n">
        <f aca="false">SUMIFS(Transactions!$N$6:$N$305,Transactions!$G$6:$G$305,$B17,Transactions!$O$6:$O$305,"Divestment",Transactions!$B$6:$B$305,"&gt;"&amp;PrevDate,Transactions!$B$6:$B$305,"&lt;="&amp;ValDate)/Divisor</f>
        <v>0</v>
      </c>
      <c r="F17" s="37" t="n">
        <f aca="false">G17-C17-D17+E17</f>
        <v>0.0550762000000002</v>
      </c>
      <c r="G17" s="37" t="n">
        <f aca="false">SUMIFS(Holdings!$R$6:$R$205,Holdings!$H$6:$H$205,$B17)/Divisor</f>
        <v>5.062</v>
      </c>
      <c r="I17" s="37" t="n">
        <f aca="false">SUMIFS(Transactions!$L$6:$L$305,Transactions!$G$6:$G$305,$B17,Transactions!$O$6:$O$305,"Income",Transactions!$B$6:$B$305,"&gt;"&amp;PrevDate,Transactions!$B$6:$B$305,"&lt;="&amp;ValDate)/Divisor</f>
        <v>0.215</v>
      </c>
      <c r="J17" s="37" t="n">
        <f aca="false">-SUMIFS(Transactions!$N$6:$N$305,Transactions!$G$6:$G$305,$B17,Transactions!$O$6:$O$305,"Charges",Transactions!$B$6:$B$305,"&gt;"&amp;PrevDate,Transactions!$B$6:$B$305,"&lt;="&amp;ValDate)/Divisor</f>
        <v>-0</v>
      </c>
      <c r="L17" s="37" t="n">
        <f aca="false">F17+I17-J17</f>
        <v>0.2700762</v>
      </c>
      <c r="M17" s="38" t="n">
        <f aca="false">IF((C17+0.5*(D17-E17-I17))&lt;=0,"",L17/(C17+0.5*(D17-E17-I17)))</f>
        <v>0.0551240739778421</v>
      </c>
      <c r="O17" s="59" t="n">
        <f aca="false">COUNTIFS(Transactions!$G$6:$G$305,$B17,Transactions!$B$6:$B$305,"&gt;"&amp;PrevDate,Transactions!$B$6:$B$305,"&lt;="&amp;ValDate)</f>
        <v>1</v>
      </c>
    </row>
    <row r="18" customFormat="false" ht="15" hidden="false" customHeight="false" outlineLevel="0" collapsed="false">
      <c r="B18" s="35" t="str">
        <f aca="false">Lists!$D$15</f>
        <v>AIF Cat II – Private Credit</v>
      </c>
      <c r="C18" s="37" t="n">
        <f aca="false">SUMIFS(Holdings!$AD$6:$AD$205,Holdings!$H$6:$H$205,$B18)/Divisor</f>
        <v>0.52</v>
      </c>
      <c r="D18" s="37" t="n">
        <f aca="false">-SUMIFS(Transactions!$N$6:$N$305,Transactions!$G$6:$G$305,$B18,Transactions!$O$6:$O$305,"Investment",Transactions!$B$6:$B$305,"&gt;"&amp;PrevDate,Transactions!$B$6:$B$305,"&lt;="&amp;ValDate)/Divisor</f>
        <v>0.5</v>
      </c>
      <c r="E18" s="37" t="n">
        <f aca="false">SUMIFS(Transactions!$N$6:$N$305,Transactions!$G$6:$G$305,$B18,Transactions!$O$6:$O$305,"Divestment",Transactions!$B$6:$B$305,"&gt;"&amp;PrevDate,Transactions!$B$6:$B$305,"&lt;="&amp;ValDate)/Divisor</f>
        <v>0</v>
      </c>
      <c r="F18" s="37" t="n">
        <f aca="false">G18-C18-D18+E18</f>
        <v>0.0182</v>
      </c>
      <c r="G18" s="37" t="n">
        <f aca="false">SUMIFS(Holdings!$R$6:$R$205,Holdings!$H$6:$H$205,$B18)/Divisor</f>
        <v>1.0382</v>
      </c>
      <c r="I18" s="37" t="n">
        <f aca="false">SUMIFS(Transactions!$L$6:$L$305,Transactions!$G$6:$G$305,$B18,Transactions!$O$6:$O$305,"Income",Transactions!$B$6:$B$305,"&gt;"&amp;PrevDate,Transactions!$B$6:$B$305,"&lt;="&amp;ValDate)/Divisor</f>
        <v>0</v>
      </c>
      <c r="J18" s="37" t="n">
        <f aca="false">-SUMIFS(Transactions!$N$6:$N$305,Transactions!$G$6:$G$305,$B18,Transactions!$O$6:$O$305,"Charges",Transactions!$B$6:$B$305,"&gt;"&amp;PrevDate,Transactions!$B$6:$B$305,"&lt;="&amp;ValDate)/Divisor</f>
        <v>-0</v>
      </c>
      <c r="L18" s="37" t="n">
        <f aca="false">F18+I18-J18</f>
        <v>0.0182</v>
      </c>
      <c r="M18" s="38" t="n">
        <f aca="false">IF((C18+0.5*(D18-E18-I18))&lt;=0,"",L18/(C18+0.5*(D18-E18-I18)))</f>
        <v>0.0236363636363636</v>
      </c>
      <c r="O18" s="59" t="n">
        <f aca="false">COUNTIFS(Transactions!$G$6:$G$305,$B18,Transactions!$B$6:$B$305,"&gt;"&amp;PrevDate,Transactions!$B$6:$B$305,"&lt;="&amp;ValDate)</f>
        <v>1</v>
      </c>
    </row>
    <row r="19" customFormat="false" ht="15" hidden="false" customHeight="false" outlineLevel="0" collapsed="false">
      <c r="B19" s="35" t="str">
        <f aca="false">Lists!$D$16</f>
        <v>Structured Product / MLD</v>
      </c>
      <c r="C19" s="37" t="n">
        <f aca="false">SUMIFS(Holdings!$AD$6:$AD$205,Holdings!$H$6:$H$205,$B19)/Divisor</f>
        <v>0</v>
      </c>
      <c r="D19" s="37" t="n">
        <f aca="false">-SUMIFS(Transactions!$N$6:$N$305,Transactions!$G$6:$G$305,$B19,Transactions!$O$6:$O$305,"Investment",Transactions!$B$6:$B$305,"&gt;"&amp;PrevDate,Transactions!$B$6:$B$305,"&lt;="&amp;ValDate)/Divisor</f>
        <v>-0</v>
      </c>
      <c r="E19" s="37" t="n">
        <f aca="false">SUMIFS(Transactions!$N$6:$N$305,Transactions!$G$6:$G$305,$B19,Transactions!$O$6:$O$305,"Divestment",Transactions!$B$6:$B$305,"&gt;"&amp;PrevDate,Transactions!$B$6:$B$305,"&lt;="&amp;ValDate)/Divisor</f>
        <v>0</v>
      </c>
      <c r="F19" s="37" t="n">
        <f aca="false">G19-C19-D19+E19</f>
        <v>0</v>
      </c>
      <c r="G19" s="37" t="n">
        <f aca="false">SUMIFS(Holdings!$R$6:$R$205,Holdings!$H$6:$H$205,$B19)/Divisor</f>
        <v>0</v>
      </c>
      <c r="I19" s="37" t="n">
        <f aca="false">SUMIFS(Transactions!$L$6:$L$305,Transactions!$G$6:$G$305,$B19,Transactions!$O$6:$O$305,"Income",Transactions!$B$6:$B$305,"&gt;"&amp;PrevDate,Transactions!$B$6:$B$305,"&lt;="&amp;ValDate)/Divisor</f>
        <v>0</v>
      </c>
      <c r="J19" s="37" t="n">
        <f aca="false">-SUMIFS(Transactions!$N$6:$N$305,Transactions!$G$6:$G$305,$B19,Transactions!$O$6:$O$305,"Charges",Transactions!$B$6:$B$305,"&gt;"&amp;PrevDate,Transactions!$B$6:$B$305,"&lt;="&amp;ValDate)/Divisor</f>
        <v>-0</v>
      </c>
      <c r="L19" s="37" t="n">
        <f aca="false">F19+I19-J19</f>
        <v>0</v>
      </c>
      <c r="M19" s="38" t="str">
        <f aca="false">IF((C19+0.5*(D19-E19-I19))&lt;=0,"",L19/(C19+0.5*(D19-E19-I19)))</f>
        <v/>
      </c>
      <c r="O19" s="59" t="n">
        <f aca="false">COUNTIFS(Transactions!$G$6:$G$305,$B19,Transactions!$B$6:$B$305,"&gt;"&amp;PrevDate,Transactions!$B$6:$B$305,"&lt;="&amp;ValDate)</f>
        <v>0</v>
      </c>
    </row>
    <row r="20" customFormat="false" ht="15" hidden="false" customHeight="false" outlineLevel="0" collapsed="false">
      <c r="B20" s="30" t="str">
        <f aca="false">Lists!$A$8</f>
        <v>Cash</v>
      </c>
      <c r="C20" s="32" t="n">
        <f aca="false">SUMIFS(Holdings!$AD$6:$AD$205,Holdings!$G$6:$G$205,$B20)/Divisor</f>
        <v>16.2852906</v>
      </c>
      <c r="D20" s="32" t="n">
        <f aca="false">-SUMIFS(Transactions!$N$6:$N$305,Transactions!$H$6:$H$305,$B20,Transactions!$O$6:$O$305,"Investment",Transactions!$B$6:$B$305,"&gt;"&amp;PrevDate,Transactions!$B$6:$B$305,"&lt;="&amp;ValDate)/Divisor</f>
        <v>1.2476</v>
      </c>
      <c r="E20" s="32" t="n">
        <f aca="false">SUMIFS(Transactions!$N$6:$N$305,Transactions!$H$6:$H$305,$B20,Transactions!$O$6:$O$305,"Divestment",Transactions!$B$6:$B$305,"&gt;"&amp;PrevDate,Transactions!$B$6:$B$305,"&lt;="&amp;ValDate)/Divisor</f>
        <v>0</v>
      </c>
      <c r="F20" s="32" t="n">
        <f aca="false">G20-C20-D20+E20</f>
        <v>0.208756364790771</v>
      </c>
      <c r="G20" s="32" t="n">
        <f aca="false">SUMIFS(Holdings!$R$6:$R$205,Holdings!$G$6:$G$205,$B20)/Divisor</f>
        <v>17.7416469647908</v>
      </c>
      <c r="H20" s="34"/>
      <c r="I20" s="32" t="n">
        <f aca="false">SUMIFS(Transactions!$L$6:$L$305,Transactions!$H$6:$H$305,$B20,Transactions!$O$6:$O$305,"Income",Transactions!$B$6:$B$305,"&gt;"&amp;PrevDate,Transactions!$B$6:$B$305,"&lt;="&amp;ValDate)/Divisor</f>
        <v>0</v>
      </c>
      <c r="J20" s="32" t="n">
        <f aca="false">-SUMIFS(Transactions!$N$6:$N$305,Transactions!$H$6:$H$305,$B20,Transactions!$O$6:$O$305,"Charges",Transactions!$B$6:$B$305,"&gt;"&amp;PrevDate,Transactions!$B$6:$B$305,"&lt;="&amp;ValDate)/Divisor</f>
        <v>-0</v>
      </c>
      <c r="K20" s="34"/>
      <c r="L20" s="32" t="n">
        <f aca="false">F20+I20-J20</f>
        <v>0.208756364790771</v>
      </c>
      <c r="M20" s="33" t="n">
        <f aca="false">IF((C20+0.5*(D20-E20-I20))&lt;=0,"",L20/(C20+0.5*(D20-E20-I20)))</f>
        <v>0.0123458067455604</v>
      </c>
      <c r="N20" s="34"/>
      <c r="O20" s="58" t="n">
        <f aca="false">COUNTIFS(Transactions!$H$6:$H$305,$B20,Transactions!$B$6:$B$305,"&gt;"&amp;PrevDate,Transactions!$B$6:$B$305,"&lt;="&amp;ValDate)</f>
        <v>2</v>
      </c>
    </row>
    <row r="21" customFormat="false" ht="15" hidden="false" customHeight="false" outlineLevel="0" collapsed="false">
      <c r="B21" s="35" t="str">
        <f aca="false">Lists!$D$17</f>
        <v>Liquid / Overnight Fund</v>
      </c>
      <c r="C21" s="37" t="n">
        <f aca="false">SUMIFS(Holdings!$AD$6:$AD$205,Holdings!$H$6:$H$205,$B21)/Divisor</f>
        <v>7.3781431</v>
      </c>
      <c r="D21" s="37" t="n">
        <f aca="false">-SUMIFS(Transactions!$N$6:$N$305,Transactions!$G$6:$G$305,$B21,Transactions!$O$6:$O$305,"Investment",Transactions!$B$6:$B$305,"&gt;"&amp;PrevDate,Transactions!$B$6:$B$305,"&lt;="&amp;ValDate)/Divisor</f>
        <v>0.5</v>
      </c>
      <c r="E21" s="37" t="n">
        <f aca="false">SUMIFS(Transactions!$N$6:$N$305,Transactions!$G$6:$G$305,$B21,Transactions!$O$6:$O$305,"Divestment",Transactions!$B$6:$B$305,"&gt;"&amp;PrevDate,Transactions!$B$6:$B$305,"&lt;="&amp;ValDate)/Divisor</f>
        <v>0</v>
      </c>
      <c r="F21" s="37" t="n">
        <f aca="false">G21-C21-D21+E21</f>
        <v>0.120999864790769</v>
      </c>
      <c r="G21" s="37" t="n">
        <f aca="false">SUMIFS(Holdings!$R$6:$R$205,Holdings!$H$6:$H$205,$B21)/Divisor</f>
        <v>7.99914296479077</v>
      </c>
      <c r="I21" s="37" t="n">
        <f aca="false">SUMIFS(Transactions!$L$6:$L$305,Transactions!$G$6:$G$305,$B21,Transactions!$O$6:$O$305,"Income",Transactions!$B$6:$B$305,"&gt;"&amp;PrevDate,Transactions!$B$6:$B$305,"&lt;="&amp;ValDate)/Divisor</f>
        <v>0</v>
      </c>
      <c r="J21" s="37" t="n">
        <f aca="false">-SUMIFS(Transactions!$N$6:$N$305,Transactions!$G$6:$G$305,$B21,Transactions!$O$6:$O$305,"Charges",Transactions!$B$6:$B$305,"&gt;"&amp;PrevDate,Transactions!$B$6:$B$305,"&lt;="&amp;ValDate)/Divisor</f>
        <v>-0</v>
      </c>
      <c r="L21" s="37" t="n">
        <f aca="false">F21+I21-J21</f>
        <v>0.120999864790769</v>
      </c>
      <c r="M21" s="38" t="n">
        <f aca="false">IF((C21+0.5*(D21-E21-I21))&lt;=0,"",L21/(C21+0.5*(D21-E21-I21)))</f>
        <v>0.01586229613217</v>
      </c>
      <c r="O21" s="59" t="n">
        <f aca="false">COUNTIFS(Transactions!$G$6:$G$305,$B21,Transactions!$B$6:$B$305,"&gt;"&amp;PrevDate,Transactions!$B$6:$B$305,"&lt;="&amp;ValDate)</f>
        <v>1</v>
      </c>
    </row>
    <row r="22" customFormat="false" ht="15" hidden="false" customHeight="false" outlineLevel="0" collapsed="false">
      <c r="B22" s="35" t="str">
        <f aca="false">Lists!$D$18</f>
        <v>Arbitrage Fund</v>
      </c>
      <c r="C22" s="37" t="n">
        <f aca="false">SUMIFS(Holdings!$AD$6:$AD$205,Holdings!$H$6:$H$205,$B22)/Divisor</f>
        <v>5.1621475</v>
      </c>
      <c r="D22" s="37" t="n">
        <f aca="false">-SUMIFS(Transactions!$N$6:$N$305,Transactions!$G$6:$G$305,$B22,Transactions!$O$6:$O$305,"Investment",Transactions!$B$6:$B$305,"&gt;"&amp;PrevDate,Transactions!$B$6:$B$305,"&lt;="&amp;ValDate)/Divisor</f>
        <v>0.7476</v>
      </c>
      <c r="E22" s="37" t="n">
        <f aca="false">SUMIFS(Transactions!$N$6:$N$305,Transactions!$G$6:$G$305,$B22,Transactions!$O$6:$O$305,"Divestment",Transactions!$B$6:$B$305,"&gt;"&amp;PrevDate,Transactions!$B$6:$B$305,"&lt;="&amp;ValDate)/Divisor</f>
        <v>0</v>
      </c>
      <c r="F22" s="37" t="n">
        <f aca="false">G22-C22-D22+E22</f>
        <v>0.0877565000000005</v>
      </c>
      <c r="G22" s="37" t="n">
        <f aca="false">SUMIFS(Holdings!$R$6:$R$205,Holdings!$H$6:$H$205,$B22)/Divisor</f>
        <v>5.997504</v>
      </c>
      <c r="I22" s="37" t="n">
        <f aca="false">SUMIFS(Transactions!$L$6:$L$305,Transactions!$G$6:$G$305,$B22,Transactions!$O$6:$O$305,"Income",Transactions!$B$6:$B$305,"&gt;"&amp;PrevDate,Transactions!$B$6:$B$305,"&lt;="&amp;ValDate)/Divisor</f>
        <v>0</v>
      </c>
      <c r="J22" s="37" t="n">
        <f aca="false">-SUMIFS(Transactions!$N$6:$N$305,Transactions!$G$6:$G$305,$B22,Transactions!$O$6:$O$305,"Charges",Transactions!$B$6:$B$305,"&gt;"&amp;PrevDate,Transactions!$B$6:$B$305,"&lt;="&amp;ValDate)/Divisor</f>
        <v>-0</v>
      </c>
      <c r="L22" s="37" t="n">
        <f aca="false">F22+I22-J22</f>
        <v>0.0877565000000005</v>
      </c>
      <c r="M22" s="38" t="n">
        <f aca="false">IF((C22+0.5*(D22-E22-I22))&lt;=0,"",L22/(C22+0.5*(D22-E22-I22)))</f>
        <v>0.0158521192623305</v>
      </c>
      <c r="O22" s="59" t="n">
        <f aca="false">COUNTIFS(Transactions!$G$6:$G$305,$B22,Transactions!$B$6:$B$305,"&gt;"&amp;PrevDate,Transactions!$B$6:$B$305,"&lt;="&amp;ValDate)</f>
        <v>1</v>
      </c>
    </row>
    <row r="23" customFormat="false" ht="15" hidden="false" customHeight="false" outlineLevel="0" collapsed="false">
      <c r="B23" s="35" t="str">
        <f aca="false">Lists!$D$19</f>
        <v>Bank / Cash Balance</v>
      </c>
      <c r="C23" s="37" t="n">
        <f aca="false">SUMIFS(Holdings!$AD$6:$AD$205,Holdings!$H$6:$H$205,$B23)/Divisor</f>
        <v>3.745</v>
      </c>
      <c r="D23" s="37" t="n">
        <f aca="false">-SUMIFS(Transactions!$N$6:$N$305,Transactions!$G$6:$G$305,$B23,Transactions!$O$6:$O$305,"Investment",Transactions!$B$6:$B$305,"&gt;"&amp;PrevDate,Transactions!$B$6:$B$305,"&lt;="&amp;ValDate)/Divisor</f>
        <v>-0</v>
      </c>
      <c r="E23" s="37" t="n">
        <f aca="false">SUMIFS(Transactions!$N$6:$N$305,Transactions!$G$6:$G$305,$B23,Transactions!$O$6:$O$305,"Divestment",Transactions!$B$6:$B$305,"&gt;"&amp;PrevDate,Transactions!$B$6:$B$305,"&lt;="&amp;ValDate)/Divisor</f>
        <v>0</v>
      </c>
      <c r="F23" s="37" t="n">
        <f aca="false">G23-C23-D23+E23</f>
        <v>0</v>
      </c>
      <c r="G23" s="37" t="n">
        <f aca="false">SUMIFS(Holdings!$R$6:$R$205,Holdings!$H$6:$H$205,$B23)/Divisor</f>
        <v>3.745</v>
      </c>
      <c r="I23" s="37" t="n">
        <f aca="false">SUMIFS(Transactions!$L$6:$L$305,Transactions!$G$6:$G$305,$B23,Transactions!$O$6:$O$305,"Income",Transactions!$B$6:$B$305,"&gt;"&amp;PrevDate,Transactions!$B$6:$B$305,"&lt;="&amp;ValDate)/Divisor</f>
        <v>0</v>
      </c>
      <c r="J23" s="37" t="n">
        <f aca="false">-SUMIFS(Transactions!$N$6:$N$305,Transactions!$G$6:$G$305,$B23,Transactions!$O$6:$O$305,"Charges",Transactions!$B$6:$B$305,"&gt;"&amp;PrevDate,Transactions!$B$6:$B$305,"&lt;="&amp;ValDate)/Divisor</f>
        <v>-0</v>
      </c>
      <c r="L23" s="37" t="n">
        <f aca="false">F23+I23-J23</f>
        <v>0</v>
      </c>
      <c r="M23" s="38" t="n">
        <f aca="false">IF((C23+0.5*(D23-E23-I23))&lt;=0,"",L23/(C23+0.5*(D23-E23-I23)))</f>
        <v>0</v>
      </c>
      <c r="O23" s="59" t="n">
        <f aca="false">COUNTIFS(Transactions!$G$6:$G$305,$B23,Transactions!$B$6:$B$305,"&gt;"&amp;PrevDate,Transactions!$B$6:$B$305,"&lt;="&amp;ValDate)</f>
        <v>0</v>
      </c>
    </row>
    <row r="24" customFormat="false" ht="15" hidden="false" customHeight="false" outlineLevel="0" collapsed="false">
      <c r="B24" s="30" t="str">
        <f aca="false">Lists!$A$9</f>
        <v>Alternate</v>
      </c>
      <c r="C24" s="32" t="n">
        <f aca="false">SUMIFS(Holdings!$AD$6:$AD$205,Holdings!$G$6:$G$205,$B24)/Divisor</f>
        <v>21.7148041</v>
      </c>
      <c r="D24" s="32" t="n">
        <f aca="false">-SUMIFS(Transactions!$N$6:$N$305,Transactions!$H$6:$H$305,$B24,Transactions!$O$6:$O$305,"Investment",Transactions!$B$6:$B$305,"&gt;"&amp;PrevDate,Transactions!$B$6:$B$305,"&lt;="&amp;ValDate)/Divisor</f>
        <v>1</v>
      </c>
      <c r="E24" s="32" t="n">
        <f aca="false">SUMIFS(Transactions!$N$6:$N$305,Transactions!$H$6:$H$305,$B24,Transactions!$O$6:$O$305,"Divestment",Transactions!$B$6:$B$305,"&gt;"&amp;PrevDate,Transactions!$B$6:$B$305,"&lt;="&amp;ValDate)/Divisor</f>
        <v>0.35</v>
      </c>
      <c r="F24" s="32" t="n">
        <f aca="false">G24-C24-D24+E24</f>
        <v>0.418755900000003</v>
      </c>
      <c r="G24" s="32" t="n">
        <f aca="false">SUMIFS(Holdings!$R$6:$R$205,Holdings!$G$6:$G$205,$B24)/Divisor</f>
        <v>22.78356</v>
      </c>
      <c r="H24" s="34"/>
      <c r="I24" s="32" t="n">
        <f aca="false">SUMIFS(Transactions!$L$6:$L$305,Transactions!$H$6:$H$305,$B24,Transactions!$O$6:$O$305,"Income",Transactions!$B$6:$B$305,"&gt;"&amp;PrevDate,Transactions!$B$6:$B$305,"&lt;="&amp;ValDate)/Divisor</f>
        <v>0.09</v>
      </c>
      <c r="J24" s="32" t="n">
        <f aca="false">-SUMIFS(Transactions!$N$6:$N$305,Transactions!$H$6:$H$305,$B24,Transactions!$O$6:$O$305,"Charges",Transactions!$B$6:$B$305,"&gt;"&amp;PrevDate,Transactions!$B$6:$B$305,"&lt;="&amp;ValDate)/Divisor</f>
        <v>-0</v>
      </c>
      <c r="K24" s="34"/>
      <c r="L24" s="32" t="n">
        <f aca="false">F24+I24-J24</f>
        <v>0.508755900000003</v>
      </c>
      <c r="M24" s="33" t="n">
        <f aca="false">IF((C24+0.5*(D24-E24-I24))&lt;=0,"",L24/(C24+0.5*(D24-E24-I24)))</f>
        <v>0.0231307311348139</v>
      </c>
      <c r="N24" s="34"/>
      <c r="O24" s="58" t="n">
        <f aca="false">COUNTIFS(Transactions!$H$6:$H$305,$B24,Transactions!$B$6:$B$305,"&gt;"&amp;PrevDate,Transactions!$B$6:$B$305,"&lt;="&amp;ValDate)</f>
        <v>3</v>
      </c>
    </row>
    <row r="25" customFormat="false" ht="15" hidden="false" customHeight="false" outlineLevel="0" collapsed="false">
      <c r="B25" s="35" t="str">
        <f aca="false">Lists!$D$20</f>
        <v>Gold / Silver (ETF, SGB, FoF)</v>
      </c>
      <c r="C25" s="37" t="n">
        <f aca="false">SUMIFS(Holdings!$AD$6:$AD$205,Holdings!$H$6:$H$205,$B25)/Divisor</f>
        <v>4.467817</v>
      </c>
      <c r="D25" s="37" t="n">
        <f aca="false">-SUMIFS(Transactions!$N$6:$N$305,Transactions!$G$6:$G$305,$B25,Transactions!$O$6:$O$305,"Investment",Transactions!$B$6:$B$305,"&gt;"&amp;PrevDate,Transactions!$B$6:$B$305,"&lt;="&amp;ValDate)/Divisor</f>
        <v>-0</v>
      </c>
      <c r="E25" s="37" t="n">
        <f aca="false">SUMIFS(Transactions!$N$6:$N$305,Transactions!$G$6:$G$305,$B25,Transactions!$O$6:$O$305,"Divestment",Transactions!$B$6:$B$305,"&gt;"&amp;PrevDate,Transactions!$B$6:$B$305,"&lt;="&amp;ValDate)/Divisor</f>
        <v>0</v>
      </c>
      <c r="F25" s="37" t="n">
        <f aca="false">G25-C25-D25+E25</f>
        <v>0.298943</v>
      </c>
      <c r="G25" s="37" t="n">
        <f aca="false">SUMIFS(Holdings!$R$6:$R$205,Holdings!$H$6:$H$205,$B25)/Divisor</f>
        <v>4.76676</v>
      </c>
      <c r="I25" s="37" t="n">
        <f aca="false">SUMIFS(Transactions!$L$6:$L$305,Transactions!$G$6:$G$305,$B25,Transactions!$O$6:$O$305,"Income",Transactions!$B$6:$B$305,"&gt;"&amp;PrevDate,Transactions!$B$6:$B$305,"&lt;="&amp;ValDate)/Divisor</f>
        <v>0</v>
      </c>
      <c r="J25" s="37" t="n">
        <f aca="false">-SUMIFS(Transactions!$N$6:$N$305,Transactions!$G$6:$G$305,$B25,Transactions!$O$6:$O$305,"Charges",Transactions!$B$6:$B$305,"&gt;"&amp;PrevDate,Transactions!$B$6:$B$305,"&lt;="&amp;ValDate)/Divisor</f>
        <v>-0</v>
      </c>
      <c r="L25" s="37" t="n">
        <f aca="false">F25+I25-J25</f>
        <v>0.298943</v>
      </c>
      <c r="M25" s="38" t="n">
        <f aca="false">IF((C25+0.5*(D25-E25-I25))&lt;=0,"",L25/(C25+0.5*(D25-E25-I25)))</f>
        <v>0.0669103054131357</v>
      </c>
      <c r="O25" s="59" t="n">
        <f aca="false">COUNTIFS(Transactions!$G$6:$G$305,$B25,Transactions!$B$6:$B$305,"&gt;"&amp;PrevDate,Transactions!$B$6:$B$305,"&lt;="&amp;ValDate)</f>
        <v>0</v>
      </c>
    </row>
    <row r="26" customFormat="false" ht="15" hidden="false" customHeight="false" outlineLevel="0" collapsed="false">
      <c r="B26" s="35" t="str">
        <f aca="false">Lists!$D$21</f>
        <v>REIT / InvIT</v>
      </c>
      <c r="C26" s="37" t="n">
        <f aca="false">SUMIFS(Holdings!$AD$6:$AD$205,Holdings!$H$6:$H$205,$B26)/Divisor</f>
        <v>4.6081871</v>
      </c>
      <c r="D26" s="37" t="n">
        <f aca="false">-SUMIFS(Transactions!$N$6:$N$305,Transactions!$G$6:$G$305,$B26,Transactions!$O$6:$O$305,"Investment",Transactions!$B$6:$B$305,"&gt;"&amp;PrevDate,Transactions!$B$6:$B$305,"&lt;="&amp;ValDate)/Divisor</f>
        <v>-0</v>
      </c>
      <c r="E26" s="37" t="n">
        <f aca="false">SUMIFS(Transactions!$N$6:$N$305,Transactions!$G$6:$G$305,$B26,Transactions!$O$6:$O$305,"Divestment",Transactions!$B$6:$B$305,"&gt;"&amp;PrevDate,Transactions!$B$6:$B$305,"&lt;="&amp;ValDate)/Divisor</f>
        <v>0</v>
      </c>
      <c r="F26" s="37" t="n">
        <f aca="false">G26-C26-D26+E26</f>
        <v>0.119812899999999</v>
      </c>
      <c r="G26" s="37" t="n">
        <f aca="false">SUMIFS(Holdings!$R$6:$R$205,Holdings!$H$6:$H$205,$B26)/Divisor</f>
        <v>4.728</v>
      </c>
      <c r="I26" s="37" t="n">
        <f aca="false">SUMIFS(Transactions!$L$6:$L$305,Transactions!$G$6:$G$305,$B26,Transactions!$O$6:$O$305,"Income",Transactions!$B$6:$B$305,"&gt;"&amp;PrevDate,Transactions!$B$6:$B$305,"&lt;="&amp;ValDate)/Divisor</f>
        <v>0.09</v>
      </c>
      <c r="J26" s="37" t="n">
        <f aca="false">-SUMIFS(Transactions!$N$6:$N$305,Transactions!$G$6:$G$305,$B26,Transactions!$O$6:$O$305,"Charges",Transactions!$B$6:$B$305,"&gt;"&amp;PrevDate,Transactions!$B$6:$B$305,"&lt;="&amp;ValDate)/Divisor</f>
        <v>-0</v>
      </c>
      <c r="L26" s="37" t="n">
        <f aca="false">F26+I26-J26</f>
        <v>0.209812899999999</v>
      </c>
      <c r="M26" s="38" t="n">
        <f aca="false">IF((C26+0.5*(D26-E26-I26))&lt;=0,"",L26/(C26+0.5*(D26-E26-I26)))</f>
        <v>0.0459794646596892</v>
      </c>
      <c r="O26" s="59" t="n">
        <f aca="false">COUNTIFS(Transactions!$G$6:$G$305,$B26,Transactions!$B$6:$B$305,"&gt;"&amp;PrevDate,Transactions!$B$6:$B$305,"&lt;="&amp;ValDate)</f>
        <v>1</v>
      </c>
    </row>
    <row r="27" customFormat="false" ht="15" hidden="false" customHeight="false" outlineLevel="0" collapsed="false">
      <c r="B27" s="35" t="str">
        <f aca="false">Lists!$D$22</f>
        <v>AIF Cat I / II – PE / VC Fund</v>
      </c>
      <c r="C27" s="37" t="n">
        <f aca="false">SUMIFS(Holdings!$AD$6:$AD$205,Holdings!$H$6:$H$205,$B27)/Divisor</f>
        <v>6.9388</v>
      </c>
      <c r="D27" s="37" t="n">
        <f aca="false">-SUMIFS(Transactions!$N$6:$N$305,Transactions!$G$6:$G$305,$B27,Transactions!$O$6:$O$305,"Investment",Transactions!$B$6:$B$305,"&gt;"&amp;PrevDate,Transactions!$B$6:$B$305,"&lt;="&amp;ValDate)/Divisor</f>
        <v>1</v>
      </c>
      <c r="E27" s="37" t="n">
        <f aca="false">SUMIFS(Transactions!$N$6:$N$305,Transactions!$G$6:$G$305,$B27,Transactions!$O$6:$O$305,"Divestment",Transactions!$B$6:$B$305,"&gt;"&amp;PrevDate,Transactions!$B$6:$B$305,"&lt;="&amp;ValDate)/Divisor</f>
        <v>0.35</v>
      </c>
      <c r="F27" s="37" t="n">
        <f aca="false">G27-C27-D27+E27</f>
        <v>0</v>
      </c>
      <c r="G27" s="37" t="n">
        <f aca="false">SUMIFS(Holdings!$R$6:$R$205,Holdings!$H$6:$H$205,$B27)/Divisor</f>
        <v>7.5888</v>
      </c>
      <c r="I27" s="37" t="n">
        <f aca="false">SUMIFS(Transactions!$L$6:$L$305,Transactions!$G$6:$G$305,$B27,Transactions!$O$6:$O$305,"Income",Transactions!$B$6:$B$305,"&gt;"&amp;PrevDate,Transactions!$B$6:$B$305,"&lt;="&amp;ValDate)/Divisor</f>
        <v>0</v>
      </c>
      <c r="J27" s="37" t="n">
        <f aca="false">-SUMIFS(Transactions!$N$6:$N$305,Transactions!$G$6:$G$305,$B27,Transactions!$O$6:$O$305,"Charges",Transactions!$B$6:$B$305,"&gt;"&amp;PrevDate,Transactions!$B$6:$B$305,"&lt;="&amp;ValDate)/Divisor</f>
        <v>-0</v>
      </c>
      <c r="L27" s="37" t="n">
        <f aca="false">F27+I27-J27</f>
        <v>0</v>
      </c>
      <c r="M27" s="38" t="n">
        <f aca="false">IF((C27+0.5*(D27-E27-I27))&lt;=0,"",L27/(C27+0.5*(D27-E27-I27)))</f>
        <v>0</v>
      </c>
      <c r="O27" s="59" t="n">
        <f aca="false">COUNTIFS(Transactions!$G$6:$G$305,$B27,Transactions!$B$6:$B$305,"&gt;"&amp;PrevDate,Transactions!$B$6:$B$305,"&lt;="&amp;ValDate)</f>
        <v>2</v>
      </c>
    </row>
    <row r="28" customFormat="false" ht="15" hidden="false" customHeight="false" outlineLevel="0" collapsed="false">
      <c r="B28" s="35" t="str">
        <f aca="false">Lists!$D$23</f>
        <v>Private Equity – Unlisted Shares</v>
      </c>
      <c r="C28" s="37" t="n">
        <f aca="false">SUMIFS(Holdings!$AD$6:$AD$205,Holdings!$H$6:$H$205,$B28)/Divisor</f>
        <v>2.5</v>
      </c>
      <c r="D28" s="37" t="n">
        <f aca="false">-SUMIFS(Transactions!$N$6:$N$305,Transactions!$G$6:$G$305,$B28,Transactions!$O$6:$O$305,"Investment",Transactions!$B$6:$B$305,"&gt;"&amp;PrevDate,Transactions!$B$6:$B$305,"&lt;="&amp;ValDate)/Divisor</f>
        <v>-0</v>
      </c>
      <c r="E28" s="37" t="n">
        <f aca="false">SUMIFS(Transactions!$N$6:$N$305,Transactions!$G$6:$G$305,$B28,Transactions!$O$6:$O$305,"Divestment",Transactions!$B$6:$B$305,"&gt;"&amp;PrevDate,Transactions!$B$6:$B$305,"&lt;="&amp;ValDate)/Divisor</f>
        <v>0</v>
      </c>
      <c r="F28" s="37" t="n">
        <f aca="false">G28-C28-D28+E28</f>
        <v>0</v>
      </c>
      <c r="G28" s="37" t="n">
        <f aca="false">SUMIFS(Holdings!$R$6:$R$205,Holdings!$H$6:$H$205,$B28)/Divisor</f>
        <v>2.5</v>
      </c>
      <c r="I28" s="37" t="n">
        <f aca="false">SUMIFS(Transactions!$L$6:$L$305,Transactions!$G$6:$G$305,$B28,Transactions!$O$6:$O$305,"Income",Transactions!$B$6:$B$305,"&gt;"&amp;PrevDate,Transactions!$B$6:$B$305,"&lt;="&amp;ValDate)/Divisor</f>
        <v>0</v>
      </c>
      <c r="J28" s="37" t="n">
        <f aca="false">-SUMIFS(Transactions!$N$6:$N$305,Transactions!$G$6:$G$305,$B28,Transactions!$O$6:$O$305,"Charges",Transactions!$B$6:$B$305,"&gt;"&amp;PrevDate,Transactions!$B$6:$B$305,"&lt;="&amp;ValDate)/Divisor</f>
        <v>-0</v>
      </c>
      <c r="L28" s="37" t="n">
        <f aca="false">F28+I28-J28</f>
        <v>0</v>
      </c>
      <c r="M28" s="38" t="n">
        <f aca="false">IF((C28+0.5*(D28-E28-I28))&lt;=0,"",L28/(C28+0.5*(D28-E28-I28)))</f>
        <v>0</v>
      </c>
      <c r="O28" s="59" t="n">
        <f aca="false">COUNTIFS(Transactions!$G$6:$G$305,$B28,Transactions!$B$6:$B$305,"&gt;"&amp;PrevDate,Transactions!$B$6:$B$305,"&lt;="&amp;ValDate)</f>
        <v>0</v>
      </c>
    </row>
    <row r="29" customFormat="false" ht="15" hidden="false" customHeight="false" outlineLevel="0" collapsed="false">
      <c r="B29" s="35" t="str">
        <f aca="false">Lists!$D$24</f>
        <v>Pre-IPO</v>
      </c>
      <c r="C29" s="37" t="n">
        <f aca="false">SUMIFS(Holdings!$AD$6:$AD$205,Holdings!$H$6:$H$205,$B29)/Divisor</f>
        <v>3.2</v>
      </c>
      <c r="D29" s="37" t="n">
        <f aca="false">-SUMIFS(Transactions!$N$6:$N$305,Transactions!$G$6:$G$305,$B29,Transactions!$O$6:$O$305,"Investment",Transactions!$B$6:$B$305,"&gt;"&amp;PrevDate,Transactions!$B$6:$B$305,"&lt;="&amp;ValDate)/Divisor</f>
        <v>-0</v>
      </c>
      <c r="E29" s="37" t="n">
        <f aca="false">SUMIFS(Transactions!$N$6:$N$305,Transactions!$G$6:$G$305,$B29,Transactions!$O$6:$O$305,"Divestment",Transactions!$B$6:$B$305,"&gt;"&amp;PrevDate,Transactions!$B$6:$B$305,"&lt;="&amp;ValDate)/Divisor</f>
        <v>0</v>
      </c>
      <c r="F29" s="37" t="n">
        <f aca="false">G29-C29-D29+E29</f>
        <v>0</v>
      </c>
      <c r="G29" s="37" t="n">
        <f aca="false">SUMIFS(Holdings!$R$6:$R$205,Holdings!$H$6:$H$205,$B29)/Divisor</f>
        <v>3.2</v>
      </c>
      <c r="I29" s="37" t="n">
        <f aca="false">SUMIFS(Transactions!$L$6:$L$305,Transactions!$G$6:$G$305,$B29,Transactions!$O$6:$O$305,"Income",Transactions!$B$6:$B$305,"&gt;"&amp;PrevDate,Transactions!$B$6:$B$305,"&lt;="&amp;ValDate)/Divisor</f>
        <v>0</v>
      </c>
      <c r="J29" s="37" t="n">
        <f aca="false">-SUMIFS(Transactions!$N$6:$N$305,Transactions!$G$6:$G$305,$B29,Transactions!$O$6:$O$305,"Charges",Transactions!$B$6:$B$305,"&gt;"&amp;PrevDate,Transactions!$B$6:$B$305,"&lt;="&amp;ValDate)/Divisor</f>
        <v>-0</v>
      </c>
      <c r="L29" s="37" t="n">
        <f aca="false">F29+I29-J29</f>
        <v>0</v>
      </c>
      <c r="M29" s="38" t="n">
        <f aca="false">IF((C29+0.5*(D29-E29-I29))&lt;=0,"",L29/(C29+0.5*(D29-E29-I29)))</f>
        <v>0</v>
      </c>
      <c r="O29" s="59" t="n">
        <f aca="false">COUNTIFS(Transactions!$G$6:$G$305,$B29,Transactions!$B$6:$B$305,"&gt;"&amp;PrevDate,Transactions!$B$6:$B$305,"&lt;="&amp;ValDate)</f>
        <v>0</v>
      </c>
    </row>
    <row r="31" customFormat="false" ht="15" hidden="false" customHeight="false" outlineLevel="0" collapsed="false">
      <c r="B31" s="39" t="s">
        <v>92</v>
      </c>
      <c r="C31" s="41" t="n">
        <f aca="false">SUM(Holdings!$AD$6:$AD$205)/Divisor</f>
        <v>130.2427501</v>
      </c>
      <c r="D31" s="41" t="n">
        <f aca="false">-SUMIFS(Transactions!$N$6:$N$305,Transactions!$O$6:$O$305,"Investment",Transactions!$B$6:$B$305,"&gt;"&amp;PrevDate,Transactions!$B$6:$B$305,"&lt;="&amp;ValDate)/Divisor</f>
        <v>3.7814</v>
      </c>
      <c r="E31" s="41" t="n">
        <f aca="false">SUMIFS(Transactions!$N$6:$N$305,Transactions!$O$6:$O$305,"Divestment",Transactions!$B$6:$B$305,"&gt;"&amp;PrevDate,Transactions!$B$6:$B$305,"&lt;="&amp;ValDate)/Divisor</f>
        <v>0.35</v>
      </c>
      <c r="F31" s="41" t="n">
        <f aca="false">G31-C31-D31+E31</f>
        <v>4.800380736487</v>
      </c>
      <c r="G31" s="41" t="n">
        <f aca="false">SUM(Holdings!$R$6:$R$205)/Divisor</f>
        <v>138.474530836487</v>
      </c>
      <c r="H31" s="43"/>
      <c r="I31" s="41" t="n">
        <f aca="false">SUMIFS(Transactions!$L$6:$L$305,Transactions!$O$6:$O$305,"Income",Transactions!$B$6:$B$305,"&gt;"&amp;PrevDate,Transactions!$B$6:$B$305,"&lt;="&amp;ValDate)/Divisor</f>
        <v>0.3698</v>
      </c>
      <c r="J31" s="41" t="n">
        <f aca="false">-SUMIFS(Transactions!$N$6:$N$305,Transactions!$O$6:$O$305,"Charges",Transactions!$B$6:$B$305,"&gt;"&amp;PrevDate,Transactions!$B$6:$B$305,"&lt;="&amp;ValDate)/Divisor</f>
        <v>0.05625</v>
      </c>
      <c r="K31" s="43"/>
      <c r="L31" s="41" t="n">
        <f aca="false">F31+I31-J31</f>
        <v>5.113930736487</v>
      </c>
      <c r="M31" s="42" t="n">
        <f aca="false">IF((C31+0.5*(D31-E31-I31))&lt;=0,"",L31/(C31+0.5*(D31-E31-I31)))</f>
        <v>0.0388084766070744</v>
      </c>
      <c r="N31" s="43"/>
      <c r="O31" s="60" t="n">
        <f aca="false">COUNTIFS(Transactions!$B$6:$B$305,"&gt;"&amp;PrevDate,Transactions!$B$6:$B$305,"&lt;="&amp;ValDate)</f>
        <v>13</v>
      </c>
    </row>
    <row r="33" customFormat="false" ht="15" hidden="false" customHeight="false" outlineLevel="0" collapsed="false">
      <c r="B33" s="7" t="s">
        <v>156</v>
      </c>
    </row>
    <row r="34" customFormat="false" ht="15" hidden="false" customHeight="false" outlineLevel="0" collapsed="false">
      <c r="B34" s="7" t="s">
        <v>157</v>
      </c>
    </row>
    <row r="35" customFormat="false" ht="15" hidden="false" customHeight="false" outlineLevel="0" collapsed="false">
      <c r="B35" s="7" t="s">
        <v>158</v>
      </c>
    </row>
    <row r="36" customFormat="false" ht="15" hidden="false" customHeight="false" outlineLevel="0" collapsed="false">
      <c r="B36" s="7" t="s">
        <v>159</v>
      </c>
    </row>
    <row r="37" customFormat="false" ht="15" hidden="false" customHeight="false" outlineLevel="0" collapsed="false">
      <c r="B37" s="7" t="s">
        <v>160</v>
      </c>
    </row>
  </sheetData>
  <mergeCells count="9">
    <mergeCell ref="B5:B6"/>
    <mergeCell ref="C5:C6"/>
    <mergeCell ref="D5:E5"/>
    <mergeCell ref="F5:F6"/>
    <mergeCell ref="G5:G6"/>
    <mergeCell ref="I5:J5"/>
    <mergeCell ref="L5:L6"/>
    <mergeCell ref="M5:M6"/>
    <mergeCell ref="O5:O6"/>
  </mergeCells>
  <conditionalFormatting sqref="B7:B29">
    <cfRule type="expression" priority="2" aboveAverage="0" equalAverage="0" bottom="0" percent="0" rank="0" text="" dxfId="2">
      <formula>AND(N($C7)=0,N($D7)=0,N($E7)=0,N($G7)=0)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A962"/>
    <pageSetUpPr fitToPage="true"/>
  </sheetPr>
  <dimension ref="A1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12" min="3" style="0" width="12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2"/>
    <col collapsed="false" customWidth="true" hidden="true" outlineLevel="0" max="16" min="16" style="0" width="13"/>
  </cols>
  <sheetData>
    <row r="1" customFormat="false" ht="21.75" hidden="false" customHeight="true" outlineLevel="0" collapsed="false">
      <c r="A1" s="28" t="str">
        <f aca="false">"Tax Summary — "&amp;ClientName</f>
        <v>Tax Summary — Malhotra Family Office (DEMO)</v>
      </c>
      <c r="N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"Figures in "&amp;UnitLabel&amp;" · realised: "&amp;IF(TaxFY="","every year","FY "&amp;TaxFY)&amp;" · unrealised: at "&amp;TEXT(ValDate,"dd-mmm-yyyy")</f>
        <v>Figures in ₹ Crore · realised: FY 2025-26 · unrealised: at 30-Jun-2026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B5" s="5" t="s">
        <v>161</v>
      </c>
      <c r="C5" s="61" t="s">
        <v>162</v>
      </c>
      <c r="D5" s="7" t="s">
        <v>163</v>
      </c>
    </row>
    <row r="6" customFormat="false" ht="15" hidden="false" customHeight="false" outlineLevel="0" collapsed="false">
      <c r="B6" s="5" t="s">
        <v>164</v>
      </c>
      <c r="C6" s="62" t="n">
        <v>90</v>
      </c>
      <c r="D6" s="7" t="s">
        <v>165</v>
      </c>
    </row>
    <row r="8" customFormat="false" ht="15" hidden="false" customHeight="true" outlineLevel="0" collapsed="false">
      <c r="B8" s="4" t="s">
        <v>166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30" hidden="false" customHeight="true" outlineLevel="0" collapsed="false">
      <c r="B9" s="23" t="s">
        <v>167</v>
      </c>
      <c r="C9" s="23" t="s">
        <v>168</v>
      </c>
      <c r="D9" s="23" t="str">
        <f aca="false">"Realised in "&amp;IF(TaxFY="","any year","FY "&amp;TaxFY)&amp;" — book profit"</f>
        <v>Realised in FY 2025-26 — book profit</v>
      </c>
      <c r="E9" s="23"/>
      <c r="F9" s="23" t="str">
        <f aca="false">"Realised in "&amp;IF(TaxFY="","any year","FY "&amp;TaxFY)&amp;" — taxable gain"</f>
        <v>Realised in FY 2025-26 — taxable gain</v>
      </c>
      <c r="G9" s="23"/>
      <c r="H9" s="23" t="s">
        <v>169</v>
      </c>
      <c r="I9" s="23"/>
      <c r="J9" s="23" t="s">
        <v>170</v>
      </c>
      <c r="K9" s="23"/>
      <c r="L9" s="23" t="s">
        <v>171</v>
      </c>
      <c r="M9" s="23" t="s">
        <v>172</v>
      </c>
      <c r="N9" s="23"/>
    </row>
    <row r="10" customFormat="false" ht="30" hidden="false" customHeight="true" outlineLevel="0" collapsed="false">
      <c r="B10" s="23"/>
      <c r="C10" s="23"/>
      <c r="D10" s="23" t="s">
        <v>173</v>
      </c>
      <c r="E10" s="23" t="s">
        <v>174</v>
      </c>
      <c r="F10" s="23" t="s">
        <v>173</v>
      </c>
      <c r="G10" s="23" t="s">
        <v>174</v>
      </c>
      <c r="H10" s="23" t="s">
        <v>173</v>
      </c>
      <c r="I10" s="23" t="s">
        <v>174</v>
      </c>
      <c r="J10" s="23" t="s">
        <v>173</v>
      </c>
      <c r="K10" s="23" t="s">
        <v>174</v>
      </c>
      <c r="L10" s="23"/>
      <c r="M10" s="23" t="s">
        <v>175</v>
      </c>
      <c r="N10" s="23" t="s">
        <v>176</v>
      </c>
    </row>
    <row r="11" customFormat="false" ht="15" hidden="false" customHeight="false" outlineLevel="0" collapsed="false">
      <c r="B11" s="44" t="str">
        <f aca="false">IF($P11="","",IFERROR(INDEX(Entities!$B$6:$B$25,MATCH($P11,Entities!$A$6:$A$25,0))&amp;"",$P11))</f>
        <v>Rajiv Malhotra</v>
      </c>
      <c r="C11" s="59" t="n">
        <f aca="false">IF($P11="","",COUNTIFS('Tax Lots'!$AP$6:$AP$205,$P11))</f>
        <v>5</v>
      </c>
      <c r="D11" s="37" t="n">
        <f aca="false">IF(OR($P11="",N($C11)=0),"",IF(TaxFY="",SUMIFS('Tax Lots'!$AA$6:$AA$205,'Tax Lots'!$AP$6:$AP$205,$P11,'Tax Lots'!$U$6:$U$205,"Short Term"),SUMIFS('Tax Lots'!$AA$6:$AA$205,'Tax Lots'!$AP$6:$AP$205,$P11,'Tax Lots'!$U$6:$U$205,"Short Term",'Tax Lots'!$AK$6:$AK$205,TaxFY))/Divisor)</f>
        <v>0.032</v>
      </c>
      <c r="E11" s="37" t="n">
        <f aca="false">IF(OR($P11="",N($C11)=0),"",IF(TaxFY="",SUMIFS('Tax Lots'!$AA$6:$AA$205,'Tax Lots'!$AP$6:$AP$205,$P11,'Tax Lots'!$U$6:$U$205,"Long Term"),SUMIFS('Tax Lots'!$AA$6:$AA$205,'Tax Lots'!$AP$6:$AP$205,$P11,'Tax Lots'!$U$6:$U$205,"Long Term",'Tax Lots'!$AK$6:$AK$205,TaxFY))/Divisor)</f>
        <v>2.552</v>
      </c>
      <c r="F11" s="37" t="n">
        <f aca="false">IF(OR($P11="",N($C11)=0),"",IF(TaxFY="",SUMIFS('Tax Lots'!$AD$6:$AD$205,'Tax Lots'!$AP$6:$AP$205,$P11,'Tax Lots'!$U$6:$U$205,"Short Term"),SUMIFS('Tax Lots'!$AD$6:$AD$205,'Tax Lots'!$AP$6:$AP$205,$P11,'Tax Lots'!$U$6:$U$205,"Short Term",'Tax Lots'!$AK$6:$AK$205,TaxFY))/Divisor)</f>
        <v>0.032</v>
      </c>
      <c r="G11" s="37" t="n">
        <f aca="false">IF(OR($P11="",N($C11)=0),"",IF(TaxFY="",SUMIFS('Tax Lots'!$AD$6:$AD$205,'Tax Lots'!$AP$6:$AP$205,$P11,'Tax Lots'!$U$6:$U$205,"Long Term"),SUMIFS('Tax Lots'!$AD$6:$AD$205,'Tax Lots'!$AP$6:$AP$205,$P11,'Tax Lots'!$U$6:$U$205,"Long Term",'Tax Lots'!$AK$6:$AK$205,TaxFY))/Divisor)</f>
        <v>1.628</v>
      </c>
      <c r="H11" s="37" t="n">
        <f aca="false">IF(OR($P11="",N($C11)=0),"",SUMIFS('Tax Lots'!$AB$6:$AB$205,'Tax Lots'!$AP$6:$AP$205,$P11,'Tax Lots'!$W$6:$W$205,"Short Term")/Divisor)</f>
        <v>0.16812</v>
      </c>
      <c r="I11" s="37" t="n">
        <f aca="false">IF(OR($P11="",N($C11)=0),"",SUMIFS('Tax Lots'!$AB$6:$AB$205,'Tax Lots'!$AP$6:$AP$205,$P11,'Tax Lots'!$W$6:$W$205,"Long Term")/Divisor)</f>
        <v>7.2944</v>
      </c>
      <c r="J11" s="37" t="n">
        <f aca="false">IF(OR($P11="",N($C11)=0),"",SUMIFS('Tax Lots'!$AF$6:$AF$205,'Tax Lots'!$AP$6:$AP$205,$P11,'Tax Lots'!$W$6:$W$205,"Short Term")/Divisor)</f>
        <v>0.16812</v>
      </c>
      <c r="K11" s="37" t="n">
        <f aca="false">IF(OR($P11="",N($C11)=0),"",SUMIFS('Tax Lots'!$AF$6:$AF$205,'Tax Lots'!$AP$6:$AP$205,$P11,'Tax Lots'!$W$6:$W$205,"Long Term")/Divisor)</f>
        <v>5.4464</v>
      </c>
      <c r="L11" s="37" t="n">
        <f aca="false">IF(OR($P11="",N($C11)=0),"",SUMIFS('Tax Lots'!$AJ$6:$AJ$205,'Tax Lots'!$AP$6:$AP$205,$P11)/Divisor)</f>
        <v>0.2172</v>
      </c>
      <c r="M11" s="59" t="n">
        <f aca="false">IF($P11="","",COUNTIFS('Tax Lots'!$AP$6:$AP$205,$P11,'Tax Lots'!$AQ$6:$AQ$205,1))</f>
        <v>0</v>
      </c>
      <c r="N11" s="37" t="str">
        <f aca="false">IF(OR($P11="",N($M11)=0),"",SUMIFS('Tax Lots'!$AF$6:$AF$205,'Tax Lots'!$AP$6:$AP$205,$P11,'Tax Lots'!$AQ$6:$AQ$205,1)/Divisor)</f>
        <v/>
      </c>
      <c r="P11" s="55" t="str">
        <f aca="true">IFERROR(INDEX(L_EntityID,1)&amp;"","")</f>
        <v>E01</v>
      </c>
    </row>
    <row r="12" customFormat="false" ht="15" hidden="false" customHeight="false" outlineLevel="0" collapsed="false">
      <c r="B12" s="44" t="str">
        <f aca="false">IF($P12="","",IFERROR(INDEX(Entities!$B$6:$B$25,MATCH($P12,Entities!$A$6:$A$25,0))&amp;"",$P12))</f>
        <v>Nisha Malhotra</v>
      </c>
      <c r="C12" s="59" t="n">
        <f aca="false">IF($P12="","",COUNTIFS('Tax Lots'!$AP$6:$AP$205,$P12))</f>
        <v>4</v>
      </c>
      <c r="D12" s="37" t="n">
        <f aca="false">IF(OR($P12="",N($C12)=0),"",IF(TaxFY="",SUMIFS('Tax Lots'!$AA$6:$AA$205,'Tax Lots'!$AP$6:$AP$205,$P12,'Tax Lots'!$U$6:$U$205,"Short Term"),SUMIFS('Tax Lots'!$AA$6:$AA$205,'Tax Lots'!$AP$6:$AP$205,$P12,'Tax Lots'!$U$6:$U$205,"Short Term",'Tax Lots'!$AK$6:$AK$205,TaxFY))/Divisor)</f>
        <v>0</v>
      </c>
      <c r="E12" s="37" t="n">
        <f aca="false">IF(OR($P12="",N($C12)=0),"",IF(TaxFY="",SUMIFS('Tax Lots'!$AA$6:$AA$205,'Tax Lots'!$AP$6:$AP$205,$P12,'Tax Lots'!$U$6:$U$205,"Long Term"),SUMIFS('Tax Lots'!$AA$6:$AA$205,'Tax Lots'!$AP$6:$AP$205,$P12,'Tax Lots'!$U$6:$U$205,"Long Term",'Tax Lots'!$AK$6:$AK$205,TaxFY))/Divisor)</f>
        <v>1.17</v>
      </c>
      <c r="F12" s="37" t="n">
        <f aca="false">IF(OR($P12="",N($C12)=0),"",IF(TaxFY="",SUMIFS('Tax Lots'!$AD$6:$AD$205,'Tax Lots'!$AP$6:$AP$205,$P12,'Tax Lots'!$U$6:$U$205,"Short Term"),SUMIFS('Tax Lots'!$AD$6:$AD$205,'Tax Lots'!$AP$6:$AP$205,$P12,'Tax Lots'!$U$6:$U$205,"Short Term",'Tax Lots'!$AK$6:$AK$205,TaxFY))/Divisor)</f>
        <v>0</v>
      </c>
      <c r="G12" s="37" t="n">
        <f aca="false">IF(OR($P12="",N($C12)=0),"",IF(TaxFY="",SUMIFS('Tax Lots'!$AD$6:$AD$205,'Tax Lots'!$AP$6:$AP$205,$P12,'Tax Lots'!$U$6:$U$205,"Long Term"),SUMIFS('Tax Lots'!$AD$6:$AD$205,'Tax Lots'!$AP$6:$AP$205,$P12,'Tax Lots'!$U$6:$U$205,"Long Term",'Tax Lots'!$AK$6:$AK$205,TaxFY))/Divisor)</f>
        <v>1.152</v>
      </c>
      <c r="H12" s="37" t="n">
        <f aca="false">IF(OR($P12="",N($C12)=0),"",SUMIFS('Tax Lots'!$AB$6:$AB$205,'Tax Lots'!$AP$6:$AP$205,$P12,'Tax Lots'!$W$6:$W$205,"Short Term")/Divisor)</f>
        <v>0.44127</v>
      </c>
      <c r="I12" s="37" t="n">
        <f aca="false">IF(OR($P12="",N($C12)=0),"",SUMIFS('Tax Lots'!$AB$6:$AB$205,'Tax Lots'!$AP$6:$AP$205,$P12,'Tax Lots'!$W$6:$W$205,"Long Term")/Divisor)</f>
        <v>5.546745</v>
      </c>
      <c r="J12" s="37" t="n">
        <f aca="false">IF(OR($P12="",N($C12)=0),"",SUMIFS('Tax Lots'!$AF$6:$AF$205,'Tax Lots'!$AP$6:$AP$205,$P12,'Tax Lots'!$W$6:$W$205,"Short Term")/Divisor)</f>
        <v>0.44127</v>
      </c>
      <c r="K12" s="37" t="n">
        <f aca="false">IF(OR($P12="",N($C12)=0),"",SUMIFS('Tax Lots'!$AF$6:$AF$205,'Tax Lots'!$AP$6:$AP$205,$P12,'Tax Lots'!$W$6:$W$205,"Long Term")/Divisor)</f>
        <v>5.474745</v>
      </c>
      <c r="L12" s="37" t="n">
        <f aca="false">IF(OR($P12="",N($C12)=0),"",SUMIFS('Tax Lots'!$AJ$6:$AJ$205,'Tax Lots'!$AP$6:$AP$205,$P12)/Divisor)</f>
        <v>0.0858</v>
      </c>
      <c r="M12" s="59" t="n">
        <f aca="false">IF($P12="","",COUNTIFS('Tax Lots'!$AP$6:$AP$205,$P12,'Tax Lots'!$AQ$6:$AQ$205,1))</f>
        <v>1</v>
      </c>
      <c r="N12" s="37" t="n">
        <f aca="false">IF(OR($P12="",N($M12)=0),"",SUMIFS('Tax Lots'!$AF$6:$AF$205,'Tax Lots'!$AP$6:$AP$205,$P12,'Tax Lots'!$AQ$6:$AQ$205,1)/Divisor)</f>
        <v>0.37314</v>
      </c>
      <c r="P12" s="55" t="str">
        <f aca="true">IFERROR(INDEX(L_EntityID,2)&amp;"","")</f>
        <v>E02</v>
      </c>
    </row>
    <row r="13" customFormat="false" ht="15" hidden="false" customHeight="false" outlineLevel="0" collapsed="false">
      <c r="B13" s="44" t="str">
        <f aca="false">IF($P13="","",IFERROR(INDEX(Entities!$B$6:$B$25,MATCH($P13,Entities!$A$6:$A$25,0))&amp;"",$P13))</f>
        <v>Arjun Malhotra</v>
      </c>
      <c r="C13" s="59" t="n">
        <f aca="false">IF($P13="","",COUNTIFS('Tax Lots'!$AP$6:$AP$205,$P13))</f>
        <v>0</v>
      </c>
      <c r="D13" s="37" t="str">
        <f aca="false">IF(OR($P13="",N($C13)=0),"",IF(TaxFY="",SUMIFS('Tax Lots'!$AA$6:$AA$205,'Tax Lots'!$AP$6:$AP$205,$P13,'Tax Lots'!$U$6:$U$205,"Short Term"),SUMIFS('Tax Lots'!$AA$6:$AA$205,'Tax Lots'!$AP$6:$AP$205,$P13,'Tax Lots'!$U$6:$U$205,"Short Term",'Tax Lots'!$AK$6:$AK$205,TaxFY))/Divisor)</f>
        <v/>
      </c>
      <c r="E13" s="37" t="str">
        <f aca="false">IF(OR($P13="",N($C13)=0),"",IF(TaxFY="",SUMIFS('Tax Lots'!$AA$6:$AA$205,'Tax Lots'!$AP$6:$AP$205,$P13,'Tax Lots'!$U$6:$U$205,"Long Term"),SUMIFS('Tax Lots'!$AA$6:$AA$205,'Tax Lots'!$AP$6:$AP$205,$P13,'Tax Lots'!$U$6:$U$205,"Long Term",'Tax Lots'!$AK$6:$AK$205,TaxFY))/Divisor)</f>
        <v/>
      </c>
      <c r="F13" s="37" t="str">
        <f aca="false">IF(OR($P13="",N($C13)=0),"",IF(TaxFY="",SUMIFS('Tax Lots'!$AD$6:$AD$205,'Tax Lots'!$AP$6:$AP$205,$P13,'Tax Lots'!$U$6:$U$205,"Short Term"),SUMIFS('Tax Lots'!$AD$6:$AD$205,'Tax Lots'!$AP$6:$AP$205,$P13,'Tax Lots'!$U$6:$U$205,"Short Term",'Tax Lots'!$AK$6:$AK$205,TaxFY))/Divisor)</f>
        <v/>
      </c>
      <c r="G13" s="37" t="str">
        <f aca="false">IF(OR($P13="",N($C13)=0),"",IF(TaxFY="",SUMIFS('Tax Lots'!$AD$6:$AD$205,'Tax Lots'!$AP$6:$AP$205,$P13,'Tax Lots'!$U$6:$U$205,"Long Term"),SUMIFS('Tax Lots'!$AD$6:$AD$205,'Tax Lots'!$AP$6:$AP$205,$P13,'Tax Lots'!$U$6:$U$205,"Long Term",'Tax Lots'!$AK$6:$AK$205,TaxFY))/Divisor)</f>
        <v/>
      </c>
      <c r="H13" s="37" t="str">
        <f aca="false">IF(OR($P13="",N($C13)=0),"",SUMIFS('Tax Lots'!$AB$6:$AB$205,'Tax Lots'!$AP$6:$AP$205,$P13,'Tax Lots'!$W$6:$W$205,"Short Term")/Divisor)</f>
        <v/>
      </c>
      <c r="I13" s="37" t="str">
        <f aca="false">IF(OR($P13="",N($C13)=0),"",SUMIFS('Tax Lots'!$AB$6:$AB$205,'Tax Lots'!$AP$6:$AP$205,$P13,'Tax Lots'!$W$6:$W$205,"Long Term")/Divisor)</f>
        <v/>
      </c>
      <c r="J13" s="37" t="str">
        <f aca="false">IF(OR($P13="",N($C13)=0),"",SUMIFS('Tax Lots'!$AF$6:$AF$205,'Tax Lots'!$AP$6:$AP$205,$P13,'Tax Lots'!$W$6:$W$205,"Short Term")/Divisor)</f>
        <v/>
      </c>
      <c r="K13" s="37" t="str">
        <f aca="false">IF(OR($P13="",N($C13)=0),"",SUMIFS('Tax Lots'!$AF$6:$AF$205,'Tax Lots'!$AP$6:$AP$205,$P13,'Tax Lots'!$W$6:$W$205,"Long Term")/Divisor)</f>
        <v/>
      </c>
      <c r="L13" s="37" t="str">
        <f aca="false">IF(OR($P13="",N($C13)=0),"",SUMIFS('Tax Lots'!$AJ$6:$AJ$205,'Tax Lots'!$AP$6:$AP$205,$P13)/Divisor)</f>
        <v/>
      </c>
      <c r="M13" s="59" t="n">
        <f aca="false">IF($P13="","",COUNTIFS('Tax Lots'!$AP$6:$AP$205,$P13,'Tax Lots'!$AQ$6:$AQ$205,1))</f>
        <v>0</v>
      </c>
      <c r="N13" s="37" t="str">
        <f aca="false">IF(OR($P13="",N($M13)=0),"",SUMIFS('Tax Lots'!$AF$6:$AF$205,'Tax Lots'!$AP$6:$AP$205,$P13,'Tax Lots'!$AQ$6:$AQ$205,1)/Divisor)</f>
        <v/>
      </c>
      <c r="P13" s="55" t="str">
        <f aca="true">IFERROR(INDEX(L_EntityID,3)&amp;"","")</f>
        <v>E03</v>
      </c>
    </row>
    <row r="14" customFormat="false" ht="15" hidden="false" customHeight="false" outlineLevel="0" collapsed="false">
      <c r="B14" s="44" t="str">
        <f aca="false">IF($P14="","",IFERROR(INDEX(Entities!$B$6:$B$25,MATCH($P14,Entities!$A$6:$A$25,0))&amp;"",$P14))</f>
        <v>Malhotra Family Trust</v>
      </c>
      <c r="C14" s="59" t="n">
        <f aca="false">IF($P14="","",COUNTIFS('Tax Lots'!$AP$6:$AP$205,$P14))</f>
        <v>0</v>
      </c>
      <c r="D14" s="37" t="str">
        <f aca="false">IF(OR($P14="",N($C14)=0),"",IF(TaxFY="",SUMIFS('Tax Lots'!$AA$6:$AA$205,'Tax Lots'!$AP$6:$AP$205,$P14,'Tax Lots'!$U$6:$U$205,"Short Term"),SUMIFS('Tax Lots'!$AA$6:$AA$205,'Tax Lots'!$AP$6:$AP$205,$P14,'Tax Lots'!$U$6:$U$205,"Short Term",'Tax Lots'!$AK$6:$AK$205,TaxFY))/Divisor)</f>
        <v/>
      </c>
      <c r="E14" s="37" t="str">
        <f aca="false">IF(OR($P14="",N($C14)=0),"",IF(TaxFY="",SUMIFS('Tax Lots'!$AA$6:$AA$205,'Tax Lots'!$AP$6:$AP$205,$P14,'Tax Lots'!$U$6:$U$205,"Long Term"),SUMIFS('Tax Lots'!$AA$6:$AA$205,'Tax Lots'!$AP$6:$AP$205,$P14,'Tax Lots'!$U$6:$U$205,"Long Term",'Tax Lots'!$AK$6:$AK$205,TaxFY))/Divisor)</f>
        <v/>
      </c>
      <c r="F14" s="37" t="str">
        <f aca="false">IF(OR($P14="",N($C14)=0),"",IF(TaxFY="",SUMIFS('Tax Lots'!$AD$6:$AD$205,'Tax Lots'!$AP$6:$AP$205,$P14,'Tax Lots'!$U$6:$U$205,"Short Term"),SUMIFS('Tax Lots'!$AD$6:$AD$205,'Tax Lots'!$AP$6:$AP$205,$P14,'Tax Lots'!$U$6:$U$205,"Short Term",'Tax Lots'!$AK$6:$AK$205,TaxFY))/Divisor)</f>
        <v/>
      </c>
      <c r="G14" s="37" t="str">
        <f aca="false">IF(OR($P14="",N($C14)=0),"",IF(TaxFY="",SUMIFS('Tax Lots'!$AD$6:$AD$205,'Tax Lots'!$AP$6:$AP$205,$P14,'Tax Lots'!$U$6:$U$205,"Long Term"),SUMIFS('Tax Lots'!$AD$6:$AD$205,'Tax Lots'!$AP$6:$AP$205,$P14,'Tax Lots'!$U$6:$U$205,"Long Term",'Tax Lots'!$AK$6:$AK$205,TaxFY))/Divisor)</f>
        <v/>
      </c>
      <c r="H14" s="37" t="str">
        <f aca="false">IF(OR($P14="",N($C14)=0),"",SUMIFS('Tax Lots'!$AB$6:$AB$205,'Tax Lots'!$AP$6:$AP$205,$P14,'Tax Lots'!$W$6:$W$205,"Short Term")/Divisor)</f>
        <v/>
      </c>
      <c r="I14" s="37" t="str">
        <f aca="false">IF(OR($P14="",N($C14)=0),"",SUMIFS('Tax Lots'!$AB$6:$AB$205,'Tax Lots'!$AP$6:$AP$205,$P14,'Tax Lots'!$W$6:$W$205,"Long Term")/Divisor)</f>
        <v/>
      </c>
      <c r="J14" s="37" t="str">
        <f aca="false">IF(OR($P14="",N($C14)=0),"",SUMIFS('Tax Lots'!$AF$6:$AF$205,'Tax Lots'!$AP$6:$AP$205,$P14,'Tax Lots'!$W$6:$W$205,"Short Term")/Divisor)</f>
        <v/>
      </c>
      <c r="K14" s="37" t="str">
        <f aca="false">IF(OR($P14="",N($C14)=0),"",SUMIFS('Tax Lots'!$AF$6:$AF$205,'Tax Lots'!$AP$6:$AP$205,$P14,'Tax Lots'!$W$6:$W$205,"Long Term")/Divisor)</f>
        <v/>
      </c>
      <c r="L14" s="37" t="str">
        <f aca="false">IF(OR($P14="",N($C14)=0),"",SUMIFS('Tax Lots'!$AJ$6:$AJ$205,'Tax Lots'!$AP$6:$AP$205,$P14)/Divisor)</f>
        <v/>
      </c>
      <c r="M14" s="59" t="n">
        <f aca="false">IF($P14="","",COUNTIFS('Tax Lots'!$AP$6:$AP$205,$P14,'Tax Lots'!$AQ$6:$AQ$205,1))</f>
        <v>0</v>
      </c>
      <c r="N14" s="37" t="str">
        <f aca="false">IF(OR($P14="",N($M14)=0),"",SUMIFS('Tax Lots'!$AF$6:$AF$205,'Tax Lots'!$AP$6:$AP$205,$P14,'Tax Lots'!$AQ$6:$AQ$205,1)/Divisor)</f>
        <v/>
      </c>
      <c r="P14" s="55" t="str">
        <f aca="true">IFERROR(INDEX(L_EntityID,4)&amp;"","")</f>
        <v>E04</v>
      </c>
    </row>
    <row r="15" customFormat="false" ht="15" hidden="false" customHeight="false" outlineLevel="0" collapsed="false">
      <c r="B15" s="44" t="str">
        <f aca="false">IF($P15="","",IFERROR(INDEX(Entities!$B$6:$B$25,MATCH($P15,Entities!$A$6:$A$25,0))&amp;"",$P15))</f>
        <v>Malhotra Holdings LLP</v>
      </c>
      <c r="C15" s="59" t="n">
        <f aca="false">IF($P15="","",COUNTIFS('Tax Lots'!$AP$6:$AP$205,$P15))</f>
        <v>0</v>
      </c>
      <c r="D15" s="37" t="str">
        <f aca="false">IF(OR($P15="",N($C15)=0),"",IF(TaxFY="",SUMIFS('Tax Lots'!$AA$6:$AA$205,'Tax Lots'!$AP$6:$AP$205,$P15,'Tax Lots'!$U$6:$U$205,"Short Term"),SUMIFS('Tax Lots'!$AA$6:$AA$205,'Tax Lots'!$AP$6:$AP$205,$P15,'Tax Lots'!$U$6:$U$205,"Short Term",'Tax Lots'!$AK$6:$AK$205,TaxFY))/Divisor)</f>
        <v/>
      </c>
      <c r="E15" s="37" t="str">
        <f aca="false">IF(OR($P15="",N($C15)=0),"",IF(TaxFY="",SUMIFS('Tax Lots'!$AA$6:$AA$205,'Tax Lots'!$AP$6:$AP$205,$P15,'Tax Lots'!$U$6:$U$205,"Long Term"),SUMIFS('Tax Lots'!$AA$6:$AA$205,'Tax Lots'!$AP$6:$AP$205,$P15,'Tax Lots'!$U$6:$U$205,"Long Term",'Tax Lots'!$AK$6:$AK$205,TaxFY))/Divisor)</f>
        <v/>
      </c>
      <c r="F15" s="37" t="str">
        <f aca="false">IF(OR($P15="",N($C15)=0),"",IF(TaxFY="",SUMIFS('Tax Lots'!$AD$6:$AD$205,'Tax Lots'!$AP$6:$AP$205,$P15,'Tax Lots'!$U$6:$U$205,"Short Term"),SUMIFS('Tax Lots'!$AD$6:$AD$205,'Tax Lots'!$AP$6:$AP$205,$P15,'Tax Lots'!$U$6:$U$205,"Short Term",'Tax Lots'!$AK$6:$AK$205,TaxFY))/Divisor)</f>
        <v/>
      </c>
      <c r="G15" s="37" t="str">
        <f aca="false">IF(OR($P15="",N($C15)=0),"",IF(TaxFY="",SUMIFS('Tax Lots'!$AD$6:$AD$205,'Tax Lots'!$AP$6:$AP$205,$P15,'Tax Lots'!$U$6:$U$205,"Long Term"),SUMIFS('Tax Lots'!$AD$6:$AD$205,'Tax Lots'!$AP$6:$AP$205,$P15,'Tax Lots'!$U$6:$U$205,"Long Term",'Tax Lots'!$AK$6:$AK$205,TaxFY))/Divisor)</f>
        <v/>
      </c>
      <c r="H15" s="37" t="str">
        <f aca="false">IF(OR($P15="",N($C15)=0),"",SUMIFS('Tax Lots'!$AB$6:$AB$205,'Tax Lots'!$AP$6:$AP$205,$P15,'Tax Lots'!$W$6:$W$205,"Short Term")/Divisor)</f>
        <v/>
      </c>
      <c r="I15" s="37" t="str">
        <f aca="false">IF(OR($P15="",N($C15)=0),"",SUMIFS('Tax Lots'!$AB$6:$AB$205,'Tax Lots'!$AP$6:$AP$205,$P15,'Tax Lots'!$W$6:$W$205,"Long Term")/Divisor)</f>
        <v/>
      </c>
      <c r="J15" s="37" t="str">
        <f aca="false">IF(OR($P15="",N($C15)=0),"",SUMIFS('Tax Lots'!$AF$6:$AF$205,'Tax Lots'!$AP$6:$AP$205,$P15,'Tax Lots'!$W$6:$W$205,"Short Term")/Divisor)</f>
        <v/>
      </c>
      <c r="K15" s="37" t="str">
        <f aca="false">IF(OR($P15="",N($C15)=0),"",SUMIFS('Tax Lots'!$AF$6:$AF$205,'Tax Lots'!$AP$6:$AP$205,$P15,'Tax Lots'!$W$6:$W$205,"Long Term")/Divisor)</f>
        <v/>
      </c>
      <c r="L15" s="37" t="str">
        <f aca="false">IF(OR($P15="",N($C15)=0),"",SUMIFS('Tax Lots'!$AJ$6:$AJ$205,'Tax Lots'!$AP$6:$AP$205,$P15)/Divisor)</f>
        <v/>
      </c>
      <c r="M15" s="59" t="n">
        <f aca="false">IF($P15="","",COUNTIFS('Tax Lots'!$AP$6:$AP$205,$P15,'Tax Lots'!$AQ$6:$AQ$205,1))</f>
        <v>0</v>
      </c>
      <c r="N15" s="37" t="str">
        <f aca="false">IF(OR($P15="",N($M15)=0),"",SUMIFS('Tax Lots'!$AF$6:$AF$205,'Tax Lots'!$AP$6:$AP$205,$P15,'Tax Lots'!$AQ$6:$AQ$205,1)/Divisor)</f>
        <v/>
      </c>
      <c r="P15" s="55" t="str">
        <f aca="true">IFERROR(INDEX(L_EntityID,5)&amp;"","")</f>
        <v>E05</v>
      </c>
    </row>
    <row r="16" customFormat="false" ht="15" hidden="false" customHeight="false" outlineLevel="0" collapsed="false">
      <c r="B16" s="44" t="str">
        <f aca="false">IF($P16="","",IFERROR(INDEX(Entities!$B$6:$B$25,MATCH($P16,Entities!$A$6:$A$25,0))&amp;"",$P16))</f>
        <v/>
      </c>
      <c r="C16" s="59" t="str">
        <f aca="false">IF($P16="","",COUNTIFS('Tax Lots'!$AP$6:$AP$205,$P16))</f>
        <v/>
      </c>
      <c r="D16" s="37" t="str">
        <f aca="false">IF(OR($P16="",N($C16)=0),"",IF(TaxFY="",SUMIFS('Tax Lots'!$AA$6:$AA$205,'Tax Lots'!$AP$6:$AP$205,$P16,'Tax Lots'!$U$6:$U$205,"Short Term"),SUMIFS('Tax Lots'!$AA$6:$AA$205,'Tax Lots'!$AP$6:$AP$205,$P16,'Tax Lots'!$U$6:$U$205,"Short Term",'Tax Lots'!$AK$6:$AK$205,TaxFY))/Divisor)</f>
        <v/>
      </c>
      <c r="E16" s="37" t="str">
        <f aca="false">IF(OR($P16="",N($C16)=0),"",IF(TaxFY="",SUMIFS('Tax Lots'!$AA$6:$AA$205,'Tax Lots'!$AP$6:$AP$205,$P16,'Tax Lots'!$U$6:$U$205,"Long Term"),SUMIFS('Tax Lots'!$AA$6:$AA$205,'Tax Lots'!$AP$6:$AP$205,$P16,'Tax Lots'!$U$6:$U$205,"Long Term",'Tax Lots'!$AK$6:$AK$205,TaxFY))/Divisor)</f>
        <v/>
      </c>
      <c r="F16" s="37" t="str">
        <f aca="false">IF(OR($P16="",N($C16)=0),"",IF(TaxFY="",SUMIFS('Tax Lots'!$AD$6:$AD$205,'Tax Lots'!$AP$6:$AP$205,$P16,'Tax Lots'!$U$6:$U$205,"Short Term"),SUMIFS('Tax Lots'!$AD$6:$AD$205,'Tax Lots'!$AP$6:$AP$205,$P16,'Tax Lots'!$U$6:$U$205,"Short Term",'Tax Lots'!$AK$6:$AK$205,TaxFY))/Divisor)</f>
        <v/>
      </c>
      <c r="G16" s="37" t="str">
        <f aca="false">IF(OR($P16="",N($C16)=0),"",IF(TaxFY="",SUMIFS('Tax Lots'!$AD$6:$AD$205,'Tax Lots'!$AP$6:$AP$205,$P16,'Tax Lots'!$U$6:$U$205,"Long Term"),SUMIFS('Tax Lots'!$AD$6:$AD$205,'Tax Lots'!$AP$6:$AP$205,$P16,'Tax Lots'!$U$6:$U$205,"Long Term",'Tax Lots'!$AK$6:$AK$205,TaxFY))/Divisor)</f>
        <v/>
      </c>
      <c r="H16" s="37" t="str">
        <f aca="false">IF(OR($P16="",N($C16)=0),"",SUMIFS('Tax Lots'!$AB$6:$AB$205,'Tax Lots'!$AP$6:$AP$205,$P16,'Tax Lots'!$W$6:$W$205,"Short Term")/Divisor)</f>
        <v/>
      </c>
      <c r="I16" s="37" t="str">
        <f aca="false">IF(OR($P16="",N($C16)=0),"",SUMIFS('Tax Lots'!$AB$6:$AB$205,'Tax Lots'!$AP$6:$AP$205,$P16,'Tax Lots'!$W$6:$W$205,"Long Term")/Divisor)</f>
        <v/>
      </c>
      <c r="J16" s="37" t="str">
        <f aca="false">IF(OR($P16="",N($C16)=0),"",SUMIFS('Tax Lots'!$AF$6:$AF$205,'Tax Lots'!$AP$6:$AP$205,$P16,'Tax Lots'!$W$6:$W$205,"Short Term")/Divisor)</f>
        <v/>
      </c>
      <c r="K16" s="37" t="str">
        <f aca="false">IF(OR($P16="",N($C16)=0),"",SUMIFS('Tax Lots'!$AF$6:$AF$205,'Tax Lots'!$AP$6:$AP$205,$P16,'Tax Lots'!$W$6:$W$205,"Long Term")/Divisor)</f>
        <v/>
      </c>
      <c r="L16" s="37" t="str">
        <f aca="false">IF(OR($P16="",N($C16)=0),"",SUMIFS('Tax Lots'!$AJ$6:$AJ$205,'Tax Lots'!$AP$6:$AP$205,$P16)/Divisor)</f>
        <v/>
      </c>
      <c r="M16" s="59" t="str">
        <f aca="false">IF($P16="","",COUNTIFS('Tax Lots'!$AP$6:$AP$205,$P16,'Tax Lots'!$AQ$6:$AQ$205,1))</f>
        <v/>
      </c>
      <c r="N16" s="37" t="str">
        <f aca="false">IF(OR($P16="",N($M16)=0),"",SUMIFS('Tax Lots'!$AF$6:$AF$205,'Tax Lots'!$AP$6:$AP$205,$P16,'Tax Lots'!$AQ$6:$AQ$205,1)/Divisor)</f>
        <v/>
      </c>
      <c r="P16" s="55" t="str">
        <f aca="true">IFERROR(INDEX(L_EntityID,6)&amp;"","")</f>
        <v/>
      </c>
    </row>
    <row r="17" customFormat="false" ht="15" hidden="false" customHeight="false" outlineLevel="0" collapsed="false">
      <c r="B17" s="44" t="str">
        <f aca="false">IF($P17="","",IFERROR(INDEX(Entities!$B$6:$B$25,MATCH($P17,Entities!$A$6:$A$25,0))&amp;"",$P17))</f>
        <v/>
      </c>
      <c r="C17" s="59" t="str">
        <f aca="false">IF($P17="","",COUNTIFS('Tax Lots'!$AP$6:$AP$205,$P17))</f>
        <v/>
      </c>
      <c r="D17" s="37" t="str">
        <f aca="false">IF(OR($P17="",N($C17)=0),"",IF(TaxFY="",SUMIFS('Tax Lots'!$AA$6:$AA$205,'Tax Lots'!$AP$6:$AP$205,$P17,'Tax Lots'!$U$6:$U$205,"Short Term"),SUMIFS('Tax Lots'!$AA$6:$AA$205,'Tax Lots'!$AP$6:$AP$205,$P17,'Tax Lots'!$U$6:$U$205,"Short Term",'Tax Lots'!$AK$6:$AK$205,TaxFY))/Divisor)</f>
        <v/>
      </c>
      <c r="E17" s="37" t="str">
        <f aca="false">IF(OR($P17="",N($C17)=0),"",IF(TaxFY="",SUMIFS('Tax Lots'!$AA$6:$AA$205,'Tax Lots'!$AP$6:$AP$205,$P17,'Tax Lots'!$U$6:$U$205,"Long Term"),SUMIFS('Tax Lots'!$AA$6:$AA$205,'Tax Lots'!$AP$6:$AP$205,$P17,'Tax Lots'!$U$6:$U$205,"Long Term",'Tax Lots'!$AK$6:$AK$205,TaxFY))/Divisor)</f>
        <v/>
      </c>
      <c r="F17" s="37" t="str">
        <f aca="false">IF(OR($P17="",N($C17)=0),"",IF(TaxFY="",SUMIFS('Tax Lots'!$AD$6:$AD$205,'Tax Lots'!$AP$6:$AP$205,$P17,'Tax Lots'!$U$6:$U$205,"Short Term"),SUMIFS('Tax Lots'!$AD$6:$AD$205,'Tax Lots'!$AP$6:$AP$205,$P17,'Tax Lots'!$U$6:$U$205,"Short Term",'Tax Lots'!$AK$6:$AK$205,TaxFY))/Divisor)</f>
        <v/>
      </c>
      <c r="G17" s="37" t="str">
        <f aca="false">IF(OR($P17="",N($C17)=0),"",IF(TaxFY="",SUMIFS('Tax Lots'!$AD$6:$AD$205,'Tax Lots'!$AP$6:$AP$205,$P17,'Tax Lots'!$U$6:$U$205,"Long Term"),SUMIFS('Tax Lots'!$AD$6:$AD$205,'Tax Lots'!$AP$6:$AP$205,$P17,'Tax Lots'!$U$6:$U$205,"Long Term",'Tax Lots'!$AK$6:$AK$205,TaxFY))/Divisor)</f>
        <v/>
      </c>
      <c r="H17" s="37" t="str">
        <f aca="false">IF(OR($P17="",N($C17)=0),"",SUMIFS('Tax Lots'!$AB$6:$AB$205,'Tax Lots'!$AP$6:$AP$205,$P17,'Tax Lots'!$W$6:$W$205,"Short Term")/Divisor)</f>
        <v/>
      </c>
      <c r="I17" s="37" t="str">
        <f aca="false">IF(OR($P17="",N($C17)=0),"",SUMIFS('Tax Lots'!$AB$6:$AB$205,'Tax Lots'!$AP$6:$AP$205,$P17,'Tax Lots'!$W$6:$W$205,"Long Term")/Divisor)</f>
        <v/>
      </c>
      <c r="J17" s="37" t="str">
        <f aca="false">IF(OR($P17="",N($C17)=0),"",SUMIFS('Tax Lots'!$AF$6:$AF$205,'Tax Lots'!$AP$6:$AP$205,$P17,'Tax Lots'!$W$6:$W$205,"Short Term")/Divisor)</f>
        <v/>
      </c>
      <c r="K17" s="37" t="str">
        <f aca="false">IF(OR($P17="",N($C17)=0),"",SUMIFS('Tax Lots'!$AF$6:$AF$205,'Tax Lots'!$AP$6:$AP$205,$P17,'Tax Lots'!$W$6:$W$205,"Long Term")/Divisor)</f>
        <v/>
      </c>
      <c r="L17" s="37" t="str">
        <f aca="false">IF(OR($P17="",N($C17)=0),"",SUMIFS('Tax Lots'!$AJ$6:$AJ$205,'Tax Lots'!$AP$6:$AP$205,$P17)/Divisor)</f>
        <v/>
      </c>
      <c r="M17" s="59" t="str">
        <f aca="false">IF($P17="","",COUNTIFS('Tax Lots'!$AP$6:$AP$205,$P17,'Tax Lots'!$AQ$6:$AQ$205,1))</f>
        <v/>
      </c>
      <c r="N17" s="37" t="str">
        <f aca="false">IF(OR($P17="",N($M17)=0),"",SUMIFS('Tax Lots'!$AF$6:$AF$205,'Tax Lots'!$AP$6:$AP$205,$P17,'Tax Lots'!$AQ$6:$AQ$205,1)/Divisor)</f>
        <v/>
      </c>
      <c r="P17" s="55" t="str">
        <f aca="true">IFERROR(INDEX(L_EntityID,7)&amp;"","")</f>
        <v/>
      </c>
    </row>
    <row r="18" customFormat="false" ht="15" hidden="false" customHeight="false" outlineLevel="0" collapsed="false">
      <c r="B18" s="44" t="str">
        <f aca="false">IF($P18="","",IFERROR(INDEX(Entities!$B$6:$B$25,MATCH($P18,Entities!$A$6:$A$25,0))&amp;"",$P18))</f>
        <v/>
      </c>
      <c r="C18" s="59" t="str">
        <f aca="false">IF($P18="","",COUNTIFS('Tax Lots'!$AP$6:$AP$205,$P18))</f>
        <v/>
      </c>
      <c r="D18" s="37" t="str">
        <f aca="false">IF(OR($P18="",N($C18)=0),"",IF(TaxFY="",SUMIFS('Tax Lots'!$AA$6:$AA$205,'Tax Lots'!$AP$6:$AP$205,$P18,'Tax Lots'!$U$6:$U$205,"Short Term"),SUMIFS('Tax Lots'!$AA$6:$AA$205,'Tax Lots'!$AP$6:$AP$205,$P18,'Tax Lots'!$U$6:$U$205,"Short Term",'Tax Lots'!$AK$6:$AK$205,TaxFY))/Divisor)</f>
        <v/>
      </c>
      <c r="E18" s="37" t="str">
        <f aca="false">IF(OR($P18="",N($C18)=0),"",IF(TaxFY="",SUMIFS('Tax Lots'!$AA$6:$AA$205,'Tax Lots'!$AP$6:$AP$205,$P18,'Tax Lots'!$U$6:$U$205,"Long Term"),SUMIFS('Tax Lots'!$AA$6:$AA$205,'Tax Lots'!$AP$6:$AP$205,$P18,'Tax Lots'!$U$6:$U$205,"Long Term",'Tax Lots'!$AK$6:$AK$205,TaxFY))/Divisor)</f>
        <v/>
      </c>
      <c r="F18" s="37" t="str">
        <f aca="false">IF(OR($P18="",N($C18)=0),"",IF(TaxFY="",SUMIFS('Tax Lots'!$AD$6:$AD$205,'Tax Lots'!$AP$6:$AP$205,$P18,'Tax Lots'!$U$6:$U$205,"Short Term"),SUMIFS('Tax Lots'!$AD$6:$AD$205,'Tax Lots'!$AP$6:$AP$205,$P18,'Tax Lots'!$U$6:$U$205,"Short Term",'Tax Lots'!$AK$6:$AK$205,TaxFY))/Divisor)</f>
        <v/>
      </c>
      <c r="G18" s="37" t="str">
        <f aca="false">IF(OR($P18="",N($C18)=0),"",IF(TaxFY="",SUMIFS('Tax Lots'!$AD$6:$AD$205,'Tax Lots'!$AP$6:$AP$205,$P18,'Tax Lots'!$U$6:$U$205,"Long Term"),SUMIFS('Tax Lots'!$AD$6:$AD$205,'Tax Lots'!$AP$6:$AP$205,$P18,'Tax Lots'!$U$6:$U$205,"Long Term",'Tax Lots'!$AK$6:$AK$205,TaxFY))/Divisor)</f>
        <v/>
      </c>
      <c r="H18" s="37" t="str">
        <f aca="false">IF(OR($P18="",N($C18)=0),"",SUMIFS('Tax Lots'!$AB$6:$AB$205,'Tax Lots'!$AP$6:$AP$205,$P18,'Tax Lots'!$W$6:$W$205,"Short Term")/Divisor)</f>
        <v/>
      </c>
      <c r="I18" s="37" t="str">
        <f aca="false">IF(OR($P18="",N($C18)=0),"",SUMIFS('Tax Lots'!$AB$6:$AB$205,'Tax Lots'!$AP$6:$AP$205,$P18,'Tax Lots'!$W$6:$W$205,"Long Term")/Divisor)</f>
        <v/>
      </c>
      <c r="J18" s="37" t="str">
        <f aca="false">IF(OR($P18="",N($C18)=0),"",SUMIFS('Tax Lots'!$AF$6:$AF$205,'Tax Lots'!$AP$6:$AP$205,$P18,'Tax Lots'!$W$6:$W$205,"Short Term")/Divisor)</f>
        <v/>
      </c>
      <c r="K18" s="37" t="str">
        <f aca="false">IF(OR($P18="",N($C18)=0),"",SUMIFS('Tax Lots'!$AF$6:$AF$205,'Tax Lots'!$AP$6:$AP$205,$P18,'Tax Lots'!$W$6:$W$205,"Long Term")/Divisor)</f>
        <v/>
      </c>
      <c r="L18" s="37" t="str">
        <f aca="false">IF(OR($P18="",N($C18)=0),"",SUMIFS('Tax Lots'!$AJ$6:$AJ$205,'Tax Lots'!$AP$6:$AP$205,$P18)/Divisor)</f>
        <v/>
      </c>
      <c r="M18" s="59" t="str">
        <f aca="false">IF($P18="","",COUNTIFS('Tax Lots'!$AP$6:$AP$205,$P18,'Tax Lots'!$AQ$6:$AQ$205,1))</f>
        <v/>
      </c>
      <c r="N18" s="37" t="str">
        <f aca="false">IF(OR($P18="",N($M18)=0),"",SUMIFS('Tax Lots'!$AF$6:$AF$205,'Tax Lots'!$AP$6:$AP$205,$P18,'Tax Lots'!$AQ$6:$AQ$205,1)/Divisor)</f>
        <v/>
      </c>
      <c r="P18" s="55" t="str">
        <f aca="true">IFERROR(INDEX(L_EntityID,8)&amp;"","")</f>
        <v/>
      </c>
    </row>
    <row r="19" customFormat="false" ht="15" hidden="false" customHeight="false" outlineLevel="0" collapsed="false">
      <c r="B19" s="39" t="s">
        <v>177</v>
      </c>
      <c r="C19" s="60" t="n">
        <f aca="false">COUNTA('Tax Lots'!$A$6:$A$205)</f>
        <v>9</v>
      </c>
      <c r="D19" s="41" t="n">
        <f aca="false">IF(TaxFY="",SUMIFS('Tax Lots'!$AA$6:$AA$205,'Tax Lots'!$U$6:$U$205,"Short Term"),SUMIFS('Tax Lots'!$AA$6:$AA$205,'Tax Lots'!$U$6:$U$205,"Short Term",'Tax Lots'!$AK$6:$AK$205,TaxFY))/Divisor</f>
        <v>0.032</v>
      </c>
      <c r="E19" s="41" t="n">
        <f aca="false">IF(TaxFY="",SUMIFS('Tax Lots'!$AA$6:$AA$205,'Tax Lots'!$U$6:$U$205,"Long Term"),SUMIFS('Tax Lots'!$AA$6:$AA$205,'Tax Lots'!$U$6:$U$205,"Long Term",'Tax Lots'!$AK$6:$AK$205,TaxFY))/Divisor</f>
        <v>3.722</v>
      </c>
      <c r="F19" s="41" t="n">
        <f aca="false">IF(TaxFY="",SUMIFS('Tax Lots'!$AD$6:$AD$205,'Tax Lots'!$U$6:$U$205,"Short Term"),SUMIFS('Tax Lots'!$AD$6:$AD$205,'Tax Lots'!$U$6:$U$205,"Short Term",'Tax Lots'!$AK$6:$AK$205,TaxFY))/Divisor</f>
        <v>0.032</v>
      </c>
      <c r="G19" s="41" t="n">
        <f aca="false">IF(TaxFY="",SUMIFS('Tax Lots'!$AD$6:$AD$205,'Tax Lots'!$U$6:$U$205,"Long Term"),SUMIFS('Tax Lots'!$AD$6:$AD$205,'Tax Lots'!$U$6:$U$205,"Long Term",'Tax Lots'!$AK$6:$AK$205,TaxFY))/Divisor</f>
        <v>2.78</v>
      </c>
      <c r="H19" s="41" t="n">
        <f aca="false">SUMIFS('Tax Lots'!$AB$6:$AB$205,'Tax Lots'!$W$6:$W$205,"Short Term")/Divisor</f>
        <v>0.60939</v>
      </c>
      <c r="I19" s="41" t="n">
        <f aca="false">SUMIFS('Tax Lots'!$AB$6:$AB$205,'Tax Lots'!$W$6:$W$205,"Long Term")/Divisor</f>
        <v>12.841145</v>
      </c>
      <c r="J19" s="41" t="n">
        <f aca="false">SUMIFS('Tax Lots'!$AF$6:$AF$205,'Tax Lots'!$W$6:$W$205,"Short Term")/Divisor</f>
        <v>0.60939</v>
      </c>
      <c r="K19" s="41" t="n">
        <f aca="false">SUMIFS('Tax Lots'!$AF$6:$AF$205,'Tax Lots'!$W$6:$W$205,"Long Term")/Divisor</f>
        <v>10.921145</v>
      </c>
      <c r="L19" s="41" t="n">
        <f aca="false">SUM('Tax Lots'!$AJ$6:$AJ$205)/Divisor</f>
        <v>0.303</v>
      </c>
      <c r="M19" s="60" t="n">
        <f aca="false">COUNTIF('Tax Lots'!$AQ$6:$AQ$205,1)</f>
        <v>1</v>
      </c>
      <c r="N19" s="41" t="n">
        <f aca="false">SUMIFS('Tax Lots'!$AF$6:$AF$205,'Tax Lots'!$AQ$6:$AQ$205,1)/Divisor</f>
        <v>0.37314</v>
      </c>
    </row>
    <row r="20" customFormat="false" ht="15" hidden="false" customHeight="false" outlineLevel="0" collapsed="false">
      <c r="B20" s="49" t="str">
        <f aca="false">IF(COUNTA(Entities!$A$6:$A$25)&gt;8,COUNTA(Entities!$A$6:$A$25)-8&amp;" more taxpayer(s) are not listed here; the total row includes their lots."," ")</f>
        <v> </v>
      </c>
    </row>
    <row r="22" customFormat="false" ht="15" hidden="false" customHeight="false" outlineLevel="0" collapsed="false">
      <c r="B22" s="4" t="str">
        <f aca="false">"LOTS TURNING LONG-TERM WITHIN "&amp;SoonDays&amp;" DAYS OF "&amp;UPPER(TEXT(ValDate,"dd-mmm-yyyy"))&amp;" — soonest first"</f>
        <v>LOTS TURNING LONG-TERM WITHIN 90 DAYS OF 30-JUN-2026 — soonest first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30" hidden="false" customHeight="true" outlineLevel="0" collapsed="false">
      <c r="B23" s="23" t="s">
        <v>178</v>
      </c>
      <c r="C23" s="23" t="s">
        <v>167</v>
      </c>
      <c r="D23" s="23" t="s">
        <v>179</v>
      </c>
      <c r="E23" s="23" t="s">
        <v>180</v>
      </c>
      <c r="F23" s="23" t="s">
        <v>181</v>
      </c>
      <c r="G23" s="23" t="s">
        <v>81</v>
      </c>
      <c r="H23" s="23" t="s">
        <v>176</v>
      </c>
      <c r="I23" s="23" t="s">
        <v>182</v>
      </c>
      <c r="J23" s="23" t="s">
        <v>183</v>
      </c>
    </row>
    <row r="24" customFormat="false" ht="15" hidden="false" customHeight="false" outlineLevel="0" collapsed="false">
      <c r="B24" s="44" t="str">
        <f aca="false">IF($P24="","",INDEX('Tax Lots'!$E$6:$E$205,$P24)&amp;"")</f>
        <v>Deccan Financial Services Ltd</v>
      </c>
      <c r="C24" s="44" t="str">
        <f aca="false">IF($P24="","",IFERROR(INDEX(Entities!$C$6:$C$25,MATCH(INDEX('Tax Lots'!$AP$6:$AP$205,$P24),Entities!$A$6:$A$25,0))&amp;"",INDEX('Tax Lots'!$D$6:$D$205,$P24)&amp;""))</f>
        <v>Nisha</v>
      </c>
      <c r="D24" s="36" t="str">
        <f aca="false">IF($P24="","",INDEX('Tax Lots'!$A$6:$A$205,$P24)&amp;"")</f>
        <v>L005</v>
      </c>
      <c r="E24" s="56" t="n">
        <f aca="false">IF($P24="","",IF(INDEX('Tax Lots'!$H$6:$H$205,$P24)="","",INDEX('Tax Lots'!$H$6:$H$205,$P24)))</f>
        <v>45910</v>
      </c>
      <c r="F24" s="63" t="n">
        <f aca="false">IF($P24="","",IF(INDEX('Tax Lots'!$P$6:$P$205,$P24)="","",INDEX('Tax Lots'!$P$6:$P$205,$P24)))</f>
        <v>27000</v>
      </c>
      <c r="G24" s="37" t="n">
        <f aca="false">IF($P24="","",IF(INDEX('Tax Lots'!$S$6:$S$205,$P24)="","",INDEX('Tax Lots'!$S$6:$S$205,$P24)/Divisor))</f>
        <v>4.53114</v>
      </c>
      <c r="H24" s="37" t="n">
        <f aca="false">IF($P24="","",IF(INDEX('Tax Lots'!$AF$6:$AF$205,$P24)="","",INDEX('Tax Lots'!$AF$6:$AF$205,$P24)/Divisor))</f>
        <v>0.37314</v>
      </c>
      <c r="I24" s="56" t="n">
        <f aca="false">IF($P24="","",IF(INDEX('Tax Lots'!$AH$6:$AH$205,$P24)="","",INDEX('Tax Lots'!$AH$6:$AH$205,$P24)))</f>
        <v>46276</v>
      </c>
      <c r="J24" s="64" t="n">
        <f aca="false">IF($P24="","",IF(INDEX('Tax Lots'!$AG$6:$AG$205,$P24)="","",INDEX('Tax Lots'!$AG$6:$AG$205,$P24)))</f>
        <v>73</v>
      </c>
      <c r="P24" s="55" t="n">
        <f aca="false">IFERROR(MATCH(1,'Tax Lots'!$AR$6:$AR$205,0),"")</f>
        <v>5</v>
      </c>
    </row>
    <row r="25" customFormat="false" ht="15" hidden="false" customHeight="false" outlineLevel="0" collapsed="false">
      <c r="B25" s="44" t="str">
        <f aca="false">IF($P25="","",INDEX('Tax Lots'!$E$6:$E$205,$P25)&amp;"")</f>
        <v/>
      </c>
      <c r="C25" s="44" t="str">
        <f aca="false">IF($P25="","",IFERROR(INDEX(Entities!$C$6:$C$25,MATCH(INDEX('Tax Lots'!$AP$6:$AP$205,$P25),Entities!$A$6:$A$25,0))&amp;"",INDEX('Tax Lots'!$D$6:$D$205,$P25)&amp;""))</f>
        <v/>
      </c>
      <c r="D25" s="36" t="str">
        <f aca="false">IF($P25="","",INDEX('Tax Lots'!$A$6:$A$205,$P25)&amp;"")</f>
        <v/>
      </c>
      <c r="E25" s="56" t="str">
        <f aca="false">IF($P25="","",IF(INDEX('Tax Lots'!$H$6:$H$205,$P25)="","",INDEX('Tax Lots'!$H$6:$H$205,$P25)))</f>
        <v/>
      </c>
      <c r="F25" s="63" t="str">
        <f aca="false">IF($P25="","",IF(INDEX('Tax Lots'!$P$6:$P$205,$P25)="","",INDEX('Tax Lots'!$P$6:$P$205,$P25)))</f>
        <v/>
      </c>
      <c r="G25" s="37" t="str">
        <f aca="false">IF($P25="","",IF(INDEX('Tax Lots'!$S$6:$S$205,$P25)="","",INDEX('Tax Lots'!$S$6:$S$205,$P25)/Divisor))</f>
        <v/>
      </c>
      <c r="H25" s="37" t="str">
        <f aca="false">IF($P25="","",IF(INDEX('Tax Lots'!$AF$6:$AF$205,$P25)="","",INDEX('Tax Lots'!$AF$6:$AF$205,$P25)/Divisor))</f>
        <v/>
      </c>
      <c r="I25" s="56" t="str">
        <f aca="false">IF($P25="","",IF(INDEX('Tax Lots'!$AH$6:$AH$205,$P25)="","",INDEX('Tax Lots'!$AH$6:$AH$205,$P25)))</f>
        <v/>
      </c>
      <c r="J25" s="64" t="str">
        <f aca="false">IF($P25="","",IF(INDEX('Tax Lots'!$AG$6:$AG$205,$P25)="","",INDEX('Tax Lots'!$AG$6:$AG$205,$P25)))</f>
        <v/>
      </c>
      <c r="P25" s="55" t="str">
        <f aca="false">IFERROR(MATCH(2,'Tax Lots'!$AR$6:$AR$205,0),"")</f>
        <v/>
      </c>
    </row>
    <row r="26" customFormat="false" ht="15" hidden="false" customHeight="false" outlineLevel="0" collapsed="false">
      <c r="B26" s="44" t="str">
        <f aca="false">IF($P26="","",INDEX('Tax Lots'!$E$6:$E$205,$P26)&amp;"")</f>
        <v/>
      </c>
      <c r="C26" s="44" t="str">
        <f aca="false">IF($P26="","",IFERROR(INDEX(Entities!$C$6:$C$25,MATCH(INDEX('Tax Lots'!$AP$6:$AP$205,$P26),Entities!$A$6:$A$25,0))&amp;"",INDEX('Tax Lots'!$D$6:$D$205,$P26)&amp;""))</f>
        <v/>
      </c>
      <c r="D26" s="36" t="str">
        <f aca="false">IF($P26="","",INDEX('Tax Lots'!$A$6:$A$205,$P26)&amp;"")</f>
        <v/>
      </c>
      <c r="E26" s="56" t="str">
        <f aca="false">IF($P26="","",IF(INDEX('Tax Lots'!$H$6:$H$205,$P26)="","",INDEX('Tax Lots'!$H$6:$H$205,$P26)))</f>
        <v/>
      </c>
      <c r="F26" s="63" t="str">
        <f aca="false">IF($P26="","",IF(INDEX('Tax Lots'!$P$6:$P$205,$P26)="","",INDEX('Tax Lots'!$P$6:$P$205,$P26)))</f>
        <v/>
      </c>
      <c r="G26" s="37" t="str">
        <f aca="false">IF($P26="","",IF(INDEX('Tax Lots'!$S$6:$S$205,$P26)="","",INDEX('Tax Lots'!$S$6:$S$205,$P26)/Divisor))</f>
        <v/>
      </c>
      <c r="H26" s="37" t="str">
        <f aca="false">IF($P26="","",IF(INDEX('Tax Lots'!$AF$6:$AF$205,$P26)="","",INDEX('Tax Lots'!$AF$6:$AF$205,$P26)/Divisor))</f>
        <v/>
      </c>
      <c r="I26" s="56" t="str">
        <f aca="false">IF($P26="","",IF(INDEX('Tax Lots'!$AH$6:$AH$205,$P26)="","",INDEX('Tax Lots'!$AH$6:$AH$205,$P26)))</f>
        <v/>
      </c>
      <c r="J26" s="64" t="str">
        <f aca="false">IF($P26="","",IF(INDEX('Tax Lots'!$AG$6:$AG$205,$P26)="","",INDEX('Tax Lots'!$AG$6:$AG$205,$P26)))</f>
        <v/>
      </c>
      <c r="P26" s="55" t="str">
        <f aca="false">IFERROR(MATCH(3,'Tax Lots'!$AR$6:$AR$205,0),"")</f>
        <v/>
      </c>
    </row>
    <row r="27" customFormat="false" ht="15" hidden="false" customHeight="false" outlineLevel="0" collapsed="false">
      <c r="B27" s="44" t="str">
        <f aca="false">IF($P27="","",INDEX('Tax Lots'!$E$6:$E$205,$P27)&amp;"")</f>
        <v/>
      </c>
      <c r="C27" s="44" t="str">
        <f aca="false">IF($P27="","",IFERROR(INDEX(Entities!$C$6:$C$25,MATCH(INDEX('Tax Lots'!$AP$6:$AP$205,$P27),Entities!$A$6:$A$25,0))&amp;"",INDEX('Tax Lots'!$D$6:$D$205,$P27)&amp;""))</f>
        <v/>
      </c>
      <c r="D27" s="36" t="str">
        <f aca="false">IF($P27="","",INDEX('Tax Lots'!$A$6:$A$205,$P27)&amp;"")</f>
        <v/>
      </c>
      <c r="E27" s="56" t="str">
        <f aca="false">IF($P27="","",IF(INDEX('Tax Lots'!$H$6:$H$205,$P27)="","",INDEX('Tax Lots'!$H$6:$H$205,$P27)))</f>
        <v/>
      </c>
      <c r="F27" s="63" t="str">
        <f aca="false">IF($P27="","",IF(INDEX('Tax Lots'!$P$6:$P$205,$P27)="","",INDEX('Tax Lots'!$P$6:$P$205,$P27)))</f>
        <v/>
      </c>
      <c r="G27" s="37" t="str">
        <f aca="false">IF($P27="","",IF(INDEX('Tax Lots'!$S$6:$S$205,$P27)="","",INDEX('Tax Lots'!$S$6:$S$205,$P27)/Divisor))</f>
        <v/>
      </c>
      <c r="H27" s="37" t="str">
        <f aca="false">IF($P27="","",IF(INDEX('Tax Lots'!$AF$6:$AF$205,$P27)="","",INDEX('Tax Lots'!$AF$6:$AF$205,$P27)/Divisor))</f>
        <v/>
      </c>
      <c r="I27" s="56" t="str">
        <f aca="false">IF($P27="","",IF(INDEX('Tax Lots'!$AH$6:$AH$205,$P27)="","",INDEX('Tax Lots'!$AH$6:$AH$205,$P27)))</f>
        <v/>
      </c>
      <c r="J27" s="64" t="str">
        <f aca="false">IF($P27="","",IF(INDEX('Tax Lots'!$AG$6:$AG$205,$P27)="","",INDEX('Tax Lots'!$AG$6:$AG$205,$P27)))</f>
        <v/>
      </c>
      <c r="P27" s="55" t="str">
        <f aca="false">IFERROR(MATCH(4,'Tax Lots'!$AR$6:$AR$205,0),"")</f>
        <v/>
      </c>
    </row>
    <row r="28" customFormat="false" ht="15" hidden="false" customHeight="false" outlineLevel="0" collapsed="false">
      <c r="B28" s="44" t="str">
        <f aca="false">IF($P28="","",INDEX('Tax Lots'!$E$6:$E$205,$P28)&amp;"")</f>
        <v/>
      </c>
      <c r="C28" s="44" t="str">
        <f aca="false">IF($P28="","",IFERROR(INDEX(Entities!$C$6:$C$25,MATCH(INDEX('Tax Lots'!$AP$6:$AP$205,$P28),Entities!$A$6:$A$25,0))&amp;"",INDEX('Tax Lots'!$D$6:$D$205,$P28)&amp;""))</f>
        <v/>
      </c>
      <c r="D28" s="36" t="str">
        <f aca="false">IF($P28="","",INDEX('Tax Lots'!$A$6:$A$205,$P28)&amp;"")</f>
        <v/>
      </c>
      <c r="E28" s="56" t="str">
        <f aca="false">IF($P28="","",IF(INDEX('Tax Lots'!$H$6:$H$205,$P28)="","",INDEX('Tax Lots'!$H$6:$H$205,$P28)))</f>
        <v/>
      </c>
      <c r="F28" s="63" t="str">
        <f aca="false">IF($P28="","",IF(INDEX('Tax Lots'!$P$6:$P$205,$P28)="","",INDEX('Tax Lots'!$P$6:$P$205,$P28)))</f>
        <v/>
      </c>
      <c r="G28" s="37" t="str">
        <f aca="false">IF($P28="","",IF(INDEX('Tax Lots'!$S$6:$S$205,$P28)="","",INDEX('Tax Lots'!$S$6:$S$205,$P28)/Divisor))</f>
        <v/>
      </c>
      <c r="H28" s="37" t="str">
        <f aca="false">IF($P28="","",IF(INDEX('Tax Lots'!$AF$6:$AF$205,$P28)="","",INDEX('Tax Lots'!$AF$6:$AF$205,$P28)/Divisor))</f>
        <v/>
      </c>
      <c r="I28" s="56" t="str">
        <f aca="false">IF($P28="","",IF(INDEX('Tax Lots'!$AH$6:$AH$205,$P28)="","",INDEX('Tax Lots'!$AH$6:$AH$205,$P28)))</f>
        <v/>
      </c>
      <c r="J28" s="64" t="str">
        <f aca="false">IF($P28="","",IF(INDEX('Tax Lots'!$AG$6:$AG$205,$P28)="","",INDEX('Tax Lots'!$AG$6:$AG$205,$P28)))</f>
        <v/>
      </c>
      <c r="P28" s="55" t="str">
        <f aca="false">IFERROR(MATCH(5,'Tax Lots'!$AR$6:$AR$205,0),"")</f>
        <v/>
      </c>
    </row>
    <row r="29" customFormat="false" ht="15" hidden="false" customHeight="false" outlineLevel="0" collapsed="false">
      <c r="B29" s="44" t="str">
        <f aca="false">IF($P29="","",INDEX('Tax Lots'!$E$6:$E$205,$P29)&amp;"")</f>
        <v/>
      </c>
      <c r="C29" s="44" t="str">
        <f aca="false">IF($P29="","",IFERROR(INDEX(Entities!$C$6:$C$25,MATCH(INDEX('Tax Lots'!$AP$6:$AP$205,$P29),Entities!$A$6:$A$25,0))&amp;"",INDEX('Tax Lots'!$D$6:$D$205,$P29)&amp;""))</f>
        <v/>
      </c>
      <c r="D29" s="36" t="str">
        <f aca="false">IF($P29="","",INDEX('Tax Lots'!$A$6:$A$205,$P29)&amp;"")</f>
        <v/>
      </c>
      <c r="E29" s="56" t="str">
        <f aca="false">IF($P29="","",IF(INDEX('Tax Lots'!$H$6:$H$205,$P29)="","",INDEX('Tax Lots'!$H$6:$H$205,$P29)))</f>
        <v/>
      </c>
      <c r="F29" s="63" t="str">
        <f aca="false">IF($P29="","",IF(INDEX('Tax Lots'!$P$6:$P$205,$P29)="","",INDEX('Tax Lots'!$P$6:$P$205,$P29)))</f>
        <v/>
      </c>
      <c r="G29" s="37" t="str">
        <f aca="false">IF($P29="","",IF(INDEX('Tax Lots'!$S$6:$S$205,$P29)="","",INDEX('Tax Lots'!$S$6:$S$205,$P29)/Divisor))</f>
        <v/>
      </c>
      <c r="H29" s="37" t="str">
        <f aca="false">IF($P29="","",IF(INDEX('Tax Lots'!$AF$6:$AF$205,$P29)="","",INDEX('Tax Lots'!$AF$6:$AF$205,$P29)/Divisor))</f>
        <v/>
      </c>
      <c r="I29" s="56" t="str">
        <f aca="false">IF($P29="","",IF(INDEX('Tax Lots'!$AH$6:$AH$205,$P29)="","",INDEX('Tax Lots'!$AH$6:$AH$205,$P29)))</f>
        <v/>
      </c>
      <c r="J29" s="64" t="str">
        <f aca="false">IF($P29="","",IF(INDEX('Tax Lots'!$AG$6:$AG$205,$P29)="","",INDEX('Tax Lots'!$AG$6:$AG$205,$P29)))</f>
        <v/>
      </c>
      <c r="P29" s="55" t="str">
        <f aca="false">IFERROR(MATCH(6,'Tax Lots'!$AR$6:$AR$205,0),"")</f>
        <v/>
      </c>
    </row>
    <row r="30" customFormat="false" ht="15" hidden="false" customHeight="false" outlineLevel="0" collapsed="false">
      <c r="B30" s="44" t="str">
        <f aca="false">IF($P30="","",INDEX('Tax Lots'!$E$6:$E$205,$P30)&amp;"")</f>
        <v/>
      </c>
      <c r="C30" s="44" t="str">
        <f aca="false">IF($P30="","",IFERROR(INDEX(Entities!$C$6:$C$25,MATCH(INDEX('Tax Lots'!$AP$6:$AP$205,$P30),Entities!$A$6:$A$25,0))&amp;"",INDEX('Tax Lots'!$D$6:$D$205,$P30)&amp;""))</f>
        <v/>
      </c>
      <c r="D30" s="36" t="str">
        <f aca="false">IF($P30="","",INDEX('Tax Lots'!$A$6:$A$205,$P30)&amp;"")</f>
        <v/>
      </c>
      <c r="E30" s="56" t="str">
        <f aca="false">IF($P30="","",IF(INDEX('Tax Lots'!$H$6:$H$205,$P30)="","",INDEX('Tax Lots'!$H$6:$H$205,$P30)))</f>
        <v/>
      </c>
      <c r="F30" s="63" t="str">
        <f aca="false">IF($P30="","",IF(INDEX('Tax Lots'!$P$6:$P$205,$P30)="","",INDEX('Tax Lots'!$P$6:$P$205,$P30)))</f>
        <v/>
      </c>
      <c r="G30" s="37" t="str">
        <f aca="false">IF($P30="","",IF(INDEX('Tax Lots'!$S$6:$S$205,$P30)="","",INDEX('Tax Lots'!$S$6:$S$205,$P30)/Divisor))</f>
        <v/>
      </c>
      <c r="H30" s="37" t="str">
        <f aca="false">IF($P30="","",IF(INDEX('Tax Lots'!$AF$6:$AF$205,$P30)="","",INDEX('Tax Lots'!$AF$6:$AF$205,$P30)/Divisor))</f>
        <v/>
      </c>
      <c r="I30" s="56" t="str">
        <f aca="false">IF($P30="","",IF(INDEX('Tax Lots'!$AH$6:$AH$205,$P30)="","",INDEX('Tax Lots'!$AH$6:$AH$205,$P30)))</f>
        <v/>
      </c>
      <c r="J30" s="64" t="str">
        <f aca="false">IF($P30="","",IF(INDEX('Tax Lots'!$AG$6:$AG$205,$P30)="","",INDEX('Tax Lots'!$AG$6:$AG$205,$P30)))</f>
        <v/>
      </c>
      <c r="P30" s="55" t="str">
        <f aca="false">IFERROR(MATCH(7,'Tax Lots'!$AR$6:$AR$205,0),"")</f>
        <v/>
      </c>
    </row>
    <row r="31" customFormat="false" ht="15" hidden="false" customHeight="false" outlineLevel="0" collapsed="false">
      <c r="B31" s="44" t="str">
        <f aca="false">IF($P31="","",INDEX('Tax Lots'!$E$6:$E$205,$P31)&amp;"")</f>
        <v/>
      </c>
      <c r="C31" s="44" t="str">
        <f aca="false">IF($P31="","",IFERROR(INDEX(Entities!$C$6:$C$25,MATCH(INDEX('Tax Lots'!$AP$6:$AP$205,$P31),Entities!$A$6:$A$25,0))&amp;"",INDEX('Tax Lots'!$D$6:$D$205,$P31)&amp;""))</f>
        <v/>
      </c>
      <c r="D31" s="36" t="str">
        <f aca="false">IF($P31="","",INDEX('Tax Lots'!$A$6:$A$205,$P31)&amp;"")</f>
        <v/>
      </c>
      <c r="E31" s="56" t="str">
        <f aca="false">IF($P31="","",IF(INDEX('Tax Lots'!$H$6:$H$205,$P31)="","",INDEX('Tax Lots'!$H$6:$H$205,$P31)))</f>
        <v/>
      </c>
      <c r="F31" s="63" t="str">
        <f aca="false">IF($P31="","",IF(INDEX('Tax Lots'!$P$6:$P$205,$P31)="","",INDEX('Tax Lots'!$P$6:$P$205,$P31)))</f>
        <v/>
      </c>
      <c r="G31" s="37" t="str">
        <f aca="false">IF($P31="","",IF(INDEX('Tax Lots'!$S$6:$S$205,$P31)="","",INDEX('Tax Lots'!$S$6:$S$205,$P31)/Divisor))</f>
        <v/>
      </c>
      <c r="H31" s="37" t="str">
        <f aca="false">IF($P31="","",IF(INDEX('Tax Lots'!$AF$6:$AF$205,$P31)="","",INDEX('Tax Lots'!$AF$6:$AF$205,$P31)/Divisor))</f>
        <v/>
      </c>
      <c r="I31" s="56" t="str">
        <f aca="false">IF($P31="","",IF(INDEX('Tax Lots'!$AH$6:$AH$205,$P31)="","",INDEX('Tax Lots'!$AH$6:$AH$205,$P31)))</f>
        <v/>
      </c>
      <c r="J31" s="64" t="str">
        <f aca="false">IF($P31="","",IF(INDEX('Tax Lots'!$AG$6:$AG$205,$P31)="","",INDEX('Tax Lots'!$AG$6:$AG$205,$P31)))</f>
        <v/>
      </c>
      <c r="P31" s="55" t="str">
        <f aca="false">IFERROR(MATCH(8,'Tax Lots'!$AR$6:$AR$205,0),"")</f>
        <v/>
      </c>
    </row>
    <row r="32" customFormat="false" ht="15" hidden="false" customHeight="false" outlineLevel="0" collapsed="false">
      <c r="B32" s="44" t="str">
        <f aca="false">IF($P32="","",INDEX('Tax Lots'!$E$6:$E$205,$P32)&amp;"")</f>
        <v/>
      </c>
      <c r="C32" s="44" t="str">
        <f aca="false">IF($P32="","",IFERROR(INDEX(Entities!$C$6:$C$25,MATCH(INDEX('Tax Lots'!$AP$6:$AP$205,$P32),Entities!$A$6:$A$25,0))&amp;"",INDEX('Tax Lots'!$D$6:$D$205,$P32)&amp;""))</f>
        <v/>
      </c>
      <c r="D32" s="36" t="str">
        <f aca="false">IF($P32="","",INDEX('Tax Lots'!$A$6:$A$205,$P32)&amp;"")</f>
        <v/>
      </c>
      <c r="E32" s="56" t="str">
        <f aca="false">IF($P32="","",IF(INDEX('Tax Lots'!$H$6:$H$205,$P32)="","",INDEX('Tax Lots'!$H$6:$H$205,$P32)))</f>
        <v/>
      </c>
      <c r="F32" s="63" t="str">
        <f aca="false">IF($P32="","",IF(INDEX('Tax Lots'!$P$6:$P$205,$P32)="","",INDEX('Tax Lots'!$P$6:$P$205,$P32)))</f>
        <v/>
      </c>
      <c r="G32" s="37" t="str">
        <f aca="false">IF($P32="","",IF(INDEX('Tax Lots'!$S$6:$S$205,$P32)="","",INDEX('Tax Lots'!$S$6:$S$205,$P32)/Divisor))</f>
        <v/>
      </c>
      <c r="H32" s="37" t="str">
        <f aca="false">IF($P32="","",IF(INDEX('Tax Lots'!$AF$6:$AF$205,$P32)="","",INDEX('Tax Lots'!$AF$6:$AF$205,$P32)/Divisor))</f>
        <v/>
      </c>
      <c r="I32" s="56" t="str">
        <f aca="false">IF($P32="","",IF(INDEX('Tax Lots'!$AH$6:$AH$205,$P32)="","",INDEX('Tax Lots'!$AH$6:$AH$205,$P32)))</f>
        <v/>
      </c>
      <c r="J32" s="64" t="str">
        <f aca="false">IF($P32="","",IF(INDEX('Tax Lots'!$AG$6:$AG$205,$P32)="","",INDEX('Tax Lots'!$AG$6:$AG$205,$P32)))</f>
        <v/>
      </c>
      <c r="P32" s="55" t="str">
        <f aca="false">IFERROR(MATCH(9,'Tax Lots'!$AR$6:$AR$205,0),"")</f>
        <v/>
      </c>
    </row>
    <row r="33" customFormat="false" ht="15" hidden="false" customHeight="false" outlineLevel="0" collapsed="false">
      <c r="B33" s="44" t="str">
        <f aca="false">IF($P33="","",INDEX('Tax Lots'!$E$6:$E$205,$P33)&amp;"")</f>
        <v/>
      </c>
      <c r="C33" s="44" t="str">
        <f aca="false">IF($P33="","",IFERROR(INDEX(Entities!$C$6:$C$25,MATCH(INDEX('Tax Lots'!$AP$6:$AP$205,$P33),Entities!$A$6:$A$25,0))&amp;"",INDEX('Tax Lots'!$D$6:$D$205,$P33)&amp;""))</f>
        <v/>
      </c>
      <c r="D33" s="36" t="str">
        <f aca="false">IF($P33="","",INDEX('Tax Lots'!$A$6:$A$205,$P33)&amp;"")</f>
        <v/>
      </c>
      <c r="E33" s="56" t="str">
        <f aca="false">IF($P33="","",IF(INDEX('Tax Lots'!$H$6:$H$205,$P33)="","",INDEX('Tax Lots'!$H$6:$H$205,$P33)))</f>
        <v/>
      </c>
      <c r="F33" s="63" t="str">
        <f aca="false">IF($P33="","",IF(INDEX('Tax Lots'!$P$6:$P$205,$P33)="","",INDEX('Tax Lots'!$P$6:$P$205,$P33)))</f>
        <v/>
      </c>
      <c r="G33" s="37" t="str">
        <f aca="false">IF($P33="","",IF(INDEX('Tax Lots'!$S$6:$S$205,$P33)="","",INDEX('Tax Lots'!$S$6:$S$205,$P33)/Divisor))</f>
        <v/>
      </c>
      <c r="H33" s="37" t="str">
        <f aca="false">IF($P33="","",IF(INDEX('Tax Lots'!$AF$6:$AF$205,$P33)="","",INDEX('Tax Lots'!$AF$6:$AF$205,$P33)/Divisor))</f>
        <v/>
      </c>
      <c r="I33" s="56" t="str">
        <f aca="false">IF($P33="","",IF(INDEX('Tax Lots'!$AH$6:$AH$205,$P33)="","",INDEX('Tax Lots'!$AH$6:$AH$205,$P33)))</f>
        <v/>
      </c>
      <c r="J33" s="64" t="str">
        <f aca="false">IF($P33="","",IF(INDEX('Tax Lots'!$AG$6:$AG$205,$P33)="","",INDEX('Tax Lots'!$AG$6:$AG$205,$P33)))</f>
        <v/>
      </c>
      <c r="P33" s="55" t="str">
        <f aca="false">IFERROR(MATCH(10,'Tax Lots'!$AR$6:$AR$205,0),"")</f>
        <v/>
      </c>
    </row>
    <row r="34" customFormat="false" ht="15" hidden="false" customHeight="false" outlineLevel="0" collapsed="false">
      <c r="B34" s="49" t="str">
        <f aca="false">IF(COUNTIF('Tax Lots'!$AQ$6:$AQ$205,1)=0,"No lot turns long-term within "&amp;SoonDays&amp;" days of the valuation date.",IF(COUNTIF('Tax Lots'!$AQ$6:$AQ$205,1)&gt;10,COUNTIF('Tax Lots'!$AQ$6:$AQ$205,1)-10&amp;" more lot(s) turn long-term in this window: filter Tax Lots on 'Days left to become long-term'."," "))</f>
        <v> </v>
      </c>
    </row>
    <row r="36" customFormat="false" ht="15" hidden="false" customHeight="false" outlineLevel="0" collapsed="false">
      <c r="B36" s="7" t="s">
        <v>184</v>
      </c>
    </row>
    <row r="37" customFormat="false" ht="15" hidden="false" customHeight="false" outlineLevel="0" collapsed="false">
      <c r="B37" s="7" t="s">
        <v>185</v>
      </c>
    </row>
    <row r="38" customFormat="false" ht="15" hidden="false" customHeight="false" outlineLevel="0" collapsed="false">
      <c r="B38" s="7" t="s">
        <v>186</v>
      </c>
    </row>
    <row r="39" customFormat="false" ht="15" hidden="false" customHeight="false" outlineLevel="0" collapsed="false">
      <c r="B39" s="7" t="s">
        <v>187</v>
      </c>
    </row>
    <row r="40" customFormat="false" ht="15" hidden="false" customHeight="false" outlineLevel="0" collapsed="false">
      <c r="B40" s="7" t="s">
        <v>188</v>
      </c>
    </row>
  </sheetData>
  <mergeCells count="10">
    <mergeCell ref="B8:N8"/>
    <mergeCell ref="B9:B10"/>
    <mergeCell ref="C9:C10"/>
    <mergeCell ref="D9:E9"/>
    <mergeCell ref="F9:G9"/>
    <mergeCell ref="H9:I9"/>
    <mergeCell ref="J9:K9"/>
    <mergeCell ref="L9:L10"/>
    <mergeCell ref="M9:N9"/>
    <mergeCell ref="B22:N22"/>
  </mergeCells>
  <conditionalFormatting sqref="B11:B18">
    <cfRule type="expression" priority="2" aboveAverage="0" equalAverage="0" bottom="0" percent="0" rank="0" text="" dxfId="2">
      <formula>AND(N($C11)=0)</formula>
    </cfRule>
  </conditionalFormatting>
  <dataValidations count="2">
    <dataValidation allowBlank="true" error="Pick a financial year from the list, or leave it blank." errorStyle="stop" errorTitle="FY" operator="between" prompt="The year of sale the realised columns show. Blank shows every year." promptTitle="Financial year" showDropDown="false" showErrorMessage="false" showInputMessage="true" sqref="C5" type="list">
      <formula1>L_FY</formula1>
      <formula2>0</formula2>
    </dataValidation>
    <dataValidation allowBlank="false" error="Type a whole number of days from 1 to 730." errorStyle="stop" errorTitle="Days" operator="between" showDropDown="false" showErrorMessage="false" showInputMessage="false" sqref="C6" type="whole">
      <formula1>1</formula1>
      <formula2>730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true" outlineLevel="0" max="8" min="8" style="0" width="8"/>
  </cols>
  <sheetData>
    <row r="1" customFormat="false" ht="21.75" hidden="false" customHeight="true" outlineLevel="0" collapsed="false">
      <c r="A1" s="28" t="str">
        <f aca="false">"Checks — "&amp;ClientName</f>
        <v>Checks — Malhotra Family Office (DEMO)</v>
      </c>
      <c r="G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tr">
        <f aca="false">"Every view against the registers, every row check · as at "&amp;TEXT(ValDate,"dd-mmm-yyyy")</f>
        <v>Every view against the registers, every row check · as at 30-Jun-2026</v>
      </c>
    </row>
    <row r="3" customFormat="false" ht="15" hidden="false" customHeight="false" outlineLevel="0" collapsed="false">
      <c r="A3" s="3" t="s">
        <v>2</v>
      </c>
    </row>
    <row r="5" customFormat="false" ht="24" hidden="false" customHeight="true" outlineLevel="0" collapsed="false">
      <c r="B5" s="65" t="s">
        <v>18</v>
      </c>
      <c r="C5" s="65"/>
      <c r="D5" s="66" t="str">
        <f aca="false">IF(COUNTIF($F$9:$F$54,"ERROR")=0,"ALL CHECKS PASS"&amp;IF(COUNTIF($F$9:$F$54,"INFO")&gt;0," · "&amp;COUNTIF($F$9:$F$54,"INFO")&amp;" note(s) to read",""),COUNTIF($F$9:$F$54,"ERROR")&amp;" CHECK(S) NEED ATTENTION")</f>
        <v>ALL CHECKS PASS · 6 note(s) to read</v>
      </c>
      <c r="E5" s="66"/>
      <c r="F5" s="66"/>
      <c r="G5" s="66"/>
    </row>
    <row r="6" customFormat="false" ht="15" hidden="false" customHeight="true" outlineLevel="0" collapsed="false">
      <c r="B6" s="67" t="s">
        <v>189</v>
      </c>
      <c r="C6" s="67"/>
      <c r="D6" s="67" t="str">
        <f aca="false">COUNTIF($F$9:$F$54,"OK")&amp;" OK · "&amp;COUNTIF($F$9:$F$54,"INFO")&amp;" note(s) · "&amp;COUNTIF($F$9:$F$54,"ERROR")&amp;" error(s)"</f>
        <v>35 OK · 6 note(s) · 0 error(s)</v>
      </c>
      <c r="E6" s="67"/>
      <c r="F6" s="67"/>
      <c r="G6" s="67"/>
    </row>
    <row r="8" customFormat="false" ht="21.75" hidden="false" customHeight="true" outlineLevel="0" collapsed="false">
      <c r="B8" s="23" t="s">
        <v>190</v>
      </c>
      <c r="C8" s="23" t="s">
        <v>191</v>
      </c>
      <c r="D8" s="23" t="s">
        <v>27</v>
      </c>
      <c r="E8" s="23" t="s">
        <v>192</v>
      </c>
      <c r="F8" s="23" t="s">
        <v>193</v>
      </c>
      <c r="G8" s="23" t="s">
        <v>194</v>
      </c>
    </row>
    <row r="9" customFormat="false" ht="18" hidden="false" customHeight="true" outlineLevel="0" collapsed="false">
      <c r="B9" s="68" t="s">
        <v>3</v>
      </c>
      <c r="C9" s="68"/>
      <c r="D9" s="68"/>
      <c r="E9" s="68"/>
      <c r="F9" s="68"/>
      <c r="G9" s="68"/>
    </row>
    <row r="10" customFormat="false" ht="27.75" hidden="false" customHeight="true" outlineLevel="0" collapsed="false">
      <c r="B10" s="69" t="n">
        <v>1</v>
      </c>
      <c r="C10" s="70" t="str">
        <f aca="false">HYPERLINK("#'Start Here'!A1","Start Here")</f>
        <v>Start Here</v>
      </c>
      <c r="D10" s="15" t="s">
        <v>195</v>
      </c>
      <c r="E10" s="15" t="str">
        <f aca="false">IF(AND(ISNUMBER(ValDate),ISNUMBER(PrevDate)),TEXT(PrevDate,"dd-mmm-yyyy")&amp;" to "&amp;TEXT(ValDate,"dd-mmm-yyyy")&amp;": "&amp;(ValDate-PrevDate)&amp;" days","Both must be real dates, the valuation date the later one")</f>
        <v>31-Mar-2026 to 30-Jun-2026: 91 days</v>
      </c>
      <c r="F10" s="71" t="str">
        <f aca="false">IF($H10=0,"OK","ERROR")</f>
        <v>OK</v>
      </c>
      <c r="G10" s="72" t="s">
        <v>196</v>
      </c>
      <c r="H10" s="55" t="n">
        <f aca="false">IF(AND(ISNUMBER(ValDate),ISNUMBER(PrevDate)),IF(ValDate&gt;PrevDate,0,1),1)</f>
        <v>0</v>
      </c>
    </row>
    <row r="11" customFormat="false" ht="27.75" hidden="false" customHeight="true" outlineLevel="0" collapsed="false">
      <c r="B11" s="69" t="n">
        <v>2</v>
      </c>
      <c r="C11" s="70" t="str">
        <f aca="false">HYPERLINK("#'Start Here'!A1","Start Here")</f>
        <v>Start Here</v>
      </c>
      <c r="D11" s="15" t="s">
        <v>197</v>
      </c>
      <c r="E11" s="15" t="str">
        <f aca="false">IF($H11=0,"Views show "&amp;UnitLabel&amp;", every register figure divided by "&amp;TEXT(Divisor,"#,##0"),"Not a unit on the Lists sheet: views divide by 1")</f>
        <v>Views show ₹ Crore, every register figure divided by 10,000,000</v>
      </c>
      <c r="F11" s="71" t="str">
        <f aca="false">IF($H11=0,"OK","ERROR")</f>
        <v>OK</v>
      </c>
      <c r="G11" s="72" t="s">
        <v>198</v>
      </c>
      <c r="H11" s="55" t="n">
        <f aca="true">IF(ISNUMBER(MATCH(UnitLabel,L_Unit,0)),0,1)</f>
        <v>0</v>
      </c>
    </row>
    <row r="12" customFormat="false" ht="27.75" hidden="false" customHeight="true" outlineLevel="0" collapsed="false">
      <c r="B12" s="69" t="n">
        <v>3</v>
      </c>
      <c r="C12" s="70" t="str">
        <f aca="false">HYPERLINK("#'Tax Summary'!A1","Tax Summary")</f>
        <v>Tax Summary</v>
      </c>
      <c r="D12" s="15" t="s">
        <v>199</v>
      </c>
      <c r="E12" s="15" t="str">
        <f aca="false">IF($H12=-2,"Blank: every year's sales are shown",IF($H12=0,"FY "&amp;TaxFY,"Not a year on the Lists sheet"))</f>
        <v>FY 2025-26</v>
      </c>
      <c r="F12" s="71" t="str">
        <f aca="false">IF($H12=-2,"INFO",IF($H12=0,"OK","ERROR"))</f>
        <v>OK</v>
      </c>
      <c r="G12" s="72" t="s">
        <v>200</v>
      </c>
      <c r="H12" s="55" t="n">
        <f aca="true">IF(TaxFY="",-2,IF(ISNUMBER(MATCH(TaxFY,L_FY,0)),0,1))</f>
        <v>0</v>
      </c>
    </row>
    <row r="13" customFormat="false" ht="27.75" hidden="false" customHeight="true" outlineLevel="0" collapsed="false">
      <c r="B13" s="69" t="n">
        <v>4</v>
      </c>
      <c r="C13" s="70" t="str">
        <f aca="false">HYPERLINK("#'Start Here'!A1","Start Here")</f>
        <v>Start Here</v>
      </c>
      <c r="D13" s="15" t="s">
        <v>201</v>
      </c>
      <c r="E13" s="15" t="str">
        <f aca="false">IF($H13=0,"31-Jan-2018","Must be 31-Jan-2018")</f>
        <v>31-Jan-2018</v>
      </c>
      <c r="F13" s="71" t="str">
        <f aca="false">IF($H13=0,"OK","ERROR")</f>
        <v>OK</v>
      </c>
      <c r="G13" s="72" t="s">
        <v>202</v>
      </c>
      <c r="H13" s="55" t="n">
        <f aca="false">IF(AND(ISNUMBER(GFDate),GFDate=DATE(2018,1,31)),0,1)</f>
        <v>0</v>
      </c>
    </row>
    <row r="14" customFormat="false" ht="18" hidden="false" customHeight="true" outlineLevel="0" collapsed="false">
      <c r="B14" s="68" t="s">
        <v>203</v>
      </c>
      <c r="C14" s="68"/>
      <c r="D14" s="68"/>
      <c r="E14" s="68"/>
      <c r="F14" s="68"/>
      <c r="G14" s="68"/>
    </row>
    <row r="15" customFormat="false" ht="27.75" hidden="false" customHeight="true" outlineLevel="0" collapsed="false">
      <c r="B15" s="69" t="n">
        <v>5</v>
      </c>
      <c r="C15" s="70" t="str">
        <f aca="false">HYPERLINK("#Entities!A1","Entities")</f>
        <v>Entities</v>
      </c>
      <c r="D15" s="15" t="s">
        <v>204</v>
      </c>
      <c r="E15" s="15" t="str">
        <f aca="false">IF($H15&lt;0,"Could not calculate: a row check shows an error",IF(SUMPRODUCT(--(LEN(Entities!$I$6:$I$25)&gt;0))=0,"No rows yet",IF($H15=0,SUMPRODUCT(--(LEN(Entities!$I$6:$I$25)&gt;0))&amp;" row(s), all OK",$H15&amp;" of "&amp;SUMPRODUCT(--(LEN(Entities!$I$6:$I$25)&gt;0))&amp;" row(s) need attention")))</f>
        <v>5 row(s), all OK</v>
      </c>
      <c r="F15" s="71" t="str">
        <f aca="false">IF($H15&lt;&gt;0,"ERROR",IF(SUMPRODUCT(--(LEN(Entities!$I$6:$I$25)&gt;0))=0,"INFO","OK"))</f>
        <v>OK</v>
      </c>
      <c r="G15" s="72" t="s">
        <v>205</v>
      </c>
      <c r="H15" s="55" t="n">
        <f aca="false">IFERROR(SUMPRODUCT((LEN(Entities!$I$6:$I$25)&gt;0)*(Entities!$I$6:$I$25&lt;&gt;"OK")),-1)</f>
        <v>0</v>
      </c>
    </row>
    <row r="16" customFormat="false" ht="27.75" hidden="false" customHeight="true" outlineLevel="0" collapsed="false">
      <c r="B16" s="69" t="n">
        <v>6</v>
      </c>
      <c r="C16" s="70" t="str">
        <f aca="false">HYPERLINK("#Accounts!A1","Accounts")</f>
        <v>Accounts</v>
      </c>
      <c r="D16" s="15" t="s">
        <v>206</v>
      </c>
      <c r="E16" s="15" t="str">
        <f aca="false">IF($H16&lt;0,"Could not calculate: a row check shows an error",IF(SUMPRODUCT(--(LEN(Accounts!$L$6:$L$55)&gt;0))=0,"No rows yet",IF($H16=0,SUMPRODUCT(--(LEN(Accounts!$L$6:$L$55)&gt;0))&amp;" row(s), all OK",$H16&amp;" of "&amp;SUMPRODUCT(--(LEN(Accounts!$L$6:$L$55)&gt;0))&amp;" row(s) need attention")))</f>
        <v>13 row(s), all OK</v>
      </c>
      <c r="F16" s="71" t="str">
        <f aca="false">IF($H16&lt;&gt;0,"ERROR",IF(SUMPRODUCT(--(LEN(Accounts!$L$6:$L$55)&gt;0))=0,"INFO","OK"))</f>
        <v>OK</v>
      </c>
      <c r="G16" s="72" t="s">
        <v>207</v>
      </c>
      <c r="H16" s="55" t="n">
        <f aca="false">IFERROR(SUMPRODUCT((LEN(Accounts!$L$6:$L$55)&gt;0)*(Accounts!$L$6:$L$55&lt;&gt;"OK")),-1)</f>
        <v>0</v>
      </c>
    </row>
    <row r="17" customFormat="false" ht="27.75" hidden="false" customHeight="true" outlineLevel="0" collapsed="false">
      <c r="B17" s="69" t="n">
        <v>7</v>
      </c>
      <c r="C17" s="70" t="str">
        <f aca="false">HYPERLINK("#Securities!A1","Securities")</f>
        <v>Securities</v>
      </c>
      <c r="D17" s="15" t="s">
        <v>208</v>
      </c>
      <c r="E17" s="15" t="str">
        <f aca="false">IF($H17&lt;0,"Could not calculate: a row check shows an error",IF(SUMPRODUCT(--(LEN(Securities!$S$6:$S$105)&gt;0))=0,"No rows yet",IF($H17=0,SUMPRODUCT(--(LEN(Securities!$S$6:$S$105)&gt;0))&amp;" row(s), all OK",$H17&amp;" of "&amp;SUMPRODUCT(--(LEN(Securities!$S$6:$S$105)&gt;0))&amp;" row(s) need attention")))</f>
        <v>22 row(s), all OK</v>
      </c>
      <c r="F17" s="71" t="str">
        <f aca="false">IF($H17&lt;&gt;0,"ERROR",IF(SUMPRODUCT(--(LEN(Securities!$S$6:$S$105)&gt;0))=0,"INFO","OK"))</f>
        <v>OK</v>
      </c>
      <c r="G17" s="72" t="s">
        <v>209</v>
      </c>
      <c r="H17" s="55" t="n">
        <f aca="false">IFERROR(SUMPRODUCT((LEN(Securities!$S$6:$S$105)&gt;0)*(Securities!$S$6:$S$105&lt;&gt;"OK")),-1)</f>
        <v>0</v>
      </c>
    </row>
    <row r="18" customFormat="false" ht="27.75" hidden="false" customHeight="true" outlineLevel="0" collapsed="false">
      <c r="B18" s="69" t="n">
        <v>8</v>
      </c>
      <c r="C18" s="70" t="str">
        <f aca="false">HYPERLINK("#Holdings!A1","Holdings")</f>
        <v>Holdings</v>
      </c>
      <c r="D18" s="15" t="s">
        <v>210</v>
      </c>
      <c r="E18" s="15" t="str">
        <f aca="false">IF($H18&lt;0,"Could not calculate: a row check shows an error",IF(SUMPRODUCT(--(LEN(Holdings!$AH$6:$AH$205)&gt;0))=0,"No rows yet",IF($H18=0,SUMPRODUCT(--(LEN(Holdings!$AH$6:$AH$205)&gt;0))&amp;" row(s), all OK",$H18&amp;" of "&amp;SUMPRODUCT(--(LEN(Holdings!$AH$6:$AH$205)&gt;0))&amp;" row(s) need attention")))</f>
        <v>23 row(s), all OK</v>
      </c>
      <c r="F18" s="71" t="str">
        <f aca="false">IF($H18&lt;&gt;0,"ERROR",IF(SUMPRODUCT(--(LEN(Holdings!$AH$6:$AH$205)&gt;0))=0,"INFO","OK"))</f>
        <v>OK</v>
      </c>
      <c r="G18" s="72" t="s">
        <v>211</v>
      </c>
      <c r="H18" s="55" t="n">
        <f aca="false">IFERROR(SUMPRODUCT((LEN(Holdings!$AH$6:$AH$205)&gt;0)*(Holdings!$AH$6:$AH$205&lt;&gt;"OK")),-1)</f>
        <v>0</v>
      </c>
    </row>
    <row r="19" customFormat="false" ht="27.75" hidden="false" customHeight="true" outlineLevel="0" collapsed="false">
      <c r="B19" s="69" t="n">
        <v>9</v>
      </c>
      <c r="C19" s="70" t="str">
        <f aca="false">HYPERLINK("#'Tax Lots'!A1","Tax Lots")</f>
        <v>Tax Lots</v>
      </c>
      <c r="D19" s="15" t="s">
        <v>212</v>
      </c>
      <c r="E19" s="15" t="str">
        <f aca="false">IF($H19&lt;0,"Could not calculate: a row check shows an error",IF(SUMPRODUCT(--(LEN('Tax Lots'!$AM$6:$AM$205)&gt;0))=0,"No rows yet",IF($H19=0,SUMPRODUCT(--(LEN('Tax Lots'!$AM$6:$AM$205)&gt;0))&amp;" row(s), all OK",$H19&amp;" of "&amp;SUMPRODUCT(--(LEN('Tax Lots'!$AM$6:$AM$205)&gt;0))&amp;" row(s) need attention")))</f>
        <v>9 row(s), all OK</v>
      </c>
      <c r="F19" s="71" t="str">
        <f aca="false">IF($H19&lt;&gt;0,"ERROR",IF(SUMPRODUCT(--(LEN('Tax Lots'!$AM$6:$AM$205)&gt;0))=0,"INFO","OK"))</f>
        <v>OK</v>
      </c>
      <c r="G19" s="72" t="s">
        <v>213</v>
      </c>
      <c r="H19" s="55" t="n">
        <f aca="false">IFERROR(SUMPRODUCT((LEN('Tax Lots'!$AM$6:$AM$205)&gt;0)*('Tax Lots'!$AM$6:$AM$205&lt;&gt;"OK")),-1)</f>
        <v>0</v>
      </c>
    </row>
    <row r="20" customFormat="false" ht="27.75" hidden="false" customHeight="true" outlineLevel="0" collapsed="false">
      <c r="B20" s="69" t="n">
        <v>10</v>
      </c>
      <c r="C20" s="70" t="str">
        <f aca="false">HYPERLINK("#Transactions!A1","Transactions")</f>
        <v>Transactions</v>
      </c>
      <c r="D20" s="15" t="s">
        <v>214</v>
      </c>
      <c r="E20" s="15" t="str">
        <f aca="false">IF($H20&lt;0,"Could not calculate: a row check shows an error",IF(SUMPRODUCT(--(LEN(Transactions!$Q$6:$Q$305)&gt;0))=0,"No rows yet",IF($H20=0,SUMPRODUCT(--(LEN(Transactions!$Q$6:$Q$305)&gt;0))&amp;" row(s), all OK",$H20&amp;" of "&amp;SUMPRODUCT(--(LEN(Transactions!$Q$6:$Q$305)&gt;0))&amp;" row(s) need attention")))</f>
        <v>22 row(s), all OK</v>
      </c>
      <c r="F20" s="71" t="str">
        <f aca="false">IF($H20&lt;&gt;0,"ERROR",IF(SUMPRODUCT(--(LEN(Transactions!$Q$6:$Q$305)&gt;0))=0,"INFO","OK"))</f>
        <v>OK</v>
      </c>
      <c r="G20" s="72" t="s">
        <v>215</v>
      </c>
      <c r="H20" s="55" t="n">
        <f aca="false">IFERROR(SUMPRODUCT((LEN(Transactions!$Q$6:$Q$305)&gt;0)*(Transactions!$Q$6:$Q$305&lt;&gt;"OK")),-1)</f>
        <v>0</v>
      </c>
    </row>
    <row r="21" customFormat="false" ht="27.75" hidden="false" customHeight="true" outlineLevel="0" collapsed="false">
      <c r="B21" s="69" t="n">
        <v>11</v>
      </c>
      <c r="C21" s="70" t="str">
        <f aca="false">HYPERLINK("#Commitments!A1","Commitments")</f>
        <v>Commitments</v>
      </c>
      <c r="D21" s="15" t="s">
        <v>216</v>
      </c>
      <c r="E21" s="15" t="str">
        <f aca="false">IF($H21&lt;0,"Could not calculate: a row check shows an error",IF(SUMPRODUCT(--(LEN(Commitments!$T$6:$T$35)&gt;0))=0,"No rows yet",IF($H21=0,SUMPRODUCT(--(LEN(Commitments!$T$6:$T$35)&gt;0))&amp;" row(s), all OK",$H21&amp;" of "&amp;SUMPRODUCT(--(LEN(Commitments!$T$6:$T$35)&gt;0))&amp;" row(s) need attention")))</f>
        <v>4 row(s), all OK</v>
      </c>
      <c r="F21" s="71" t="str">
        <f aca="false">IF($H21&lt;&gt;0,"ERROR",IF(SUMPRODUCT(--(LEN(Commitments!$T$6:$T$35)&gt;0))=0,"INFO","OK"))</f>
        <v>OK</v>
      </c>
      <c r="G21" s="72" t="s">
        <v>217</v>
      </c>
      <c r="H21" s="55" t="n">
        <f aca="false">IFERROR(SUMPRODUCT((LEN(Commitments!$T$6:$T$35)&gt;0)*(Commitments!$T$6:$T$35&lt;&gt;"OK")),-1)</f>
        <v>0</v>
      </c>
    </row>
    <row r="22" customFormat="false" ht="18" hidden="false" customHeight="true" outlineLevel="0" collapsed="false">
      <c r="B22" s="68" t="s">
        <v>218</v>
      </c>
      <c r="C22" s="68"/>
      <c r="D22" s="68"/>
      <c r="E22" s="68"/>
      <c r="F22" s="68"/>
      <c r="G22" s="68"/>
    </row>
    <row r="23" customFormat="false" ht="27.75" hidden="false" customHeight="true" outlineLevel="0" collapsed="false">
      <c r="B23" s="69" t="n">
        <v>12</v>
      </c>
      <c r="C23" s="70" t="str">
        <f aca="false">HYPERLINK("#'Portfolio Allocation'!A1","Portfolio Allocation")</f>
        <v>Portfolio Allocation</v>
      </c>
      <c r="D23" s="15" t="s">
        <v>219</v>
      </c>
      <c r="E23" s="15" t="str">
        <f aca="false">IF($H23=-2,"",IF($H23&lt;0,"Could not calculate",IF($H23&lt;=1,"Ties","Off by ₹"&amp;TEXT($H23,"#,##0"))))</f>
        <v>Ties</v>
      </c>
      <c r="F23" s="71" t="str">
        <f aca="false">IF($H23=-2,"INFO",IF(AND($H23&gt;=0,$H23&lt;=1),"OK","ERROR"))</f>
        <v>OK</v>
      </c>
      <c r="G23" s="72" t="s">
        <v>220</v>
      </c>
      <c r="H23" s="55" t="n">
        <f aca="false">IFERROR(MAX(ABS(SUM('Portfolio Allocation'!$D$8:$D$14,'Portfolio Allocation'!$D$16:$D$19,'Portfolio Allocation'!$D$21:$D$23,'Portfolio Allocation'!$D$25:$D$29)-N('Portfolio Allocation'!$D$31)),ABS(SUM('Portfolio Allocation'!$E$8:$E$14,'Portfolio Allocation'!$E$16:$E$19,'Portfolio Allocation'!$E$21:$E$23,'Portfolio Allocation'!$E$25:$E$29)-N('Portfolio Allocation'!$E$31)),ABS(SUM('Portfolio Allocation'!$I$8:$I$14,'Portfolio Allocation'!$I$16:$I$19,'Portfolio Allocation'!$I$21:$I$23,'Portfolio Allocation'!$I$25:$I$29)-N('Portfolio Allocation'!$I$31)),ABS(SUM('Portfolio Allocation'!$K$8:$K$14,'Portfolio Allocation'!$K$16:$K$19,'Portfolio Allocation'!$K$21:$K$23,'Portfolio Allocation'!$K$25:$K$29)-N('Portfolio Allocation'!$K$31)),ABS(SUM('Portfolio Allocation'!$M$8:$M$14,'Portfolio Allocation'!$M$16:$M$19,'Portfolio Allocation'!$M$21:$M$23,'Portfolio Allocation'!$M$25:$M$29)-N('Portfolio Allocation'!$M$31)))*Divisor,-1)</f>
        <v>0</v>
      </c>
    </row>
    <row r="24" customFormat="false" ht="27.75" hidden="false" customHeight="true" outlineLevel="0" collapsed="false">
      <c r="B24" s="69" t="n">
        <v>13</v>
      </c>
      <c r="C24" s="70" t="str">
        <f aca="false">HYPERLINK("#'Portfolio Allocation'!A1","Portfolio Allocation")</f>
        <v>Portfolio Allocation</v>
      </c>
      <c r="D24" s="15" t="s">
        <v>221</v>
      </c>
      <c r="E24" s="15" t="str">
        <f aca="false">IF($H24=-2,"",IF($H24&lt;0,"Could not calculate",IF($H24&lt;=1,"Ties","Off by ₹"&amp;TEXT($H24,"#,##0"))))</f>
        <v>Ties</v>
      </c>
      <c r="F24" s="71" t="str">
        <f aca="false">IF($H24=-2,"INFO",IF(AND($H24&gt;=0,$H24&lt;=1),"OK","ERROR"))</f>
        <v>OK</v>
      </c>
      <c r="G24" s="72" t="s">
        <v>220</v>
      </c>
      <c r="H24" s="55" t="n">
        <f aca="false">IFERROR(MAX(ABS(SUM('Portfolio Allocation'!$D$7,'Portfolio Allocation'!$D$15,'Portfolio Allocation'!$D$20,'Portfolio Allocation'!$D$24)-N('Portfolio Allocation'!$D$31)),ABS(SUM('Portfolio Allocation'!$E$7,'Portfolio Allocation'!$E$15,'Portfolio Allocation'!$E$20,'Portfolio Allocation'!$E$24)-N('Portfolio Allocation'!$E$31)),ABS(SUM('Portfolio Allocation'!$I$7,'Portfolio Allocation'!$I$15,'Portfolio Allocation'!$I$20,'Portfolio Allocation'!$I$24)-N('Portfolio Allocation'!$I$31)),ABS(SUM('Portfolio Allocation'!$K$7,'Portfolio Allocation'!$K$15,'Portfolio Allocation'!$K$20,'Portfolio Allocation'!$K$24)-N('Portfolio Allocation'!$K$31)),ABS(SUM('Portfolio Allocation'!$M$7,'Portfolio Allocation'!$M$15,'Portfolio Allocation'!$M$20,'Portfolio Allocation'!$M$24)-N('Portfolio Allocation'!$M$31)))*Divisor,-1)</f>
        <v>0</v>
      </c>
    </row>
    <row r="25" customFormat="false" ht="27.75" hidden="false" customHeight="true" outlineLevel="0" collapsed="false">
      <c r="B25" s="69" t="n">
        <v>14</v>
      </c>
      <c r="C25" s="70" t="str">
        <f aca="false">HYPERLINK("#'Basket Allocation'!A1","Basket Allocation")</f>
        <v>Basket Allocation</v>
      </c>
      <c r="D25" s="15" t="s">
        <v>222</v>
      </c>
      <c r="E25" s="15" t="str">
        <f aca="false">IF($H25=-2,"",IF($H25&lt;0,"Could not calculate",IF($H25&lt;=1,"Ties","Off by ₹"&amp;TEXT($H25,"#,##0"))))</f>
        <v>Ties</v>
      </c>
      <c r="F25" s="71" t="str">
        <f aca="false">IF($H25=-2,"INFO",IF(AND($H25&gt;=0,$H25&lt;=1),"OK","ERROR"))</f>
        <v>OK</v>
      </c>
      <c r="G25" s="72" t="s">
        <v>220</v>
      </c>
      <c r="H25" s="55" t="n">
        <f aca="false">IFERROR(MAX(ABS(SUM('Basket Allocation'!$H$7:$H$10)-N('Basket Allocation'!$H$11)),ABS(SUM('Basket Allocation'!$N$7:$N$10)-N('Basket Allocation'!$N$11)),ABS(SUM('Basket Allocation'!$O$7:$O$10)-N('Basket Allocation'!$O$11)))*Divisor,-1)</f>
        <v>0</v>
      </c>
    </row>
    <row r="26" customFormat="false" ht="27.75" hidden="false" customHeight="true" outlineLevel="0" collapsed="false">
      <c r="B26" s="69" t="n">
        <v>15</v>
      </c>
      <c r="C26" s="70" t="str">
        <f aca="false">HYPERLINK("#'Basket Allocation'!A1","Basket Allocation")</f>
        <v>Basket Allocation</v>
      </c>
      <c r="D26" s="15" t="s">
        <v>223</v>
      </c>
      <c r="E26" s="15" t="str">
        <f aca="false">IF($H26=-2,"",IF($H26&lt;0,"Could not calculate",IF($H26&lt;=1,"Ties","Off by ₹"&amp;TEXT($H26,"#,##0"))))</f>
        <v>Ties</v>
      </c>
      <c r="F26" s="71" t="str">
        <f aca="false">IF($H26=-2,"INFO",IF(AND($H26&gt;=0,$H26&lt;=1),"OK","ERROR"))</f>
        <v>OK</v>
      </c>
      <c r="G26" s="72" t="s">
        <v>220</v>
      </c>
      <c r="H26" s="55" t="n">
        <f aca="false">IFERROR(MAX(ABS(SUM('Basket Allocation'!$D$7:$G$7)-N('Basket Allocation'!$H$7)),ABS(SUM('Basket Allocation'!$D$8:$G$8)-N('Basket Allocation'!$H$8)),ABS(SUM('Basket Allocation'!$D$9:$G$9)-N('Basket Allocation'!$H$9)),ABS(SUM('Basket Allocation'!$D$10:$G$10)-N('Basket Allocation'!$H$10)),ABS(SUM('Basket Allocation'!$D$11:$G$11)-N('Basket Allocation'!$H$11)))*Divisor,-1)</f>
        <v>0</v>
      </c>
    </row>
    <row r="27" customFormat="false" ht="27.75" hidden="false" customHeight="true" outlineLevel="0" collapsed="false">
      <c r="B27" s="69" t="n">
        <v>16</v>
      </c>
      <c r="C27" s="70" t="str">
        <f aca="false">HYPERLINK("#'Basket Allocation'!A1","Basket Allocation")</f>
        <v>Basket Allocation</v>
      </c>
      <c r="D27" s="15" t="s">
        <v>224</v>
      </c>
      <c r="E27" s="15" t="str">
        <f aca="false">IF($H27=-2,"No targets typed",IF($H27=0,"100%","They add to "&amp;TEXT('Basket Allocation'!$K$11,"0.0%")))</f>
        <v>100%</v>
      </c>
      <c r="F27" s="71" t="str">
        <f aca="false">IF($H27=-2,"INFO",IF($H27=0,"OK","ERROR"))</f>
        <v>OK</v>
      </c>
      <c r="G27" s="72" t="s">
        <v>225</v>
      </c>
      <c r="H27" s="55" t="n">
        <f aca="false">IF(COUNT('Basket Allocation'!$K$7:$K$10)=0,-2,IF(ABS(N('Basket Allocation'!$K$11)-1)&gt;0.0001,1,0))</f>
        <v>0</v>
      </c>
    </row>
    <row r="28" customFormat="false" ht="27.75" hidden="false" customHeight="true" outlineLevel="0" collapsed="false">
      <c r="B28" s="69" t="n">
        <v>17</v>
      </c>
      <c r="C28" s="70" t="str">
        <f aca="false">HYPERLINK("#'Basket Detail'!A1","Basket Detail")</f>
        <v>Basket Detail</v>
      </c>
      <c r="D28" s="15" t="s">
        <v>226</v>
      </c>
      <c r="E28" s="15" t="str">
        <f aca="false">IF($H28=-2,"",IF($H28&lt;0,"Could not calculate",IF($H28&lt;=1,"Ties","Off by ₹"&amp;TEXT($H28,"#,##0"))))</f>
        <v>Ties</v>
      </c>
      <c r="F28" s="71" t="str">
        <f aca="false">IF($H28=-2,"INFO",IF(AND($H28&gt;=0,$H28&lt;=1),"OK","ERROR"))</f>
        <v>OK</v>
      </c>
      <c r="G28" s="72" t="s">
        <v>227</v>
      </c>
      <c r="H28" s="55" t="n">
        <f aca="false">IFERROR(MAX(ABS(N('Basket Detail'!$G$22)-N('Basket Allocation'!$N$7)),ABS(N('Basket Detail'!$H$22)-N('Basket Allocation'!$H$7)),ABS(N('Basket Detail'!$G$43)-N('Basket Allocation'!$N$8)),ABS(N('Basket Detail'!$H$43)-N('Basket Allocation'!$H$8)),ABS(N('Basket Detail'!$G$64)-N('Basket Allocation'!$N$9)),ABS(N('Basket Detail'!$H$64)-N('Basket Allocation'!$H$9)),ABS(N('Basket Detail'!$G$85)-N('Basket Allocation'!$N$10)),ABS(N('Basket Detail'!$H$85)-N('Basket Allocation'!$H$10)))*Divisor,-1)</f>
        <v>0</v>
      </c>
    </row>
    <row r="29" customFormat="false" ht="39.75" hidden="false" customHeight="true" outlineLevel="0" collapsed="false">
      <c r="B29" s="69" t="n">
        <v>18</v>
      </c>
      <c r="C29" s="70" t="str">
        <f aca="false">HYPERLINK("#'Basket Detail'!A1","Basket Detail")</f>
        <v>Basket Detail</v>
      </c>
      <c r="D29" s="15" t="s">
        <v>228</v>
      </c>
      <c r="E29" s="15" t="str">
        <f aca="false">IF($H29=-2,"",IF($H29&lt;0,"Could not calculate",IF($H29&lt;=1,"Ties","Off by ₹"&amp;TEXT($H29,"#,##0"))))</f>
        <v>Ties</v>
      </c>
      <c r="F29" s="71" t="str">
        <f aca="false">IF($H29=-2,"INFO",IF(AND($H29&gt;=0,$H29&lt;=1),"OK","ERROR"))</f>
        <v>OK</v>
      </c>
      <c r="G29" s="72" t="s">
        <v>220</v>
      </c>
      <c r="H29" s="55" t="n">
        <f aca="false">IFERROR(MAX(IF(SUMPRODUCT((Holdings!$I$6:$I$205='Basket Detail'!$R$5)*ISNUMBER(Holdings!$R$6:$R$205))&gt;15,0,MAX(ABS(SUM('Basket Detail'!$G$7:$G$21)-N('Basket Detail'!$G$22)),ABS(SUM('Basket Detail'!$H$7:$H$21)-N('Basket Detail'!$H$22)))),IF(SUMPRODUCT((Holdings!$I$6:$I$205='Basket Detail'!$R$26)*ISNUMBER(Holdings!$R$6:$R$205))&gt;15,0,MAX(ABS(SUM('Basket Detail'!$G$28:$G$42)-N('Basket Detail'!$G$43)),ABS(SUM('Basket Detail'!$H$28:$H$42)-N('Basket Detail'!$H$43)))),IF(SUMPRODUCT((Holdings!$I$6:$I$205='Basket Detail'!$R$47)*ISNUMBER(Holdings!$R$6:$R$205))&gt;15,0,MAX(ABS(SUM('Basket Detail'!$G$49:$G$63)-N('Basket Detail'!$G$64)),ABS(SUM('Basket Detail'!$H$49:$H$63)-N('Basket Detail'!$H$64)))),IF(SUMPRODUCT((Holdings!$I$6:$I$205='Basket Detail'!$R$68)*ISNUMBER(Holdings!$R$6:$R$205))&gt;15,0,MAX(ABS(SUM('Basket Detail'!$G$70:$G$84)-N('Basket Detail'!$G$85)),ABS(SUM('Basket Detail'!$H$70:$H$84)-N('Basket Detail'!$H$85)))))*Divisor,-1)</f>
        <v>0</v>
      </c>
    </row>
    <row r="30" customFormat="false" ht="27.75" hidden="false" customHeight="true" outlineLevel="0" collapsed="false">
      <c r="B30" s="69" t="n">
        <v>19</v>
      </c>
      <c r="C30" s="70" t="str">
        <f aca="false">HYPERLINK("#'Investor Summary'!A1","Investor Summary")</f>
        <v>Investor Summary</v>
      </c>
      <c r="D30" s="15" t="s">
        <v>229</v>
      </c>
      <c r="E30" s="15" t="str">
        <f aca="false">IF($H30=-2,"More than 8 entities: the Family column includes ones not shown",IF($H30&lt;0,"Could not calculate",IF($H30&lt;=1,"Ties","Off by ₹"&amp;TEXT($H30,"#,##0"))))</f>
        <v>Ties</v>
      </c>
      <c r="F30" s="71" t="str">
        <f aca="false">IF($H30=-2,"INFO",IF(AND($H30&gt;=0,$H30&lt;=1),"OK","ERROR"))</f>
        <v>OK</v>
      </c>
      <c r="G30" s="72" t="s">
        <v>220</v>
      </c>
      <c r="H30" s="55" t="n">
        <f aca="false">IF(COUNTA(Entities!$A$6:$A$25)&gt;8,-2,IFERROR(MAX(ABS(SUM('Investor Summary'!$C$32,'Investor Summary'!$E$32,'Investor Summary'!$G$32,'Investor Summary'!$I$32,'Investor Summary'!$K$32,'Investor Summary'!$M$32,'Investor Summary'!$O$32,'Investor Summary'!$Q$32)-N('Investor Summary'!$T$32)))*Divisor,-1))</f>
        <v>0</v>
      </c>
    </row>
    <row r="31" customFormat="false" ht="27.75" hidden="false" customHeight="true" outlineLevel="0" collapsed="false">
      <c r="B31" s="69" t="n">
        <v>20</v>
      </c>
      <c r="C31" s="70" t="str">
        <f aca="false">HYPERLINK("#'Investor Summary'!A1","Investor Summary")</f>
        <v>Investor Summary</v>
      </c>
      <c r="D31" s="15" t="s">
        <v>230</v>
      </c>
      <c r="E31" s="15" t="str">
        <f aca="false">IF($H31=-2,"",IF($H31&lt;0,"Could not calculate",IF($H31&lt;=1,"Ties","Off by ₹"&amp;TEXT($H31,"#,##0"))))</f>
        <v>Ties</v>
      </c>
      <c r="F31" s="71" t="str">
        <f aca="false">IF($H31=-2,"INFO",IF(AND($H31&gt;=0,$H31&lt;=1),"OK","ERROR"))</f>
        <v>OK</v>
      </c>
      <c r="G31" s="72" t="s">
        <v>220</v>
      </c>
      <c r="H31" s="55" t="n">
        <f aca="false">IFERROR(MAX(ABS(SUM('Investor Summary'!$C$9:$C$15,'Investor Summary'!$C$17:$C$20,'Investor Summary'!$C$22:$C$24,'Investor Summary'!$C$26:$C$30)-N('Investor Summary'!$C$32)),ABS(SUM('Investor Summary'!$C$8,'Investor Summary'!$C$16,'Investor Summary'!$C$21,'Investor Summary'!$C$25)-N('Investor Summary'!$C$32)),ABS(SUM('Investor Summary'!$E$9:$E$15,'Investor Summary'!$E$17:$E$20,'Investor Summary'!$E$22:$E$24,'Investor Summary'!$E$26:$E$30)-N('Investor Summary'!$E$32)),ABS(SUM('Investor Summary'!$E$8,'Investor Summary'!$E$16,'Investor Summary'!$E$21,'Investor Summary'!$E$25)-N('Investor Summary'!$E$32)),ABS(SUM('Investor Summary'!$G$9:$G$15,'Investor Summary'!$G$17:$G$20,'Investor Summary'!$G$22:$G$24,'Investor Summary'!$G$26:$G$30)-N('Investor Summary'!$G$32)),ABS(SUM('Investor Summary'!$G$8,'Investor Summary'!$G$16,'Investor Summary'!$G$21,'Investor Summary'!$G$25)-N('Investor Summary'!$G$32)),ABS(SUM('Investor Summary'!$I$9:$I$15,'Investor Summary'!$I$17:$I$20,'Investor Summary'!$I$22:$I$24,'Investor Summary'!$I$26:$I$30)-N('Investor Summary'!$I$32)),ABS(SUM('Investor Summary'!$I$8,'Investor Summary'!$I$16,'Investor Summary'!$I$21,'Investor Summary'!$I$25)-N('Investor Summary'!$I$32)),ABS(SUM('Investor Summary'!$K$9:$K$15,'Investor Summary'!$K$17:$K$20,'Investor Summary'!$K$22:$K$24,'Investor Summary'!$K$26:$K$30)-N('Investor Summary'!$K$32)),ABS(SUM('Investor Summary'!$K$8,'Investor Summary'!$K$16,'Investor Summary'!$K$21,'Investor Summary'!$K$25)-N('Investor Summary'!$K$32)),ABS(SUM('Investor Summary'!$M$9:$M$15,'Investor Summary'!$M$17:$M$20,'Investor Summary'!$M$22:$M$24,'Investor Summary'!$M$26:$M$30)-N('Investor Summary'!$M$32)),ABS(SUM('Investor Summary'!$M$8,'Investor Summary'!$M$16,'Investor Summary'!$M$21,'Investor Summary'!$M$25)-N('Investor Summary'!$M$32)),ABS(SUM('Investor Summary'!$O$9:$O$15,'Investor Summary'!$O$17:$O$20,'Investor Summary'!$O$22:$O$24,'Investor Summary'!$O$26:$O$30)-N('Investor Summary'!$O$32)),ABS(SUM('Investor Summary'!$O$8,'Investor Summary'!$O$16,'Investor Summary'!$O$21,'Investor Summary'!$O$25)-N('Investor Summary'!$O$32)),ABS(SUM('Investor Summary'!$Q$9:$Q$15,'Investor Summary'!$Q$17:$Q$20,'Investor Summary'!$Q$22:$Q$24,'Investor Summary'!$Q$26:$Q$30)-N('Investor Summary'!$Q$32)),ABS(SUM('Investor Summary'!$Q$8,'Investor Summary'!$Q$16,'Investor Summary'!$Q$21,'Investor Summary'!$Q$25)-N('Investor Summary'!$Q$32)))*Divisor,-1)</f>
        <v>0</v>
      </c>
    </row>
    <row r="32" customFormat="false" ht="27.75" hidden="false" customHeight="true" outlineLevel="0" collapsed="false">
      <c r="B32" s="69" t="n">
        <v>21</v>
      </c>
      <c r="C32" s="70" t="str">
        <f aca="false">HYPERLINK("#'Investor Summary'!A1","Investor Summary")</f>
        <v>Investor Summary</v>
      </c>
      <c r="D32" s="15" t="s">
        <v>231</v>
      </c>
      <c r="E32" s="15" t="str">
        <f aca="false">IF($H32=-2,"",IF($H32&lt;0,"Could not calculate",IF($H32&lt;=1,"Ties","Off by ₹"&amp;TEXT($H32,"#,##0"))))</f>
        <v>Ties</v>
      </c>
      <c r="F32" s="71" t="str">
        <f aca="false">IF($H32=-2,"INFO",IF(AND($H32&gt;=0,$H32&lt;=1),"OK","ERROR"))</f>
        <v>OK</v>
      </c>
      <c r="G32" s="72" t="s">
        <v>220</v>
      </c>
      <c r="H32" s="55" t="n">
        <f aca="false">IFERROR(MAX(ABS(SUM('Investor Summary'!$T$9:$T$15,'Investor Summary'!$T$17:$T$20,'Investor Summary'!$T$22:$T$24,'Investor Summary'!$T$26:$T$30)-N('Investor Summary'!$T$32)),ABS(SUM('Investor Summary'!$T$8,'Investor Summary'!$T$16,'Investor Summary'!$T$21,'Investor Summary'!$T$25)-N('Investor Summary'!$T$32)))*Divisor,-1)</f>
        <v>0</v>
      </c>
    </row>
    <row r="33" customFormat="false" ht="27.75" hidden="false" customHeight="true" outlineLevel="0" collapsed="false">
      <c r="B33" s="69" t="n">
        <v>22</v>
      </c>
      <c r="C33" s="70" t="str">
        <f aca="false">HYPERLINK("#'Period Change'!A1","Period Change")</f>
        <v>Period Change</v>
      </c>
      <c r="D33" s="15" t="s">
        <v>232</v>
      </c>
      <c r="E33" s="15" t="str">
        <f aca="false">IF($H33=-2,"",IF($H33&lt;0,"Could not calculate",IF($H33&lt;=1,"Ties","Off by ₹"&amp;TEXT($H33,"#,##0"))))</f>
        <v>Ties</v>
      </c>
      <c r="F33" s="71" t="str">
        <f aca="false">IF($H33=-2,"INFO",IF(AND($H33&gt;=0,$H33&lt;=1),"OK","ERROR"))</f>
        <v>OK</v>
      </c>
      <c r="G33" s="72" t="s">
        <v>220</v>
      </c>
      <c r="H33" s="55" t="n">
        <f aca="false">IFERROR(MAX(ABS(SUM('Period Change'!$C$8:$C$14,'Period Change'!$C$16:$C$19,'Period Change'!$C$21:$C$23,'Period Change'!$C$25:$C$29)-N('Period Change'!$C$31)),ABS(SUM('Period Change'!$D$8:$D$14,'Period Change'!$D$16:$D$19,'Period Change'!$D$21:$D$23,'Period Change'!$D$25:$D$29)-N('Period Change'!$D$31)),ABS(SUM('Period Change'!$E$8:$E$14,'Period Change'!$E$16:$E$19,'Period Change'!$E$21:$E$23,'Period Change'!$E$25:$E$29)-N('Period Change'!$E$31)),ABS(SUM('Period Change'!$G$8:$G$14,'Period Change'!$G$16:$G$19,'Period Change'!$G$21:$G$23,'Period Change'!$G$25:$G$29)-N('Period Change'!$G$31)),ABS(SUM('Period Change'!$I$8:$I$14,'Period Change'!$I$16:$I$19,'Period Change'!$I$21:$I$23,'Period Change'!$I$25:$I$29)-N('Period Change'!$I$31)),ABS(SUM('Period Change'!$J$8:$J$14,'Period Change'!$J$16:$J$19,'Period Change'!$J$21:$J$23,'Period Change'!$J$25:$J$29)-N('Period Change'!$J$31)))*Divisor,-1)</f>
        <v>0</v>
      </c>
    </row>
    <row r="34" customFormat="false" ht="27.75" hidden="false" customHeight="true" outlineLevel="0" collapsed="false">
      <c r="B34" s="69" t="n">
        <v>23</v>
      </c>
      <c r="C34" s="70" t="str">
        <f aca="false">HYPERLINK("#'Period Change'!A1","Period Change")</f>
        <v>Period Change</v>
      </c>
      <c r="D34" s="15" t="s">
        <v>233</v>
      </c>
      <c r="E34" s="15" t="str">
        <f aca="false">IF($H34=-2,"",IF($H34&lt;0,"Could not calculate",IF($H34&lt;=1,"Ties","Off by ₹"&amp;TEXT($H34,"#,##0"))))</f>
        <v>Ties</v>
      </c>
      <c r="F34" s="71" t="str">
        <f aca="false">IF($H34=-2,"INFO",IF(AND($H34&gt;=0,$H34&lt;=1),"OK","ERROR"))</f>
        <v>OK</v>
      </c>
      <c r="G34" s="72" t="s">
        <v>220</v>
      </c>
      <c r="H34" s="55" t="n">
        <f aca="false">IFERROR(MAX(ABS(SUM('Period Change'!$C$7,'Period Change'!$C$15,'Period Change'!$C$20,'Period Change'!$C$24)-N('Period Change'!$C$31)),ABS(SUM('Period Change'!$D$7,'Period Change'!$D$15,'Period Change'!$D$20,'Period Change'!$D$24)-N('Period Change'!$D$31)),ABS(SUM('Period Change'!$E$7,'Period Change'!$E$15,'Period Change'!$E$20,'Period Change'!$E$24)-N('Period Change'!$E$31)),ABS(SUM('Period Change'!$G$7,'Period Change'!$G$15,'Period Change'!$G$20,'Period Change'!$G$24)-N('Period Change'!$G$31)),ABS(SUM('Period Change'!$I$7,'Period Change'!$I$15,'Period Change'!$I$20,'Period Change'!$I$24)-N('Period Change'!$I$31)),ABS(SUM('Period Change'!$J$7,'Period Change'!$J$15,'Period Change'!$J$20,'Period Change'!$J$24)-N('Period Change'!$J$31)))*Divisor,-1)</f>
        <v>0</v>
      </c>
    </row>
    <row r="35" customFormat="false" ht="27.75" hidden="false" customHeight="true" outlineLevel="0" collapsed="false">
      <c r="B35" s="69" t="n">
        <v>24</v>
      </c>
      <c r="C35" s="70" t="str">
        <f aca="false">HYPERLINK("#'Period Change'!A1","Period Change")</f>
        <v>Period Change</v>
      </c>
      <c r="D35" s="15" t="s">
        <v>234</v>
      </c>
      <c r="E35" s="15" t="str">
        <f aca="false">IF($H35=-2,"",IF($H35&lt;0,"Could not calculate",IF($H35=0,"Ties","Off by "&amp;$H35)))</f>
        <v>Ties</v>
      </c>
      <c r="F35" s="71" t="str">
        <f aca="false">IF($H35=-2,"INFO",IF($H35=0,"OK","ERROR"))</f>
        <v>OK</v>
      </c>
      <c r="G35" s="72" t="s">
        <v>220</v>
      </c>
      <c r="H35" s="55" t="n">
        <f aca="false">IFERROR(MAX(ABS(SUM('Period Change'!$O$8:$O$14,'Period Change'!$O$16:$O$19,'Period Change'!$O$21:$O$23,'Period Change'!$O$25:$O$29)-N('Period Change'!$O$31)),ABS(SUM('Period Change'!$O$7,'Period Change'!$O$15,'Period Change'!$O$20,'Period Change'!$O$24)-N('Period Change'!$O$31))),-1)</f>
        <v>0</v>
      </c>
    </row>
    <row r="36" customFormat="false" ht="27.75" hidden="false" customHeight="true" outlineLevel="0" collapsed="false">
      <c r="B36" s="69" t="n">
        <v>25</v>
      </c>
      <c r="C36" s="70" t="str">
        <f aca="false">HYPERLINK("#'Tax Summary'!A1","Tax Summary")</f>
        <v>Tax Summary</v>
      </c>
      <c r="D36" s="15" t="s">
        <v>235</v>
      </c>
      <c r="E36" s="15" t="str">
        <f aca="false">IF($H36=-2,"More than 8 taxpayers: the total includes ones not shown",IF($H36&lt;0,"Could not calculate",IF($H36&lt;=1,"Ties","Off by ₹"&amp;TEXT($H36,"#,##0"))))</f>
        <v>Ties</v>
      </c>
      <c r="F36" s="71" t="str">
        <f aca="false">IF($H36=-2,"INFO",IF(AND($H36&gt;=0,$H36&lt;=1),"OK","ERROR"))</f>
        <v>OK</v>
      </c>
      <c r="G36" s="72" t="s">
        <v>220</v>
      </c>
      <c r="H36" s="55" t="n">
        <f aca="false">IF(COUNTA(Entities!$A$6:$A$25)&gt;8,-2,IFERROR(MAX(ABS(SUM('Tax Summary'!$D$11:$D$18)-N('Tax Summary'!$D$19)),ABS(SUM('Tax Summary'!$E$11:$E$18)-N('Tax Summary'!$E$19)),ABS(SUM('Tax Summary'!$F$11:$F$18)-N('Tax Summary'!$F$19)),ABS(SUM('Tax Summary'!$G$11:$G$18)-N('Tax Summary'!$G$19)),ABS(SUM('Tax Summary'!$H$11:$H$18)-N('Tax Summary'!$H$19)),ABS(SUM('Tax Summary'!$I$11:$I$18)-N('Tax Summary'!$I$19)),ABS(SUM('Tax Summary'!$J$11:$J$18)-N('Tax Summary'!$J$19)),ABS(SUM('Tax Summary'!$K$11:$K$18)-N('Tax Summary'!$K$19)),ABS(SUM('Tax Summary'!$L$11:$L$18)-N('Tax Summary'!$L$19)),ABS(SUM('Tax Summary'!$N$11:$N$18)-N('Tax Summary'!$N$19)))*Divisor,-1))</f>
        <v>0</v>
      </c>
    </row>
    <row r="37" customFormat="false" ht="27.75" hidden="false" customHeight="true" outlineLevel="0" collapsed="false">
      <c r="B37" s="69" t="n">
        <v>26</v>
      </c>
      <c r="C37" s="70" t="str">
        <f aca="false">HYPERLINK("#'Tax Summary'!A1","Tax Summary")</f>
        <v>Tax Summary</v>
      </c>
      <c r="D37" s="15" t="s">
        <v>236</v>
      </c>
      <c r="E37" s="15" t="str">
        <f aca="false">IF($H37=-2,"More than 8 taxpayers: the total includes ones not shown",IF($H37&lt;0,"Could not calculate",IF($H37=0,"Ties","Off by "&amp;$H37)))</f>
        <v>Ties</v>
      </c>
      <c r="F37" s="71" t="str">
        <f aca="false">IF($H37=-2,"INFO",IF($H37=0,"OK","ERROR"))</f>
        <v>OK</v>
      </c>
      <c r="G37" s="72" t="s">
        <v>220</v>
      </c>
      <c r="H37" s="55" t="n">
        <f aca="false">IF(COUNTA(Entities!$A$6:$A$25)&gt;8,-2,IFERROR(MAX(ABS(SUM('Tax Summary'!$C$11:$C$18)-N('Tax Summary'!$C$19)),ABS(SUM('Tax Summary'!$M$11:$M$18)-N('Tax Summary'!$M$19))),-1))</f>
        <v>0</v>
      </c>
    </row>
    <row r="38" customFormat="false" ht="18" hidden="false" customHeight="true" outlineLevel="0" collapsed="false">
      <c r="B38" s="68" t="s">
        <v>237</v>
      </c>
      <c r="C38" s="68"/>
      <c r="D38" s="68"/>
      <c r="E38" s="68"/>
      <c r="F38" s="68"/>
      <c r="G38" s="68"/>
    </row>
    <row r="39" customFormat="false" ht="27.75" hidden="false" customHeight="true" outlineLevel="0" collapsed="false">
      <c r="B39" s="69" t="n">
        <v>27</v>
      </c>
      <c r="C39" s="70" t="str">
        <f aca="false">HYPERLINK("#Holdings!A1","Holdings")</f>
        <v>Holdings</v>
      </c>
      <c r="D39" s="15" t="s">
        <v>238</v>
      </c>
      <c r="E39" s="15" t="str">
        <f aca="false">IF($H39&lt;0,"Could not calculate",IF($H39=0,"Every holding has one",$H39&amp;" holding(s) have no previous value"))</f>
        <v>Every holding has one</v>
      </c>
      <c r="F39" s="71" t="str">
        <f aca="false">IF($H39=0,"OK",IF($H39&lt;0,"ERROR","ERROR"))</f>
        <v>OK</v>
      </c>
      <c r="G39" s="72" t="s">
        <v>239</v>
      </c>
      <c r="H39" s="55" t="n">
        <f aca="false">IFERROR(SUMPRODUCT(ISNUMBER(Holdings!$R$6:$R$205)*(Holdings!$AD$6:$AD$205="")*(1-ISNUMBER(Holdings!$J$6:$J$205)*(Holdings!$J$6:$J$205&gt;PrevDate))),-1)</f>
        <v>0</v>
      </c>
    </row>
    <row r="40" customFormat="false" ht="27.75" hidden="false" customHeight="true" outlineLevel="0" collapsed="false">
      <c r="B40" s="69" t="n">
        <v>28</v>
      </c>
      <c r="C40" s="70" t="str">
        <f aca="false">HYPERLINK("#Holdings!A1","Holdings")</f>
        <v>Holdings</v>
      </c>
      <c r="D40" s="15" t="s">
        <v>240</v>
      </c>
      <c r="E40" s="15" t="str">
        <f aca="false">IF($H40&lt;0,"Could not calculate",IF($H40=0,"None missing",$H40&amp;" holding(s) show XIRR missing"))</f>
        <v>None missing</v>
      </c>
      <c r="F40" s="71" t="str">
        <f aca="false">IF($H40=0,"OK",IF($H40&lt;0,"ERROR","INFO"))</f>
        <v>OK</v>
      </c>
      <c r="G40" s="72" t="s">
        <v>241</v>
      </c>
      <c r="H40" s="55" t="n">
        <f aca="false">IFERROR(COUNTIF(Holdings!$AB$6:$AB$205,"XIRR missing"),-1)</f>
        <v>0</v>
      </c>
    </row>
    <row r="41" customFormat="false" ht="27.75" hidden="false" customHeight="true" outlineLevel="0" collapsed="false">
      <c r="B41" s="69" t="n">
        <v>29</v>
      </c>
      <c r="C41" s="70" t="str">
        <f aca="false">HYPERLINK("#Holdings!A1","Holdings")</f>
        <v>Holdings</v>
      </c>
      <c r="D41" s="15" t="s">
        <v>242</v>
      </c>
      <c r="E41" s="15" t="str">
        <f aca="false">IF($H41&lt;0,"Could not calculate",IF($H41=0,"All dated",$H41&amp;" holding(s) have no first date, so no return is shown"))</f>
        <v>1 holding(s) have no first date, so no return is shown</v>
      </c>
      <c r="F41" s="71" t="str">
        <f aca="false">IF($H41=0,"OK",IF($H41&lt;0,"ERROR","INFO"))</f>
        <v>INFO</v>
      </c>
      <c r="G41" s="72" t="s">
        <v>243</v>
      </c>
      <c r="H41" s="55" t="n">
        <f aca="false">IFERROR(COUNTIF(Holdings!$AB$6:$AB$205,"No date"),-1)</f>
        <v>1</v>
      </c>
    </row>
    <row r="42" customFormat="false" ht="27.75" hidden="false" customHeight="true" outlineLevel="0" collapsed="false">
      <c r="B42" s="69" t="n">
        <v>30</v>
      </c>
      <c r="C42" s="70" t="str">
        <f aca="false">HYPERLINK("#Accounts!A1","Accounts")</f>
        <v>Accounts</v>
      </c>
      <c r="D42" s="15" t="s">
        <v>244</v>
      </c>
      <c r="E42" s="15" t="str">
        <f aca="false">IF($H42&lt;0,"Could not calculate",IF($H42=0,"All current",$H42&amp;" account(s) are on an older statement"))</f>
        <v>2 account(s) are on an older statement</v>
      </c>
      <c r="F42" s="71" t="str">
        <f aca="false">IF($H42=0,"OK",IF($H42&lt;0,"ERROR","INFO"))</f>
        <v>INFO</v>
      </c>
      <c r="G42" s="72" t="s">
        <v>245</v>
      </c>
      <c r="H42" s="55" t="n">
        <f aca="false">IFERROR(SUMPRODUCT(ISNUMBER(Accounts!$I$6:$I$55)*(Accounts!$I$6:$I$55&lt;ValDate)),-1)</f>
        <v>2</v>
      </c>
    </row>
    <row r="43" customFormat="false" ht="27.75" hidden="false" customHeight="true" outlineLevel="0" collapsed="false">
      <c r="B43" s="69" t="n">
        <v>31</v>
      </c>
      <c r="C43" s="70" t="str">
        <f aca="false">HYPERLINK("#Securities!A1","Securities")</f>
        <v>Securities</v>
      </c>
      <c r="D43" s="15" t="s">
        <v>246</v>
      </c>
      <c r="E43" s="15" t="str">
        <f aca="false">IF($H43&lt;0,"Could not calculate",IF($H43=0,"All current",$H43&amp;" price(s) are older than the valuation date"))</f>
        <v>2 price(s) are older than the valuation date</v>
      </c>
      <c r="F43" s="71" t="str">
        <f aca="false">IF($H43=0,"OK",IF($H43&lt;0,"ERROR","INFO"))</f>
        <v>INFO</v>
      </c>
      <c r="G43" s="72" t="s">
        <v>247</v>
      </c>
      <c r="H43" s="55" t="n">
        <f aca="false">IFERROR(SUMPRODUCT(ISNUMBER(Securities!$P$6:$P$105)*(Securities!$P$6:$P$105&lt;ValDate)),-1)</f>
        <v>2</v>
      </c>
    </row>
    <row r="44" customFormat="false" ht="27.75" hidden="false" customHeight="true" outlineLevel="0" collapsed="false">
      <c r="B44" s="69" t="n">
        <v>32</v>
      </c>
      <c r="C44" s="70" t="str">
        <f aca="false">HYPERLINK("#Transactions!A1","Transactions")</f>
        <v>Transactions</v>
      </c>
      <c r="D44" s="15" t="s">
        <v>248</v>
      </c>
      <c r="E44" s="15" t="str">
        <f aca="false">IF($H44&lt;0,"Could not calculate",IF($H44=0,"None",$H44&amp;" transaction(s): kept for the record, not counted in Period Change"))</f>
        <v>9 transaction(s): kept for the record, not counted in Period Change</v>
      </c>
      <c r="F44" s="71" t="str">
        <f aca="false">IF($H44=0,"OK",IF($H44&lt;0,"ERROR","INFO"))</f>
        <v>INFO</v>
      </c>
      <c r="G44" s="72" t="s">
        <v>249</v>
      </c>
      <c r="H44" s="55" t="n">
        <f aca="false">IFERROR(COUNTIFS(Transactions!$B$6:$B$305,"&lt;="&amp;PrevDate),-1)</f>
        <v>9</v>
      </c>
    </row>
    <row r="45" customFormat="false" ht="39.75" hidden="false" customHeight="true" outlineLevel="0" collapsed="false">
      <c r="B45" s="69" t="n">
        <v>33</v>
      </c>
      <c r="C45" s="70" t="str">
        <f aca="false">HYPERLINK("#Commitments!A1","Commitments")</f>
        <v>Commitments</v>
      </c>
      <c r="D45" s="15" t="s">
        <v>250</v>
      </c>
      <c r="E45" s="15" t="str">
        <f aca="true">IF($H45&lt;0,"Could not calculate",IF($H45=0,"None unpaid",$H45&amp;" commitment(s) have money called and not yet paid: ₹"&amp;TEXT(SUMIF(Commitments!$L$6:$L$35,"&gt;0")/Divisor,"#,##0.00")&amp;IF(IFERROR(INDEX(L_UnitSfx,MATCH(UnitLabel,L_Unit,0)),"")="₹",""," "&amp;IFERROR(INDEX(L_UnitSfx,MATCH(UnitLabel,L_Unit,0)),""))))</f>
        <v>1 commitment(s) have money called and not yet paid: ₹0.25 Cr</v>
      </c>
      <c r="F45" s="71" t="str">
        <f aca="false">IF($H45=0,"OK",IF($H45&lt;0,"ERROR","INFO"))</f>
        <v>INFO</v>
      </c>
      <c r="G45" s="72" t="s">
        <v>251</v>
      </c>
      <c r="H45" s="55" t="n">
        <f aca="false">IFERROR(COUNTIF(Commitments!$L$6:$L$35,"&gt;0"),-1)</f>
        <v>1</v>
      </c>
    </row>
    <row r="46" customFormat="false" ht="27.75" hidden="false" customHeight="true" outlineLevel="0" collapsed="false">
      <c r="B46" s="69" t="n">
        <v>34</v>
      </c>
      <c r="C46" s="70" t="str">
        <f aca="false">HYPERLINK("#'Tax Summary'!A1","Tax Summary")</f>
        <v>Tax Summary</v>
      </c>
      <c r="D46" s="15" t="s">
        <v>252</v>
      </c>
      <c r="E46" s="15" t="str">
        <f aca="false">IF($H46&lt;0,"Could not calculate",IF($H46=0,"None",$H46&amp;" lot(s) turn long-term within "&amp;SoonDays&amp;" days: see Tax Summary"))</f>
        <v>1 lot(s) turn long-term within 90 days: see Tax Summary</v>
      </c>
      <c r="F46" s="71" t="str">
        <f aca="false">IF($H46=0,"OK",IF($H46&lt;0,"ERROR","INFO"))</f>
        <v>INFO</v>
      </c>
      <c r="G46" s="72" t="s">
        <v>253</v>
      </c>
      <c r="H46" s="55" t="n">
        <f aca="false">IFERROR(COUNTIF('Tax Lots'!$AQ$6:$AQ$205,1),-1)</f>
        <v>1</v>
      </c>
    </row>
    <row r="47" customFormat="false" ht="18" hidden="false" customHeight="true" outlineLevel="0" collapsed="false">
      <c r="B47" s="68" t="s">
        <v>254</v>
      </c>
      <c r="C47" s="68"/>
      <c r="D47" s="68"/>
      <c r="E47" s="68"/>
      <c r="F47" s="68"/>
      <c r="G47" s="68"/>
    </row>
    <row r="48" customFormat="false" ht="27.75" hidden="false" customHeight="true" outlineLevel="0" collapsed="false">
      <c r="B48" s="69" t="n">
        <v>35</v>
      </c>
      <c r="C48" s="70" t="str">
        <f aca="false">HYPERLINK("#'Basket Allocation'!A1","Basket Allocation")</f>
        <v>Basket Allocation</v>
      </c>
      <c r="D48" s="15" t="s">
        <v>255</v>
      </c>
      <c r="E48" s="15" t="str">
        <f aca="false">IF($H48&lt;0,"Could not calculate",IF($H48=0,"Within 4",$H48&amp;" basket(s) not shown on the basket views"))</f>
        <v>Within 4</v>
      </c>
      <c r="F48" s="71" t="str">
        <f aca="false">IF($H48=0,"OK",IF($H48&lt;0,"ERROR","INFO"))</f>
        <v>OK</v>
      </c>
      <c r="G48" s="72" t="s">
        <v>256</v>
      </c>
      <c r="H48" s="55" t="n">
        <f aca="false">IFERROR(MAX(0,COUNTA(Lists!$K$6:$K$65)-4),-1)</f>
        <v>0</v>
      </c>
    </row>
    <row r="49" customFormat="false" ht="27.75" hidden="false" customHeight="true" outlineLevel="0" collapsed="false">
      <c r="B49" s="69" t="n">
        <v>36</v>
      </c>
      <c r="C49" s="70" t="str">
        <f aca="false">HYPERLINK("#'Investor Summary'!A1","Investor Summary")</f>
        <v>Investor Summary</v>
      </c>
      <c r="D49" s="15" t="s">
        <v>257</v>
      </c>
      <c r="E49" s="15" t="str">
        <f aca="false">IF($H49&lt;0,"Could not calculate",IF($H49=0,"Within 8",$H49&amp;" entit(ies) not given a column"))</f>
        <v>Within 8</v>
      </c>
      <c r="F49" s="71" t="str">
        <f aca="false">IF($H49=0,"OK",IF($H49&lt;0,"ERROR","INFO"))</f>
        <v>OK</v>
      </c>
      <c r="G49" s="72" t="s">
        <v>256</v>
      </c>
      <c r="H49" s="55" t="n">
        <f aca="false">IFERROR(MAX(0,COUNTA(Entities!$A$6:$A$25)-8),-1)</f>
        <v>0</v>
      </c>
    </row>
    <row r="50" customFormat="false" ht="27.75" hidden="false" customHeight="true" outlineLevel="0" collapsed="false">
      <c r="B50" s="69" t="n">
        <v>37</v>
      </c>
      <c r="C50" s="70" t="str">
        <f aca="false">HYPERLINK("#'Portfolio Allocation'!A1","Portfolio Allocation")</f>
        <v>Portfolio Allocation</v>
      </c>
      <c r="D50" s="15" t="s">
        <v>258</v>
      </c>
      <c r="E50" s="15" t="str">
        <f aca="false">IF($H50&lt;0,"Could not calculate",IF($H50=0,"Within 10",$H50&amp;" commitment(s) not listed"))</f>
        <v>Within 10</v>
      </c>
      <c r="F50" s="71" t="str">
        <f aca="false">IF($H50=0,"OK",IF($H50&lt;0,"ERROR","INFO"))</f>
        <v>OK</v>
      </c>
      <c r="G50" s="72" t="s">
        <v>256</v>
      </c>
      <c r="H50" s="55" t="n">
        <f aca="false">IFERROR(MAX(0,COUNTA(Commitments!$A$6:$A$35)-10),-1)</f>
        <v>0</v>
      </c>
    </row>
    <row r="51" customFormat="false" ht="27.75" hidden="false" customHeight="true" outlineLevel="0" collapsed="false">
      <c r="B51" s="69" t="n">
        <v>38</v>
      </c>
      <c r="C51" s="70" t="str">
        <f aca="false">HYPERLINK("#'Basket Detail'!A1","Basket Detail")</f>
        <v>Basket Detail</v>
      </c>
      <c r="D51" s="15" t="s">
        <v>259</v>
      </c>
      <c r="E51" s="15" t="str">
        <f aca="false">IF($H51&lt;0,"Could not calculate",IF($H51=0,"Within 15",$H51&amp;" basket(s) listed in part"))</f>
        <v>Within 15</v>
      </c>
      <c r="F51" s="71" t="str">
        <f aca="false">IF($H51=0,"OK",IF($H51&lt;0,"ERROR","INFO"))</f>
        <v>OK</v>
      </c>
      <c r="G51" s="72" t="s">
        <v>256</v>
      </c>
      <c r="H51" s="55" t="n">
        <f aca="false">IFERROR((SUMPRODUCT((Holdings!$I$6:$I$205='Basket Allocation'!$C$7)*ISNUMBER(Holdings!$R$6:$R$205))&gt;15)+(SUMPRODUCT((Holdings!$I$6:$I$205='Basket Allocation'!$C$8)*ISNUMBER(Holdings!$R$6:$R$205))&gt;15)+(SUMPRODUCT((Holdings!$I$6:$I$205='Basket Allocation'!$C$9)*ISNUMBER(Holdings!$R$6:$R$205))&gt;15)+(SUMPRODUCT((Holdings!$I$6:$I$205='Basket Allocation'!$C$10)*ISNUMBER(Holdings!$R$6:$R$205))&gt;15),-1)</f>
        <v>0</v>
      </c>
    </row>
    <row r="52" customFormat="false" ht="27.75" hidden="false" customHeight="true" outlineLevel="0" collapsed="false">
      <c r="B52" s="69" t="n">
        <v>39</v>
      </c>
      <c r="C52" s="70" t="str">
        <f aca="false">HYPERLINK("#'Portfolio Allocation'!A1","Portfolio Allocation")</f>
        <v>Portfolio Allocation</v>
      </c>
      <c r="D52" s="15" t="s">
        <v>260</v>
      </c>
      <c r="E52" s="15" t="str">
        <f aca="false">IF($H52&lt;0,"Could not calculate",IF($H52=0,"Within 19",$H52&amp;" categor(ies) not shown"))</f>
        <v>Within 19</v>
      </c>
      <c r="F52" s="71" t="str">
        <f aca="false">IF($H52=0,"OK",IF($H52&lt;0,"ERROR","INFO"))</f>
        <v>OK</v>
      </c>
      <c r="G52" s="72" t="s">
        <v>256</v>
      </c>
      <c r="H52" s="55" t="n">
        <f aca="false">IFERROR(MAX(0,COUNTA(Lists!$D$6:$D$65)-19),-1)</f>
        <v>0</v>
      </c>
    </row>
    <row r="53" customFormat="false" ht="27.75" hidden="false" customHeight="true" outlineLevel="0" collapsed="false">
      <c r="B53" s="69" t="n">
        <v>40</v>
      </c>
      <c r="C53" s="70" t="str">
        <f aca="false">HYPERLINK("#'Portfolio Allocation'!A1","Portfolio Allocation")</f>
        <v>Portfolio Allocation</v>
      </c>
      <c r="D53" s="15" t="s">
        <v>261</v>
      </c>
      <c r="E53" s="15" t="str">
        <f aca="false">IF($H53&lt;0,"Could not calculate",IF($H53=0,"Within 4",$H53&amp;" asset class(es) not shown"))</f>
        <v>Within 4</v>
      </c>
      <c r="F53" s="71" t="str">
        <f aca="false">IF($H53=0,"OK",IF($H53&lt;0,"ERROR","INFO"))</f>
        <v>OK</v>
      </c>
      <c r="G53" s="72" t="s">
        <v>256</v>
      </c>
      <c r="H53" s="55" t="n">
        <f aca="false">IFERROR(MAX(0,COUNTA(Lists!$A$6:$A$65)-4),-1)</f>
        <v>0</v>
      </c>
    </row>
    <row r="54" customFormat="false" ht="27.75" hidden="false" customHeight="true" outlineLevel="0" collapsed="false">
      <c r="B54" s="69" t="n">
        <v>41</v>
      </c>
      <c r="C54" s="70" t="str">
        <f aca="false">HYPERLINK("#'Start Here'!A1","Start Here")</f>
        <v>Start Here</v>
      </c>
      <c r="D54" s="15" t="s">
        <v>262</v>
      </c>
      <c r="E54" s="15" t="str">
        <f aca="false">IF($H54&lt;0,"Could not calculate",IF($H54=0,"All have room",MID(IF(COUNTA(Entities!$A$6:$A$25)&gt;=18,"; Entities ("&amp;COUNTA(Entities!$A$6:$A$25)&amp;" of 20)","")&amp;IF(COUNTA(Accounts!$A$6:$A$55)&gt;=45,"; Accounts ("&amp;COUNTA(Accounts!$A$6:$A$55)&amp;" of 50)","")&amp;IF(COUNTA(Securities!$A$6:$A$105)&gt;=90,"; Securities ("&amp;COUNTA(Securities!$A$6:$A$105)&amp;" of 100)","")&amp;IF(COUNTA(Holdings!$A$6:$A$205)&gt;=180,"; Holdings ("&amp;COUNTA(Holdings!$A$6:$A$205)&amp;" of 200)","")&amp;IF(COUNTA('Tax Lots'!$A$6:$A$205)&gt;=180,"; Tax Lots ("&amp;COUNTA('Tax Lots'!$A$6:$A$205)&amp;" of 200)","")&amp;IF(COUNTA(Transactions!$A$6:$A$305)&gt;=270,"; Transactions ("&amp;COUNTA(Transactions!$A$6:$A$305)&amp;" of 300)","")&amp;IF(COUNTA(Commitments!$A$6:$A$35)&gt;=27,"; Commitments ("&amp;COUNTA(Commitments!$A$6:$A$35)&amp;" of 30)",""),3,400)))</f>
        <v>All have room</v>
      </c>
      <c r="F54" s="71" t="str">
        <f aca="false">IF($H54=0,"OK",IF($H54&lt;0,"ERROR","INFO"))</f>
        <v>OK</v>
      </c>
      <c r="G54" s="72" t="s">
        <v>263</v>
      </c>
      <c r="H54" s="55" t="n">
        <f aca="false">IFERROR((COUNTA(Entities!$A$6:$A$25)&gt;=18)+(COUNTA(Accounts!$A$6:$A$55)&gt;=45)+(COUNTA(Securities!$A$6:$A$105)&gt;=90)+(COUNTA(Holdings!$A$6:$A$205)&gt;=180)+(COUNTA('Tax Lots'!$A$6:$A$205)&gt;=180)+(COUNTA(Transactions!$A$6:$A$305)&gt;=270)+(COUNTA(Commitments!$A$6:$A$35)&gt;=27),-1)</f>
        <v>0</v>
      </c>
    </row>
    <row r="56" customFormat="false" ht="15" hidden="false" customHeight="false" outlineLevel="0" collapsed="false">
      <c r="B56" s="7" t="s">
        <v>264</v>
      </c>
    </row>
  </sheetData>
  <mergeCells count="9">
    <mergeCell ref="B5:C5"/>
    <mergeCell ref="D5:G5"/>
    <mergeCell ref="B6:C6"/>
    <mergeCell ref="D6:G6"/>
    <mergeCell ref="B9:G9"/>
    <mergeCell ref="B14:G14"/>
    <mergeCell ref="B22:G22"/>
    <mergeCell ref="B38:G38"/>
    <mergeCell ref="B47:G47"/>
  </mergeCells>
  <conditionalFormatting sqref="D5">
    <cfRule type="expression" priority="2" aboveAverage="0" equalAverage="0" bottom="0" percent="0" rank="0" text="" dxfId="6">
      <formula>LEFT($D$5,3)="ALL"</formula>
    </cfRule>
    <cfRule type="expression" priority="3" aboveAverage="0" equalAverage="0" bottom="0" percent="0" rank="0" text="" dxfId="7">
      <formula>LEFT($D$5,3)&lt;&gt;"ALL"</formula>
    </cfRule>
  </conditionalFormatting>
  <conditionalFormatting sqref="F9:F54">
    <cfRule type="expression" priority="4" aboveAverage="0" equalAverage="0" bottom="0" percent="0" rank="0" text="" dxfId="6">
      <formula>$F9="OK"</formula>
    </cfRule>
    <cfRule type="expression" priority="5" aboveAverage="0" equalAverage="0" bottom="0" percent="0" rank="0" text="" dxfId="7">
      <formula>$F9="ERROR"</formula>
    </cfRule>
    <cfRule type="expression" priority="6" aboveAverage="0" equalAverage="0" bottom="0" percent="0" rank="0" text="" dxfId="8">
      <formula>$F9="INFO"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Q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8" min="17" style="0" width="15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2" min="21" style="0" width="13"/>
    <col collapsed="false" customWidth="true" hidden="false" outlineLevel="0" max="23" min="23" style="0" width="9"/>
    <col collapsed="false" customWidth="true" hidden="false" outlineLevel="0" max="24" min="24" style="0" width="22"/>
    <col collapsed="false" customWidth="true" hidden="false" outlineLevel="0" max="26" min="25" style="0" width="10"/>
    <col collapsed="false" customWidth="true" hidden="false" outlineLevel="0" max="27" min="27" style="0" width="9"/>
    <col collapsed="false" customWidth="true" hidden="false" outlineLevel="0" max="29" min="28" style="0" width="10"/>
    <col collapsed="false" customWidth="true" hidden="false" outlineLevel="0" max="30" min="30" style="0" width="15"/>
    <col collapsed="false" customWidth="true" hidden="false" outlineLevel="0" max="31" min="31" style="0" width="12"/>
    <col collapsed="false" customWidth="true" hidden="false" outlineLevel="0" max="32" min="32" style="0" width="30"/>
    <col collapsed="false" customWidth="true" hidden="false" outlineLevel="0" max="33" min="33" style="0" width="13"/>
    <col collapsed="false" customWidth="true" hidden="false" outlineLevel="0" max="34" min="34" style="0" width="18"/>
    <col collapsed="false" customWidth="true" hidden="true" outlineLevel="0" max="37" min="35" style="0" width="6"/>
    <col collapsed="false" customWidth="true" hidden="true" outlineLevel="0" max="43" min="38" style="0" width="8"/>
  </cols>
  <sheetData>
    <row r="1" customFormat="false" ht="21.75" hidden="false" customHeight="true" outlineLevel="0" collapsed="false">
      <c r="A1" s="28" t="s">
        <v>265</v>
      </c>
      <c r="F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266</v>
      </c>
    </row>
    <row r="3" customFormat="false" ht="15" hidden="false" customHeight="false" outlineLevel="0" collapsed="false">
      <c r="A3" s="3" t="s">
        <v>2</v>
      </c>
      <c r="L3" s="73" t="s">
        <v>267</v>
      </c>
      <c r="M3" s="74" t="n">
        <f aca="false">SUBTOTAL(9,M6:M205)</f>
        <v>1101935300</v>
      </c>
      <c r="R3" s="74" t="n">
        <f aca="false">SUBTOTAL(9,R6:R205)</f>
        <v>1384745308.36487</v>
      </c>
      <c r="S3" s="74" t="n">
        <f aca="false">SUBTOTAL(9,S6:S205)</f>
        <v>282810008.36487</v>
      </c>
      <c r="U3" s="74" t="n">
        <f aca="false">SUBTOTAL(9,U6:U205)</f>
        <v>12235000</v>
      </c>
      <c r="V3" s="74" t="n">
        <f aca="false">SUBTOTAL(9,V6:V205)</f>
        <v>46090000</v>
      </c>
      <c r="AD3" s="74" t="n">
        <f aca="false">SUBTOTAL(9,AD6:AD205)</f>
        <v>1302427501</v>
      </c>
    </row>
    <row r="4" customFormat="false" ht="15" hidden="false" customHeight="true" outlineLevel="0" collapsed="false">
      <c r="A4" s="75" t="s">
        <v>268</v>
      </c>
      <c r="B4" s="75"/>
      <c r="C4" s="75"/>
      <c r="D4" s="75" t="s">
        <v>269</v>
      </c>
      <c r="E4" s="75"/>
      <c r="F4" s="75"/>
      <c r="G4" s="75"/>
      <c r="H4" s="75"/>
      <c r="I4" s="75"/>
      <c r="J4" s="75" t="s">
        <v>270</v>
      </c>
      <c r="K4" s="75"/>
      <c r="L4" s="75"/>
      <c r="M4" s="75"/>
      <c r="N4" s="75"/>
      <c r="O4" s="75"/>
      <c r="P4" s="75"/>
      <c r="Q4" s="75"/>
      <c r="R4" s="75"/>
      <c r="S4" s="75" t="s">
        <v>271</v>
      </c>
      <c r="T4" s="75"/>
      <c r="U4" s="75" t="s">
        <v>272</v>
      </c>
      <c r="V4" s="75"/>
      <c r="W4" s="75" t="s">
        <v>273</v>
      </c>
      <c r="X4" s="75"/>
      <c r="Y4" s="75"/>
      <c r="Z4" s="75"/>
      <c r="AA4" s="75"/>
      <c r="AB4" s="75"/>
      <c r="AC4" s="75"/>
      <c r="AD4" s="75" t="s">
        <v>274</v>
      </c>
      <c r="AE4" s="75"/>
      <c r="AF4" s="75"/>
      <c r="AG4" s="75" t="s">
        <v>275</v>
      </c>
      <c r="AH4" s="75"/>
    </row>
    <row r="5" customFormat="false" ht="48" hidden="false" customHeight="true" outlineLevel="0" collapsed="false">
      <c r="A5" s="23" t="s">
        <v>276</v>
      </c>
      <c r="B5" s="23" t="s">
        <v>277</v>
      </c>
      <c r="C5" s="23" t="s">
        <v>278</v>
      </c>
      <c r="D5" s="23" t="s">
        <v>99</v>
      </c>
      <c r="E5" s="23" t="s">
        <v>130</v>
      </c>
      <c r="F5" s="23" t="s">
        <v>129</v>
      </c>
      <c r="G5" s="23" t="s">
        <v>279</v>
      </c>
      <c r="H5" s="23" t="s">
        <v>78</v>
      </c>
      <c r="I5" s="23" t="s">
        <v>114</v>
      </c>
      <c r="J5" s="23" t="s">
        <v>280</v>
      </c>
      <c r="K5" s="23" t="s">
        <v>281</v>
      </c>
      <c r="L5" s="23" t="s">
        <v>282</v>
      </c>
      <c r="M5" s="23" t="s">
        <v>283</v>
      </c>
      <c r="N5" s="23" t="s">
        <v>284</v>
      </c>
      <c r="O5" s="23" t="s">
        <v>285</v>
      </c>
      <c r="P5" s="23" t="s">
        <v>286</v>
      </c>
      <c r="Q5" s="23" t="s">
        <v>287</v>
      </c>
      <c r="R5" s="23" t="s">
        <v>288</v>
      </c>
      <c r="S5" s="23" t="s">
        <v>289</v>
      </c>
      <c r="T5" s="23" t="s">
        <v>87</v>
      </c>
      <c r="U5" s="23" t="s">
        <v>290</v>
      </c>
      <c r="V5" s="23" t="s">
        <v>291</v>
      </c>
      <c r="W5" s="23" t="s">
        <v>292</v>
      </c>
      <c r="X5" s="23" t="s">
        <v>137</v>
      </c>
      <c r="Y5" s="23" t="s">
        <v>293</v>
      </c>
      <c r="Z5" s="23" t="s">
        <v>294</v>
      </c>
      <c r="AA5" s="23" t="s">
        <v>295</v>
      </c>
      <c r="AB5" s="23" t="s">
        <v>133</v>
      </c>
      <c r="AC5" s="23" t="s">
        <v>82</v>
      </c>
      <c r="AD5" s="23" t="s">
        <v>296</v>
      </c>
      <c r="AE5" s="23" t="s">
        <v>297</v>
      </c>
      <c r="AF5" s="23" t="s">
        <v>298</v>
      </c>
      <c r="AG5" s="23" t="s">
        <v>299</v>
      </c>
      <c r="AH5" s="23" t="s">
        <v>48</v>
      </c>
      <c r="AI5" s="76" t="s">
        <v>300</v>
      </c>
      <c r="AJ5" s="76" t="s">
        <v>301</v>
      </c>
      <c r="AK5" s="76" t="s">
        <v>302</v>
      </c>
      <c r="AL5" s="76" t="s">
        <v>303</v>
      </c>
      <c r="AM5" s="76" t="s">
        <v>304</v>
      </c>
      <c r="AN5" s="76" t="s">
        <v>305</v>
      </c>
      <c r="AO5" s="76" t="s">
        <v>306</v>
      </c>
      <c r="AP5" s="76" t="s">
        <v>307</v>
      </c>
      <c r="AQ5" s="76" t="s">
        <v>308</v>
      </c>
    </row>
    <row r="6" customFormat="false" ht="15" hidden="false" customHeight="false" outlineLevel="0" collapsed="false">
      <c r="A6" s="77" t="s">
        <v>309</v>
      </c>
      <c r="B6" s="78" t="s">
        <v>310</v>
      </c>
      <c r="C6" s="78" t="s">
        <v>311</v>
      </c>
      <c r="D6" s="79" t="str">
        <f aca="false">IF($AI6="","",INDEX(Accounts!$C$6:$C$55,$AI6)&amp;"")</f>
        <v>Rajiv Malhotra</v>
      </c>
      <c r="E6" s="79" t="str">
        <f aca="false">IF($AI6="","",INDEX(Accounts!$F$6:$F$55,$AI6)&amp;"")</f>
        <v>Self-directed</v>
      </c>
      <c r="F6" s="79" t="str">
        <f aca="false">IF($AJ6="","",INDEX(Securities!$B$6:$B$105,$AJ6)&amp;"")</f>
        <v>Aravali Cements Ltd</v>
      </c>
      <c r="G6" s="79" t="str">
        <f aca="false">IF($AJ6="","",INDEX(Securities!$F$6:$F$105,$AJ6)&amp;"")</f>
        <v>Equity</v>
      </c>
      <c r="H6" s="79" t="str">
        <f aca="false">IF($AJ6="","",INDEX(Securities!$E$6:$E$105,$AJ6)&amp;"")</f>
        <v>Direct Equity</v>
      </c>
      <c r="I6" s="79" t="str">
        <f aca="false">IF($AJ6="","",INDEX(Securities!$H$6:$H$105,$AJ6)&amp;"")</f>
        <v>TT</v>
      </c>
      <c r="J6" s="80" t="n">
        <v>42441</v>
      </c>
      <c r="K6" s="80" t="n">
        <v>45965</v>
      </c>
      <c r="L6" s="81" t="n">
        <v>44000</v>
      </c>
      <c r="M6" s="82" t="n">
        <v>45388800</v>
      </c>
      <c r="N6" s="83" t="n">
        <f aca="false">IF(OR($L6="",$M6=""),"",IF(N($L6)=0,"",$M6/$L6))</f>
        <v>1031.56363636364</v>
      </c>
      <c r="O6" s="84" t="n">
        <f aca="false">IF($AJ6="","",IF(INDEX(Securities!$O$6:$O$105,$AJ6)="","",INDEX(Securities!$O$6:$O$105,$AJ6)))</f>
        <v>1842.5</v>
      </c>
      <c r="P6" s="79" t="str">
        <f aca="false">IF($AJ6="","",INDEX(Securities!$N$6:$N$105,$AJ6)&amp;"")</f>
        <v>Market price</v>
      </c>
      <c r="Q6" s="82"/>
      <c r="R6" s="85" t="n">
        <f aca="false">IF($C6="","",IF($Q6&lt;&gt;"",$Q6,IF($P6="At cost",IF($M6="","",$M6),IF(OR($O6="",$L6=""),"",$L6*$O6))))</f>
        <v>81070000</v>
      </c>
      <c r="S6" s="85" t="n">
        <f aca="false">IF(OR(NOT(ISNUMBER($R6)),$M6=""),"",$R6-$M6)</f>
        <v>35681200</v>
      </c>
      <c r="T6" s="86" t="n">
        <f aca="false">IF(OR($S6="",N($M6)=0),"",$S6/$M6)</f>
        <v>0.786123448956571</v>
      </c>
      <c r="U6" s="82" t="n">
        <v>1320000</v>
      </c>
      <c r="V6" s="82" t="n">
        <v>14000000</v>
      </c>
      <c r="W6" s="87" t="n">
        <v>0.179</v>
      </c>
      <c r="X6" s="79" t="str">
        <f aca="false">IF($AJ6="","",INDEX(Securities!$L$6:$L$105,$AJ6)&amp;"")</f>
        <v>Nifty 500 TRI</v>
      </c>
      <c r="Y6" s="87" t="n">
        <v>0.964</v>
      </c>
      <c r="Z6" s="87" t="n">
        <v>0.131</v>
      </c>
      <c r="AA6" s="86" t="n">
        <f aca="false">IF(OR($W6="",$Z6=""),"",$W6-$Z6)</f>
        <v>0.048</v>
      </c>
      <c r="AB6" s="79" t="str">
        <f aca="false">IF($C6="","",IF($P6="At cost","At cost",IF(NOT(ISNUMBER($J6)),"No date",IF(ValDate-$J6&lt;365,"Absolute",IF($W6="","XIRR missing","XIRR")))))</f>
        <v>XIRR</v>
      </c>
      <c r="AC6" s="86" t="n">
        <f aca="false">IF(NOT(ISNUMBER($R6)),"",IF(SUM($R$6:$R$205)=0,"",$R6/SUM($R$6:$R$205)))</f>
        <v>0.0585450620487957</v>
      </c>
      <c r="AD6" s="82" t="n">
        <v>76337100</v>
      </c>
      <c r="AE6" s="80" t="n">
        <v>46203</v>
      </c>
      <c r="AF6" s="78" t="s">
        <v>312</v>
      </c>
      <c r="AG6" s="88" t="n">
        <f aca="false">IF($C6="","",IF(COUNTIFS('Tax Lots'!$B$6:$B$205,$B6,'Tax Lots'!$C$6:$C$205,$C6)=0,"",SUMIFS('Tax Lots'!$P$6:$P$205,'Tax Lots'!$B$6:$B$205,$B6,'Tax Lots'!$C$6:$C$205,$C6)))</f>
        <v>44000</v>
      </c>
      <c r="AH6" s="79" t="str">
        <f aca="false">IF($A6&amp;$B6&amp;$C6="","",IF($A6="","Missing ID",IF(COUNTIF($A$6:$A$205,$A6)&gt;1,"Duplicate ID",IF($AI6="","Unknown account",IF($AJ6="","Unknown security",IF(COUNTIFS($B$6:$B$205,$B6,$C$6:$C$205,$C6)&gt;1,"Same security twice in one account",IF(AND(ISNUMBER($J6),ISNUMBER($K6),N($K6)&lt;N($J6)),"Last date before first",IF(NOT(ISNUMBER($R6)),"No market value",IF(OR(N($J6)&gt;ValDate,N($K6)&gt;ValDate),"Date after valuation",IF(AND(ISNUMBER($AG6),ABS(N($L6)-N($AG6))&gt;0.001),"Lot quantity differs",IF(AND(ISNUMBER($AG6),ABS(N($M6)-SUMIFS('Tax Lots'!$Q$6:$Q$205,'Tax Lots'!$B$6:$B$205,$B6,'Tax Lots'!$C$6:$C$205,$C6))&gt;1),"Lot cost differs",IF(AND(ISNUMBER($AG6),ABS(N($V6)-SUMIFS('Tax Lots'!$AA$6:$AA$205,'Tax Lots'!$B$6:$B$205,$B6,'Tax Lots'!$C$6:$C$205,$C6))&gt;1),"Lot realised gain differs","OK"))))))))))))</f>
        <v>OK</v>
      </c>
      <c r="AI6" s="89" t="n">
        <f aca="false">IF($B6="","",IFERROR(MATCH($B6,Accounts!$A$6:$A$55,0),""))</f>
        <v>1</v>
      </c>
      <c r="AJ6" s="89" t="n">
        <f aca="false">IF($C6="","",IFERROR(MATCH($C6,Securities!$A$6:$A$105,0),""))</f>
        <v>1</v>
      </c>
      <c r="AK6" s="89" t="str">
        <f aca="false">IF($AI6="","",INDEX(Accounts!$B$6:$B$55,$AI6)&amp;"")</f>
        <v>E01</v>
      </c>
      <c r="AL6" s="89" t="str">
        <f aca="false">IF(OR($C6="",$I6="",NOT(ISNUMBER($R6))),"",$I6&amp;"|"&amp;(SUMPRODUCT(($I$6:$I$205=$I6)*ISNUMBER($R$6:$R$205)*($R$6:$R$205&gt;$R6))+SUMPRODUCT(($I$6:$I6=$I6)*ISNUMBER($R$6:$R6)*($R$6:$R6=$R6))))</f>
        <v>TT|1</v>
      </c>
      <c r="AM6" s="89" t="n">
        <f aca="false">IF(AND(ISNUMBER($R6),$W6&lt;&gt;"",$Z6&lt;&gt;"",$AB6="XIRR"),$R6*$W6,0)</f>
        <v>14511530</v>
      </c>
      <c r="AN6" s="90" t="n">
        <f aca="false">IF(AND(ISNUMBER($R6),$W6&lt;&gt;"",$Z6&lt;&gt;"",$AB6="XIRR"),$R6,0)</f>
        <v>81070000</v>
      </c>
      <c r="AO6" s="89" t="n">
        <f aca="false">IF(AND(ISNUMBER($R6),$W6&lt;&gt;"",$Z6&lt;&gt;"",$AB6="XIRR"),$R6*$Z6,0)</f>
        <v>10620170</v>
      </c>
      <c r="AP6" s="89" t="n">
        <f aca="false">IF(AND(ISNUMBER($M6),$Y6&lt;&gt;"",ISNUMBER($T6)),$M6*$Y6,0)</f>
        <v>43754803.2</v>
      </c>
      <c r="AQ6" s="90" t="n">
        <f aca="false">IF(AND(ISNUMBER($M6),$Y6&lt;&gt;"",ISNUMBER($T6)),$M6,0)</f>
        <v>45388800</v>
      </c>
    </row>
    <row r="7" customFormat="false" ht="15" hidden="false" customHeight="false" outlineLevel="0" collapsed="false">
      <c r="A7" s="77" t="s">
        <v>313</v>
      </c>
      <c r="B7" s="78" t="s">
        <v>310</v>
      </c>
      <c r="C7" s="78" t="s">
        <v>314</v>
      </c>
      <c r="D7" s="79" t="str">
        <f aca="false">IF($AI7="","",INDEX(Accounts!$C$6:$C$55,$AI7)&amp;"")</f>
        <v>Rajiv Malhotra</v>
      </c>
      <c r="E7" s="79" t="str">
        <f aca="false">IF($AI7="","",INDEX(Accounts!$F$6:$F$55,$AI7)&amp;"")</f>
        <v>Self-directed</v>
      </c>
      <c r="F7" s="79" t="str">
        <f aca="false">IF($AJ7="","",INDEX(Securities!$B$6:$B$105,$AJ7)&amp;"")</f>
        <v>Sahyadri Precision Engineering Ltd</v>
      </c>
      <c r="G7" s="79" t="str">
        <f aca="false">IF($AJ7="","",INDEX(Securities!$F$6:$F$105,$AJ7)&amp;"")</f>
        <v>Equity</v>
      </c>
      <c r="H7" s="79" t="str">
        <f aca="false">IF($AJ7="","",INDEX(Securities!$E$6:$E$105,$AJ7)&amp;"")</f>
        <v>Direct Equity</v>
      </c>
      <c r="I7" s="79" t="str">
        <f aca="false">IF($AJ7="","",INDEX(Securities!$H$6:$H$105,$AJ7)&amp;"")</f>
        <v>TT</v>
      </c>
      <c r="J7" s="80" t="n">
        <v>42907</v>
      </c>
      <c r="K7" s="80" t="n">
        <v>45757</v>
      </c>
      <c r="L7" s="81" t="n">
        <v>80000</v>
      </c>
      <c r="M7" s="82" t="n">
        <v>24800000</v>
      </c>
      <c r="N7" s="83" t="n">
        <f aca="false">IF(OR($L7="",$M7=""),"",IF(N($L7)=0,"",$M7/$L7))</f>
        <v>310</v>
      </c>
      <c r="O7" s="84" t="n">
        <f aca="false">IF($AJ7="","",IF(INDEX(Securities!$O$6:$O$105,$AJ7)="","",INDEX(Securities!$O$6:$O$105,$AJ7)))</f>
        <v>612.3</v>
      </c>
      <c r="P7" s="79" t="str">
        <f aca="false">IF($AJ7="","",INDEX(Securities!$N$6:$N$105,$AJ7)&amp;"")</f>
        <v>Market price</v>
      </c>
      <c r="Q7" s="82"/>
      <c r="R7" s="85" t="n">
        <f aca="false">IF($C7="","",IF($Q7&lt;&gt;"",$Q7,IF($P7="At cost",IF($M7="","",$M7),IF(OR($O7="",$L7=""),"",$L7*$O7))))</f>
        <v>48984000</v>
      </c>
      <c r="S7" s="85" t="n">
        <f aca="false">IF(OR(NOT(ISNUMBER($R7)),$M7=""),"",$R7-$M7)</f>
        <v>24184000</v>
      </c>
      <c r="T7" s="86" t="n">
        <f aca="false">IF(OR($S7="",N($M7)=0),"",$S7/$M7)</f>
        <v>0.975161290322581</v>
      </c>
      <c r="U7" s="82" t="n">
        <v>240000</v>
      </c>
      <c r="V7" s="82" t="n">
        <v>11840000</v>
      </c>
      <c r="W7" s="87" t="n">
        <v>0.124</v>
      </c>
      <c r="X7" s="79" t="str">
        <f aca="false">IF($AJ7="","",INDEX(Securities!$L$6:$L$105,$AJ7)&amp;"")</f>
        <v>Nifty 500 TRI</v>
      </c>
      <c r="Y7" s="87" t="n">
        <v>1.18</v>
      </c>
      <c r="Z7" s="87" t="n">
        <v>0.129</v>
      </c>
      <c r="AA7" s="86" t="n">
        <f aca="false">IF(OR($W7="",$Z7=""),"",$W7-$Z7)</f>
        <v>-0.005</v>
      </c>
      <c r="AB7" s="79" t="str">
        <f aca="false">IF($C7="","",IF($P7="At cost","At cost",IF(NOT(ISNUMBER($J7)),"No date",IF(ValDate-$J7&lt;365,"Absolute",IF($W7="","XIRR missing","XIRR")))))</f>
        <v>XIRR</v>
      </c>
      <c r="AC7" s="86" t="n">
        <f aca="false">IF(NOT(ISNUMBER($R7)),"",IF(SUM($R$6:$R$205)=0,"",$R7/SUM($R$6:$R$205)))</f>
        <v>0.0353740140544987</v>
      </c>
      <c r="AD7" s="82" t="n">
        <v>45313599</v>
      </c>
      <c r="AE7" s="80" t="n">
        <v>46203</v>
      </c>
      <c r="AF7" s="78" t="s">
        <v>312</v>
      </c>
      <c r="AG7" s="88" t="n">
        <f aca="false">IF($C7="","",IF(COUNTIFS('Tax Lots'!$B$6:$B$205,$B7,'Tax Lots'!$C$6:$C$205,$C7)=0,"",SUMIFS('Tax Lots'!$P$6:$P$205,'Tax Lots'!$B$6:$B$205,$B7,'Tax Lots'!$C$6:$C$205,$C7)))</f>
        <v>80000</v>
      </c>
      <c r="AH7" s="79" t="str">
        <f aca="false">IF($A7&amp;$B7&amp;$C7="","",IF($A7="","Missing ID",IF(COUNTIF($A$6:$A$205,$A7)&gt;1,"Duplicate ID",IF($AI7="","Unknown account",IF($AJ7="","Unknown security",IF(COUNTIFS($B$6:$B$205,$B7,$C$6:$C$205,$C7)&gt;1,"Same security twice in one account",IF(AND(ISNUMBER($J7),ISNUMBER($K7),N($K7)&lt;N($J7)),"Last date before first",IF(NOT(ISNUMBER($R7)),"No market value",IF(OR(N($J7)&gt;ValDate,N($K7)&gt;ValDate),"Date after valuation",IF(AND(ISNUMBER($AG7),ABS(N($L7)-N($AG7))&gt;0.001),"Lot quantity differs",IF(AND(ISNUMBER($AG7),ABS(N($M7)-SUMIFS('Tax Lots'!$Q$6:$Q$205,'Tax Lots'!$B$6:$B$205,$B7,'Tax Lots'!$C$6:$C$205,$C7))&gt;1),"Lot cost differs",IF(AND(ISNUMBER($AG7),ABS(N($V7)-SUMIFS('Tax Lots'!$AA$6:$AA$205,'Tax Lots'!$B$6:$B$205,$B7,'Tax Lots'!$C$6:$C$205,$C7))&gt;1),"Lot realised gain differs","OK"))))))))))))</f>
        <v>OK</v>
      </c>
      <c r="AI7" s="89" t="n">
        <f aca="false">IF($B7="","",IFERROR(MATCH($B7,Accounts!$A$6:$A$55,0),""))</f>
        <v>1</v>
      </c>
      <c r="AJ7" s="89" t="n">
        <f aca="false">IF($C7="","",IFERROR(MATCH($C7,Securities!$A$6:$A$105,0),""))</f>
        <v>2</v>
      </c>
      <c r="AK7" s="89" t="str">
        <f aca="false">IF($AI7="","",INDEX(Accounts!$B$6:$B$55,$AI7)&amp;"")</f>
        <v>E01</v>
      </c>
      <c r="AL7" s="89" t="str">
        <f aca="false">IF(OR($C7="",$I7="",NOT(ISNUMBER($R7))),"",$I7&amp;"|"&amp;(SUMPRODUCT(($I$6:$I$205=$I7)*ISNUMBER($R$6:$R$205)*($R$6:$R$205&gt;$R7))+SUMPRODUCT(($I$6:$I7=$I7)*ISNUMBER($R$6:$R7)*($R$6:$R7=$R7))))</f>
        <v>TT|4</v>
      </c>
      <c r="AM7" s="89" t="n">
        <f aca="false">IF(AND(ISNUMBER($R7),$W7&lt;&gt;"",$Z7&lt;&gt;"",$AB7="XIRR"),$R7*$W7,0)</f>
        <v>6074016</v>
      </c>
      <c r="AN7" s="90" t="n">
        <f aca="false">IF(AND(ISNUMBER($R7),$W7&lt;&gt;"",$Z7&lt;&gt;"",$AB7="XIRR"),$R7,0)</f>
        <v>48984000</v>
      </c>
      <c r="AO7" s="89" t="n">
        <f aca="false">IF(AND(ISNUMBER($R7),$W7&lt;&gt;"",$Z7&lt;&gt;"",$AB7="XIRR"),$R7*$Z7,0)</f>
        <v>6318936</v>
      </c>
      <c r="AP7" s="89" t="n">
        <f aca="false">IF(AND(ISNUMBER($M7),$Y7&lt;&gt;"",ISNUMBER($T7)),$M7*$Y7,0)</f>
        <v>29264000</v>
      </c>
      <c r="AQ7" s="90" t="n">
        <f aca="false">IF(AND(ISNUMBER($M7),$Y7&lt;&gt;"",ISNUMBER($T7)),$M7,0)</f>
        <v>24800000</v>
      </c>
    </row>
    <row r="8" customFormat="false" ht="15" hidden="false" customHeight="false" outlineLevel="0" collapsed="false">
      <c r="A8" s="77" t="s">
        <v>315</v>
      </c>
      <c r="B8" s="78" t="s">
        <v>310</v>
      </c>
      <c r="C8" s="78" t="s">
        <v>316</v>
      </c>
      <c r="D8" s="79" t="str">
        <f aca="false">IF($AI8="","",INDEX(Accounts!$C$6:$C$55,$AI8)&amp;"")</f>
        <v>Rajiv Malhotra</v>
      </c>
      <c r="E8" s="79" t="str">
        <f aca="false">IF($AI8="","",INDEX(Accounts!$F$6:$F$55,$AI8)&amp;"")</f>
        <v>Self-directed</v>
      </c>
      <c r="F8" s="79" t="str">
        <f aca="false">IF($AJ8="","",INDEX(Securities!$B$6:$B$105,$AJ8)&amp;"")</f>
        <v>Coromandel Digital Services Ltd</v>
      </c>
      <c r="G8" s="79" t="str">
        <f aca="false">IF($AJ8="","",INDEX(Securities!$F$6:$F$105,$AJ8)&amp;"")</f>
        <v>Equity</v>
      </c>
      <c r="H8" s="79" t="str">
        <f aca="false">IF($AJ8="","",INDEX(Securities!$E$6:$E$105,$AJ8)&amp;"")</f>
        <v>Direct Equity</v>
      </c>
      <c r="I8" s="79" t="str">
        <f aca="false">IF($AJ8="","",INDEX(Securities!$H$6:$H$105,$AJ8)&amp;"")</f>
        <v>SG</v>
      </c>
      <c r="J8" s="80" t="n">
        <v>44211</v>
      </c>
      <c r="K8" s="80"/>
      <c r="L8" s="81" t="n">
        <v>36000</v>
      </c>
      <c r="M8" s="82" t="n">
        <v>39780000</v>
      </c>
      <c r="N8" s="83" t="n">
        <f aca="false">IF(OR($L8="",$M8=""),"",IF(N($L8)=0,"",$M8/$L8))</f>
        <v>1105</v>
      </c>
      <c r="O8" s="84" t="n">
        <f aca="false">IF($AJ8="","",IF(INDEX(Securities!$O$6:$O$105,$AJ8)="","",INDEX(Securities!$O$6:$O$105,$AJ8)))</f>
        <v>1515</v>
      </c>
      <c r="P8" s="79" t="str">
        <f aca="false">IF($AJ8="","",INDEX(Securities!$N$6:$N$105,$AJ8)&amp;"")</f>
        <v>Market price</v>
      </c>
      <c r="Q8" s="82"/>
      <c r="R8" s="85" t="n">
        <f aca="false">IF($C8="","",IF($Q8&lt;&gt;"",$Q8,IF($P8="At cost",IF($M8="","",$M8),IF(OR($O8="",$L8=""),"",$L8*$O8))))</f>
        <v>54540000</v>
      </c>
      <c r="S8" s="85" t="n">
        <f aca="false">IF(OR(NOT(ISNUMBER($R8)),$M8=""),"",$R8-$M8)</f>
        <v>14760000</v>
      </c>
      <c r="T8" s="86" t="n">
        <f aca="false">IF(OR($S8="",N($M8)=0),"",$S8/$M8)</f>
        <v>0.3710407239819</v>
      </c>
      <c r="U8" s="82" t="n">
        <v>612000</v>
      </c>
      <c r="V8" s="82" t="n">
        <v>0</v>
      </c>
      <c r="W8" s="87" t="n">
        <v>0.086</v>
      </c>
      <c r="X8" s="79" t="str">
        <f aca="false">IF($AJ8="","",INDEX(Securities!$L$6:$L$105,$AJ8)&amp;"")</f>
        <v>Nifty 500 TRI</v>
      </c>
      <c r="Y8" s="87" t="n">
        <v>0.621</v>
      </c>
      <c r="Z8" s="87" t="n">
        <v>0.118</v>
      </c>
      <c r="AA8" s="86" t="n">
        <f aca="false">IF(OR($W8="",$Z8=""),"",$W8-$Z8)</f>
        <v>-0.032</v>
      </c>
      <c r="AB8" s="79" t="str">
        <f aca="false">IF($C8="","",IF($P8="At cost","At cost",IF(NOT(ISNUMBER($J8)),"No date",IF(ValDate-$J8&lt;365,"Absolute",IF($W8="","XIRR missing","XIRR")))))</f>
        <v>XIRR</v>
      </c>
      <c r="AC8" s="86" t="n">
        <f aca="false">IF(NOT(ISNUMBER($R8)),"",IF(SUM($R$6:$R$205)=0,"",$R8/SUM($R$6:$R$205)))</f>
        <v>0.0393863042326547</v>
      </c>
      <c r="AD8" s="82" t="n">
        <v>52746615</v>
      </c>
      <c r="AE8" s="80" t="n">
        <v>46203</v>
      </c>
      <c r="AF8" s="78" t="s">
        <v>312</v>
      </c>
      <c r="AG8" s="88" t="n">
        <f aca="false">IF($C8="","",IF(COUNTIFS('Tax Lots'!$B$6:$B$205,$B8,'Tax Lots'!$C$6:$C$205,$C8)=0,"",SUMIFS('Tax Lots'!$P$6:$P$205,'Tax Lots'!$B$6:$B$205,$B8,'Tax Lots'!$C$6:$C$205,$C8)))</f>
        <v>36000</v>
      </c>
      <c r="AH8" s="79" t="str">
        <f aca="false">IF($A8&amp;$B8&amp;$C8="","",IF($A8="","Missing ID",IF(COUNTIF($A$6:$A$205,$A8)&gt;1,"Duplicate ID",IF($AI8="","Unknown account",IF($AJ8="","Unknown security",IF(COUNTIFS($B$6:$B$205,$B8,$C$6:$C$205,$C8)&gt;1,"Same security twice in one account",IF(AND(ISNUMBER($J8),ISNUMBER($K8),N($K8)&lt;N($J8)),"Last date before first",IF(NOT(ISNUMBER($R8)),"No market value",IF(OR(N($J8)&gt;ValDate,N($K8)&gt;ValDate),"Date after valuation",IF(AND(ISNUMBER($AG8),ABS(N($L8)-N($AG8))&gt;0.001),"Lot quantity differs",IF(AND(ISNUMBER($AG8),ABS(N($M8)-SUMIFS('Tax Lots'!$Q$6:$Q$205,'Tax Lots'!$B$6:$B$205,$B8,'Tax Lots'!$C$6:$C$205,$C8))&gt;1),"Lot cost differs",IF(AND(ISNUMBER($AG8),ABS(N($V8)-SUMIFS('Tax Lots'!$AA$6:$AA$205,'Tax Lots'!$B$6:$B$205,$B8,'Tax Lots'!$C$6:$C$205,$C8))&gt;1),"Lot realised gain differs","OK"))))))))))))</f>
        <v>OK</v>
      </c>
      <c r="AI8" s="89" t="n">
        <f aca="false">IF($B8="","",IFERROR(MATCH($B8,Accounts!$A$6:$A$55,0),""))</f>
        <v>1</v>
      </c>
      <c r="AJ8" s="89" t="n">
        <f aca="false">IF($C8="","",IFERROR(MATCH($C8,Securities!$A$6:$A$105,0),""))</f>
        <v>3</v>
      </c>
      <c r="AK8" s="89" t="str">
        <f aca="false">IF($AI8="","",INDEX(Accounts!$B$6:$B$55,$AI8)&amp;"")</f>
        <v>E01</v>
      </c>
      <c r="AL8" s="89" t="str">
        <f aca="false">IF(OR($C8="",$I8="",NOT(ISNUMBER($R8))),"",$I8&amp;"|"&amp;(SUMPRODUCT(($I$6:$I$205=$I8)*ISNUMBER($R$6:$R$205)*($R$6:$R$205&gt;$R8))+SUMPRODUCT(($I$6:$I8=$I8)*ISNUMBER($R$6:$R8)*($R$6:$R8=$R8))))</f>
        <v>SG|5</v>
      </c>
      <c r="AM8" s="89" t="n">
        <f aca="false">IF(AND(ISNUMBER($R8),$W8&lt;&gt;"",$Z8&lt;&gt;"",$AB8="XIRR"),$R8*$W8,0)</f>
        <v>4690440</v>
      </c>
      <c r="AN8" s="90" t="n">
        <f aca="false">IF(AND(ISNUMBER($R8),$W8&lt;&gt;"",$Z8&lt;&gt;"",$AB8="XIRR"),$R8,0)</f>
        <v>54540000</v>
      </c>
      <c r="AO8" s="89" t="n">
        <f aca="false">IF(AND(ISNUMBER($R8),$W8&lt;&gt;"",$Z8&lt;&gt;"",$AB8="XIRR"),$R8*$Z8,0)</f>
        <v>6435720</v>
      </c>
      <c r="AP8" s="89" t="n">
        <f aca="false">IF(AND(ISNUMBER($M8),$Y8&lt;&gt;"",ISNUMBER($T8)),$M8*$Y8,0)</f>
        <v>24703380</v>
      </c>
      <c r="AQ8" s="90" t="n">
        <f aca="false">IF(AND(ISNUMBER($M8),$Y8&lt;&gt;"",ISNUMBER($T8)),$M8,0)</f>
        <v>39780000</v>
      </c>
    </row>
    <row r="9" customFormat="false" ht="15" hidden="false" customHeight="false" outlineLevel="0" collapsed="false">
      <c r="A9" s="77" t="s">
        <v>317</v>
      </c>
      <c r="B9" s="78" t="s">
        <v>318</v>
      </c>
      <c r="C9" s="78" t="s">
        <v>319</v>
      </c>
      <c r="D9" s="79" t="str">
        <f aca="false">IF($AI9="","",INDEX(Accounts!$C$6:$C$55,$AI9)&amp;"")</f>
        <v>Rajiv Malhotra</v>
      </c>
      <c r="E9" s="79" t="str">
        <f aca="false">IF($AI9="","",INDEX(Accounts!$F$6:$F$55,$AI9)&amp;"")</f>
        <v>Banyan Capital Managers</v>
      </c>
      <c r="F9" s="79" t="str">
        <f aca="false">IF($AJ9="","",INDEX(Securities!$B$6:$B$105,$AJ9)&amp;"")</f>
        <v>Banyan Focused Equity Portfolio</v>
      </c>
      <c r="G9" s="79" t="str">
        <f aca="false">IF($AJ9="","",INDEX(Securities!$F$6:$F$105,$AJ9)&amp;"")</f>
        <v>Equity</v>
      </c>
      <c r="H9" s="79" t="str">
        <f aca="false">IF($AJ9="","",INDEX(Securities!$E$6:$E$105,$AJ9)&amp;"")</f>
        <v>PMS – Equity</v>
      </c>
      <c r="I9" s="79" t="str">
        <f aca="false">IF($AJ9="","",INDEX(Securities!$H$6:$H$105,$AJ9)&amp;"")</f>
        <v>SG</v>
      </c>
      <c r="J9" s="80" t="n">
        <v>44652</v>
      </c>
      <c r="K9" s="80" t="n">
        <v>45672</v>
      </c>
      <c r="L9" s="81"/>
      <c r="M9" s="82" t="n">
        <v>150000000</v>
      </c>
      <c r="N9" s="83" t="str">
        <f aca="false">IF(OR($L9="",$M9=""),"",IF(N($L9)=0,"",$M9/$L9))</f>
        <v/>
      </c>
      <c r="O9" s="84" t="str">
        <f aca="false">IF($AJ9="","",IF(INDEX(Securities!$O$6:$O$105,$AJ9)="","",INDEX(Securities!$O$6:$O$105,$AJ9)))</f>
        <v/>
      </c>
      <c r="P9" s="79" t="str">
        <f aca="false">IF($AJ9="","",INDEX(Securities!$N$6:$N$105,$AJ9)&amp;"")</f>
        <v>Statement value</v>
      </c>
      <c r="Q9" s="82" t="n">
        <v>181240000</v>
      </c>
      <c r="R9" s="85" t="n">
        <f aca="false">IF($C9="","",IF($Q9&lt;&gt;"",$Q9,IF($P9="At cost",IF($M9="","",$M9),IF(OR($O9="",$L9=""),"",$L9*$O9))))</f>
        <v>181240000</v>
      </c>
      <c r="S9" s="85" t="n">
        <f aca="false">IF(OR(NOT(ISNUMBER($R9)),$M9=""),"",$R9-$M9)</f>
        <v>31240000</v>
      </c>
      <c r="T9" s="86" t="n">
        <f aca="false">IF(OR($S9="",N($M9)=0),"",$S9/$M9)</f>
        <v>0.208266666666667</v>
      </c>
      <c r="U9" s="82" t="n">
        <v>1120000</v>
      </c>
      <c r="V9" s="82" t="n">
        <v>6450000</v>
      </c>
      <c r="W9" s="87" t="n">
        <v>0.142</v>
      </c>
      <c r="X9" s="79" t="str">
        <f aca="false">IF($AJ9="","",INDEX(Securities!$L$6:$L$105,$AJ9)&amp;"")</f>
        <v>Nifty 500 TRI</v>
      </c>
      <c r="Y9" s="87" t="n">
        <v>0.385</v>
      </c>
      <c r="Z9" s="87" t="n">
        <v>0.121</v>
      </c>
      <c r="AA9" s="86" t="n">
        <f aca="false">IF(OR($W9="",$Z9=""),"",$W9-$Z9)</f>
        <v>0.021</v>
      </c>
      <c r="AB9" s="79" t="str">
        <f aca="false">IF($C9="","",IF($P9="At cost","At cost",IF(NOT(ISNUMBER($J9)),"No date",IF(ValDate-$J9&lt;365,"Absolute",IF($W9="","XIRR missing","XIRR")))))</f>
        <v>XIRR</v>
      </c>
      <c r="AC9" s="86" t="n">
        <f aca="false">IF(NOT(ISNUMBER($R9)),"",IF(SUM($R$6:$R$205)=0,"",$R9/SUM($R$6:$R$205)))</f>
        <v>0.130883274278077</v>
      </c>
      <c r="AD9" s="82" t="n">
        <v>172938931</v>
      </c>
      <c r="AE9" s="80" t="n">
        <v>46203</v>
      </c>
      <c r="AF9" s="78" t="s">
        <v>320</v>
      </c>
      <c r="AG9" s="88" t="str">
        <f aca="false">IF($C9="","",IF(COUNTIFS('Tax Lots'!$B$6:$B$205,$B9,'Tax Lots'!$C$6:$C$205,$C9)=0,"",SUMIFS('Tax Lots'!$P$6:$P$205,'Tax Lots'!$B$6:$B$205,$B9,'Tax Lots'!$C$6:$C$205,$C9)))</f>
        <v/>
      </c>
      <c r="AH9" s="79" t="str">
        <f aca="false">IF($A9&amp;$B9&amp;$C9="","",IF($A9="","Missing ID",IF(COUNTIF($A$6:$A$205,$A9)&gt;1,"Duplicate ID",IF($AI9="","Unknown account",IF($AJ9="","Unknown security",IF(COUNTIFS($B$6:$B$205,$B9,$C$6:$C$205,$C9)&gt;1,"Same security twice in one account",IF(AND(ISNUMBER($J9),ISNUMBER($K9),N($K9)&lt;N($J9)),"Last date before first",IF(NOT(ISNUMBER($R9)),"No market value",IF(OR(N($J9)&gt;ValDate,N($K9)&gt;ValDate),"Date after valuation",IF(AND(ISNUMBER($AG9),ABS(N($L9)-N($AG9))&gt;0.001),"Lot quantity differs",IF(AND(ISNUMBER($AG9),ABS(N($M9)-SUMIFS('Tax Lots'!$Q$6:$Q$205,'Tax Lots'!$B$6:$B$205,$B9,'Tax Lots'!$C$6:$C$205,$C9))&gt;1),"Lot cost differs",IF(AND(ISNUMBER($AG9),ABS(N($V9)-SUMIFS('Tax Lots'!$AA$6:$AA$205,'Tax Lots'!$B$6:$B$205,$B9,'Tax Lots'!$C$6:$C$205,$C9))&gt;1),"Lot realised gain differs","OK"))))))))))))</f>
        <v>OK</v>
      </c>
      <c r="AI9" s="89" t="n">
        <f aca="false">IF($B9="","",IFERROR(MATCH($B9,Accounts!$A$6:$A$55,0),""))</f>
        <v>2</v>
      </c>
      <c r="AJ9" s="89" t="n">
        <f aca="false">IF($C9="","",IFERROR(MATCH($C9,Securities!$A$6:$A$105,0),""))</f>
        <v>9</v>
      </c>
      <c r="AK9" s="89" t="str">
        <f aca="false">IF($AI9="","",INDEX(Accounts!$B$6:$B$55,$AI9)&amp;"")</f>
        <v>E01</v>
      </c>
      <c r="AL9" s="89" t="str">
        <f aca="false">IF(OR($C9="",$I9="",NOT(ISNUMBER($R9))),"",$I9&amp;"|"&amp;(SUMPRODUCT(($I$6:$I$205=$I9)*ISNUMBER($R$6:$R$205)*($R$6:$R$205&gt;$R9))+SUMPRODUCT(($I$6:$I9=$I9)*ISNUMBER($R$6:$R9)*($R$6:$R9=$R9))))</f>
        <v>SG|2</v>
      </c>
      <c r="AM9" s="89" t="n">
        <f aca="false">IF(AND(ISNUMBER($R9),$W9&lt;&gt;"",$Z9&lt;&gt;"",$AB9="XIRR"),$R9*$W9,0)</f>
        <v>25736080</v>
      </c>
      <c r="AN9" s="90" t="n">
        <f aca="false">IF(AND(ISNUMBER($R9),$W9&lt;&gt;"",$Z9&lt;&gt;"",$AB9="XIRR"),$R9,0)</f>
        <v>181240000</v>
      </c>
      <c r="AO9" s="89" t="n">
        <f aca="false">IF(AND(ISNUMBER($R9),$W9&lt;&gt;"",$Z9&lt;&gt;"",$AB9="XIRR"),$R9*$Z9,0)</f>
        <v>21930040</v>
      </c>
      <c r="AP9" s="89" t="n">
        <f aca="false">IF(AND(ISNUMBER($M9),$Y9&lt;&gt;"",ISNUMBER($T9)),$M9*$Y9,0)</f>
        <v>57750000</v>
      </c>
      <c r="AQ9" s="90" t="n">
        <f aca="false">IF(AND(ISNUMBER($M9),$Y9&lt;&gt;"",ISNUMBER($T9)),$M9,0)</f>
        <v>150000000</v>
      </c>
    </row>
    <row r="10" customFormat="false" ht="15" hidden="false" customHeight="false" outlineLevel="0" collapsed="false">
      <c r="A10" s="77" t="s">
        <v>321</v>
      </c>
      <c r="B10" s="78" t="s">
        <v>322</v>
      </c>
      <c r="C10" s="78" t="s">
        <v>323</v>
      </c>
      <c r="D10" s="79" t="str">
        <f aca="false">IF($AI10="","",INDEX(Accounts!$C$6:$C$55,$AI10)&amp;"")</f>
        <v>Rajiv Malhotra</v>
      </c>
      <c r="E10" s="79" t="str">
        <f aca="false">IF($AI10="","",INDEX(Accounts!$F$6:$F$55,$AI10)&amp;"")</f>
        <v>Self-directed</v>
      </c>
      <c r="F10" s="79" t="str">
        <f aca="false">IF($AJ10="","",INDEX(Securities!$B$6:$B$105,$AJ10)&amp;"")</f>
        <v>Quill Robotics Pvt Ltd – Series A CCPS</v>
      </c>
      <c r="G10" s="79" t="str">
        <f aca="false">IF($AJ10="","",INDEX(Securities!$F$6:$F$105,$AJ10)&amp;"")</f>
        <v>Alternate</v>
      </c>
      <c r="H10" s="79" t="str">
        <f aca="false">IF($AJ10="","",INDEX(Securities!$E$6:$E$105,$AJ10)&amp;"")</f>
        <v>Private Equity – Unlisted Shares</v>
      </c>
      <c r="I10" s="79" t="str">
        <f aca="false">IF($AJ10="","",INDEX(Securities!$H$6:$H$105,$AJ10)&amp;"")</f>
        <v>EG</v>
      </c>
      <c r="J10" s="80" t="n">
        <v>45514</v>
      </c>
      <c r="K10" s="80" t="n">
        <v>46042</v>
      </c>
      <c r="L10" s="81" t="n">
        <v>12500</v>
      </c>
      <c r="M10" s="82" t="n">
        <v>25000000</v>
      </c>
      <c r="N10" s="83" t="n">
        <f aca="false">IF(OR($L10="",$M10=""),"",IF(N($L10)=0,"",$M10/$L10))</f>
        <v>2000</v>
      </c>
      <c r="O10" s="84" t="str">
        <f aca="false">IF($AJ10="","",IF(INDEX(Securities!$O$6:$O$105,$AJ10)="","",INDEX(Securities!$O$6:$O$105,$AJ10)))</f>
        <v/>
      </c>
      <c r="P10" s="79" t="str">
        <f aca="false">IF($AJ10="","",INDEX(Securities!$N$6:$N$105,$AJ10)&amp;"")</f>
        <v>At cost</v>
      </c>
      <c r="Q10" s="82"/>
      <c r="R10" s="85" t="n">
        <f aca="false">IF($C10="","",IF($Q10&lt;&gt;"",$Q10,IF($P10="At cost",IF($M10="","",$M10),IF(OR($O10="",$L10=""),"",$L10*$O10))))</f>
        <v>25000000</v>
      </c>
      <c r="S10" s="85" t="n">
        <f aca="false">IF(OR(NOT(ISNUMBER($R10)),$M10=""),"",$R10-$M10)</f>
        <v>0</v>
      </c>
      <c r="T10" s="86" t="n">
        <f aca="false">IF(OR($S10="",N($M10)=0),"",$S10/$M10)</f>
        <v>0</v>
      </c>
      <c r="U10" s="82"/>
      <c r="V10" s="82"/>
      <c r="W10" s="87"/>
      <c r="X10" s="79" t="str">
        <f aca="false">IF($AJ10="","",INDEX(Securities!$L$6:$L$105,$AJ10)&amp;"")</f>
        <v/>
      </c>
      <c r="Y10" s="87"/>
      <c r="Z10" s="87"/>
      <c r="AA10" s="86" t="str">
        <f aca="false">IF(OR($W10="",$Z10=""),"",$W10-$Z10)</f>
        <v/>
      </c>
      <c r="AB10" s="79" t="str">
        <f aca="false">IF($C10="","",IF($P10="At cost","At cost",IF(NOT(ISNUMBER($J10)),"No date",IF(ValDate-$J10&lt;365,"Absolute",IF($W10="","XIRR missing","XIRR")))))</f>
        <v>At cost</v>
      </c>
      <c r="AC10" s="86" t="n">
        <f aca="false">IF(NOT(ISNUMBER($R10)),"",IF(SUM($R$6:$R$205)=0,"",$R10/SUM($R$6:$R$205)))</f>
        <v>0.0180538614927827</v>
      </c>
      <c r="AD10" s="82" t="n">
        <v>25000000</v>
      </c>
      <c r="AE10" s="80" t="n">
        <v>46203</v>
      </c>
      <c r="AF10" s="78" t="s">
        <v>324</v>
      </c>
      <c r="AG10" s="88" t="str">
        <f aca="false">IF($C10="","",IF(COUNTIFS('Tax Lots'!$B$6:$B$205,$B10,'Tax Lots'!$C$6:$C$205,$C10)=0,"",SUMIFS('Tax Lots'!$P$6:$P$205,'Tax Lots'!$B$6:$B$205,$B10,'Tax Lots'!$C$6:$C$205,$C10)))</f>
        <v/>
      </c>
      <c r="AH10" s="79" t="str">
        <f aca="false">IF($A10&amp;$B10&amp;$C10="","",IF($A10="","Missing ID",IF(COUNTIF($A$6:$A$205,$A10)&gt;1,"Duplicate ID",IF($AI10="","Unknown account",IF($AJ10="","Unknown security",IF(COUNTIFS($B$6:$B$205,$B10,$C$6:$C$205,$C10)&gt;1,"Same security twice in one account",IF(AND(ISNUMBER($J10),ISNUMBER($K10),N($K10)&lt;N($J10)),"Last date before first",IF(NOT(ISNUMBER($R10)),"No market value",IF(OR(N($J10)&gt;ValDate,N($K10)&gt;ValDate),"Date after valuation",IF(AND(ISNUMBER($AG10),ABS(N($L10)-N($AG10))&gt;0.001),"Lot quantity differs",IF(AND(ISNUMBER($AG10),ABS(N($M10)-SUMIFS('Tax Lots'!$Q$6:$Q$205,'Tax Lots'!$B$6:$B$205,$B10,'Tax Lots'!$C$6:$C$205,$C10))&gt;1),"Lot cost differs",IF(AND(ISNUMBER($AG10),ABS(N($V10)-SUMIFS('Tax Lots'!$AA$6:$AA$205,'Tax Lots'!$B$6:$B$205,$B10,'Tax Lots'!$C$6:$C$205,$C10))&gt;1),"Lot realised gain differs","OK"))))))))))))</f>
        <v>OK</v>
      </c>
      <c r="AI10" s="89" t="n">
        <f aca="false">IF($B10="","",IFERROR(MATCH($B10,Accounts!$A$6:$A$55,0),""))</f>
        <v>9</v>
      </c>
      <c r="AJ10" s="89" t="n">
        <f aca="false">IF($C10="","",IFERROR(MATCH($C10,Securities!$A$6:$A$105,0),""))</f>
        <v>19</v>
      </c>
      <c r="AK10" s="89" t="str">
        <f aca="false">IF($AI10="","",INDEX(Accounts!$B$6:$B$55,$AI10)&amp;"")</f>
        <v>E01</v>
      </c>
      <c r="AL10" s="89" t="str">
        <f aca="false">IF(OR($C10="",$I10="",NOT(ISNUMBER($R10))),"",$I10&amp;"|"&amp;(SUMPRODUCT(($I$6:$I$205=$I10)*ISNUMBER($R$6:$R$205)*($R$6:$R$205&gt;$R10))+SUMPRODUCT(($I$6:$I10=$I10)*ISNUMBER($R$6:$R10)*($R$6:$R10=$R10))))</f>
        <v>EG|3</v>
      </c>
      <c r="AM10" s="89" t="n">
        <f aca="false">IF(AND(ISNUMBER($R10),$W10&lt;&gt;"",$Z10&lt;&gt;"",$AB10="XIRR"),$R10*$W10,0)</f>
        <v>0</v>
      </c>
      <c r="AN10" s="89" t="n">
        <f aca="false">IF(AND(ISNUMBER($R10),$W10&lt;&gt;"",$Z10&lt;&gt;"",$AB10="XIRR"),$R10,0)</f>
        <v>0</v>
      </c>
      <c r="AO10" s="89" t="n">
        <f aca="false">IF(AND(ISNUMBER($R10),$W10&lt;&gt;"",$Z10&lt;&gt;"",$AB10="XIRR"),$R10*$Z10,0)</f>
        <v>0</v>
      </c>
      <c r="AP10" s="89" t="n">
        <f aca="false">IF(AND(ISNUMBER($M10),$Y10&lt;&gt;"",ISNUMBER($T10)),$M10*$Y10,0)</f>
        <v>0</v>
      </c>
      <c r="AQ10" s="89" t="n">
        <f aca="false">IF(AND(ISNUMBER($M10),$Y10&lt;&gt;"",ISNUMBER($T10)),$M10,0)</f>
        <v>0</v>
      </c>
    </row>
    <row r="11" customFormat="false" ht="15" hidden="false" customHeight="false" outlineLevel="0" collapsed="false">
      <c r="A11" s="77" t="s">
        <v>325</v>
      </c>
      <c r="B11" s="78" t="s">
        <v>326</v>
      </c>
      <c r="C11" s="78" t="s">
        <v>327</v>
      </c>
      <c r="D11" s="79" t="str">
        <f aca="false">IF($AI11="","",INDEX(Accounts!$C$6:$C$55,$AI11)&amp;"")</f>
        <v>Nisha Malhotra</v>
      </c>
      <c r="E11" s="79" t="str">
        <f aca="false">IF($AI11="","",INDEX(Accounts!$F$6:$F$55,$AI11)&amp;"")</f>
        <v>Orchid Wealth Advisors</v>
      </c>
      <c r="F11" s="79" t="str">
        <f aca="false">IF($AJ11="","",INDEX(Securities!$B$6:$B$105,$AJ11)&amp;"")</f>
        <v>Himalaya Flexi Cap Fund – Direct Growth</v>
      </c>
      <c r="G11" s="79" t="str">
        <f aca="false">IF($AJ11="","",INDEX(Securities!$F$6:$F$105,$AJ11)&amp;"")</f>
        <v>Equity</v>
      </c>
      <c r="H11" s="79" t="str">
        <f aca="false">IF($AJ11="","",INDEX(Securities!$E$6:$E$105,$AJ11)&amp;"")</f>
        <v>Equity MF – Large / Flexi / Multi Cap</v>
      </c>
      <c r="I11" s="79" t="str">
        <f aca="false">IF($AJ11="","",INDEX(Securities!$H$6:$H$105,$AJ11)&amp;"")</f>
        <v>SG</v>
      </c>
      <c r="J11" s="80" t="n">
        <v>43108</v>
      </c>
      <c r="K11" s="80"/>
      <c r="L11" s="81" t="n">
        <v>1000000</v>
      </c>
      <c r="M11" s="82" t="n">
        <v>38400000</v>
      </c>
      <c r="N11" s="83" t="n">
        <f aca="false">IF(OR($L11="",$M11=""),"",IF(N($L11)=0,"",$M11/$L11))</f>
        <v>38.4</v>
      </c>
      <c r="O11" s="84" t="n">
        <f aca="false">IF($AJ11="","",IF(INDEX(Securities!$O$6:$O$105,$AJ11)="","",INDEX(Securities!$O$6:$O$105,$AJ11)))</f>
        <v>96.4312</v>
      </c>
      <c r="P11" s="79" t="str">
        <f aca="false">IF($AJ11="","",INDEX(Securities!$N$6:$N$105,$AJ11)&amp;"")</f>
        <v>NAV</v>
      </c>
      <c r="Q11" s="82"/>
      <c r="R11" s="85" t="n">
        <f aca="false">IF($C11="","",IF($Q11&lt;&gt;"",$Q11,IF($P11="At cost",IF($M11="","",$M11),IF(OR($O11="",$L11=""),"",$L11*$O11))))</f>
        <v>96431200</v>
      </c>
      <c r="S11" s="85" t="n">
        <f aca="false">IF(OR(NOT(ISNUMBER($R11)),$M11=""),"",$R11-$M11)</f>
        <v>58031200</v>
      </c>
      <c r="T11" s="86" t="n">
        <f aca="false">IF(OR($S11="",N($M11)=0),"",$S11/$M11)</f>
        <v>1.51122916666667</v>
      </c>
      <c r="U11" s="82"/>
      <c r="V11" s="82" t="n">
        <v>13200000</v>
      </c>
      <c r="W11" s="87" t="n">
        <v>0.112</v>
      </c>
      <c r="X11" s="79" t="str">
        <f aca="false">IF($AJ11="","",INDEX(Securities!$L$6:$L$105,$AJ11)&amp;"")</f>
        <v>Nifty 500 TRI</v>
      </c>
      <c r="Y11" s="87" t="n">
        <v>1.318</v>
      </c>
      <c r="Z11" s="87" t="n">
        <v>0.126</v>
      </c>
      <c r="AA11" s="86" t="n">
        <f aca="false">IF(OR($W11="",$Z11=""),"",$W11-$Z11)</f>
        <v>-0.014</v>
      </c>
      <c r="AB11" s="79" t="str">
        <f aca="false">IF($C11="","",IF($P11="At cost","At cost",IF(NOT(ISNUMBER($J11)),"No date",IF(ValDate-$J11&lt;365,"Absolute",IF($W11="","XIRR missing","XIRR")))))</f>
        <v>XIRR</v>
      </c>
      <c r="AC11" s="86" t="n">
        <f aca="false">IF(NOT(ISNUMBER($R11)),"",IF(SUM($R$6:$R$205)=0,"",$R11/SUM($R$6:$R$205)))</f>
        <v>0.069638221135313</v>
      </c>
      <c r="AD11" s="82" t="n">
        <v>92633237</v>
      </c>
      <c r="AE11" s="80" t="n">
        <v>46203</v>
      </c>
      <c r="AF11" s="78" t="s">
        <v>328</v>
      </c>
      <c r="AG11" s="88" t="n">
        <f aca="false">IF($C11="","",IF(COUNTIFS('Tax Lots'!$B$6:$B$205,$B11,'Tax Lots'!$C$6:$C$205,$C11)=0,"",SUMIFS('Tax Lots'!$P$6:$P$205,'Tax Lots'!$B$6:$B$205,$B11,'Tax Lots'!$C$6:$C$205,$C11)))</f>
        <v>1000000</v>
      </c>
      <c r="AH11" s="79" t="str">
        <f aca="false">IF($A11&amp;$B11&amp;$C11="","",IF($A11="","Missing ID",IF(COUNTIF($A$6:$A$205,$A11)&gt;1,"Duplicate ID",IF($AI11="","Unknown account",IF($AJ11="","Unknown security",IF(COUNTIFS($B$6:$B$205,$B11,$C$6:$C$205,$C11)&gt;1,"Same security twice in one account",IF(AND(ISNUMBER($J11),ISNUMBER($K11),N($K11)&lt;N($J11)),"Last date before first",IF(NOT(ISNUMBER($R11)),"No market value",IF(OR(N($J11)&gt;ValDate,N($K11)&gt;ValDate),"Date after valuation",IF(AND(ISNUMBER($AG11),ABS(N($L11)-N($AG11))&gt;0.001),"Lot quantity differs",IF(AND(ISNUMBER($AG11),ABS(N($M11)-SUMIFS('Tax Lots'!$Q$6:$Q$205,'Tax Lots'!$B$6:$B$205,$B11,'Tax Lots'!$C$6:$C$205,$C11))&gt;1),"Lot cost differs",IF(AND(ISNUMBER($AG11),ABS(N($V11)-SUMIFS('Tax Lots'!$AA$6:$AA$205,'Tax Lots'!$B$6:$B$205,$B11,'Tax Lots'!$C$6:$C$205,$C11))&gt;1),"Lot realised gain differs","OK"))))))))))))</f>
        <v>OK</v>
      </c>
      <c r="AI11" s="89" t="n">
        <f aca="false">IF($B11="","",IFERROR(MATCH($B11,Accounts!$A$6:$A$55,0),""))</f>
        <v>3</v>
      </c>
      <c r="AJ11" s="89" t="n">
        <f aca="false">IF($C11="","",IFERROR(MATCH($C11,Securities!$A$6:$A$105,0),""))</f>
        <v>6</v>
      </c>
      <c r="AK11" s="89" t="str">
        <f aca="false">IF($AI11="","",INDEX(Accounts!$B$6:$B$55,$AI11)&amp;"")</f>
        <v>E02</v>
      </c>
      <c r="AL11" s="89" t="str">
        <f aca="false">IF(OR($C11="",$I11="",NOT(ISNUMBER($R11))),"",$I11&amp;"|"&amp;(SUMPRODUCT(($I$6:$I$205=$I11)*ISNUMBER($R$6:$R$205)*($R$6:$R$205&gt;$R11))+SUMPRODUCT(($I$6:$I11=$I11)*ISNUMBER($R$6:$R11)*($R$6:$R11=$R11))))</f>
        <v>SG|3</v>
      </c>
      <c r="AM11" s="89" t="n">
        <f aca="false">IF(AND(ISNUMBER($R11),$W11&lt;&gt;"",$Z11&lt;&gt;"",$AB11="XIRR"),$R11*$W11,0)</f>
        <v>10800294.4</v>
      </c>
      <c r="AN11" s="90" t="n">
        <f aca="false">IF(AND(ISNUMBER($R11),$W11&lt;&gt;"",$Z11&lt;&gt;"",$AB11="XIRR"),$R11,0)</f>
        <v>96431200</v>
      </c>
      <c r="AO11" s="89" t="n">
        <f aca="false">IF(AND(ISNUMBER($R11),$W11&lt;&gt;"",$Z11&lt;&gt;"",$AB11="XIRR"),$R11*$Z11,0)</f>
        <v>12150331.2</v>
      </c>
      <c r="AP11" s="89" t="n">
        <f aca="false">IF(AND(ISNUMBER($M11),$Y11&lt;&gt;"",ISNUMBER($T11)),$M11*$Y11,0)</f>
        <v>50611200</v>
      </c>
      <c r="AQ11" s="90" t="n">
        <f aca="false">IF(AND(ISNUMBER($M11),$Y11&lt;&gt;"",ISNUMBER($T11)),$M11,0)</f>
        <v>38400000</v>
      </c>
    </row>
    <row r="12" customFormat="false" ht="15" hidden="false" customHeight="false" outlineLevel="0" collapsed="false">
      <c r="A12" s="77" t="s">
        <v>329</v>
      </c>
      <c r="B12" s="78" t="s">
        <v>326</v>
      </c>
      <c r="C12" s="78" t="s">
        <v>330</v>
      </c>
      <c r="D12" s="79" t="str">
        <f aca="false">IF($AI12="","",INDEX(Accounts!$C$6:$C$55,$AI12)&amp;"")</f>
        <v>Nisha Malhotra</v>
      </c>
      <c r="E12" s="79" t="str">
        <f aca="false">IF($AI12="","",INDEX(Accounts!$F$6:$F$55,$AI12)&amp;"")</f>
        <v>Orchid Wealth Advisors</v>
      </c>
      <c r="F12" s="79" t="str">
        <f aca="false">IF($AJ12="","",INDEX(Securities!$B$6:$B$105,$AJ12)&amp;"")</f>
        <v>Indus Midcap Opportunities Fund – Direct Growth</v>
      </c>
      <c r="G12" s="79" t="str">
        <f aca="false">IF($AJ12="","",INDEX(Securities!$F$6:$F$105,$AJ12)&amp;"")</f>
        <v>Equity</v>
      </c>
      <c r="H12" s="79" t="str">
        <f aca="false">IF($AJ12="","",INDEX(Securities!$E$6:$E$105,$AJ12)&amp;"")</f>
        <v>Equity MF – Mid &amp; Small Cap</v>
      </c>
      <c r="I12" s="79" t="str">
        <f aca="false">IF($AJ12="","",INDEX(Securities!$H$6:$H$105,$AJ12)&amp;"")</f>
        <v>TT</v>
      </c>
      <c r="J12" s="80" t="n">
        <v>45031</v>
      </c>
      <c r="K12" s="80" t="n">
        <v>46188</v>
      </c>
      <c r="L12" s="81" t="n">
        <v>412580.214</v>
      </c>
      <c r="M12" s="82" t="n">
        <v>42500000</v>
      </c>
      <c r="N12" s="83" t="n">
        <f aca="false">IF(OR($L12="",$M12=""),"",IF(N($L12)=0,"",$M12/$L12))</f>
        <v>103.010271840132</v>
      </c>
      <c r="O12" s="84" t="n">
        <f aca="false">IF($AJ12="","",IF(INDEX(Securities!$O$6:$O$105,$AJ12)="","",INDEX(Securities!$O$6:$O$105,$AJ12)))</f>
        <v>142.883</v>
      </c>
      <c r="P12" s="79" t="str">
        <f aca="false">IF($AJ12="","",INDEX(Securities!$N$6:$N$105,$AJ12)&amp;"")</f>
        <v>NAV</v>
      </c>
      <c r="Q12" s="82"/>
      <c r="R12" s="85" t="n">
        <f aca="false">IF($C12="","",IF($Q12&lt;&gt;"",$Q12,IF($P12="At cost",IF($M12="","",$M12),IF(OR($O12="",$L12=""),"",$L12*$O12))))</f>
        <v>58950698.716962</v>
      </c>
      <c r="S12" s="85" t="n">
        <f aca="false">IF(OR(NOT(ISNUMBER($R12)),$M12=""),"",$R12-$M12)</f>
        <v>16450698.716962</v>
      </c>
      <c r="T12" s="86" t="n">
        <f aca="false">IF(OR($S12="",N($M12)=0),"",$S12/$M12)</f>
        <v>0.387075263928518</v>
      </c>
      <c r="U12" s="82"/>
      <c r="V12" s="82"/>
      <c r="W12" s="87" t="n">
        <v>0.214</v>
      </c>
      <c r="X12" s="79" t="str">
        <f aca="false">IF($AJ12="","",INDEX(Securities!$L$6:$L$105,$AJ12)&amp;"")</f>
        <v>Nifty Midsmallcap 400 TRI</v>
      </c>
      <c r="Y12" s="87" t="n">
        <v>0.362</v>
      </c>
      <c r="Z12" s="87" t="n">
        <v>0.189</v>
      </c>
      <c r="AA12" s="86" t="n">
        <f aca="false">IF(OR($W12="",$Z12=""),"",$W12-$Z12)</f>
        <v>0.025</v>
      </c>
      <c r="AB12" s="79" t="str">
        <f aca="false">IF($C12="","",IF($P12="At cost","At cost",IF(NOT(ISNUMBER($J12)),"No date",IF(ValDate-$J12&lt;365,"Absolute",IF($W12="","XIRR missing","XIRR")))))</f>
        <v>XIRR</v>
      </c>
      <c r="AC12" s="86" t="n">
        <f aca="false">IF(NOT(ISNUMBER($R12)),"",IF(SUM($R$6:$R$205)=0,"",$R12/SUM($R$6:$R$205)))</f>
        <v>0.0425715099815517</v>
      </c>
      <c r="AD12" s="82" t="n">
        <v>53731995</v>
      </c>
      <c r="AE12" s="80" t="n">
        <v>46203</v>
      </c>
      <c r="AF12" s="78" t="s">
        <v>328</v>
      </c>
      <c r="AG12" s="88" t="str">
        <f aca="false">IF($C12="","",IF(COUNTIFS('Tax Lots'!$B$6:$B$205,$B12,'Tax Lots'!$C$6:$C$205,$C12)=0,"",SUMIFS('Tax Lots'!$P$6:$P$205,'Tax Lots'!$B$6:$B$205,$B12,'Tax Lots'!$C$6:$C$205,$C12)))</f>
        <v/>
      </c>
      <c r="AH12" s="79" t="str">
        <f aca="false">IF($A12&amp;$B12&amp;$C12="","",IF($A12="","Missing ID",IF(COUNTIF($A$6:$A$205,$A12)&gt;1,"Duplicate ID",IF($AI12="","Unknown account",IF($AJ12="","Unknown security",IF(COUNTIFS($B$6:$B$205,$B12,$C$6:$C$205,$C12)&gt;1,"Same security twice in one account",IF(AND(ISNUMBER($J12),ISNUMBER($K12),N($K12)&lt;N($J12)),"Last date before first",IF(NOT(ISNUMBER($R12)),"No market value",IF(OR(N($J12)&gt;ValDate,N($K12)&gt;ValDate),"Date after valuation",IF(AND(ISNUMBER($AG12),ABS(N($L12)-N($AG12))&gt;0.001),"Lot quantity differs",IF(AND(ISNUMBER($AG12),ABS(N($M12)-SUMIFS('Tax Lots'!$Q$6:$Q$205,'Tax Lots'!$B$6:$B$205,$B12,'Tax Lots'!$C$6:$C$205,$C12))&gt;1),"Lot cost differs",IF(AND(ISNUMBER($AG12),ABS(N($V12)-SUMIFS('Tax Lots'!$AA$6:$AA$205,'Tax Lots'!$B$6:$B$205,$B12,'Tax Lots'!$C$6:$C$205,$C12))&gt;1),"Lot realised gain differs","OK"))))))))))))</f>
        <v>OK</v>
      </c>
      <c r="AI12" s="89" t="n">
        <f aca="false">IF($B12="","",IFERROR(MATCH($B12,Accounts!$A$6:$A$55,0),""))</f>
        <v>3</v>
      </c>
      <c r="AJ12" s="89" t="n">
        <f aca="false">IF($C12="","",IFERROR(MATCH($C12,Securities!$A$6:$A$105,0),""))</f>
        <v>7</v>
      </c>
      <c r="AK12" s="89" t="str">
        <f aca="false">IF($AI12="","",INDEX(Accounts!$B$6:$B$55,$AI12)&amp;"")</f>
        <v>E02</v>
      </c>
      <c r="AL12" s="89" t="str">
        <f aca="false">IF(OR($C12="",$I12="",NOT(ISNUMBER($R12))),"",$I12&amp;"|"&amp;(SUMPRODUCT(($I$6:$I$205=$I12)*ISNUMBER($R$6:$R$205)*($R$6:$R$205&gt;$R12))+SUMPRODUCT(($I$6:$I12=$I12)*ISNUMBER($R$6:$R12)*($R$6:$R12=$R12))))</f>
        <v>TT|3</v>
      </c>
      <c r="AM12" s="89" t="n">
        <f aca="false">IF(AND(ISNUMBER($R12),$W12&lt;&gt;"",$Z12&lt;&gt;"",$AB12="XIRR"),$R12*$W12,0)</f>
        <v>12615449.5254299</v>
      </c>
      <c r="AN12" s="90" t="n">
        <f aca="false">IF(AND(ISNUMBER($R12),$W12&lt;&gt;"",$Z12&lt;&gt;"",$AB12="XIRR"),$R12,0)</f>
        <v>58950698.716962</v>
      </c>
      <c r="AO12" s="89" t="n">
        <f aca="false">IF(AND(ISNUMBER($R12),$W12&lt;&gt;"",$Z12&lt;&gt;"",$AB12="XIRR"),$R12*$Z12,0)</f>
        <v>11141682.0575058</v>
      </c>
      <c r="AP12" s="89" t="n">
        <f aca="false">IF(AND(ISNUMBER($M12),$Y12&lt;&gt;"",ISNUMBER($T12)),$M12*$Y12,0)</f>
        <v>15385000</v>
      </c>
      <c r="AQ12" s="90" t="n">
        <f aca="false">IF(AND(ISNUMBER($M12),$Y12&lt;&gt;"",ISNUMBER($T12)),$M12,0)</f>
        <v>42500000</v>
      </c>
    </row>
    <row r="13" customFormat="false" ht="15" hidden="false" customHeight="false" outlineLevel="0" collapsed="false">
      <c r="A13" s="77" t="s">
        <v>331</v>
      </c>
      <c r="B13" s="78" t="s">
        <v>326</v>
      </c>
      <c r="C13" s="78" t="s">
        <v>332</v>
      </c>
      <c r="D13" s="79" t="str">
        <f aca="false">IF($AI13="","",INDEX(Accounts!$C$6:$C$55,$AI13)&amp;"")</f>
        <v>Nisha Malhotra</v>
      </c>
      <c r="E13" s="79" t="str">
        <f aca="false">IF($AI13="","",INDEX(Accounts!$F$6:$F$55,$AI13)&amp;"")</f>
        <v>Orchid Wealth Advisors</v>
      </c>
      <c r="F13" s="79" t="str">
        <f aca="false">IF($AJ13="","",INDEX(Securities!$B$6:$B$105,$AJ13)&amp;"")</f>
        <v>Jaipur Balanced Advantage Fund – Direct Growth</v>
      </c>
      <c r="G13" s="79" t="str">
        <f aca="false">IF($AJ13="","",INDEX(Securities!$F$6:$F$105,$AJ13)&amp;"")</f>
        <v>Equity</v>
      </c>
      <c r="H13" s="79" t="str">
        <f aca="false">IF($AJ13="","",INDEX(Securities!$E$6:$E$105,$AJ13)&amp;"")</f>
        <v>Equity MF – Hybrid / BAF</v>
      </c>
      <c r="I13" s="79" t="str">
        <f aca="false">IF($AJ13="","",INDEX(Securities!$H$6:$H$105,$AJ13)&amp;"")</f>
        <v>SG</v>
      </c>
      <c r="J13" s="80" t="n">
        <v>45202</v>
      </c>
      <c r="K13" s="80"/>
      <c r="L13" s="81" t="n">
        <v>1050000</v>
      </c>
      <c r="M13" s="82" t="n">
        <v>35000000</v>
      </c>
      <c r="N13" s="83" t="n">
        <f aca="false">IF(OR($L13="",$M13=""),"",IF(N($L13)=0,"",$M13/$L13))</f>
        <v>33.3333333333333</v>
      </c>
      <c r="O13" s="84" t="n">
        <f aca="false">IF($AJ13="","",IF(INDEX(Securities!$O$6:$O$105,$AJ13)="","",INDEX(Securities!$O$6:$O$105,$AJ13)))</f>
        <v>38.221</v>
      </c>
      <c r="P13" s="79" t="str">
        <f aca="false">IF($AJ13="","",INDEX(Securities!$N$6:$N$105,$AJ13)&amp;"")</f>
        <v>NAV</v>
      </c>
      <c r="Q13" s="82"/>
      <c r="R13" s="85" t="n">
        <f aca="false">IF($C13="","",IF($Q13&lt;&gt;"",$Q13,IF($P13="At cost",IF($M13="","",$M13),IF(OR($O13="",$L13=""),"",$L13*$O13))))</f>
        <v>40132050</v>
      </c>
      <c r="S13" s="85" t="n">
        <f aca="false">IF(OR(NOT(ISNUMBER($R13)),$M13=""),"",$R13-$M13)</f>
        <v>5132050</v>
      </c>
      <c r="T13" s="86" t="n">
        <f aca="false">IF(OR($S13="",N($M13)=0),"",$S13/$M13)</f>
        <v>0.14663</v>
      </c>
      <c r="U13" s="82"/>
      <c r="V13" s="82"/>
      <c r="W13" s="87" t="n">
        <v>0.108</v>
      </c>
      <c r="X13" s="79" t="str">
        <f aca="false">IF($AJ13="","",INDEX(Securities!$L$6:$L$105,$AJ13)&amp;"")</f>
        <v>CRISIL Hybrid 50+50 Moderate Index</v>
      </c>
      <c r="Y13" s="87" t="n">
        <v>0.241</v>
      </c>
      <c r="Z13" s="87" t="n">
        <v>0.115</v>
      </c>
      <c r="AA13" s="86" t="n">
        <f aca="false">IF(OR($W13="",$Z13=""),"",$W13-$Z13)</f>
        <v>-0.00700000000000001</v>
      </c>
      <c r="AB13" s="79" t="str">
        <f aca="false">IF($C13="","",IF($P13="At cost","At cost",IF(NOT(ISNUMBER($J13)),"No date",IF(ValDate-$J13&lt;365,"Absolute",IF($W13="","XIRR missing","XIRR")))))</f>
        <v>XIRR</v>
      </c>
      <c r="AC13" s="86" t="n">
        <f aca="false">IF(NOT(ISNUMBER($R13)),"",IF(SUM($R$6:$R$205)=0,"",$R13/SUM($R$6:$R$205)))</f>
        <v>0.0289815388848572</v>
      </c>
      <c r="AD13" s="82" t="n">
        <v>39001020</v>
      </c>
      <c r="AE13" s="80" t="n">
        <v>46203</v>
      </c>
      <c r="AF13" s="78" t="s">
        <v>328</v>
      </c>
      <c r="AG13" s="88" t="str">
        <f aca="false">IF($C13="","",IF(COUNTIFS('Tax Lots'!$B$6:$B$205,$B13,'Tax Lots'!$C$6:$C$205,$C13)=0,"",SUMIFS('Tax Lots'!$P$6:$P$205,'Tax Lots'!$B$6:$B$205,$B13,'Tax Lots'!$C$6:$C$205,$C13)))</f>
        <v/>
      </c>
      <c r="AH13" s="79" t="str">
        <f aca="false">IF($A13&amp;$B13&amp;$C13="","",IF($A13="","Missing ID",IF(COUNTIF($A$6:$A$205,$A13)&gt;1,"Duplicate ID",IF($AI13="","Unknown account",IF($AJ13="","Unknown security",IF(COUNTIFS($B$6:$B$205,$B13,$C$6:$C$205,$C13)&gt;1,"Same security twice in one account",IF(AND(ISNUMBER($J13),ISNUMBER($K13),N($K13)&lt;N($J13)),"Last date before first",IF(NOT(ISNUMBER($R13)),"No market value",IF(OR(N($J13)&gt;ValDate,N($K13)&gt;ValDate),"Date after valuation",IF(AND(ISNUMBER($AG13),ABS(N($L13)-N($AG13))&gt;0.001),"Lot quantity differs",IF(AND(ISNUMBER($AG13),ABS(N($M13)-SUMIFS('Tax Lots'!$Q$6:$Q$205,'Tax Lots'!$B$6:$B$205,$B13,'Tax Lots'!$C$6:$C$205,$C13))&gt;1),"Lot cost differs",IF(AND(ISNUMBER($AG13),ABS(N($V13)-SUMIFS('Tax Lots'!$AA$6:$AA$205,'Tax Lots'!$B$6:$B$205,$B13,'Tax Lots'!$C$6:$C$205,$C13))&gt;1),"Lot realised gain differs","OK"))))))))))))</f>
        <v>OK</v>
      </c>
      <c r="AI13" s="89" t="n">
        <f aca="false">IF($B13="","",IFERROR(MATCH($B13,Accounts!$A$6:$A$55,0),""))</f>
        <v>3</v>
      </c>
      <c r="AJ13" s="89" t="n">
        <f aca="false">IF($C13="","",IFERROR(MATCH($C13,Securities!$A$6:$A$105,0),""))</f>
        <v>8</v>
      </c>
      <c r="AK13" s="89" t="str">
        <f aca="false">IF($AI13="","",INDEX(Accounts!$B$6:$B$55,$AI13)&amp;"")</f>
        <v>E02</v>
      </c>
      <c r="AL13" s="89" t="str">
        <f aca="false">IF(OR($C13="",$I13="",NOT(ISNUMBER($R13))),"",$I13&amp;"|"&amp;(SUMPRODUCT(($I$6:$I$205=$I13)*ISNUMBER($R$6:$R$205)*($R$6:$R$205&gt;$R13))+SUMPRODUCT(($I$6:$I13=$I13)*ISNUMBER($R$6:$R13)*($R$6:$R13=$R13))))</f>
        <v>SG|8</v>
      </c>
      <c r="AM13" s="89" t="n">
        <f aca="false">IF(AND(ISNUMBER($R13),$W13&lt;&gt;"",$Z13&lt;&gt;"",$AB13="XIRR"),$R13*$W13,0)</f>
        <v>4334261.4</v>
      </c>
      <c r="AN13" s="90" t="n">
        <f aca="false">IF(AND(ISNUMBER($R13),$W13&lt;&gt;"",$Z13&lt;&gt;"",$AB13="XIRR"),$R13,0)</f>
        <v>40132050</v>
      </c>
      <c r="AO13" s="89" t="n">
        <f aca="false">IF(AND(ISNUMBER($R13),$W13&lt;&gt;"",$Z13&lt;&gt;"",$AB13="XIRR"),$R13*$Z13,0)</f>
        <v>4615185.75</v>
      </c>
      <c r="AP13" s="89" t="n">
        <f aca="false">IF(AND(ISNUMBER($M13),$Y13&lt;&gt;"",ISNUMBER($T13)),$M13*$Y13,0)</f>
        <v>8435000</v>
      </c>
      <c r="AQ13" s="90" t="n">
        <f aca="false">IF(AND(ISNUMBER($M13),$Y13&lt;&gt;"",ISNUMBER($T13)),$M13,0)</f>
        <v>35000000</v>
      </c>
    </row>
    <row r="14" customFormat="false" ht="15" hidden="false" customHeight="false" outlineLevel="0" collapsed="false">
      <c r="A14" s="77" t="s">
        <v>333</v>
      </c>
      <c r="B14" s="78" t="s">
        <v>334</v>
      </c>
      <c r="C14" s="78" t="s">
        <v>335</v>
      </c>
      <c r="D14" s="79" t="str">
        <f aca="false">IF($AI14="","",INDEX(Accounts!$C$6:$C$55,$AI14)&amp;"")</f>
        <v>Nisha Malhotra</v>
      </c>
      <c r="E14" s="79" t="str">
        <f aca="false">IF($AI14="","",INDEX(Accounts!$F$6:$F$55,$AI14)&amp;"")</f>
        <v>Self-directed</v>
      </c>
      <c r="F14" s="79" t="str">
        <f aca="false">IF($AJ14="","",INDEX(Securities!$B$6:$B$105,$AJ14)&amp;"")</f>
        <v>Deccan Financial Services Ltd</v>
      </c>
      <c r="G14" s="79" t="str">
        <f aca="false">IF($AJ14="","",INDEX(Securities!$F$6:$F$105,$AJ14)&amp;"")</f>
        <v>Equity</v>
      </c>
      <c r="H14" s="79" t="str">
        <f aca="false">IF($AJ14="","",INDEX(Securities!$E$6:$E$105,$AJ14)&amp;"")</f>
        <v>Direct Equity</v>
      </c>
      <c r="I14" s="79" t="str">
        <f aca="false">IF($AJ14="","",INDEX(Securities!$H$6:$H$105,$AJ14)&amp;"")</f>
        <v>TT</v>
      </c>
      <c r="J14" s="80" t="n">
        <v>45910</v>
      </c>
      <c r="K14" s="80" t="n">
        <v>46081</v>
      </c>
      <c r="L14" s="81" t="n">
        <v>36000</v>
      </c>
      <c r="M14" s="82" t="n">
        <v>56002500</v>
      </c>
      <c r="N14" s="83" t="n">
        <f aca="false">IF(OR($L14="",$M14=""),"",IF(N($L14)=0,"",$M14/$L14))</f>
        <v>1555.625</v>
      </c>
      <c r="O14" s="84" t="n">
        <f aca="false">IF($AJ14="","",IF(INDEX(Securities!$O$6:$O$105,$AJ14)="","",INDEX(Securities!$O$6:$O$105,$AJ14)))</f>
        <v>1678.2</v>
      </c>
      <c r="P14" s="79" t="str">
        <f aca="false">IF($AJ14="","",INDEX(Securities!$N$6:$N$105,$AJ14)&amp;"")</f>
        <v>Market price</v>
      </c>
      <c r="Q14" s="82"/>
      <c r="R14" s="85" t="n">
        <f aca="false">IF($C14="","",IF($Q14&lt;&gt;"",$Q14,IF($P14="At cost",IF($M14="","",$M14),IF(OR($O14="",$L14=""),"",$L14*$O14))))</f>
        <v>60415200</v>
      </c>
      <c r="S14" s="85" t="n">
        <f aca="false">IF(OR(NOT(ISNUMBER($R14)),$M14=""),"",$R14-$M14)</f>
        <v>4412700</v>
      </c>
      <c r="T14" s="86" t="n">
        <f aca="false">IF(OR($S14="",N($M14)=0),"",$S14/$M14)</f>
        <v>0.0787946966653274</v>
      </c>
      <c r="U14" s="82" t="n">
        <v>648000</v>
      </c>
      <c r="V14" s="82" t="n">
        <v>0</v>
      </c>
      <c r="W14" s="87"/>
      <c r="X14" s="79" t="str">
        <f aca="false">IF($AJ14="","",INDEX(Securities!$L$6:$L$105,$AJ14)&amp;"")</f>
        <v>Nifty 500 TRI</v>
      </c>
      <c r="Y14" s="87" t="n">
        <v>0.062</v>
      </c>
      <c r="Z14" s="87"/>
      <c r="AA14" s="86" t="str">
        <f aca="false">IF(OR($W14="",$Z14=""),"",$W14-$Z14)</f>
        <v/>
      </c>
      <c r="AB14" s="79" t="str">
        <f aca="false">IF($C14="","",IF($P14="At cost","At cost",IF(NOT(ISNUMBER($J14)),"No date",IF(ValDate-$J14&lt;365,"Absolute",IF($W14="","XIRR missing","XIRR")))))</f>
        <v>Absolute</v>
      </c>
      <c r="AC14" s="86" t="n">
        <f aca="false">IF(NOT(ISNUMBER($R14)),"",IF(SUM($R$6:$R$205)=0,"",$R14/SUM($R$6:$R$205)))</f>
        <v>0.0436291061143506</v>
      </c>
      <c r="AD14" s="82" t="n">
        <v>57813589</v>
      </c>
      <c r="AE14" s="80" t="n">
        <v>46203</v>
      </c>
      <c r="AF14" s="78" t="s">
        <v>312</v>
      </c>
      <c r="AG14" s="88" t="n">
        <f aca="false">IF($C14="","",IF(COUNTIFS('Tax Lots'!$B$6:$B$205,$B14,'Tax Lots'!$C$6:$C$205,$C14)=0,"",SUMIFS('Tax Lots'!$P$6:$P$205,'Tax Lots'!$B$6:$B$205,$B14,'Tax Lots'!$C$6:$C$205,$C14)))</f>
        <v>36000</v>
      </c>
      <c r="AH14" s="79" t="str">
        <f aca="false">IF($A14&amp;$B14&amp;$C14="","",IF($A14="","Missing ID",IF(COUNTIF($A$6:$A$205,$A14)&gt;1,"Duplicate ID",IF($AI14="","Unknown account",IF($AJ14="","Unknown security",IF(COUNTIFS($B$6:$B$205,$B14,$C$6:$C$205,$C14)&gt;1,"Same security twice in one account",IF(AND(ISNUMBER($J14),ISNUMBER($K14),N($K14)&lt;N($J14)),"Last date before first",IF(NOT(ISNUMBER($R14)),"No market value",IF(OR(N($J14)&gt;ValDate,N($K14)&gt;ValDate),"Date after valuation",IF(AND(ISNUMBER($AG14),ABS(N($L14)-N($AG14))&gt;0.001),"Lot quantity differs",IF(AND(ISNUMBER($AG14),ABS(N($M14)-SUMIFS('Tax Lots'!$Q$6:$Q$205,'Tax Lots'!$B$6:$B$205,$B14,'Tax Lots'!$C$6:$C$205,$C14))&gt;1),"Lot cost differs",IF(AND(ISNUMBER($AG14),ABS(N($V14)-SUMIFS('Tax Lots'!$AA$6:$AA$205,'Tax Lots'!$B$6:$B$205,$B14,'Tax Lots'!$C$6:$C$205,$C14))&gt;1),"Lot realised gain differs","OK"))))))))))))</f>
        <v>OK</v>
      </c>
      <c r="AI14" s="89" t="n">
        <f aca="false">IF($B14="","",IFERROR(MATCH($B14,Accounts!$A$6:$A$55,0),""))</f>
        <v>4</v>
      </c>
      <c r="AJ14" s="89" t="n">
        <f aca="false">IF($C14="","",IFERROR(MATCH($C14,Securities!$A$6:$A$105,0),""))</f>
        <v>4</v>
      </c>
      <c r="AK14" s="89" t="str">
        <f aca="false">IF($AI14="","",INDEX(Accounts!$B$6:$B$55,$AI14)&amp;"")</f>
        <v>E02</v>
      </c>
      <c r="AL14" s="89" t="str">
        <f aca="false">IF(OR($C14="",$I14="",NOT(ISNUMBER($R14))),"",$I14&amp;"|"&amp;(SUMPRODUCT(($I$6:$I$205=$I14)*ISNUMBER($R$6:$R$205)*($R$6:$R$205&gt;$R14))+SUMPRODUCT(($I$6:$I14=$I14)*ISNUMBER($R$6:$R14)*($R$6:$R14=$R14))))</f>
        <v>TT|2</v>
      </c>
      <c r="AM14" s="89" t="n">
        <f aca="false">IF(AND(ISNUMBER($R14),$W14&lt;&gt;"",$Z14&lt;&gt;"",$AB14="XIRR"),$R14*$W14,0)</f>
        <v>0</v>
      </c>
      <c r="AN14" s="89" t="n">
        <f aca="false">IF(AND(ISNUMBER($R14),$W14&lt;&gt;"",$Z14&lt;&gt;"",$AB14="XIRR"),$R14,0)</f>
        <v>0</v>
      </c>
      <c r="AO14" s="89" t="n">
        <f aca="false">IF(AND(ISNUMBER($R14),$W14&lt;&gt;"",$Z14&lt;&gt;"",$AB14="XIRR"),$R14*$Z14,0)</f>
        <v>0</v>
      </c>
      <c r="AP14" s="89" t="n">
        <f aca="false">IF(AND(ISNUMBER($M14),$Y14&lt;&gt;"",ISNUMBER($T14)),$M14*$Y14,0)</f>
        <v>3472155</v>
      </c>
      <c r="AQ14" s="90" t="n">
        <f aca="false">IF(AND(ISNUMBER($M14),$Y14&lt;&gt;"",ISNUMBER($T14)),$M14,0)</f>
        <v>56002500</v>
      </c>
    </row>
    <row r="15" customFormat="false" ht="15" hidden="false" customHeight="false" outlineLevel="0" collapsed="false">
      <c r="A15" s="77" t="s">
        <v>336</v>
      </c>
      <c r="B15" s="78" t="s">
        <v>334</v>
      </c>
      <c r="C15" s="78" t="s">
        <v>337</v>
      </c>
      <c r="D15" s="79" t="str">
        <f aca="false">IF($AI15="","",INDEX(Accounts!$C$6:$C$55,$AI15)&amp;"")</f>
        <v>Nisha Malhotra</v>
      </c>
      <c r="E15" s="79" t="str">
        <f aca="false">IF($AI15="","",INDEX(Accounts!$F$6:$F$55,$AI15)&amp;"")</f>
        <v>Self-directed</v>
      </c>
      <c r="F15" s="79" t="str">
        <f aca="false">IF($AJ15="","",INDEX(Securities!$B$6:$B$105,$AJ15)&amp;"")</f>
        <v>Eastern Speciality Chemicals Ltd</v>
      </c>
      <c r="G15" s="79" t="str">
        <f aca="false">IF($AJ15="","",INDEX(Securities!$F$6:$F$105,$AJ15)&amp;"")</f>
        <v>Equity</v>
      </c>
      <c r="H15" s="79" t="str">
        <f aca="false">IF($AJ15="","",INDEX(Securities!$E$6:$E$105,$AJ15)&amp;"")</f>
        <v>Direct Equity</v>
      </c>
      <c r="I15" s="79" t="str">
        <f aca="false">IF($AJ15="","",INDEX(Securities!$H$6:$H$105,$AJ15)&amp;"")</f>
        <v>TT</v>
      </c>
      <c r="J15" s="80" t="n">
        <v>45417</v>
      </c>
      <c r="K15" s="80"/>
      <c r="L15" s="81" t="n">
        <v>35000</v>
      </c>
      <c r="M15" s="82" t="n">
        <v>17920000</v>
      </c>
      <c r="N15" s="83" t="n">
        <f aca="false">IF(OR($L15="",$M15=""),"",IF(N($L15)=0,"",$M15/$L15))</f>
        <v>512</v>
      </c>
      <c r="O15" s="84" t="n">
        <f aca="false">IF($AJ15="","",IF(INDEX(Securities!$O$6:$O$105,$AJ15)="","",INDEX(Securities!$O$6:$O$105,$AJ15)))</f>
        <v>438.75</v>
      </c>
      <c r="P15" s="79" t="str">
        <f aca="false">IF($AJ15="","",INDEX(Securities!$N$6:$N$105,$AJ15)&amp;"")</f>
        <v>Market price</v>
      </c>
      <c r="Q15" s="82"/>
      <c r="R15" s="85" t="n">
        <f aca="false">IF($C15="","",IF($Q15&lt;&gt;"",$Q15,IF($P15="At cost",IF($M15="","",$M15),IF(OR($O15="",$L15=""),"",$L15*$O15))))</f>
        <v>15356250</v>
      </c>
      <c r="S15" s="85" t="n">
        <f aca="false">IF(OR(NOT(ISNUMBER($R15)),$M15=""),"",$R15-$M15)</f>
        <v>-2563750</v>
      </c>
      <c r="T15" s="86" t="n">
        <f aca="false">IF(OR($S15="",N($M15)=0),"",$S15/$M15)</f>
        <v>-0.14306640625</v>
      </c>
      <c r="U15" s="82" t="n">
        <v>210000</v>
      </c>
      <c r="V15" s="82" t="n">
        <v>-1500000</v>
      </c>
      <c r="W15" s="87" t="n">
        <v>-0.089</v>
      </c>
      <c r="X15" s="79" t="str">
        <f aca="false">IF($AJ15="","",INDEX(Securities!$L$6:$L$105,$AJ15)&amp;"")</f>
        <v>Nifty 500 TRI</v>
      </c>
      <c r="Y15" s="87" t="n">
        <v>0.217</v>
      </c>
      <c r="Z15" s="87" t="n">
        <v>0.098</v>
      </c>
      <c r="AA15" s="86" t="n">
        <f aca="false">IF(OR($W15="",$Z15=""),"",$W15-$Z15)</f>
        <v>-0.187</v>
      </c>
      <c r="AB15" s="79" t="str">
        <f aca="false">IF($C15="","",IF($P15="At cost","At cost",IF(NOT(ISNUMBER($J15)),"No date",IF(ValDate-$J15&lt;365,"Absolute",IF($W15="","XIRR missing","XIRR")))))</f>
        <v>XIRR</v>
      </c>
      <c r="AC15" s="86" t="n">
        <f aca="false">IF(NOT(ISNUMBER($R15)),"",IF(SUM($R$6:$R$205)=0,"",$R15/SUM($R$6:$R$205)))</f>
        <v>0.0110895844219418</v>
      </c>
      <c r="AD15" s="82" t="n">
        <v>16301752</v>
      </c>
      <c r="AE15" s="80" t="n">
        <v>46203</v>
      </c>
      <c r="AF15" s="78" t="s">
        <v>312</v>
      </c>
      <c r="AG15" s="88" t="n">
        <f aca="false">IF($C15="","",IF(COUNTIFS('Tax Lots'!$B$6:$B$205,$B15,'Tax Lots'!$C$6:$C$205,$C15)=0,"",SUMIFS('Tax Lots'!$P$6:$P$205,'Tax Lots'!$B$6:$B$205,$B15,'Tax Lots'!$C$6:$C$205,$C15)))</f>
        <v>35000</v>
      </c>
      <c r="AH15" s="79" t="str">
        <f aca="false">IF($A15&amp;$B15&amp;$C15="","",IF($A15="","Missing ID",IF(COUNTIF($A$6:$A$205,$A15)&gt;1,"Duplicate ID",IF($AI15="","Unknown account",IF($AJ15="","Unknown security",IF(COUNTIFS($B$6:$B$205,$B15,$C$6:$C$205,$C15)&gt;1,"Same security twice in one account",IF(AND(ISNUMBER($J15),ISNUMBER($K15),N($K15)&lt;N($J15)),"Last date before first",IF(NOT(ISNUMBER($R15)),"No market value",IF(OR(N($J15)&gt;ValDate,N($K15)&gt;ValDate),"Date after valuation",IF(AND(ISNUMBER($AG15),ABS(N($L15)-N($AG15))&gt;0.001),"Lot quantity differs",IF(AND(ISNUMBER($AG15),ABS(N($M15)-SUMIFS('Tax Lots'!$Q$6:$Q$205,'Tax Lots'!$B$6:$B$205,$B15,'Tax Lots'!$C$6:$C$205,$C15))&gt;1),"Lot cost differs",IF(AND(ISNUMBER($AG15),ABS(N($V15)-SUMIFS('Tax Lots'!$AA$6:$AA$205,'Tax Lots'!$B$6:$B$205,$B15,'Tax Lots'!$C$6:$C$205,$C15))&gt;1),"Lot realised gain differs","OK"))))))))))))</f>
        <v>OK</v>
      </c>
      <c r="AI15" s="89" t="n">
        <f aca="false">IF($B15="","",IFERROR(MATCH($B15,Accounts!$A$6:$A$55,0),""))</f>
        <v>4</v>
      </c>
      <c r="AJ15" s="89" t="n">
        <f aca="false">IF($C15="","",IFERROR(MATCH($C15,Securities!$A$6:$A$105,0),""))</f>
        <v>5</v>
      </c>
      <c r="AK15" s="89" t="str">
        <f aca="false">IF($AI15="","",INDEX(Accounts!$B$6:$B$55,$AI15)&amp;"")</f>
        <v>E02</v>
      </c>
      <c r="AL15" s="89" t="str">
        <f aca="false">IF(OR($C15="",$I15="",NOT(ISNUMBER($R15))),"",$I15&amp;"|"&amp;(SUMPRODUCT(($I$6:$I$205=$I15)*ISNUMBER($R$6:$R$205)*($R$6:$R$205&gt;$R15))+SUMPRODUCT(($I$6:$I15=$I15)*ISNUMBER($R$6:$R15)*($R$6:$R15=$R15))))</f>
        <v>TT|7</v>
      </c>
      <c r="AM15" s="89" t="n">
        <f aca="false">IF(AND(ISNUMBER($R15),$W15&lt;&gt;"",$Z15&lt;&gt;"",$AB15="XIRR"),$R15*$W15,0)</f>
        <v>-1366706.25</v>
      </c>
      <c r="AN15" s="90" t="n">
        <f aca="false">IF(AND(ISNUMBER($R15),$W15&lt;&gt;"",$Z15&lt;&gt;"",$AB15="XIRR"),$R15,0)</f>
        <v>15356250</v>
      </c>
      <c r="AO15" s="89" t="n">
        <f aca="false">IF(AND(ISNUMBER($R15),$W15&lt;&gt;"",$Z15&lt;&gt;"",$AB15="XIRR"),$R15*$Z15,0)</f>
        <v>1504912.5</v>
      </c>
      <c r="AP15" s="89" t="n">
        <f aca="false">IF(AND(ISNUMBER($M15),$Y15&lt;&gt;"",ISNUMBER($T15)),$M15*$Y15,0)</f>
        <v>3888640</v>
      </c>
      <c r="AQ15" s="90" t="n">
        <f aca="false">IF(AND(ISNUMBER($M15),$Y15&lt;&gt;"",ISNUMBER($T15)),$M15,0)</f>
        <v>17920000</v>
      </c>
    </row>
    <row r="16" customFormat="false" ht="15" hidden="false" customHeight="false" outlineLevel="0" collapsed="false">
      <c r="A16" s="77" t="s">
        <v>338</v>
      </c>
      <c r="B16" s="78" t="s">
        <v>334</v>
      </c>
      <c r="C16" s="78" t="s">
        <v>339</v>
      </c>
      <c r="D16" s="79" t="str">
        <f aca="false">IF($AI16="","",INDEX(Accounts!$C$6:$C$55,$AI16)&amp;"")</f>
        <v>Nisha Malhotra</v>
      </c>
      <c r="E16" s="79" t="str">
        <f aca="false">IF($AI16="","",INDEX(Accounts!$F$6:$F$55,$AI16)&amp;"")</f>
        <v>Self-directed</v>
      </c>
      <c r="F16" s="79" t="str">
        <f aca="false">IF($AJ16="","",INDEX(Securities!$B$6:$B$105,$AJ16)&amp;"")</f>
        <v>Kaveri Gold ETF</v>
      </c>
      <c r="G16" s="79" t="str">
        <f aca="false">IF($AJ16="","",INDEX(Securities!$F$6:$F$105,$AJ16)&amp;"")</f>
        <v>Alternate</v>
      </c>
      <c r="H16" s="79" t="str">
        <f aca="false">IF($AJ16="","",INDEX(Securities!$E$6:$E$105,$AJ16)&amp;"")</f>
        <v>Gold / Silver (ETF, SGB, FoF)</v>
      </c>
      <c r="I16" s="79" t="str">
        <f aca="false">IF($AJ16="","",INDEX(Securities!$H$6:$H$105,$AJ16)&amp;"")</f>
        <v>TT</v>
      </c>
      <c r="J16" s="80" t="n">
        <v>45334</v>
      </c>
      <c r="K16" s="80" t="n">
        <v>45614</v>
      </c>
      <c r="L16" s="81" t="n">
        <v>420000</v>
      </c>
      <c r="M16" s="82" t="n">
        <v>25200000</v>
      </c>
      <c r="N16" s="83" t="n">
        <f aca="false">IF(OR($L16="",$M16=""),"",IF(N($L16)=0,"",$M16/$L16))</f>
        <v>60</v>
      </c>
      <c r="O16" s="84" t="n">
        <f aca="false">IF($AJ16="","",IF(INDEX(Securities!$O$6:$O$105,$AJ16)="","",INDEX(Securities!$O$6:$O$105,$AJ16)))</f>
        <v>72.18</v>
      </c>
      <c r="P16" s="79" t="str">
        <f aca="false">IF($AJ16="","",INDEX(Securities!$N$6:$N$105,$AJ16)&amp;"")</f>
        <v>Market price</v>
      </c>
      <c r="Q16" s="82"/>
      <c r="R16" s="85" t="n">
        <f aca="false">IF($C16="","",IF($Q16&lt;&gt;"",$Q16,IF($P16="At cost",IF($M16="","",$M16),IF(OR($O16="",$L16=""),"",$L16*$O16))))</f>
        <v>30315600</v>
      </c>
      <c r="S16" s="85" t="n">
        <f aca="false">IF(OR(NOT(ISNUMBER($R16)),$M16=""),"",$R16-$M16)</f>
        <v>5115600</v>
      </c>
      <c r="T16" s="86" t="n">
        <f aca="false">IF(OR($S16="",N($M16)=0),"",$S16/$M16)</f>
        <v>0.203</v>
      </c>
      <c r="U16" s="82"/>
      <c r="V16" s="82"/>
      <c r="W16" s="87" t="n">
        <v>0.116</v>
      </c>
      <c r="X16" s="79" t="str">
        <f aca="false">IF($AJ16="","",INDEX(Securities!$L$6:$L$105,$AJ16)&amp;"")</f>
        <v>Domestic gold price (MCX)</v>
      </c>
      <c r="Y16" s="87" t="n">
        <v>0.224</v>
      </c>
      <c r="Z16" s="87" t="n">
        <v>0.123</v>
      </c>
      <c r="AA16" s="86" t="n">
        <f aca="false">IF(OR($W16="",$Z16=""),"",$W16-$Z16)</f>
        <v>-0.00699999999999999</v>
      </c>
      <c r="AB16" s="79" t="str">
        <f aca="false">IF($C16="","",IF($P16="At cost","At cost",IF(NOT(ISNUMBER($J16)),"No date",IF(ValDate-$J16&lt;365,"Absolute",IF($W16="","XIRR missing","XIRR")))))</f>
        <v>XIRR</v>
      </c>
      <c r="AC16" s="86" t="n">
        <f aca="false">IF(NOT(ISNUMBER($R16)),"",IF(SUM($R$6:$R$205)=0,"",$R16/SUM($R$6:$R$205)))</f>
        <v>0.0218925457388241</v>
      </c>
      <c r="AD16" s="82" t="n">
        <v>28817110</v>
      </c>
      <c r="AE16" s="80" t="n">
        <v>46203</v>
      </c>
      <c r="AF16" s="78" t="s">
        <v>312</v>
      </c>
      <c r="AG16" s="88" t="str">
        <f aca="false">IF($C16="","",IF(COUNTIFS('Tax Lots'!$B$6:$B$205,$B16,'Tax Lots'!$C$6:$C$205,$C16)=0,"",SUMIFS('Tax Lots'!$P$6:$P$205,'Tax Lots'!$B$6:$B$205,$B16,'Tax Lots'!$C$6:$C$205,$C16)))</f>
        <v/>
      </c>
      <c r="AH16" s="79" t="str">
        <f aca="false">IF($A16&amp;$B16&amp;$C16="","",IF($A16="","Missing ID",IF(COUNTIF($A$6:$A$205,$A16)&gt;1,"Duplicate ID",IF($AI16="","Unknown account",IF($AJ16="","Unknown security",IF(COUNTIFS($B$6:$B$205,$B16,$C$6:$C$205,$C16)&gt;1,"Same security twice in one account",IF(AND(ISNUMBER($J16),ISNUMBER($K16),N($K16)&lt;N($J16)),"Last date before first",IF(NOT(ISNUMBER($R16)),"No market value",IF(OR(N($J16)&gt;ValDate,N($K16)&gt;ValDate),"Date after valuation",IF(AND(ISNUMBER($AG16),ABS(N($L16)-N($AG16))&gt;0.001),"Lot quantity differs",IF(AND(ISNUMBER($AG16),ABS(N($M16)-SUMIFS('Tax Lots'!$Q$6:$Q$205,'Tax Lots'!$B$6:$B$205,$B16,'Tax Lots'!$C$6:$C$205,$C16))&gt;1),"Lot cost differs",IF(AND(ISNUMBER($AG16),ABS(N($V16)-SUMIFS('Tax Lots'!$AA$6:$AA$205,'Tax Lots'!$B$6:$B$205,$B16,'Tax Lots'!$C$6:$C$205,$C16))&gt;1),"Lot realised gain differs","OK"))))))))))))</f>
        <v>OK</v>
      </c>
      <c r="AI16" s="89" t="n">
        <f aca="false">IF($B16="","",IFERROR(MATCH($B16,Accounts!$A$6:$A$55,0),""))</f>
        <v>4</v>
      </c>
      <c r="AJ16" s="89" t="n">
        <f aca="false">IF($C16="","",IFERROR(MATCH($C16,Securities!$A$6:$A$105,0),""))</f>
        <v>11</v>
      </c>
      <c r="AK16" s="89" t="str">
        <f aca="false">IF($AI16="","",INDEX(Accounts!$B$6:$B$55,$AI16)&amp;"")</f>
        <v>E02</v>
      </c>
      <c r="AL16" s="89" t="str">
        <f aca="false">IF(OR($C16="",$I16="",NOT(ISNUMBER($R16))),"",$I16&amp;"|"&amp;(SUMPRODUCT(($I$6:$I$205=$I16)*ISNUMBER($R$6:$R$205)*($R$6:$R$205&gt;$R16))+SUMPRODUCT(($I$6:$I16=$I16)*ISNUMBER($R$6:$R16)*($R$6:$R16=$R16))))</f>
        <v>TT|5</v>
      </c>
      <c r="AM16" s="89" t="n">
        <f aca="false">IF(AND(ISNUMBER($R16),$W16&lt;&gt;"",$Z16&lt;&gt;"",$AB16="XIRR"),$R16*$W16,0)</f>
        <v>3516609.6</v>
      </c>
      <c r="AN16" s="90" t="n">
        <f aca="false">IF(AND(ISNUMBER($R16),$W16&lt;&gt;"",$Z16&lt;&gt;"",$AB16="XIRR"),$R16,0)</f>
        <v>30315600</v>
      </c>
      <c r="AO16" s="89" t="n">
        <f aca="false">IF(AND(ISNUMBER($R16),$W16&lt;&gt;"",$Z16&lt;&gt;"",$AB16="XIRR"),$R16*$Z16,0)</f>
        <v>3728818.8</v>
      </c>
      <c r="AP16" s="89" t="n">
        <f aca="false">IF(AND(ISNUMBER($M16),$Y16&lt;&gt;"",ISNUMBER($T16)),$M16*$Y16,0)</f>
        <v>5644800</v>
      </c>
      <c r="AQ16" s="90" t="n">
        <f aca="false">IF(AND(ISNUMBER($M16),$Y16&lt;&gt;"",ISNUMBER($T16)),$M16,0)</f>
        <v>25200000</v>
      </c>
    </row>
    <row r="17" customFormat="false" ht="15" hidden="false" customHeight="false" outlineLevel="0" collapsed="false">
      <c r="A17" s="77" t="s">
        <v>340</v>
      </c>
      <c r="B17" s="78" t="s">
        <v>341</v>
      </c>
      <c r="C17" s="78" t="s">
        <v>342</v>
      </c>
      <c r="D17" s="79" t="str">
        <f aca="false">IF($AI17="","",INDEX(Accounts!$C$6:$C$55,$AI17)&amp;"")</f>
        <v>Arjun Malhotra</v>
      </c>
      <c r="E17" s="79" t="str">
        <f aca="false">IF($AI17="","",INDEX(Accounts!$F$6:$F$55,$AI17)&amp;"")</f>
        <v>Cedar Asset Managers</v>
      </c>
      <c r="F17" s="79" t="str">
        <f aca="false">IF($AJ17="","",INDEX(Securities!$B$6:$B$105,$AJ17)&amp;"")</f>
        <v>Cedar India Opportunities Fund – Class A</v>
      </c>
      <c r="G17" s="79" t="str">
        <f aca="false">IF($AJ17="","",INDEX(Securities!$F$6:$F$105,$AJ17)&amp;"")</f>
        <v>Equity</v>
      </c>
      <c r="H17" s="79" t="str">
        <f aca="false">IF($AJ17="","",INDEX(Securities!$E$6:$E$105,$AJ17)&amp;"")</f>
        <v>AIF Cat III – Listed Equity</v>
      </c>
      <c r="I17" s="79" t="str">
        <f aca="false">IF($AJ17="","",INDEX(Securities!$H$6:$H$105,$AJ17)&amp;"")</f>
        <v>SG</v>
      </c>
      <c r="J17" s="80" t="n">
        <v>44946</v>
      </c>
      <c r="K17" s="80" t="n">
        <v>46147</v>
      </c>
      <c r="L17" s="81" t="n">
        <v>1450000</v>
      </c>
      <c r="M17" s="82" t="n">
        <v>146988000</v>
      </c>
      <c r="N17" s="83" t="n">
        <f aca="false">IF(OR($L17="",$M17=""),"",IF(N($L17)=0,"",$M17/$L17))</f>
        <v>101.371034482759</v>
      </c>
      <c r="O17" s="84" t="n">
        <f aca="false">IF($AJ17="","",IF(INDEX(Securities!$O$6:$O$105,$AJ17)="","",INDEX(Securities!$O$6:$O$105,$AJ17)))</f>
        <v>142.36</v>
      </c>
      <c r="P17" s="79" t="str">
        <f aca="false">IF($AJ17="","",INDEX(Securities!$N$6:$N$105,$AJ17)&amp;"")</f>
        <v>NAV</v>
      </c>
      <c r="Q17" s="82"/>
      <c r="R17" s="85" t="n">
        <f aca="false">IF($C17="","",IF($Q17&lt;&gt;"",$Q17,IF($P17="At cost",IF($M17="","",$M17),IF(OR($O17="",$L17=""),"",$L17*$O17))))</f>
        <v>206422000</v>
      </c>
      <c r="S17" s="85" t="n">
        <f aca="false">IF(OR(NOT(ISNUMBER($R17)),$M17=""),"",$R17-$M17)</f>
        <v>59434000</v>
      </c>
      <c r="T17" s="86" t="n">
        <f aca="false">IF(OR($S17="",N($M17)=0),"",$S17/$M17)</f>
        <v>0.404345933001334</v>
      </c>
      <c r="U17" s="82"/>
      <c r="V17" s="82"/>
      <c r="W17" s="87" t="n">
        <v>0.178</v>
      </c>
      <c r="X17" s="79" t="str">
        <f aca="false">IF($AJ17="","",INDEX(Securities!$L$6:$L$105,$AJ17)&amp;"")</f>
        <v>Nifty 500 TRI</v>
      </c>
      <c r="Y17" s="87" t="n">
        <v>0.44</v>
      </c>
      <c r="Z17" s="87" t="n">
        <v>0.132</v>
      </c>
      <c r="AA17" s="86" t="n">
        <f aca="false">IF(OR($W17="",$Z17=""),"",$W17-$Z17)</f>
        <v>0.046</v>
      </c>
      <c r="AB17" s="79" t="str">
        <f aca="false">IF($C17="","",IF($P17="At cost","At cost",IF(NOT(ISNUMBER($J17)),"No date",IF(ValDate-$J17&lt;365,"Absolute",IF($W17="","XIRR missing","XIRR")))))</f>
        <v>XIRR</v>
      </c>
      <c r="AC17" s="86" t="n">
        <f aca="false">IF(NOT(ISNUMBER($R17)),"",IF(SUM($R$6:$R$205)=0,"",$R17/SUM($R$6:$R$205)))</f>
        <v>0.149068567882527</v>
      </c>
      <c r="AD17" s="82" t="n">
        <v>186787133</v>
      </c>
      <c r="AE17" s="80" t="n">
        <v>46203</v>
      </c>
      <c r="AF17" s="78" t="s">
        <v>343</v>
      </c>
      <c r="AG17" s="88" t="str">
        <f aca="false">IF($C17="","",IF(COUNTIFS('Tax Lots'!$B$6:$B$205,$B17,'Tax Lots'!$C$6:$C$205,$C17)=0,"",SUMIFS('Tax Lots'!$P$6:$P$205,'Tax Lots'!$B$6:$B$205,$B17,'Tax Lots'!$C$6:$C$205,$C17)))</f>
        <v/>
      </c>
      <c r="AH17" s="79" t="str">
        <f aca="false">IF($A17&amp;$B17&amp;$C17="","",IF($A17="","Missing ID",IF(COUNTIF($A$6:$A$205,$A17)&gt;1,"Duplicate ID",IF($AI17="","Unknown account",IF($AJ17="","Unknown security",IF(COUNTIFS($B$6:$B$205,$B17,$C$6:$C$205,$C17)&gt;1,"Same security twice in one account",IF(AND(ISNUMBER($J17),ISNUMBER($K17),N($K17)&lt;N($J17)),"Last date before first",IF(NOT(ISNUMBER($R17)),"No market value",IF(OR(N($J17)&gt;ValDate,N($K17)&gt;ValDate),"Date after valuation",IF(AND(ISNUMBER($AG17),ABS(N($L17)-N($AG17))&gt;0.001),"Lot quantity differs",IF(AND(ISNUMBER($AG17),ABS(N($M17)-SUMIFS('Tax Lots'!$Q$6:$Q$205,'Tax Lots'!$B$6:$B$205,$B17,'Tax Lots'!$C$6:$C$205,$C17))&gt;1),"Lot cost differs",IF(AND(ISNUMBER($AG17),ABS(N($V17)-SUMIFS('Tax Lots'!$AA$6:$AA$205,'Tax Lots'!$B$6:$B$205,$B17,'Tax Lots'!$C$6:$C$205,$C17))&gt;1),"Lot realised gain differs","OK"))))))))))))</f>
        <v>OK</v>
      </c>
      <c r="AI17" s="89" t="n">
        <f aca="false">IF($B17="","",IFERROR(MATCH($B17,Accounts!$A$6:$A$55,0),""))</f>
        <v>5</v>
      </c>
      <c r="AJ17" s="89" t="n">
        <f aca="false">IF($C17="","",IFERROR(MATCH($C17,Securities!$A$6:$A$105,0),""))</f>
        <v>10</v>
      </c>
      <c r="AK17" s="89" t="str">
        <f aca="false">IF($AI17="","",INDEX(Accounts!$B$6:$B$55,$AI17)&amp;"")</f>
        <v>E03</v>
      </c>
      <c r="AL17" s="89" t="str">
        <f aca="false">IF(OR($C17="",$I17="",NOT(ISNUMBER($R17))),"",$I17&amp;"|"&amp;(SUMPRODUCT(($I$6:$I$205=$I17)*ISNUMBER($R$6:$R$205)*($R$6:$R$205&gt;$R17))+SUMPRODUCT(($I$6:$I17=$I17)*ISNUMBER($R$6:$R17)*($R$6:$R17=$R17))))</f>
        <v>SG|1</v>
      </c>
      <c r="AM17" s="89" t="n">
        <f aca="false">IF(AND(ISNUMBER($R17),$W17&lt;&gt;"",$Z17&lt;&gt;"",$AB17="XIRR"),$R17*$W17,0)</f>
        <v>36743116</v>
      </c>
      <c r="AN17" s="90" t="n">
        <f aca="false">IF(AND(ISNUMBER($R17),$W17&lt;&gt;"",$Z17&lt;&gt;"",$AB17="XIRR"),$R17,0)</f>
        <v>206422000</v>
      </c>
      <c r="AO17" s="89" t="n">
        <f aca="false">IF(AND(ISNUMBER($R17),$W17&lt;&gt;"",$Z17&lt;&gt;"",$AB17="XIRR"),$R17*$Z17,0)</f>
        <v>27247704</v>
      </c>
      <c r="AP17" s="89" t="n">
        <f aca="false">IF(AND(ISNUMBER($M17),$Y17&lt;&gt;"",ISNUMBER($T17)),$M17*$Y17,0)</f>
        <v>64674720</v>
      </c>
      <c r="AQ17" s="90" t="n">
        <f aca="false">IF(AND(ISNUMBER($M17),$Y17&lt;&gt;"",ISNUMBER($T17)),$M17,0)</f>
        <v>146988000</v>
      </c>
    </row>
    <row r="18" customFormat="false" ht="15" hidden="false" customHeight="false" outlineLevel="0" collapsed="false">
      <c r="A18" s="77" t="s">
        <v>344</v>
      </c>
      <c r="B18" s="78" t="s">
        <v>345</v>
      </c>
      <c r="C18" s="78" t="s">
        <v>346</v>
      </c>
      <c r="D18" s="79" t="str">
        <f aca="false">IF($AI18="","",INDEX(Accounts!$C$6:$C$55,$AI18)&amp;"")</f>
        <v>Arjun Malhotra</v>
      </c>
      <c r="E18" s="79" t="str">
        <f aca="false">IF($AI18="","",INDEX(Accounts!$F$6:$F$55,$AI18)&amp;"")</f>
        <v>Self-directed</v>
      </c>
      <c r="F18" s="79" t="str">
        <f aca="false">IF($AJ18="","",INDEX(Securities!$B$6:$B$105,$AJ18)&amp;"")</f>
        <v>Lotus Liquid Fund – Direct Growth</v>
      </c>
      <c r="G18" s="79" t="str">
        <f aca="false">IF($AJ18="","",INDEX(Securities!$F$6:$F$105,$AJ18)&amp;"")</f>
        <v>Cash</v>
      </c>
      <c r="H18" s="79" t="str">
        <f aca="false">IF($AJ18="","",INDEX(Securities!$E$6:$E$105,$AJ18)&amp;"")</f>
        <v>Liquid / Overnight Fund</v>
      </c>
      <c r="I18" s="79" t="str">
        <f aca="false">IF($AJ18="","",INDEX(Securities!$H$6:$H$105,$AJ18)&amp;"")</f>
        <v>LQ</v>
      </c>
      <c r="J18" s="80" t="n">
        <v>46092</v>
      </c>
      <c r="K18" s="80" t="n">
        <v>46176</v>
      </c>
      <c r="L18" s="81" t="n">
        <v>14650.212</v>
      </c>
      <c r="M18" s="82" t="n">
        <v>49450000</v>
      </c>
      <c r="N18" s="83" t="n">
        <f aca="false">IF(OR($L18="",$M18=""),"",IF(N($L18)=0,"",$M18/$L18))</f>
        <v>3375.37777610317</v>
      </c>
      <c r="O18" s="84" t="n">
        <f aca="false">IF($AJ18="","",IF(INDEX(Securities!$O$6:$O$105,$AJ18)="","",INDEX(Securities!$O$6:$O$105,$AJ18)))</f>
        <v>3412.5543</v>
      </c>
      <c r="P18" s="79" t="str">
        <f aca="false">IF($AJ18="","",INDEX(Securities!$N$6:$N$105,$AJ18)&amp;"")</f>
        <v>NAV</v>
      </c>
      <c r="Q18" s="82"/>
      <c r="R18" s="85" t="n">
        <f aca="false">IF($C18="","",IF($Q18&lt;&gt;"",$Q18,IF($P18="At cost",IF($M18="","",$M18),IF(OR($O18="",$L18=""),"",$L18*$O18))))</f>
        <v>49994643.9565116</v>
      </c>
      <c r="S18" s="85" t="n">
        <f aca="false">IF(OR(NOT(ISNUMBER($R18)),$M18=""),"",$R18-$M18)</f>
        <v>544643.956511594</v>
      </c>
      <c r="T18" s="86" t="n">
        <f aca="false">IF(OR($S18="",N($M18)=0),"",$S18/$M18)</f>
        <v>0.0110140334987178</v>
      </c>
      <c r="U18" s="82"/>
      <c r="V18" s="82"/>
      <c r="W18" s="87"/>
      <c r="X18" s="79" t="str">
        <f aca="false">IF($AJ18="","",INDEX(Securities!$L$6:$L$105,$AJ18)&amp;"")</f>
        <v>CRISIL Liquid Debt Index</v>
      </c>
      <c r="Y18" s="87" t="n">
        <v>0.012</v>
      </c>
      <c r="Z18" s="87"/>
      <c r="AA18" s="86" t="str">
        <f aca="false">IF(OR($W18="",$Z18=""),"",$W18-$Z18)</f>
        <v/>
      </c>
      <c r="AB18" s="79" t="str">
        <f aca="false">IF($C18="","",IF($P18="At cost","At cost",IF(NOT(ISNUMBER($J18)),"No date",IF(ValDate-$J18&lt;365,"Absolute",IF($W18="","XIRR missing","XIRR")))))</f>
        <v>Absolute</v>
      </c>
      <c r="AC18" s="86" t="n">
        <f aca="false">IF(NOT(ISNUMBER($R18)),"",IF(SUM($R$6:$R$205)=0,"",$R18/SUM($R$6:$R$205)))</f>
        <v>0.0361038550948738</v>
      </c>
      <c r="AD18" s="82" t="n">
        <v>44286067</v>
      </c>
      <c r="AE18" s="80" t="n">
        <v>46203</v>
      </c>
      <c r="AF18" s="78" t="s">
        <v>312</v>
      </c>
      <c r="AG18" s="88" t="str">
        <f aca="false">IF($C18="","",IF(COUNTIFS('Tax Lots'!$B$6:$B$205,$B18,'Tax Lots'!$C$6:$C$205,$C18)=0,"",SUMIFS('Tax Lots'!$P$6:$P$205,'Tax Lots'!$B$6:$B$205,$B18,'Tax Lots'!$C$6:$C$205,$C18)))</f>
        <v/>
      </c>
      <c r="AH18" s="79" t="str">
        <f aca="false">IF($A18&amp;$B18&amp;$C18="","",IF($A18="","Missing ID",IF(COUNTIF($A$6:$A$205,$A18)&gt;1,"Duplicate ID",IF($AI18="","Unknown account",IF($AJ18="","Unknown security",IF(COUNTIFS($B$6:$B$205,$B18,$C$6:$C$205,$C18)&gt;1,"Same security twice in one account",IF(AND(ISNUMBER($J18),ISNUMBER($K18),N($K18)&lt;N($J18)),"Last date before first",IF(NOT(ISNUMBER($R18)),"No market value",IF(OR(N($J18)&gt;ValDate,N($K18)&gt;ValDate),"Date after valuation",IF(AND(ISNUMBER($AG18),ABS(N($L18)-N($AG18))&gt;0.001),"Lot quantity differs",IF(AND(ISNUMBER($AG18),ABS(N($M18)-SUMIFS('Tax Lots'!$Q$6:$Q$205,'Tax Lots'!$B$6:$B$205,$B18,'Tax Lots'!$C$6:$C$205,$C18))&gt;1),"Lot cost differs",IF(AND(ISNUMBER($AG18),ABS(N($V18)-SUMIFS('Tax Lots'!$AA$6:$AA$205,'Tax Lots'!$B$6:$B$205,$B18,'Tax Lots'!$C$6:$C$205,$C18))&gt;1),"Lot realised gain differs","OK"))))))))))))</f>
        <v>OK</v>
      </c>
      <c r="AI18" s="89" t="n">
        <f aca="false">IF($B18="","",IFERROR(MATCH($B18,Accounts!$A$6:$A$55,0),""))</f>
        <v>10</v>
      </c>
      <c r="AJ18" s="89" t="n">
        <f aca="false">IF($C18="","",IFERROR(MATCH($C18,Securities!$A$6:$A$105,0),""))</f>
        <v>13</v>
      </c>
      <c r="AK18" s="89" t="str">
        <f aca="false">IF($AI18="","",INDEX(Accounts!$B$6:$B$55,$AI18)&amp;"")</f>
        <v>E03</v>
      </c>
      <c r="AL18" s="89" t="str">
        <f aca="false">IF(OR($C18="",$I18="",NOT(ISNUMBER($R18))),"",$I18&amp;"|"&amp;(SUMPRODUCT(($I$6:$I$205=$I18)*ISNUMBER($R$6:$R$205)*($R$6:$R$205&gt;$R18))+SUMPRODUCT(($I$6:$I18=$I18)*ISNUMBER($R$6:$R18)*($R$6:$R18=$R18))))</f>
        <v>LQ|2</v>
      </c>
      <c r="AM18" s="89" t="n">
        <f aca="false">IF(AND(ISNUMBER($R18),$W18&lt;&gt;"",$Z18&lt;&gt;"",$AB18="XIRR"),$R18*$W18,0)</f>
        <v>0</v>
      </c>
      <c r="AN18" s="89" t="n">
        <f aca="false">IF(AND(ISNUMBER($R18),$W18&lt;&gt;"",$Z18&lt;&gt;"",$AB18="XIRR"),$R18,0)</f>
        <v>0</v>
      </c>
      <c r="AO18" s="89" t="n">
        <f aca="false">IF(AND(ISNUMBER($R18),$W18&lt;&gt;"",$Z18&lt;&gt;"",$AB18="XIRR"),$R18*$Z18,0)</f>
        <v>0</v>
      </c>
      <c r="AP18" s="89" t="n">
        <f aca="false">IF(AND(ISNUMBER($M18),$Y18&lt;&gt;"",ISNUMBER($T18)),$M18*$Y18,0)</f>
        <v>593400</v>
      </c>
      <c r="AQ18" s="90" t="n">
        <f aca="false">IF(AND(ISNUMBER($M18),$Y18&lt;&gt;"",ISNUMBER($T18)),$M18,0)</f>
        <v>49450000</v>
      </c>
    </row>
    <row r="19" customFormat="false" ht="15" hidden="false" customHeight="false" outlineLevel="0" collapsed="false">
      <c r="A19" s="77" t="s">
        <v>347</v>
      </c>
      <c r="B19" s="78" t="s">
        <v>345</v>
      </c>
      <c r="C19" s="78" t="s">
        <v>348</v>
      </c>
      <c r="D19" s="79" t="str">
        <f aca="false">IF($AI19="","",INDEX(Accounts!$C$6:$C$55,$AI19)&amp;"")</f>
        <v>Arjun Malhotra</v>
      </c>
      <c r="E19" s="79" t="str">
        <f aca="false">IF($AI19="","",INDEX(Accounts!$F$6:$F$55,$AI19)&amp;"")</f>
        <v>Self-directed</v>
      </c>
      <c r="F19" s="79" t="str">
        <f aca="false">IF($AJ19="","",INDEX(Securities!$B$6:$B$105,$AJ19)&amp;"")</f>
        <v>Kaveri Silver ETF</v>
      </c>
      <c r="G19" s="79" t="str">
        <f aca="false">IF($AJ19="","",INDEX(Securities!$F$6:$F$105,$AJ19)&amp;"")</f>
        <v>Alternate</v>
      </c>
      <c r="H19" s="79" t="str">
        <f aca="false">IF($AJ19="","",INDEX(Securities!$E$6:$E$105,$AJ19)&amp;"")</f>
        <v>Gold / Silver (ETF, SGB, FoF)</v>
      </c>
      <c r="I19" s="79" t="str">
        <f aca="false">IF($AJ19="","",INDEX(Securities!$H$6:$H$105,$AJ19)&amp;"")</f>
        <v>TT</v>
      </c>
      <c r="J19" s="80" t="n">
        <v>45875</v>
      </c>
      <c r="K19" s="80"/>
      <c r="L19" s="81" t="n">
        <v>180000</v>
      </c>
      <c r="M19" s="82" t="n">
        <v>14400000</v>
      </c>
      <c r="N19" s="83" t="n">
        <f aca="false">IF(OR($L19="",$M19=""),"",IF(N($L19)=0,"",$M19/$L19))</f>
        <v>80</v>
      </c>
      <c r="O19" s="84" t="n">
        <f aca="false">IF($AJ19="","",IF(INDEX(Securities!$O$6:$O$105,$AJ19)="","",INDEX(Securities!$O$6:$O$105,$AJ19)))</f>
        <v>96.4</v>
      </c>
      <c r="P19" s="79" t="str">
        <f aca="false">IF($AJ19="","",INDEX(Securities!$N$6:$N$105,$AJ19)&amp;"")</f>
        <v>Market price</v>
      </c>
      <c r="Q19" s="82"/>
      <c r="R19" s="85" t="n">
        <f aca="false">IF($C19="","",IF($Q19&lt;&gt;"",$Q19,IF($P19="At cost",IF($M19="","",$M19),IF(OR($O19="",$L19=""),"",$L19*$O19))))</f>
        <v>17352000</v>
      </c>
      <c r="S19" s="85" t="n">
        <f aca="false">IF(OR(NOT(ISNUMBER($R19)),$M19=""),"",$R19-$M19)</f>
        <v>2952000</v>
      </c>
      <c r="T19" s="86" t="n">
        <f aca="false">IF(OR($S19="",N($M19)=0),"",$S19/$M19)</f>
        <v>0.205</v>
      </c>
      <c r="U19" s="82"/>
      <c r="V19" s="82"/>
      <c r="W19" s="87"/>
      <c r="X19" s="79" t="str">
        <f aca="false">IF($AJ19="","",INDEX(Securities!$L$6:$L$105,$AJ19)&amp;"")</f>
        <v>Domestic silver price (MCX)</v>
      </c>
      <c r="Y19" s="87" t="n">
        <v>0.184</v>
      </c>
      <c r="Z19" s="87"/>
      <c r="AA19" s="86" t="str">
        <f aca="false">IF(OR($W19="",$Z19=""),"",$W19-$Z19)</f>
        <v/>
      </c>
      <c r="AB19" s="79" t="str">
        <f aca="false">IF($C19="","",IF($P19="At cost","At cost",IF(NOT(ISNUMBER($J19)),"No date",IF(ValDate-$J19&lt;365,"Absolute",IF($W19="","XIRR missing","XIRR")))))</f>
        <v>Absolute</v>
      </c>
      <c r="AC19" s="86" t="n">
        <f aca="false">IF(NOT(ISNUMBER($R19)),"",IF(SUM($R$6:$R$205)=0,"",$R19/SUM($R$6:$R$205)))</f>
        <v>0.0125308241849106</v>
      </c>
      <c r="AD19" s="82" t="n">
        <v>15861060</v>
      </c>
      <c r="AE19" s="80" t="n">
        <v>46203</v>
      </c>
      <c r="AF19" s="78" t="s">
        <v>312</v>
      </c>
      <c r="AG19" s="88" t="str">
        <f aca="false">IF($C19="","",IF(COUNTIFS('Tax Lots'!$B$6:$B$205,$B19,'Tax Lots'!$C$6:$C$205,$C19)=0,"",SUMIFS('Tax Lots'!$P$6:$P$205,'Tax Lots'!$B$6:$B$205,$B19,'Tax Lots'!$C$6:$C$205,$C19)))</f>
        <v/>
      </c>
      <c r="AH19" s="79" t="str">
        <f aca="false">IF($A19&amp;$B19&amp;$C19="","",IF($A19="","Missing ID",IF(COUNTIF($A$6:$A$205,$A19)&gt;1,"Duplicate ID",IF($AI19="","Unknown account",IF($AJ19="","Unknown security",IF(COUNTIFS($B$6:$B$205,$B19,$C$6:$C$205,$C19)&gt;1,"Same security twice in one account",IF(AND(ISNUMBER($J19),ISNUMBER($K19),N($K19)&lt;N($J19)),"Last date before first",IF(NOT(ISNUMBER($R19)),"No market value",IF(OR(N($J19)&gt;ValDate,N($K19)&gt;ValDate),"Date after valuation",IF(AND(ISNUMBER($AG19),ABS(N($L19)-N($AG19))&gt;0.001),"Lot quantity differs",IF(AND(ISNUMBER($AG19),ABS(N($M19)-SUMIFS('Tax Lots'!$Q$6:$Q$205,'Tax Lots'!$B$6:$B$205,$B19,'Tax Lots'!$C$6:$C$205,$C19))&gt;1),"Lot cost differs",IF(AND(ISNUMBER($AG19),ABS(N($V19)-SUMIFS('Tax Lots'!$AA$6:$AA$205,'Tax Lots'!$B$6:$B$205,$B19,'Tax Lots'!$C$6:$C$205,$C19))&gt;1),"Lot realised gain differs","OK"))))))))))))</f>
        <v>OK</v>
      </c>
      <c r="AI19" s="89" t="n">
        <f aca="false">IF($B19="","",IFERROR(MATCH($B19,Accounts!$A$6:$A$55,0),""))</f>
        <v>10</v>
      </c>
      <c r="AJ19" s="89" t="n">
        <f aca="false">IF($C19="","",IFERROR(MATCH($C19,Securities!$A$6:$A$105,0),""))</f>
        <v>12</v>
      </c>
      <c r="AK19" s="89" t="str">
        <f aca="false">IF($AI19="","",INDEX(Accounts!$B$6:$B$55,$AI19)&amp;"")</f>
        <v>E03</v>
      </c>
      <c r="AL19" s="89" t="str">
        <f aca="false">IF(OR($C19="",$I19="",NOT(ISNUMBER($R19))),"",$I19&amp;"|"&amp;(SUMPRODUCT(($I$6:$I$205=$I19)*ISNUMBER($R$6:$R$205)*($R$6:$R$205&gt;$R19))+SUMPRODUCT(($I$6:$I19=$I19)*ISNUMBER($R$6:$R19)*($R$6:$R19=$R19))))</f>
        <v>TT|6</v>
      </c>
      <c r="AM19" s="89" t="n">
        <f aca="false">IF(AND(ISNUMBER($R19),$W19&lt;&gt;"",$Z19&lt;&gt;"",$AB19="XIRR"),$R19*$W19,0)</f>
        <v>0</v>
      </c>
      <c r="AN19" s="89" t="n">
        <f aca="false">IF(AND(ISNUMBER($R19),$W19&lt;&gt;"",$Z19&lt;&gt;"",$AB19="XIRR"),$R19,0)</f>
        <v>0</v>
      </c>
      <c r="AO19" s="89" t="n">
        <f aca="false">IF(AND(ISNUMBER($R19),$W19&lt;&gt;"",$Z19&lt;&gt;"",$AB19="XIRR"),$R19*$Z19,0)</f>
        <v>0</v>
      </c>
      <c r="AP19" s="89" t="n">
        <f aca="false">IF(AND(ISNUMBER($M19),$Y19&lt;&gt;"",ISNUMBER($T19)),$M19*$Y19,0)</f>
        <v>2649600</v>
      </c>
      <c r="AQ19" s="90" t="n">
        <f aca="false">IF(AND(ISNUMBER($M19),$Y19&lt;&gt;"",ISNUMBER($T19)),$M19,0)</f>
        <v>14400000</v>
      </c>
    </row>
    <row r="20" customFormat="false" ht="15" hidden="false" customHeight="false" outlineLevel="0" collapsed="false">
      <c r="A20" s="77" t="s">
        <v>349</v>
      </c>
      <c r="B20" s="78" t="s">
        <v>350</v>
      </c>
      <c r="C20" s="78" t="s">
        <v>351</v>
      </c>
      <c r="D20" s="79" t="str">
        <f aca="false">IF($AI20="","",INDEX(Accounts!$C$6:$C$55,$AI20)&amp;"")</f>
        <v>Malhotra Family Trust</v>
      </c>
      <c r="E20" s="79" t="str">
        <f aca="false">IF($AI20="","",INDEX(Accounts!$F$6:$F$55,$AI20)&amp;"")</f>
        <v>Fernhill Partners</v>
      </c>
      <c r="F20" s="79" t="str">
        <f aca="false">IF($AJ20="","",INDEX(Securities!$B$6:$B$105,$AJ20)&amp;"")</f>
        <v>Fernhill Ventures Fund II – Class A</v>
      </c>
      <c r="G20" s="79" t="str">
        <f aca="false">IF($AJ20="","",INDEX(Securities!$F$6:$F$105,$AJ20)&amp;"")</f>
        <v>Alternate</v>
      </c>
      <c r="H20" s="79" t="str">
        <f aca="false">IF($AJ20="","",INDEX(Securities!$E$6:$E$105,$AJ20)&amp;"")</f>
        <v>AIF Cat I / II – PE / VC Fund</v>
      </c>
      <c r="I20" s="79" t="str">
        <f aca="false">IF($AJ20="","",INDEX(Securities!$H$6:$H$105,$AJ20)&amp;"")</f>
        <v>EG</v>
      </c>
      <c r="J20" s="80" t="n">
        <v>45184</v>
      </c>
      <c r="K20" s="80" t="n">
        <v>46134</v>
      </c>
      <c r="L20" s="81" t="n">
        <v>60000</v>
      </c>
      <c r="M20" s="82" t="n">
        <v>60000000</v>
      </c>
      <c r="N20" s="83" t="n">
        <f aca="false">IF(OR($L20="",$M20=""),"",IF(N($L20)=0,"",$M20/$L20))</f>
        <v>1000</v>
      </c>
      <c r="O20" s="84" t="n">
        <f aca="false">IF($AJ20="","",IF(INDEX(Securities!$O$6:$O$105,$AJ20)="","",INDEX(Securities!$O$6:$O$105,$AJ20)))</f>
        <v>1264.8</v>
      </c>
      <c r="P20" s="79" t="str">
        <f aca="false">IF($AJ20="","",INDEX(Securities!$N$6:$N$105,$AJ20)&amp;"")</f>
        <v>NAV</v>
      </c>
      <c r="Q20" s="82"/>
      <c r="R20" s="85" t="n">
        <f aca="false">IF($C20="","",IF($Q20&lt;&gt;"",$Q20,IF($P20="At cost",IF($M20="","",$M20),IF(OR($O20="",$L20=""),"",$L20*$O20))))</f>
        <v>75888000</v>
      </c>
      <c r="S20" s="85" t="n">
        <f aca="false">IF(OR(NOT(ISNUMBER($R20)),$M20=""),"",$R20-$M20)</f>
        <v>15888000</v>
      </c>
      <c r="T20" s="86" t="n">
        <f aca="false">IF(OR($S20="",N($M20)=0),"",$S20/$M20)</f>
        <v>0.2648</v>
      </c>
      <c r="U20" s="82"/>
      <c r="V20" s="82" t="n">
        <v>2100000</v>
      </c>
      <c r="W20" s="87" t="n">
        <v>0.151</v>
      </c>
      <c r="X20" s="79" t="str">
        <f aca="false">IF($AJ20="","",INDEX(Securities!$L$6:$L$105,$AJ20)&amp;"")</f>
        <v>Nifty 500 TRI</v>
      </c>
      <c r="Y20" s="87" t="n">
        <v>0.34</v>
      </c>
      <c r="Z20" s="87" t="n">
        <v>0.128</v>
      </c>
      <c r="AA20" s="86" t="n">
        <f aca="false">IF(OR($W20="",$Z20=""),"",$W20-$Z20)</f>
        <v>0.023</v>
      </c>
      <c r="AB20" s="79" t="str">
        <f aca="false">IF($C20="","",IF($P20="At cost","At cost",IF(NOT(ISNUMBER($J20)),"No date",IF(ValDate-$J20&lt;365,"Absolute",IF($W20="","XIRR missing","XIRR")))))</f>
        <v>XIRR</v>
      </c>
      <c r="AC20" s="86" t="n">
        <f aca="false">IF(NOT(ISNUMBER($R20)),"",IF(SUM($R$6:$R$205)=0,"",$R20/SUM($R$6:$R$205)))</f>
        <v>0.0548028576385717</v>
      </c>
      <c r="AD20" s="82" t="n">
        <v>69388000</v>
      </c>
      <c r="AE20" s="80" t="n">
        <v>46112</v>
      </c>
      <c r="AF20" s="78" t="s">
        <v>352</v>
      </c>
      <c r="AG20" s="88" t="str">
        <f aca="false">IF($C20="","",IF(COUNTIFS('Tax Lots'!$B$6:$B$205,$B20,'Tax Lots'!$C$6:$C$205,$C20)=0,"",SUMIFS('Tax Lots'!$P$6:$P$205,'Tax Lots'!$B$6:$B$205,$B20,'Tax Lots'!$C$6:$C$205,$C20)))</f>
        <v/>
      </c>
      <c r="AH20" s="79" t="str">
        <f aca="false">IF($A20&amp;$B20&amp;$C20="","",IF($A20="","Missing ID",IF(COUNTIF($A$6:$A$205,$A20)&gt;1,"Duplicate ID",IF($AI20="","Unknown account",IF($AJ20="","Unknown security",IF(COUNTIFS($B$6:$B$205,$B20,$C$6:$C$205,$C20)&gt;1,"Same security twice in one account",IF(AND(ISNUMBER($J20),ISNUMBER($K20),N($K20)&lt;N($J20)),"Last date before first",IF(NOT(ISNUMBER($R20)),"No market value",IF(OR(N($J20)&gt;ValDate,N($K20)&gt;ValDate),"Date after valuation",IF(AND(ISNUMBER($AG20),ABS(N($L20)-N($AG20))&gt;0.001),"Lot quantity differs",IF(AND(ISNUMBER($AG20),ABS(N($M20)-SUMIFS('Tax Lots'!$Q$6:$Q$205,'Tax Lots'!$B$6:$B$205,$B20,'Tax Lots'!$C$6:$C$205,$C20))&gt;1),"Lot cost differs",IF(AND(ISNUMBER($AG20),ABS(N($V20)-SUMIFS('Tax Lots'!$AA$6:$AA$205,'Tax Lots'!$B$6:$B$205,$B20,'Tax Lots'!$C$6:$C$205,$C20))&gt;1),"Lot realised gain differs","OK"))))))))))))</f>
        <v>OK</v>
      </c>
      <c r="AI20" s="89" t="n">
        <f aca="false">IF($B20="","",IFERROR(MATCH($B20,Accounts!$A$6:$A$55,0),""))</f>
        <v>6</v>
      </c>
      <c r="AJ20" s="89" t="n">
        <f aca="false">IF($C20="","",IFERROR(MATCH($C20,Securities!$A$6:$A$105,0),""))</f>
        <v>18</v>
      </c>
      <c r="AK20" s="89" t="str">
        <f aca="false">IF($AI20="","",INDEX(Accounts!$B$6:$B$55,$AI20)&amp;"")</f>
        <v>E04</v>
      </c>
      <c r="AL20" s="89" t="str">
        <f aca="false">IF(OR($C20="",$I20="",NOT(ISNUMBER($R20))),"",$I20&amp;"|"&amp;(SUMPRODUCT(($I$6:$I$205=$I20)*ISNUMBER($R$6:$R$205)*($R$6:$R$205&gt;$R20))+SUMPRODUCT(($I$6:$I20=$I20)*ISNUMBER($R$6:$R20)*($R$6:$R20=$R20))))</f>
        <v>EG|1</v>
      </c>
      <c r="AM20" s="89" t="n">
        <f aca="false">IF(AND(ISNUMBER($R20),$W20&lt;&gt;"",$Z20&lt;&gt;"",$AB20="XIRR"),$R20*$W20,0)</f>
        <v>11459088</v>
      </c>
      <c r="AN20" s="90" t="n">
        <f aca="false">IF(AND(ISNUMBER($R20),$W20&lt;&gt;"",$Z20&lt;&gt;"",$AB20="XIRR"),$R20,0)</f>
        <v>75888000</v>
      </c>
      <c r="AO20" s="89" t="n">
        <f aca="false">IF(AND(ISNUMBER($R20),$W20&lt;&gt;"",$Z20&lt;&gt;"",$AB20="XIRR"),$R20*$Z20,0)</f>
        <v>9713664</v>
      </c>
      <c r="AP20" s="89" t="n">
        <f aca="false">IF(AND(ISNUMBER($M20),$Y20&lt;&gt;"",ISNUMBER($T20)),$M20*$Y20,0)</f>
        <v>20400000</v>
      </c>
      <c r="AQ20" s="90" t="n">
        <f aca="false">IF(AND(ISNUMBER($M20),$Y20&lt;&gt;"",ISNUMBER($T20)),$M20,0)</f>
        <v>60000000</v>
      </c>
    </row>
    <row r="21" customFormat="false" ht="15" hidden="false" customHeight="false" outlineLevel="0" collapsed="false">
      <c r="A21" s="77" t="s">
        <v>353</v>
      </c>
      <c r="B21" s="78" t="s">
        <v>354</v>
      </c>
      <c r="C21" s="78" t="s">
        <v>355</v>
      </c>
      <c r="D21" s="79" t="str">
        <f aca="false">IF($AI21="","",INDEX(Accounts!$C$6:$C$55,$AI21)&amp;"")</f>
        <v>Malhotra Family Trust</v>
      </c>
      <c r="E21" s="79" t="str">
        <f aca="false">IF($AI21="","",INDEX(Accounts!$F$6:$F$55,$AI21)&amp;"")</f>
        <v>Granite Wealth</v>
      </c>
      <c r="F21" s="79" t="str">
        <f aca="false">IF($AJ21="","",INDEX(Securities!$B$6:$B$105,$AJ21)&amp;"")</f>
        <v>Orion Housing Finance 8.60% NCD 2029</v>
      </c>
      <c r="G21" s="79" t="str">
        <f aca="false">IF($AJ21="","",INDEX(Securities!$F$6:$F$105,$AJ21)&amp;"")</f>
        <v>Debt</v>
      </c>
      <c r="H21" s="79" t="str">
        <f aca="false">IF($AJ21="","",INDEX(Securities!$E$6:$E$105,$AJ21)&amp;"")</f>
        <v>Bonds / NCDs</v>
      </c>
      <c r="I21" s="79" t="str">
        <f aca="false">IF($AJ21="","",INDEX(Securities!$H$6:$H$105,$AJ21)&amp;"")</f>
        <v>SG</v>
      </c>
      <c r="J21" s="80" t="n">
        <v>45365</v>
      </c>
      <c r="K21" s="80"/>
      <c r="L21" s="81" t="n">
        <v>50000</v>
      </c>
      <c r="M21" s="82" t="n">
        <v>50000000</v>
      </c>
      <c r="N21" s="83" t="n">
        <f aca="false">IF(OR($L21="",$M21=""),"",IF(N($L21)=0,"",$M21/$L21))</f>
        <v>1000</v>
      </c>
      <c r="O21" s="84" t="n">
        <f aca="false">IF($AJ21="","",IF(INDEX(Securities!$O$6:$O$105,$AJ21)="","",INDEX(Securities!$O$6:$O$105,$AJ21)))</f>
        <v>1012.4</v>
      </c>
      <c r="P21" s="79" t="str">
        <f aca="false">IF($AJ21="","",INDEX(Securities!$N$6:$N$105,$AJ21)&amp;"")</f>
        <v>Market price</v>
      </c>
      <c r="Q21" s="82"/>
      <c r="R21" s="85" t="n">
        <f aca="false">IF($C21="","",IF($Q21&lt;&gt;"",$Q21,IF($P21="At cost",IF($M21="","",$M21),IF(OR($O21="",$L21=""),"",$L21*$O21))))</f>
        <v>50620000</v>
      </c>
      <c r="S21" s="85" t="n">
        <f aca="false">IF(OR(NOT(ISNUMBER($R21)),$M21=""),"",$R21-$M21)</f>
        <v>620000</v>
      </c>
      <c r="T21" s="86" t="n">
        <f aca="false">IF(OR($S21="",N($M21)=0),"",$S21/$M21)</f>
        <v>0.0124</v>
      </c>
      <c r="U21" s="82" t="n">
        <v>4300000</v>
      </c>
      <c r="V21" s="82"/>
      <c r="W21" s="87" t="n">
        <v>0.089</v>
      </c>
      <c r="X21" s="79" t="str">
        <f aca="false">IF($AJ21="","",INDEX(Securities!$L$6:$L$105,$AJ21)&amp;"")</f>
        <v>CRISIL Composite Bond Index</v>
      </c>
      <c r="Y21" s="87" t="n">
        <v>0.182</v>
      </c>
      <c r="Z21" s="87" t="n">
        <v>0.076</v>
      </c>
      <c r="AA21" s="86" t="n">
        <f aca="false">IF(OR($W21="",$Z21=""),"",$W21-$Z21)</f>
        <v>0.013</v>
      </c>
      <c r="AB21" s="79" t="str">
        <f aca="false">IF($C21="","",IF($P21="At cost","At cost",IF(NOT(ISNUMBER($J21)),"No date",IF(ValDate-$J21&lt;365,"Absolute",IF($W21="","XIRR missing","XIRR")))))</f>
        <v>XIRR</v>
      </c>
      <c r="AC21" s="86" t="n">
        <f aca="false">IF(NOT(ISNUMBER($R21)),"",IF(SUM($R$6:$R$205)=0,"",$R21/SUM($R$6:$R$205)))</f>
        <v>0.0365554587505864</v>
      </c>
      <c r="AD21" s="82" t="n">
        <v>50069238</v>
      </c>
      <c r="AE21" s="80" t="n">
        <v>46203</v>
      </c>
      <c r="AF21" s="78" t="s">
        <v>356</v>
      </c>
      <c r="AG21" s="88" t="str">
        <f aca="false">IF($C21="","",IF(COUNTIFS('Tax Lots'!$B$6:$B$205,$B21,'Tax Lots'!$C$6:$C$205,$C21)=0,"",SUMIFS('Tax Lots'!$P$6:$P$205,'Tax Lots'!$B$6:$B$205,$B21,'Tax Lots'!$C$6:$C$205,$C21)))</f>
        <v/>
      </c>
      <c r="AH21" s="79" t="str">
        <f aca="false">IF($A21&amp;$B21&amp;$C21="","",IF($A21="","Missing ID",IF(COUNTIF($A$6:$A$205,$A21)&gt;1,"Duplicate ID",IF($AI21="","Unknown account",IF($AJ21="","Unknown security",IF(COUNTIFS($B$6:$B$205,$B21,$C$6:$C$205,$C21)&gt;1,"Same security twice in one account",IF(AND(ISNUMBER($J21),ISNUMBER($K21),N($K21)&lt;N($J21)),"Last date before first",IF(NOT(ISNUMBER($R21)),"No market value",IF(OR(N($J21)&gt;ValDate,N($K21)&gt;ValDate),"Date after valuation",IF(AND(ISNUMBER($AG21),ABS(N($L21)-N($AG21))&gt;0.001),"Lot quantity differs",IF(AND(ISNUMBER($AG21),ABS(N($M21)-SUMIFS('Tax Lots'!$Q$6:$Q$205,'Tax Lots'!$B$6:$B$205,$B21,'Tax Lots'!$C$6:$C$205,$C21))&gt;1),"Lot cost differs",IF(AND(ISNUMBER($AG21),ABS(N($V21)-SUMIFS('Tax Lots'!$AA$6:$AA$205,'Tax Lots'!$B$6:$B$205,$B21,'Tax Lots'!$C$6:$C$205,$C21))&gt;1),"Lot realised gain differs","OK"))))))))))))</f>
        <v>OK</v>
      </c>
      <c r="AI21" s="89" t="n">
        <f aca="false">IF($B21="","",IFERROR(MATCH($B21,Accounts!$A$6:$A$55,0),""))</f>
        <v>8</v>
      </c>
      <c r="AJ21" s="89" t="n">
        <f aca="false">IF($C21="","",IFERROR(MATCH($C21,Securities!$A$6:$A$105,0),""))</f>
        <v>17</v>
      </c>
      <c r="AK21" s="89" t="str">
        <f aca="false">IF($AI21="","",INDEX(Accounts!$B$6:$B$55,$AI21)&amp;"")</f>
        <v>E04</v>
      </c>
      <c r="AL21" s="89" t="str">
        <f aca="false">IF(OR($C21="",$I21="",NOT(ISNUMBER($R21))),"",$I21&amp;"|"&amp;(SUMPRODUCT(($I$6:$I$205=$I21)*ISNUMBER($R$6:$R$205)*($R$6:$R$205&gt;$R21))+SUMPRODUCT(($I$6:$I21=$I21)*ISNUMBER($R$6:$R21)*($R$6:$R21=$R21))))</f>
        <v>SG|6</v>
      </c>
      <c r="AM21" s="89" t="n">
        <f aca="false">IF(AND(ISNUMBER($R21),$W21&lt;&gt;"",$Z21&lt;&gt;"",$AB21="XIRR"),$R21*$W21,0)</f>
        <v>4505180</v>
      </c>
      <c r="AN21" s="90" t="n">
        <f aca="false">IF(AND(ISNUMBER($R21),$W21&lt;&gt;"",$Z21&lt;&gt;"",$AB21="XIRR"),$R21,0)</f>
        <v>50620000</v>
      </c>
      <c r="AO21" s="89" t="n">
        <f aca="false">IF(AND(ISNUMBER($R21),$W21&lt;&gt;"",$Z21&lt;&gt;"",$AB21="XIRR"),$R21*$Z21,0)</f>
        <v>3847120</v>
      </c>
      <c r="AP21" s="89" t="n">
        <f aca="false">IF(AND(ISNUMBER($M21),$Y21&lt;&gt;"",ISNUMBER($T21)),$M21*$Y21,0)</f>
        <v>9100000</v>
      </c>
      <c r="AQ21" s="90" t="n">
        <f aca="false">IF(AND(ISNUMBER($M21),$Y21&lt;&gt;"",ISNUMBER($T21)),$M21,0)</f>
        <v>50000000</v>
      </c>
    </row>
    <row r="22" customFormat="false" ht="15" hidden="false" customHeight="false" outlineLevel="0" collapsed="false">
      <c r="A22" s="77" t="s">
        <v>357</v>
      </c>
      <c r="B22" s="78" t="s">
        <v>354</v>
      </c>
      <c r="C22" s="78" t="s">
        <v>358</v>
      </c>
      <c r="D22" s="79" t="str">
        <f aca="false">IF($AI22="","",INDEX(Accounts!$C$6:$C$55,$AI22)&amp;"")</f>
        <v>Malhotra Family Trust</v>
      </c>
      <c r="E22" s="79" t="str">
        <f aca="false">IF($AI22="","",INDEX(Accounts!$F$6:$F$55,$AI22)&amp;"")</f>
        <v>Granite Wealth</v>
      </c>
      <c r="F22" s="79" t="str">
        <f aca="false">IF($AJ22="","",INDEX(Securities!$B$6:$B$105,$AJ22)&amp;"")</f>
        <v>Malabar Arbitrage Fund – Direct Growth</v>
      </c>
      <c r="G22" s="79" t="str">
        <f aca="false">IF($AJ22="","",INDEX(Securities!$F$6:$F$105,$AJ22)&amp;"")</f>
        <v>Cash</v>
      </c>
      <c r="H22" s="79" t="str">
        <f aca="false">IF($AJ22="","",INDEX(Securities!$E$6:$E$105,$AJ22)&amp;"")</f>
        <v>Arbitrage Fund</v>
      </c>
      <c r="I22" s="79" t="str">
        <f aca="false">IF($AJ22="","",INDEX(Securities!$H$6:$H$105,$AJ22)&amp;"")</f>
        <v>LQ</v>
      </c>
      <c r="J22" s="80" t="n">
        <v>45993</v>
      </c>
      <c r="K22" s="80" t="n">
        <v>46191</v>
      </c>
      <c r="L22" s="81" t="n">
        <v>3200000</v>
      </c>
      <c r="M22" s="82" t="n">
        <v>58156000</v>
      </c>
      <c r="N22" s="83" t="n">
        <f aca="false">IF(OR($L22="",$M22=""),"",IF(N($L22)=0,"",$M22/$L22))</f>
        <v>18.17375</v>
      </c>
      <c r="O22" s="84" t="n">
        <f aca="false">IF($AJ22="","",IF(INDEX(Securities!$O$6:$O$105,$AJ22)="","",INDEX(Securities!$O$6:$O$105,$AJ22)))</f>
        <v>18.7422</v>
      </c>
      <c r="P22" s="79" t="str">
        <f aca="false">IF($AJ22="","",INDEX(Securities!$N$6:$N$105,$AJ22)&amp;"")</f>
        <v>NAV</v>
      </c>
      <c r="Q22" s="82"/>
      <c r="R22" s="85" t="n">
        <f aca="false">IF($C22="","",IF($Q22&lt;&gt;"",$Q22,IF($P22="At cost",IF($M22="","",$M22),IF(OR($O22="",$L22=""),"",$L22*$O22))))</f>
        <v>59975040</v>
      </c>
      <c r="S22" s="85" t="n">
        <f aca="false">IF(OR(NOT(ISNUMBER($R22)),$M22=""),"",$R22-$M22)</f>
        <v>1819040</v>
      </c>
      <c r="T22" s="86" t="n">
        <f aca="false">IF(OR($S22="",N($M22)=0),"",$S22/$M22)</f>
        <v>0.0312786298920146</v>
      </c>
      <c r="U22" s="82"/>
      <c r="V22" s="82"/>
      <c r="W22" s="87"/>
      <c r="X22" s="79" t="str">
        <f aca="false">IF($AJ22="","",INDEX(Securities!$L$6:$L$105,$AJ22)&amp;"")</f>
        <v>Nifty 50 Arbitrage Index</v>
      </c>
      <c r="Y22" s="87" t="n">
        <v>0.033</v>
      </c>
      <c r="Z22" s="87"/>
      <c r="AA22" s="86" t="str">
        <f aca="false">IF(OR($W22="",$Z22=""),"",$W22-$Z22)</f>
        <v/>
      </c>
      <c r="AB22" s="79" t="str">
        <f aca="false">IF($C22="","",IF($P22="At cost","At cost",IF(NOT(ISNUMBER($J22)),"No date",IF(ValDate-$J22&lt;365,"Absolute",IF($W22="","XIRR missing","XIRR")))))</f>
        <v>Absolute</v>
      </c>
      <c r="AC22" s="86" t="n">
        <f aca="false">IF(NOT(ISNUMBER($R22)),"",IF(SUM($R$6:$R$205)=0,"",$R22/SUM($R$6:$R$205)))</f>
        <v>0.043311242607364</v>
      </c>
      <c r="AD22" s="82" t="n">
        <v>51621475</v>
      </c>
      <c r="AE22" s="80" t="n">
        <v>46203</v>
      </c>
      <c r="AF22" s="78" t="s">
        <v>356</v>
      </c>
      <c r="AG22" s="88" t="str">
        <f aca="false">IF($C22="","",IF(COUNTIFS('Tax Lots'!$B$6:$B$205,$B22,'Tax Lots'!$C$6:$C$205,$C22)=0,"",SUMIFS('Tax Lots'!$P$6:$P$205,'Tax Lots'!$B$6:$B$205,$B22,'Tax Lots'!$C$6:$C$205,$C22)))</f>
        <v/>
      </c>
      <c r="AH22" s="79" t="str">
        <f aca="false">IF($A22&amp;$B22&amp;$C22="","",IF($A22="","Missing ID",IF(COUNTIF($A$6:$A$205,$A22)&gt;1,"Duplicate ID",IF($AI22="","Unknown account",IF($AJ22="","Unknown security",IF(COUNTIFS($B$6:$B$205,$B22,$C$6:$C$205,$C22)&gt;1,"Same security twice in one account",IF(AND(ISNUMBER($J22),ISNUMBER($K22),N($K22)&lt;N($J22)),"Last date before first",IF(NOT(ISNUMBER($R22)),"No market value",IF(OR(N($J22)&gt;ValDate,N($K22)&gt;ValDate),"Date after valuation",IF(AND(ISNUMBER($AG22),ABS(N($L22)-N($AG22))&gt;0.001),"Lot quantity differs",IF(AND(ISNUMBER($AG22),ABS(N($M22)-SUMIFS('Tax Lots'!$Q$6:$Q$205,'Tax Lots'!$B$6:$B$205,$B22,'Tax Lots'!$C$6:$C$205,$C22))&gt;1),"Lot cost differs",IF(AND(ISNUMBER($AG22),ABS(N($V22)-SUMIFS('Tax Lots'!$AA$6:$AA$205,'Tax Lots'!$B$6:$B$205,$B22,'Tax Lots'!$C$6:$C$205,$C22))&gt;1),"Lot realised gain differs","OK"))))))))))))</f>
        <v>OK</v>
      </c>
      <c r="AI22" s="89" t="n">
        <f aca="false">IF($B22="","",IFERROR(MATCH($B22,Accounts!$A$6:$A$55,0),""))</f>
        <v>8</v>
      </c>
      <c r="AJ22" s="89" t="n">
        <f aca="false">IF($C22="","",IFERROR(MATCH($C22,Securities!$A$6:$A$105,0),""))</f>
        <v>14</v>
      </c>
      <c r="AK22" s="89" t="str">
        <f aca="false">IF($AI22="","",INDEX(Accounts!$B$6:$B$55,$AI22)&amp;"")</f>
        <v>E04</v>
      </c>
      <c r="AL22" s="89" t="str">
        <f aca="false">IF(OR($C22="",$I22="",NOT(ISNUMBER($R22))),"",$I22&amp;"|"&amp;(SUMPRODUCT(($I$6:$I$205=$I22)*ISNUMBER($R$6:$R$205)*($R$6:$R$205&gt;$R22))+SUMPRODUCT(($I$6:$I22=$I22)*ISNUMBER($R$6:$R22)*($R$6:$R22=$R22))))</f>
        <v>LQ|1</v>
      </c>
      <c r="AM22" s="89" t="n">
        <f aca="false">IF(AND(ISNUMBER($R22),$W22&lt;&gt;"",$Z22&lt;&gt;"",$AB22="XIRR"),$R22*$W22,0)</f>
        <v>0</v>
      </c>
      <c r="AN22" s="89" t="n">
        <f aca="false">IF(AND(ISNUMBER($R22),$W22&lt;&gt;"",$Z22&lt;&gt;"",$AB22="XIRR"),$R22,0)</f>
        <v>0</v>
      </c>
      <c r="AO22" s="89" t="n">
        <f aca="false">IF(AND(ISNUMBER($R22),$W22&lt;&gt;"",$Z22&lt;&gt;"",$AB22="XIRR"),$R22*$Z22,0)</f>
        <v>0</v>
      </c>
      <c r="AP22" s="89" t="n">
        <f aca="false">IF(AND(ISNUMBER($M22),$Y22&lt;&gt;"",ISNUMBER($T22)),$M22*$Y22,0)</f>
        <v>1919148</v>
      </c>
      <c r="AQ22" s="90" t="n">
        <f aca="false">IF(AND(ISNUMBER($M22),$Y22&lt;&gt;"",ISNUMBER($T22)),$M22,0)</f>
        <v>58156000</v>
      </c>
    </row>
    <row r="23" customFormat="false" ht="15" hidden="false" customHeight="false" outlineLevel="0" collapsed="false">
      <c r="A23" s="77" t="s">
        <v>359</v>
      </c>
      <c r="B23" s="78" t="s">
        <v>354</v>
      </c>
      <c r="C23" s="78" t="s">
        <v>360</v>
      </c>
      <c r="D23" s="79" t="str">
        <f aca="false">IF($AI23="","",INDEX(Accounts!$C$6:$C$55,$AI23)&amp;"")</f>
        <v>Malhotra Family Trust</v>
      </c>
      <c r="E23" s="79" t="str">
        <f aca="false">IF($AI23="","",INDEX(Accounts!$F$6:$F$55,$AI23)&amp;"")</f>
        <v>Granite Wealth</v>
      </c>
      <c r="F23" s="79" t="str">
        <f aca="false">IF($AJ23="","",INDEX(Securities!$B$6:$B$105,$AJ23)&amp;"")</f>
        <v>Narmada Corporate Bond Fund – Direct Growth</v>
      </c>
      <c r="G23" s="79" t="str">
        <f aca="false">IF($AJ23="","",INDEX(Securities!$F$6:$F$105,$AJ23)&amp;"")</f>
        <v>Debt</v>
      </c>
      <c r="H23" s="79" t="str">
        <f aca="false">IF($AJ23="","",INDEX(Securities!$E$6:$E$105,$AJ23)&amp;"")</f>
        <v>Debt MF</v>
      </c>
      <c r="I23" s="79" t="str">
        <f aca="false">IF($AJ23="","",INDEX(Securities!$H$6:$H$105,$AJ23)&amp;"")</f>
        <v>SG</v>
      </c>
      <c r="J23" s="80" t="n">
        <v>45494</v>
      </c>
      <c r="K23" s="80"/>
      <c r="L23" s="81" t="n">
        <v>2400000</v>
      </c>
      <c r="M23" s="82" t="n">
        <v>70000000</v>
      </c>
      <c r="N23" s="83" t="n">
        <f aca="false">IF(OR($L23="",$M23=""),"",IF(N($L23)=0,"",$M23/$L23))</f>
        <v>29.1666666666667</v>
      </c>
      <c r="O23" s="84" t="n">
        <f aca="false">IF($AJ23="","",IF(INDEX(Securities!$O$6:$O$105,$AJ23)="","",INDEX(Securities!$O$6:$O$105,$AJ23)))</f>
        <v>31.2291</v>
      </c>
      <c r="P23" s="79" t="str">
        <f aca="false">IF($AJ23="","",INDEX(Securities!$N$6:$N$105,$AJ23)&amp;"")</f>
        <v>NAV</v>
      </c>
      <c r="Q23" s="82"/>
      <c r="R23" s="85" t="n">
        <f aca="false">IF($C23="","",IF($Q23&lt;&gt;"",$Q23,IF($P23="At cost",IF($M23="","",$M23),IF(OR($O23="",$L23=""),"",$L23*$O23))))</f>
        <v>74949840</v>
      </c>
      <c r="S23" s="85" t="n">
        <f aca="false">IF(OR(NOT(ISNUMBER($R23)),$M23=""),"",$R23-$M23)</f>
        <v>4949840</v>
      </c>
      <c r="T23" s="86" t="n">
        <f aca="false">IF(OR($S23="",N($M23)=0),"",$S23/$M23)</f>
        <v>0.070712</v>
      </c>
      <c r="U23" s="82"/>
      <c r="V23" s="82"/>
      <c r="W23" s="87" t="n">
        <v>0.079</v>
      </c>
      <c r="X23" s="79" t="str">
        <f aca="false">IF($AJ23="","",INDEX(Securities!$L$6:$L$105,$AJ23)&amp;"")</f>
        <v>CRISIL Composite Bond Index</v>
      </c>
      <c r="Y23" s="87" t="n">
        <v>0.156</v>
      </c>
      <c r="Z23" s="87" t="n">
        <v>0.074</v>
      </c>
      <c r="AA23" s="86" t="n">
        <f aca="false">IF(OR($W23="",$Z23=""),"",$W23-$Z23)</f>
        <v>0.005</v>
      </c>
      <c r="AB23" s="79" t="str">
        <f aca="false">IF($C23="","",IF($P23="At cost","At cost",IF(NOT(ISNUMBER($J23)),"No date",IF(ValDate-$J23&lt;365,"Absolute",IF($W23="","XIRR missing","XIRR")))))</f>
        <v>XIRR</v>
      </c>
      <c r="AC23" s="86" t="n">
        <f aca="false">IF(NOT(ISNUMBER($R23)),"",IF(SUM($R$6:$R$205)=0,"",$R23/SUM($R$6:$R$205)))</f>
        <v>0.0541253612106489</v>
      </c>
      <c r="AD23" s="82" t="n">
        <v>73552345</v>
      </c>
      <c r="AE23" s="80" t="n">
        <v>46203</v>
      </c>
      <c r="AF23" s="78" t="s">
        <v>356</v>
      </c>
      <c r="AG23" s="88" t="str">
        <f aca="false">IF($C23="","",IF(COUNTIFS('Tax Lots'!$B$6:$B$205,$B23,'Tax Lots'!$C$6:$C$205,$C23)=0,"",SUMIFS('Tax Lots'!$P$6:$P$205,'Tax Lots'!$B$6:$B$205,$B23,'Tax Lots'!$C$6:$C$205,$C23)))</f>
        <v/>
      </c>
      <c r="AH23" s="79" t="str">
        <f aca="false">IF($A23&amp;$B23&amp;$C23="","",IF($A23="","Missing ID",IF(COUNTIF($A$6:$A$205,$A23)&gt;1,"Duplicate ID",IF($AI23="","Unknown account",IF($AJ23="","Unknown security",IF(COUNTIFS($B$6:$B$205,$B23,$C$6:$C$205,$C23)&gt;1,"Same security twice in one account",IF(AND(ISNUMBER($J23),ISNUMBER($K23),N($K23)&lt;N($J23)),"Last date before first",IF(NOT(ISNUMBER($R23)),"No market value",IF(OR(N($J23)&gt;ValDate,N($K23)&gt;ValDate),"Date after valuation",IF(AND(ISNUMBER($AG23),ABS(N($L23)-N($AG23))&gt;0.001),"Lot quantity differs",IF(AND(ISNUMBER($AG23),ABS(N($M23)-SUMIFS('Tax Lots'!$Q$6:$Q$205,'Tax Lots'!$B$6:$B$205,$B23,'Tax Lots'!$C$6:$C$205,$C23))&gt;1),"Lot cost differs",IF(AND(ISNUMBER($AG23),ABS(N($V23)-SUMIFS('Tax Lots'!$AA$6:$AA$205,'Tax Lots'!$B$6:$B$205,$B23,'Tax Lots'!$C$6:$C$205,$C23))&gt;1),"Lot realised gain differs","OK"))))))))))))</f>
        <v>OK</v>
      </c>
      <c r="AI23" s="89" t="n">
        <f aca="false">IF($B23="","",IFERROR(MATCH($B23,Accounts!$A$6:$A$55,0),""))</f>
        <v>8</v>
      </c>
      <c r="AJ23" s="89" t="n">
        <f aca="false">IF($C23="","",IFERROR(MATCH($C23,Securities!$A$6:$A$105,0),""))</f>
        <v>16</v>
      </c>
      <c r="AK23" s="89" t="str">
        <f aca="false">IF($AI23="","",INDEX(Accounts!$B$6:$B$55,$AI23)&amp;"")</f>
        <v>E04</v>
      </c>
      <c r="AL23" s="89" t="str">
        <f aca="false">IF(OR($C23="",$I23="",NOT(ISNUMBER($R23))),"",$I23&amp;"|"&amp;(SUMPRODUCT(($I$6:$I$205=$I23)*ISNUMBER($R$6:$R$205)*($R$6:$R$205&gt;$R23))+SUMPRODUCT(($I$6:$I23=$I23)*ISNUMBER($R$6:$R23)*($R$6:$R23=$R23))))</f>
        <v>SG|4</v>
      </c>
      <c r="AM23" s="89" t="n">
        <f aca="false">IF(AND(ISNUMBER($R23),$W23&lt;&gt;"",$Z23&lt;&gt;"",$AB23="XIRR"),$R23*$W23,0)</f>
        <v>5921037.36</v>
      </c>
      <c r="AN23" s="90" t="n">
        <f aca="false">IF(AND(ISNUMBER($R23),$W23&lt;&gt;"",$Z23&lt;&gt;"",$AB23="XIRR"),$R23,0)</f>
        <v>74949840</v>
      </c>
      <c r="AO23" s="89" t="n">
        <f aca="false">IF(AND(ISNUMBER($R23),$W23&lt;&gt;"",$Z23&lt;&gt;"",$AB23="XIRR"),$R23*$Z23,0)</f>
        <v>5546288.16</v>
      </c>
      <c r="AP23" s="89" t="n">
        <f aca="false">IF(AND(ISNUMBER($M23),$Y23&lt;&gt;"",ISNUMBER($T23)),$M23*$Y23,0)</f>
        <v>10920000</v>
      </c>
      <c r="AQ23" s="90" t="n">
        <f aca="false">IF(AND(ISNUMBER($M23),$Y23&lt;&gt;"",ISNUMBER($T23)),$M23,0)</f>
        <v>70000000</v>
      </c>
    </row>
    <row r="24" customFormat="false" ht="15" hidden="false" customHeight="false" outlineLevel="0" collapsed="false">
      <c r="A24" s="77" t="s">
        <v>361</v>
      </c>
      <c r="B24" s="78" t="s">
        <v>354</v>
      </c>
      <c r="C24" s="78" t="s">
        <v>362</v>
      </c>
      <c r="D24" s="79" t="str">
        <f aca="false">IF($AI24="","",INDEX(Accounts!$C$6:$C$55,$AI24)&amp;"")</f>
        <v>Malhotra Family Trust</v>
      </c>
      <c r="E24" s="79" t="str">
        <f aca="false">IF($AI24="","",INDEX(Accounts!$F$6:$F$55,$AI24)&amp;"")</f>
        <v>Granite Wealth</v>
      </c>
      <c r="F24" s="79" t="str">
        <f aca="false">IF($AJ24="","",INDEX(Securities!$B$6:$B$105,$AJ24)&amp;"")</f>
        <v>Tapti Infrastructure InvIT</v>
      </c>
      <c r="G24" s="79" t="str">
        <f aca="false">IF($AJ24="","",INDEX(Securities!$F$6:$F$105,$AJ24)&amp;"")</f>
        <v>Alternate</v>
      </c>
      <c r="H24" s="79" t="str">
        <f aca="false">IF($AJ24="","",INDEX(Securities!$E$6:$E$105,$AJ24)&amp;"")</f>
        <v>REIT / InvIT</v>
      </c>
      <c r="I24" s="79" t="str">
        <f aca="false">IF($AJ24="","",INDEX(Securities!$H$6:$H$105,$AJ24)&amp;"")</f>
        <v>SG</v>
      </c>
      <c r="J24" s="80" t="n">
        <v>45595</v>
      </c>
      <c r="K24" s="80"/>
      <c r="L24" s="81" t="n">
        <v>400000</v>
      </c>
      <c r="M24" s="82" t="n">
        <v>44000000</v>
      </c>
      <c r="N24" s="83" t="n">
        <f aca="false">IF(OR($L24="",$M24=""),"",IF(N($L24)=0,"",$M24/$L24))</f>
        <v>110</v>
      </c>
      <c r="O24" s="84" t="n">
        <f aca="false">IF($AJ24="","",IF(INDEX(Securities!$O$6:$O$105,$AJ24)="","",INDEX(Securities!$O$6:$O$105,$AJ24)))</f>
        <v>118.2</v>
      </c>
      <c r="P24" s="79" t="str">
        <f aca="false">IF($AJ24="","",INDEX(Securities!$N$6:$N$105,$AJ24)&amp;"")</f>
        <v>Market price</v>
      </c>
      <c r="Q24" s="82"/>
      <c r="R24" s="85" t="n">
        <f aca="false">IF($C24="","",IF($Q24&lt;&gt;"",$Q24,IF($P24="At cost",IF($M24="","",$M24),IF(OR($O24="",$L24=""),"",$L24*$O24))))</f>
        <v>47280000</v>
      </c>
      <c r="S24" s="85" t="n">
        <f aca="false">IF(OR(NOT(ISNUMBER($R24)),$M24=""),"",$R24-$M24)</f>
        <v>3280000</v>
      </c>
      <c r="T24" s="86" t="n">
        <f aca="false">IF(OR($S24="",N($M24)=0),"",$S24/$M24)</f>
        <v>0.0745454545454545</v>
      </c>
      <c r="U24" s="82" t="n">
        <v>3600000</v>
      </c>
      <c r="V24" s="82"/>
      <c r="W24" s="87" t="n">
        <v>0.126</v>
      </c>
      <c r="X24" s="79" t="str">
        <f aca="false">IF($AJ24="","",INDEX(Securities!$L$6:$L$105,$AJ24)&amp;"")</f>
        <v>Nifty REITs &amp; InvITs Index</v>
      </c>
      <c r="Y24" s="87" t="n">
        <v>0.119</v>
      </c>
      <c r="Z24" s="87" t="n">
        <v>0.091</v>
      </c>
      <c r="AA24" s="86" t="n">
        <f aca="false">IF(OR($W24="",$Z24=""),"",$W24-$Z24)</f>
        <v>0.035</v>
      </c>
      <c r="AB24" s="79" t="str">
        <f aca="false">IF($C24="","",IF($P24="At cost","At cost",IF(NOT(ISNUMBER($J24)),"No date",IF(ValDate-$J24&lt;365,"Absolute",IF($W24="","XIRR missing","XIRR")))))</f>
        <v>XIRR</v>
      </c>
      <c r="AC24" s="86" t="n">
        <f aca="false">IF(NOT(ISNUMBER($R24)),"",IF(SUM($R$6:$R$205)=0,"",$R24/SUM($R$6:$R$205)))</f>
        <v>0.0341434628551506</v>
      </c>
      <c r="AD24" s="82" t="n">
        <v>46081871</v>
      </c>
      <c r="AE24" s="80" t="n">
        <v>46203</v>
      </c>
      <c r="AF24" s="78" t="s">
        <v>356</v>
      </c>
      <c r="AG24" s="88" t="str">
        <f aca="false">IF($C24="","",IF(COUNTIFS('Tax Lots'!$B$6:$B$205,$B24,'Tax Lots'!$C$6:$C$205,$C24)=0,"",SUMIFS('Tax Lots'!$P$6:$P$205,'Tax Lots'!$B$6:$B$205,$B24,'Tax Lots'!$C$6:$C$205,$C24)))</f>
        <v/>
      </c>
      <c r="AH24" s="79" t="str">
        <f aca="false">IF($A24&amp;$B24&amp;$C24="","",IF($A24="","Missing ID",IF(COUNTIF($A$6:$A$205,$A24)&gt;1,"Duplicate ID",IF($AI24="","Unknown account",IF($AJ24="","Unknown security",IF(COUNTIFS($B$6:$B$205,$B24,$C$6:$C$205,$C24)&gt;1,"Same security twice in one account",IF(AND(ISNUMBER($J24),ISNUMBER($K24),N($K24)&lt;N($J24)),"Last date before first",IF(NOT(ISNUMBER($R24)),"No market value",IF(OR(N($J24)&gt;ValDate,N($K24)&gt;ValDate),"Date after valuation",IF(AND(ISNUMBER($AG24),ABS(N($L24)-N($AG24))&gt;0.001),"Lot quantity differs",IF(AND(ISNUMBER($AG24),ABS(N($M24)-SUMIFS('Tax Lots'!$Q$6:$Q$205,'Tax Lots'!$B$6:$B$205,$B24,'Tax Lots'!$C$6:$C$205,$C24))&gt;1),"Lot cost differs",IF(AND(ISNUMBER($AG24),ABS(N($V24)-SUMIFS('Tax Lots'!$AA$6:$AA$205,'Tax Lots'!$B$6:$B$205,$B24,'Tax Lots'!$C$6:$C$205,$C24))&gt;1),"Lot realised gain differs","OK"))))))))))))</f>
        <v>OK</v>
      </c>
      <c r="AI24" s="89" t="n">
        <f aca="false">IF($B24="","",IFERROR(MATCH($B24,Accounts!$A$6:$A$55,0),""))</f>
        <v>8</v>
      </c>
      <c r="AJ24" s="89" t="n">
        <f aca="false">IF($C24="","",IFERROR(MATCH($C24,Securities!$A$6:$A$105,0),""))</f>
        <v>21</v>
      </c>
      <c r="AK24" s="89" t="str">
        <f aca="false">IF($AI24="","",INDEX(Accounts!$B$6:$B$55,$AI24)&amp;"")</f>
        <v>E04</v>
      </c>
      <c r="AL24" s="89" t="str">
        <f aca="false">IF(OR($C24="",$I24="",NOT(ISNUMBER($R24))),"",$I24&amp;"|"&amp;(SUMPRODUCT(($I$6:$I$205=$I24)*ISNUMBER($R$6:$R$205)*($R$6:$R$205&gt;$R24))+SUMPRODUCT(($I$6:$I24=$I24)*ISNUMBER($R$6:$R24)*($R$6:$R24=$R24))))</f>
        <v>SG|7</v>
      </c>
      <c r="AM24" s="89" t="n">
        <f aca="false">IF(AND(ISNUMBER($R24),$W24&lt;&gt;"",$Z24&lt;&gt;"",$AB24="XIRR"),$R24*$W24,0)</f>
        <v>5957280</v>
      </c>
      <c r="AN24" s="90" t="n">
        <f aca="false">IF(AND(ISNUMBER($R24),$W24&lt;&gt;"",$Z24&lt;&gt;"",$AB24="XIRR"),$R24,0)</f>
        <v>47280000</v>
      </c>
      <c r="AO24" s="89" t="n">
        <f aca="false">IF(AND(ISNUMBER($R24),$W24&lt;&gt;"",$Z24&lt;&gt;"",$AB24="XIRR"),$R24*$Z24,0)</f>
        <v>4302480</v>
      </c>
      <c r="AP24" s="89" t="n">
        <f aca="false">IF(AND(ISNUMBER($M24),$Y24&lt;&gt;"",ISNUMBER($T24)),$M24*$Y24,0)</f>
        <v>5236000</v>
      </c>
      <c r="AQ24" s="90" t="n">
        <f aca="false">IF(AND(ISNUMBER($M24),$Y24&lt;&gt;"",ISNUMBER($T24)),$M24,0)</f>
        <v>44000000</v>
      </c>
    </row>
    <row r="25" customFormat="false" ht="15" hidden="false" customHeight="false" outlineLevel="0" collapsed="false">
      <c r="A25" s="77" t="s">
        <v>363</v>
      </c>
      <c r="B25" s="78" t="s">
        <v>364</v>
      </c>
      <c r="C25" s="78" t="s">
        <v>365</v>
      </c>
      <c r="D25" s="79" t="str">
        <f aca="false">IF($AI25="","",INDEX(Accounts!$C$6:$C$55,$AI25)&amp;"")</f>
        <v>Malhotra Holdings LLP</v>
      </c>
      <c r="E25" s="79" t="str">
        <f aca="false">IF($AI25="","",INDEX(Accounts!$F$6:$F$55,$AI25)&amp;"")</f>
        <v>Self-directed</v>
      </c>
      <c r="F25" s="79" t="str">
        <f aca="false">IF($AJ25="","",INDEX(Securities!$B$6:$B$105,$AJ25)&amp;"")</f>
        <v>Meridian Bank – Operating Current Account</v>
      </c>
      <c r="G25" s="79" t="str">
        <f aca="false">IF($AJ25="","",INDEX(Securities!$F$6:$F$105,$AJ25)&amp;"")</f>
        <v>Cash</v>
      </c>
      <c r="H25" s="79" t="str">
        <f aca="false">IF($AJ25="","",INDEX(Securities!$E$6:$E$105,$AJ25)&amp;"")</f>
        <v>Bank / Cash Balance</v>
      </c>
      <c r="I25" s="79" t="str">
        <f aca="false">IF($AJ25="","",INDEX(Securities!$H$6:$H$105,$AJ25)&amp;"")</f>
        <v>LQ</v>
      </c>
      <c r="J25" s="80"/>
      <c r="K25" s="80"/>
      <c r="L25" s="81"/>
      <c r="M25" s="82" t="n">
        <v>37450000</v>
      </c>
      <c r="N25" s="83" t="str">
        <f aca="false">IF(OR($L25="",$M25=""),"",IF(N($L25)=0,"",$M25/$L25))</f>
        <v/>
      </c>
      <c r="O25" s="84" t="str">
        <f aca="false">IF($AJ25="","",IF(INDEX(Securities!$O$6:$O$105,$AJ25)="","",INDEX(Securities!$O$6:$O$105,$AJ25)))</f>
        <v/>
      </c>
      <c r="P25" s="79" t="str">
        <f aca="false">IF($AJ25="","",INDEX(Securities!$N$6:$N$105,$AJ25)&amp;"")</f>
        <v>Statement value</v>
      </c>
      <c r="Q25" s="82" t="n">
        <v>37450000</v>
      </c>
      <c r="R25" s="85" t="n">
        <f aca="false">IF($C25="","",IF($Q25&lt;&gt;"",$Q25,IF($P25="At cost",IF($M25="","",$M25),IF(OR($O25="",$L25=""),"",$L25*$O25))))</f>
        <v>37450000</v>
      </c>
      <c r="S25" s="85" t="n">
        <f aca="false">IF(OR(NOT(ISNUMBER($R25)),$M25=""),"",$R25-$M25)</f>
        <v>0</v>
      </c>
      <c r="T25" s="86" t="n">
        <f aca="false">IF(OR($S25="",N($M25)=0),"",$S25/$M25)</f>
        <v>0</v>
      </c>
      <c r="U25" s="82" t="n">
        <v>185000</v>
      </c>
      <c r="V25" s="82"/>
      <c r="W25" s="87"/>
      <c r="X25" s="79" t="str">
        <f aca="false">IF($AJ25="","",INDEX(Securities!$L$6:$L$105,$AJ25)&amp;"")</f>
        <v/>
      </c>
      <c r="Y25" s="87"/>
      <c r="Z25" s="87"/>
      <c r="AA25" s="86" t="str">
        <f aca="false">IF(OR($W25="",$Z25=""),"",$W25-$Z25)</f>
        <v/>
      </c>
      <c r="AB25" s="79" t="str">
        <f aca="false">IF($C25="","",IF($P25="At cost","At cost",IF(NOT(ISNUMBER($J25)),"No date",IF(ValDate-$J25&lt;365,"Absolute",IF($W25="","XIRR missing","XIRR")))))</f>
        <v>No date</v>
      </c>
      <c r="AC25" s="86" t="n">
        <f aca="false">IF(NOT(ISNUMBER($R25)),"",IF(SUM($R$6:$R$205)=0,"",$R25/SUM($R$6:$R$205)))</f>
        <v>0.0270446845161885</v>
      </c>
      <c r="AD25" s="82" t="n">
        <v>37450000</v>
      </c>
      <c r="AE25" s="80" t="n">
        <v>46203</v>
      </c>
      <c r="AF25" s="78" t="s">
        <v>366</v>
      </c>
      <c r="AG25" s="88" t="str">
        <f aca="false">IF($C25="","",IF(COUNTIFS('Tax Lots'!$B$6:$B$205,$B25,'Tax Lots'!$C$6:$C$205,$C25)=0,"",SUMIFS('Tax Lots'!$P$6:$P$205,'Tax Lots'!$B$6:$B$205,$B25,'Tax Lots'!$C$6:$C$205,$C25)))</f>
        <v/>
      </c>
      <c r="AH25" s="79" t="str">
        <f aca="false">IF($A25&amp;$B25&amp;$C25="","",IF($A25="","Missing ID",IF(COUNTIF($A$6:$A$205,$A25)&gt;1,"Duplicate ID",IF($AI25="","Unknown account",IF($AJ25="","Unknown security",IF(COUNTIFS($B$6:$B$205,$B25,$C$6:$C$205,$C25)&gt;1,"Same security twice in one account",IF(AND(ISNUMBER($J25),ISNUMBER($K25),N($K25)&lt;N($J25)),"Last date before first",IF(NOT(ISNUMBER($R25)),"No market value",IF(OR(N($J25)&gt;ValDate,N($K25)&gt;ValDate),"Date after valuation",IF(AND(ISNUMBER($AG25),ABS(N($L25)-N($AG25))&gt;0.001),"Lot quantity differs",IF(AND(ISNUMBER($AG25),ABS(N($M25)-SUMIFS('Tax Lots'!$Q$6:$Q$205,'Tax Lots'!$B$6:$B$205,$B25,'Tax Lots'!$C$6:$C$205,$C25))&gt;1),"Lot cost differs",IF(AND(ISNUMBER($AG25),ABS(N($V25)-SUMIFS('Tax Lots'!$AA$6:$AA$205,'Tax Lots'!$B$6:$B$205,$B25,'Tax Lots'!$C$6:$C$205,$C25))&gt;1),"Lot realised gain differs","OK"))))))))))))</f>
        <v>OK</v>
      </c>
      <c r="AI25" s="89" t="n">
        <f aca="false">IF($B25="","",IFERROR(MATCH($B25,Accounts!$A$6:$A$55,0),""))</f>
        <v>7</v>
      </c>
      <c r="AJ25" s="89" t="n">
        <f aca="false">IF($C25="","",IFERROR(MATCH($C25,Securities!$A$6:$A$105,0),""))</f>
        <v>15</v>
      </c>
      <c r="AK25" s="89" t="str">
        <f aca="false">IF($AI25="","",INDEX(Accounts!$B$6:$B$55,$AI25)&amp;"")</f>
        <v>E05</v>
      </c>
      <c r="AL25" s="89" t="str">
        <f aca="false">IF(OR($C25="",$I25="",NOT(ISNUMBER($R25))),"",$I25&amp;"|"&amp;(SUMPRODUCT(($I$6:$I$205=$I25)*ISNUMBER($R$6:$R$205)*($R$6:$R$205&gt;$R25))+SUMPRODUCT(($I$6:$I25=$I25)*ISNUMBER($R$6:$R25)*($R$6:$R25=$R25))))</f>
        <v>LQ|3</v>
      </c>
      <c r="AM25" s="89" t="n">
        <f aca="false">IF(AND(ISNUMBER($R25),$W25&lt;&gt;"",$Z25&lt;&gt;"",$AB25="XIRR"),$R25*$W25,0)</f>
        <v>0</v>
      </c>
      <c r="AN25" s="89" t="n">
        <f aca="false">IF(AND(ISNUMBER($R25),$W25&lt;&gt;"",$Z25&lt;&gt;"",$AB25="XIRR"),$R25,0)</f>
        <v>0</v>
      </c>
      <c r="AO25" s="89" t="n">
        <f aca="false">IF(AND(ISNUMBER($R25),$W25&lt;&gt;"",$Z25&lt;&gt;"",$AB25="XIRR"),$R25*$Z25,0)</f>
        <v>0</v>
      </c>
      <c r="AP25" s="89" t="n">
        <f aca="false">IF(AND(ISNUMBER($M25),$Y25&lt;&gt;"",ISNUMBER($T25)),$M25*$Y25,0)</f>
        <v>0</v>
      </c>
      <c r="AQ25" s="89" t="n">
        <f aca="false">IF(AND(ISNUMBER($M25),$Y25&lt;&gt;"",ISNUMBER($T25)),$M25,0)</f>
        <v>0</v>
      </c>
    </row>
    <row r="26" customFormat="false" ht="15" hidden="false" customHeight="false" outlineLevel="0" collapsed="false">
      <c r="A26" s="77" t="s">
        <v>367</v>
      </c>
      <c r="B26" s="78" t="s">
        <v>368</v>
      </c>
      <c r="C26" s="78" t="s">
        <v>369</v>
      </c>
      <c r="D26" s="79" t="str">
        <f aca="false">IF($AI26="","",INDEX(Accounts!$C$6:$C$55,$AI26)&amp;"")</f>
        <v>Malhotra Holdings LLP</v>
      </c>
      <c r="E26" s="79" t="str">
        <f aca="false">IF($AI26="","",INDEX(Accounts!$F$6:$F$55,$AI26)&amp;"")</f>
        <v>Self-directed</v>
      </c>
      <c r="F26" s="79" t="str">
        <f aca="false">IF($AJ26="","",INDEX(Securities!$B$6:$B$105,$AJ26)&amp;"")</f>
        <v>Rangoli Foods Pvt Ltd – Equity</v>
      </c>
      <c r="G26" s="79" t="str">
        <f aca="false">IF($AJ26="","",INDEX(Securities!$F$6:$F$105,$AJ26)&amp;"")</f>
        <v>Alternate</v>
      </c>
      <c r="H26" s="79" t="str">
        <f aca="false">IF($AJ26="","",INDEX(Securities!$E$6:$E$105,$AJ26)&amp;"")</f>
        <v>Pre-IPO</v>
      </c>
      <c r="I26" s="79" t="str">
        <f aca="false">IF($AJ26="","",INDEX(Securities!$H$6:$H$105,$AJ26)&amp;"")</f>
        <v>EG</v>
      </c>
      <c r="J26" s="80" t="n">
        <v>45979</v>
      </c>
      <c r="K26" s="80"/>
      <c r="L26" s="81" t="n">
        <v>80000</v>
      </c>
      <c r="M26" s="82" t="n">
        <v>32000000</v>
      </c>
      <c r="N26" s="83" t="n">
        <f aca="false">IF(OR($L26="",$M26=""),"",IF(N($L26)=0,"",$M26/$L26))</f>
        <v>400</v>
      </c>
      <c r="O26" s="84" t="str">
        <f aca="false">IF($AJ26="","",IF(INDEX(Securities!$O$6:$O$105,$AJ26)="","",INDEX(Securities!$O$6:$O$105,$AJ26)))</f>
        <v/>
      </c>
      <c r="P26" s="79" t="str">
        <f aca="false">IF($AJ26="","",INDEX(Securities!$N$6:$N$105,$AJ26)&amp;"")</f>
        <v>At cost</v>
      </c>
      <c r="Q26" s="82"/>
      <c r="R26" s="85" t="n">
        <f aca="false">IF($C26="","",IF($Q26&lt;&gt;"",$Q26,IF($P26="At cost",IF($M26="","",$M26),IF(OR($O26="",$L26=""),"",$L26*$O26))))</f>
        <v>32000000</v>
      </c>
      <c r="S26" s="85" t="n">
        <f aca="false">IF(OR(NOT(ISNUMBER($R26)),$M26=""),"",$R26-$M26)</f>
        <v>0</v>
      </c>
      <c r="T26" s="86" t="n">
        <f aca="false">IF(OR($S26="",N($M26)=0),"",$S26/$M26)</f>
        <v>0</v>
      </c>
      <c r="U26" s="82"/>
      <c r="V26" s="82"/>
      <c r="W26" s="87"/>
      <c r="X26" s="79" t="str">
        <f aca="false">IF($AJ26="","",INDEX(Securities!$L$6:$L$105,$AJ26)&amp;"")</f>
        <v/>
      </c>
      <c r="Y26" s="87"/>
      <c r="Z26" s="87"/>
      <c r="AA26" s="86" t="str">
        <f aca="false">IF(OR($W26="",$Z26=""),"",$W26-$Z26)</f>
        <v/>
      </c>
      <c r="AB26" s="79" t="str">
        <f aca="false">IF($C26="","",IF($P26="At cost","At cost",IF(NOT(ISNUMBER($J26)),"No date",IF(ValDate-$J26&lt;365,"Absolute",IF($W26="","XIRR missing","XIRR")))))</f>
        <v>At cost</v>
      </c>
      <c r="AC26" s="86" t="n">
        <f aca="false">IF(NOT(ISNUMBER($R26)),"",IF(SUM($R$6:$R$205)=0,"",$R26/SUM($R$6:$R$205)))</f>
        <v>0.0231089427107618</v>
      </c>
      <c r="AD26" s="82" t="n">
        <v>32000000</v>
      </c>
      <c r="AE26" s="80" t="n">
        <v>46203</v>
      </c>
      <c r="AF26" s="78" t="s">
        <v>312</v>
      </c>
      <c r="AG26" s="88" t="str">
        <f aca="false">IF($C26="","",IF(COUNTIFS('Tax Lots'!$B$6:$B$205,$B26,'Tax Lots'!$C$6:$C$205,$C26)=0,"",SUMIFS('Tax Lots'!$P$6:$P$205,'Tax Lots'!$B$6:$B$205,$B26,'Tax Lots'!$C$6:$C$205,$C26)))</f>
        <v/>
      </c>
      <c r="AH26" s="79" t="str">
        <f aca="false">IF($A26&amp;$B26&amp;$C26="","",IF($A26="","Missing ID",IF(COUNTIF($A$6:$A$205,$A26)&gt;1,"Duplicate ID",IF($AI26="","Unknown account",IF($AJ26="","Unknown security",IF(COUNTIFS($B$6:$B$205,$B26,$C$6:$C$205,$C26)&gt;1,"Same security twice in one account",IF(AND(ISNUMBER($J26),ISNUMBER($K26),N($K26)&lt;N($J26)),"Last date before first",IF(NOT(ISNUMBER($R26)),"No market value",IF(OR(N($J26)&gt;ValDate,N($K26)&gt;ValDate),"Date after valuation",IF(AND(ISNUMBER($AG26),ABS(N($L26)-N($AG26))&gt;0.001),"Lot quantity differs",IF(AND(ISNUMBER($AG26),ABS(N($M26)-SUMIFS('Tax Lots'!$Q$6:$Q$205,'Tax Lots'!$B$6:$B$205,$B26,'Tax Lots'!$C$6:$C$205,$C26))&gt;1),"Lot cost differs",IF(AND(ISNUMBER($AG26),ABS(N($V26)-SUMIFS('Tax Lots'!$AA$6:$AA$205,'Tax Lots'!$B$6:$B$205,$B26,'Tax Lots'!$C$6:$C$205,$C26))&gt;1),"Lot realised gain differs","OK"))))))))))))</f>
        <v>OK</v>
      </c>
      <c r="AI26" s="89" t="n">
        <f aca="false">IF($B26="","",IFERROR(MATCH($B26,Accounts!$A$6:$A$55,0),""))</f>
        <v>13</v>
      </c>
      <c r="AJ26" s="89" t="n">
        <f aca="false">IF($C26="","",IFERROR(MATCH($C26,Securities!$A$6:$A$105,0),""))</f>
        <v>20</v>
      </c>
      <c r="AK26" s="89" t="str">
        <f aca="false">IF($AI26="","",INDEX(Accounts!$B$6:$B$55,$AI26)&amp;"")</f>
        <v>E05</v>
      </c>
      <c r="AL26" s="89" t="str">
        <f aca="false">IF(OR($C26="",$I26="",NOT(ISNUMBER($R26))),"",$I26&amp;"|"&amp;(SUMPRODUCT(($I$6:$I$205=$I26)*ISNUMBER($R$6:$R$205)*($R$6:$R$205&gt;$R26))+SUMPRODUCT(($I$6:$I26=$I26)*ISNUMBER($R$6:$R26)*($R$6:$R26=$R26))))</f>
        <v>EG|2</v>
      </c>
      <c r="AM26" s="89" t="n">
        <f aca="false">IF(AND(ISNUMBER($R26),$W26&lt;&gt;"",$Z26&lt;&gt;"",$AB26="XIRR"),$R26*$W26,0)</f>
        <v>0</v>
      </c>
      <c r="AN26" s="89" t="n">
        <f aca="false">IF(AND(ISNUMBER($R26),$W26&lt;&gt;"",$Z26&lt;&gt;"",$AB26="XIRR"),$R26,0)</f>
        <v>0</v>
      </c>
      <c r="AO26" s="89" t="n">
        <f aca="false">IF(AND(ISNUMBER($R26),$W26&lt;&gt;"",$Z26&lt;&gt;"",$AB26="XIRR"),$R26*$Z26,0)</f>
        <v>0</v>
      </c>
      <c r="AP26" s="89" t="n">
        <f aca="false">IF(AND(ISNUMBER($M26),$Y26&lt;&gt;"",ISNUMBER($T26)),$M26*$Y26,0)</f>
        <v>0</v>
      </c>
      <c r="AQ26" s="89" t="n">
        <f aca="false">IF(AND(ISNUMBER($M26),$Y26&lt;&gt;"",ISNUMBER($T26)),$M26,0)</f>
        <v>0</v>
      </c>
    </row>
    <row r="27" customFormat="false" ht="15" hidden="false" customHeight="false" outlineLevel="0" collapsed="false">
      <c r="A27" s="77" t="s">
        <v>370</v>
      </c>
      <c r="B27" s="78" t="s">
        <v>371</v>
      </c>
      <c r="C27" s="78" t="s">
        <v>346</v>
      </c>
      <c r="D27" s="79" t="str">
        <f aca="false">IF($AI27="","",INDEX(Accounts!$C$6:$C$55,$AI27)&amp;"")</f>
        <v>Malhotra Holdings LLP</v>
      </c>
      <c r="E27" s="79" t="str">
        <f aca="false">IF($AI27="","",INDEX(Accounts!$F$6:$F$55,$AI27)&amp;"")</f>
        <v>Orchid Wealth Advisors</v>
      </c>
      <c r="F27" s="79" t="str">
        <f aca="false">IF($AJ27="","",INDEX(Securities!$B$6:$B$105,$AJ27)&amp;"")</f>
        <v>Lotus Liquid Fund – Direct Growth</v>
      </c>
      <c r="G27" s="79" t="str">
        <f aca="false">IF($AJ27="","",INDEX(Securities!$F$6:$F$105,$AJ27)&amp;"")</f>
        <v>Cash</v>
      </c>
      <c r="H27" s="79" t="str">
        <f aca="false">IF($AJ27="","",INDEX(Securities!$E$6:$E$105,$AJ27)&amp;"")</f>
        <v>Liquid / Overnight Fund</v>
      </c>
      <c r="I27" s="79" t="str">
        <f aca="false">IF($AJ27="","",INDEX(Securities!$H$6:$H$105,$AJ27)&amp;"")</f>
        <v>LQ</v>
      </c>
      <c r="J27" s="80" t="n">
        <v>46027</v>
      </c>
      <c r="K27" s="80"/>
      <c r="L27" s="81" t="n">
        <v>8790.127</v>
      </c>
      <c r="M27" s="82" t="n">
        <v>29500000</v>
      </c>
      <c r="N27" s="83" t="n">
        <f aca="false">IF(OR($L27="",$M27=""),"",IF(N($L27)=0,"",$M27/$L27))</f>
        <v>3356.03797305773</v>
      </c>
      <c r="O27" s="84" t="n">
        <f aca="false">IF($AJ27="","",IF(INDEX(Securities!$O$6:$O$105,$AJ27)="","",INDEX(Securities!$O$6:$O$105,$AJ27)))</f>
        <v>3412.5543</v>
      </c>
      <c r="P27" s="79" t="str">
        <f aca="false">IF($AJ27="","",INDEX(Securities!$N$6:$N$105,$AJ27)&amp;"")</f>
        <v>NAV</v>
      </c>
      <c r="Q27" s="82"/>
      <c r="R27" s="85" t="n">
        <f aca="false">IF($C27="","",IF($Q27&lt;&gt;"",$Q27,IF($P27="At cost",IF($M27="","",$M27),IF(OR($O27="",$L27=""),"",$L27*$O27))))</f>
        <v>29996785.6913961</v>
      </c>
      <c r="S27" s="85" t="n">
        <f aca="false">IF(OR(NOT(ISNUMBER($R27)),$M27=""),"",$R27-$M27)</f>
        <v>496785.691396099</v>
      </c>
      <c r="T27" s="86" t="n">
        <f aca="false">IF(OR($S27="",N($M27)=0),"",$S27/$M27)</f>
        <v>0.0168401929286813</v>
      </c>
      <c r="U27" s="82"/>
      <c r="V27" s="82"/>
      <c r="W27" s="87"/>
      <c r="X27" s="79" t="str">
        <f aca="false">IF($AJ27="","",INDEX(Securities!$L$6:$L$105,$AJ27)&amp;"")</f>
        <v>CRISIL Liquid Debt Index</v>
      </c>
      <c r="Y27" s="87" t="n">
        <v>0.017</v>
      </c>
      <c r="Z27" s="87"/>
      <c r="AA27" s="86" t="str">
        <f aca="false">IF(OR($W27="",$Z27=""),"",$W27-$Z27)</f>
        <v/>
      </c>
      <c r="AB27" s="79" t="str">
        <f aca="false">IF($C27="","",IF($P27="At cost","At cost",IF(NOT(ISNUMBER($J27)),"No date",IF(ValDate-$J27&lt;365,"Absolute",IF($W27="","XIRR missing","XIRR")))))</f>
        <v>Absolute</v>
      </c>
      <c r="AC27" s="86" t="n">
        <f aca="false">IF(NOT(ISNUMBER($R27)),"",IF(SUM($R$6:$R$205)=0,"",$R27/SUM($R$6:$R$205)))</f>
        <v>0.021662312564046</v>
      </c>
      <c r="AD27" s="82" t="n">
        <v>29495364</v>
      </c>
      <c r="AE27" s="80" t="n">
        <v>46203</v>
      </c>
      <c r="AF27" s="78" t="s">
        <v>328</v>
      </c>
      <c r="AG27" s="88" t="str">
        <f aca="false">IF($C27="","",IF(COUNTIFS('Tax Lots'!$B$6:$B$205,$B27,'Tax Lots'!$C$6:$C$205,$C27)=0,"",SUMIFS('Tax Lots'!$P$6:$P$205,'Tax Lots'!$B$6:$B$205,$B27,'Tax Lots'!$C$6:$C$205,$C27)))</f>
        <v/>
      </c>
      <c r="AH27" s="79" t="str">
        <f aca="false">IF($A27&amp;$B27&amp;$C27="","",IF($A27="","Missing ID",IF(COUNTIF($A$6:$A$205,$A27)&gt;1,"Duplicate ID",IF($AI27="","Unknown account",IF($AJ27="","Unknown security",IF(COUNTIFS($B$6:$B$205,$B27,$C$6:$C$205,$C27)&gt;1,"Same security twice in one account",IF(AND(ISNUMBER($J27),ISNUMBER($K27),N($K27)&lt;N($J27)),"Last date before first",IF(NOT(ISNUMBER($R27)),"No market value",IF(OR(N($J27)&gt;ValDate,N($K27)&gt;ValDate),"Date after valuation",IF(AND(ISNUMBER($AG27),ABS(N($L27)-N($AG27))&gt;0.001),"Lot quantity differs",IF(AND(ISNUMBER($AG27),ABS(N($M27)-SUMIFS('Tax Lots'!$Q$6:$Q$205,'Tax Lots'!$B$6:$B$205,$B27,'Tax Lots'!$C$6:$C$205,$C27))&gt;1),"Lot cost differs",IF(AND(ISNUMBER($AG27),ABS(N($V27)-SUMIFS('Tax Lots'!$AA$6:$AA$205,'Tax Lots'!$B$6:$B$205,$B27,'Tax Lots'!$C$6:$C$205,$C27))&gt;1),"Lot realised gain differs","OK"))))))))))))</f>
        <v>OK</v>
      </c>
      <c r="AI27" s="89" t="n">
        <f aca="false">IF($B27="","",IFERROR(MATCH($B27,Accounts!$A$6:$A$55,0),""))</f>
        <v>11</v>
      </c>
      <c r="AJ27" s="89" t="n">
        <f aca="false">IF($C27="","",IFERROR(MATCH($C27,Securities!$A$6:$A$105,0),""))</f>
        <v>13</v>
      </c>
      <c r="AK27" s="89" t="str">
        <f aca="false">IF($AI27="","",INDEX(Accounts!$B$6:$B$55,$AI27)&amp;"")</f>
        <v>E05</v>
      </c>
      <c r="AL27" s="89" t="str">
        <f aca="false">IF(OR($C27="",$I27="",NOT(ISNUMBER($R27))),"",$I27&amp;"|"&amp;(SUMPRODUCT(($I$6:$I$205=$I27)*ISNUMBER($R$6:$R$205)*($R$6:$R$205&gt;$R27))+SUMPRODUCT(($I$6:$I27=$I27)*ISNUMBER($R$6:$R27)*($R$6:$R27=$R27))))</f>
        <v>LQ|4</v>
      </c>
      <c r="AM27" s="89" t="n">
        <f aca="false">IF(AND(ISNUMBER($R27),$W27&lt;&gt;"",$Z27&lt;&gt;"",$AB27="XIRR"),$R27*$W27,0)</f>
        <v>0</v>
      </c>
      <c r="AN27" s="89" t="n">
        <f aca="false">IF(AND(ISNUMBER($R27),$W27&lt;&gt;"",$Z27&lt;&gt;"",$AB27="XIRR"),$R27,0)</f>
        <v>0</v>
      </c>
      <c r="AO27" s="89" t="n">
        <f aca="false">IF(AND(ISNUMBER($R27),$W27&lt;&gt;"",$Z27&lt;&gt;"",$AB27="XIRR"),$R27*$Z27,0)</f>
        <v>0</v>
      </c>
      <c r="AP27" s="89" t="n">
        <f aca="false">IF(AND(ISNUMBER($M27),$Y27&lt;&gt;"",ISNUMBER($T27)),$M27*$Y27,0)</f>
        <v>501500</v>
      </c>
      <c r="AQ27" s="90" t="n">
        <f aca="false">IF(AND(ISNUMBER($M27),$Y27&lt;&gt;"",ISNUMBER($T27)),$M27,0)</f>
        <v>29500000</v>
      </c>
    </row>
    <row r="28" customFormat="false" ht="15" hidden="false" customHeight="false" outlineLevel="0" collapsed="false">
      <c r="A28" s="77" t="s">
        <v>372</v>
      </c>
      <c r="B28" s="78" t="s">
        <v>373</v>
      </c>
      <c r="C28" s="78" t="s">
        <v>374</v>
      </c>
      <c r="D28" s="79" t="str">
        <f aca="false">IF($AI28="","",INDEX(Accounts!$C$6:$C$55,$AI28)&amp;"")</f>
        <v>Malhotra Family Trust</v>
      </c>
      <c r="E28" s="79" t="str">
        <f aca="false">IF($AI28="","",INDEX(Accounts!$F$6:$F$55,$AI28)&amp;"")</f>
        <v>Sahyadri Investment Managers</v>
      </c>
      <c r="F28" s="79" t="str">
        <f aca="false">IF($AJ28="","",INDEX(Securities!$B$6:$B$105,$AJ28)&amp;"")</f>
        <v>Sahyadri Private Credit Fund – Series I</v>
      </c>
      <c r="G28" s="79" t="str">
        <f aca="false">IF($AJ28="","",INDEX(Securities!$F$6:$F$105,$AJ28)&amp;"")</f>
        <v>Debt</v>
      </c>
      <c r="H28" s="79" t="str">
        <f aca="false">IF($AJ28="","",INDEX(Securities!$E$6:$E$105,$AJ28)&amp;"")</f>
        <v>AIF Cat II – Private Credit</v>
      </c>
      <c r="I28" s="79" t="str">
        <f aca="false">IF($AJ28="","",INDEX(Securities!$H$6:$H$105,$AJ28)&amp;"")</f>
        <v>SG</v>
      </c>
      <c r="J28" s="80" t="n">
        <v>46037</v>
      </c>
      <c r="K28" s="80" t="n">
        <v>46162</v>
      </c>
      <c r="L28" s="81" t="n">
        <v>10000</v>
      </c>
      <c r="M28" s="82" t="n">
        <v>10000000</v>
      </c>
      <c r="N28" s="83" t="n">
        <f aca="false">IF(OR($L28="",$M28=""),"",IF(N($L28)=0,"",$M28/$L28))</f>
        <v>1000</v>
      </c>
      <c r="O28" s="84" t="n">
        <f aca="false">IF($AJ28="","",IF(INDEX(Securities!$O$6:$O$105,$AJ28)="","",INDEX(Securities!$O$6:$O$105,$AJ28)))</f>
        <v>1038.2</v>
      </c>
      <c r="P28" s="79" t="str">
        <f aca="false">IF($AJ28="","",INDEX(Securities!$N$6:$N$105,$AJ28)&amp;"")</f>
        <v>NAV</v>
      </c>
      <c r="Q28" s="82"/>
      <c r="R28" s="85" t="n">
        <f aca="false">IF($C28="","",IF($Q28&lt;&gt;"",$Q28,IF($P28="At cost",IF($M28="","",$M28),IF(OR($O28="",$L28=""),"",$L28*$O28))))</f>
        <v>10382000</v>
      </c>
      <c r="S28" s="85" t="n">
        <f aca="false">IF(OR(NOT(ISNUMBER($R28)),$M28=""),"",$R28-$M28)</f>
        <v>382000</v>
      </c>
      <c r="T28" s="86" t="n">
        <f aca="false">IF(OR($S28="",N($M28)=0),"",$S28/$M28)</f>
        <v>0.0382</v>
      </c>
      <c r="U28" s="82"/>
      <c r="V28" s="82"/>
      <c r="W28" s="87"/>
      <c r="X28" s="79" t="str">
        <f aca="false">IF($AJ28="","",INDEX(Securities!$L$6:$L$105,$AJ28)&amp;"")</f>
        <v>CRISIL Composite Bond Index</v>
      </c>
      <c r="Y28" s="87" t="n">
        <v>0.031</v>
      </c>
      <c r="Z28" s="87"/>
      <c r="AA28" s="86" t="str">
        <f aca="false">IF(OR($W28="",$Z28=""),"",$W28-$Z28)</f>
        <v/>
      </c>
      <c r="AB28" s="79" t="str">
        <f aca="false">IF($C28="","",IF($P28="At cost","At cost",IF(NOT(ISNUMBER($J28)),"No date",IF(ValDate-$J28&lt;365,"Absolute",IF($W28="","XIRR missing","XIRR")))))</f>
        <v>Absolute</v>
      </c>
      <c r="AC28" s="86" t="n">
        <f aca="false">IF(NOT(ISNUMBER($R28)),"",IF(SUM($R$6:$R$205)=0,"",$R28/SUM($R$6:$R$205)))</f>
        <v>0.00749740760072279</v>
      </c>
      <c r="AD28" s="82" t="n">
        <v>5200000</v>
      </c>
      <c r="AE28" s="80" t="n">
        <v>46112</v>
      </c>
      <c r="AF28" s="78" t="s">
        <v>375</v>
      </c>
      <c r="AG28" s="88" t="str">
        <f aca="false">IF($C28="","",IF(COUNTIFS('Tax Lots'!$B$6:$B$205,$B28,'Tax Lots'!$C$6:$C$205,$C28)=0,"",SUMIFS('Tax Lots'!$P$6:$P$205,'Tax Lots'!$B$6:$B$205,$B28,'Tax Lots'!$C$6:$C$205,$C28)))</f>
        <v/>
      </c>
      <c r="AH28" s="79" t="str">
        <f aca="false">IF($A28&amp;$B28&amp;$C28="","",IF($A28="","Missing ID",IF(COUNTIF($A$6:$A$205,$A28)&gt;1,"Duplicate ID",IF($AI28="","Unknown account",IF($AJ28="","Unknown security",IF(COUNTIFS($B$6:$B$205,$B28,$C$6:$C$205,$C28)&gt;1,"Same security twice in one account",IF(AND(ISNUMBER($J28),ISNUMBER($K28),N($K28)&lt;N($J28)),"Last date before first",IF(NOT(ISNUMBER($R28)),"No market value",IF(OR(N($J28)&gt;ValDate,N($K28)&gt;ValDate),"Date after valuation",IF(AND(ISNUMBER($AG28),ABS(N($L28)-N($AG28))&gt;0.001),"Lot quantity differs",IF(AND(ISNUMBER($AG28),ABS(N($M28)-SUMIFS('Tax Lots'!$Q$6:$Q$205,'Tax Lots'!$B$6:$B$205,$B28,'Tax Lots'!$C$6:$C$205,$C28))&gt;1),"Lot cost differs",IF(AND(ISNUMBER($AG28),ABS(N($V28)-SUMIFS('Tax Lots'!$AA$6:$AA$205,'Tax Lots'!$B$6:$B$205,$B28,'Tax Lots'!$C$6:$C$205,$C28))&gt;1),"Lot realised gain differs","OK"))))))))))))</f>
        <v>OK</v>
      </c>
      <c r="AI28" s="89" t="n">
        <f aca="false">IF($B28="","",IFERROR(MATCH($B28,Accounts!$A$6:$A$55,0),""))</f>
        <v>12</v>
      </c>
      <c r="AJ28" s="89" t="n">
        <f aca="false">IF($C28="","",IFERROR(MATCH($C28,Securities!$A$6:$A$105,0),""))</f>
        <v>22</v>
      </c>
      <c r="AK28" s="89" t="str">
        <f aca="false">IF($AI28="","",INDEX(Accounts!$B$6:$B$55,$AI28)&amp;"")</f>
        <v>E04</v>
      </c>
      <c r="AL28" s="89" t="str">
        <f aca="false">IF(OR($C28="",$I28="",NOT(ISNUMBER($R28))),"",$I28&amp;"|"&amp;(SUMPRODUCT(($I$6:$I$205=$I28)*ISNUMBER($R$6:$R$205)*($R$6:$R$205&gt;$R28))+SUMPRODUCT(($I$6:$I28=$I28)*ISNUMBER($R$6:$R28)*($R$6:$R28=$R28))))</f>
        <v>SG|9</v>
      </c>
      <c r="AM28" s="89" t="n">
        <f aca="false">IF(AND(ISNUMBER($R28),$W28&lt;&gt;"",$Z28&lt;&gt;"",$AB28="XIRR"),$R28*$W28,0)</f>
        <v>0</v>
      </c>
      <c r="AN28" s="89" t="n">
        <f aca="false">IF(AND(ISNUMBER($R28),$W28&lt;&gt;"",$Z28&lt;&gt;"",$AB28="XIRR"),$R28,0)</f>
        <v>0</v>
      </c>
      <c r="AO28" s="89" t="n">
        <f aca="false">IF(AND(ISNUMBER($R28),$W28&lt;&gt;"",$Z28&lt;&gt;"",$AB28="XIRR"),$R28*$Z28,0)</f>
        <v>0</v>
      </c>
      <c r="AP28" s="89" t="n">
        <f aca="false">IF(AND(ISNUMBER($M28),$Y28&lt;&gt;"",ISNUMBER($T28)),$M28*$Y28,0)</f>
        <v>310000</v>
      </c>
      <c r="AQ28" s="90" t="n">
        <f aca="false">IF(AND(ISNUMBER($M28),$Y28&lt;&gt;"",ISNUMBER($T28)),$M28,0)</f>
        <v>10000000</v>
      </c>
    </row>
    <row r="29" customFormat="false" ht="15" hidden="false" customHeight="false" outlineLevel="0" collapsed="false">
      <c r="A29" s="77"/>
      <c r="B29" s="78"/>
      <c r="C29" s="78"/>
      <c r="D29" s="79" t="str">
        <f aca="false">IF($AI29="","",INDEX(Accounts!$C$6:$C$55,$AI29)&amp;"")</f>
        <v/>
      </c>
      <c r="E29" s="79" t="str">
        <f aca="false">IF($AI29="","",INDEX(Accounts!$F$6:$F$55,$AI29)&amp;"")</f>
        <v/>
      </c>
      <c r="F29" s="79" t="str">
        <f aca="false">IF($AJ29="","",INDEX(Securities!$B$6:$B$105,$AJ29)&amp;"")</f>
        <v/>
      </c>
      <c r="G29" s="79" t="str">
        <f aca="false">IF($AJ29="","",INDEX(Securities!$F$6:$F$105,$AJ29)&amp;"")</f>
        <v/>
      </c>
      <c r="H29" s="79" t="str">
        <f aca="false">IF($AJ29="","",INDEX(Securities!$E$6:$E$105,$AJ29)&amp;"")</f>
        <v/>
      </c>
      <c r="I29" s="79" t="str">
        <f aca="false">IF($AJ29="","",INDEX(Securities!$H$6:$H$105,$AJ29)&amp;"")</f>
        <v/>
      </c>
      <c r="J29" s="80"/>
      <c r="K29" s="80"/>
      <c r="L29" s="81"/>
      <c r="M29" s="82"/>
      <c r="N29" s="83" t="str">
        <f aca="false">IF(OR($L29="",$M29=""),"",IF(N($L29)=0,"",$M29/$L29))</f>
        <v/>
      </c>
      <c r="O29" s="84" t="str">
        <f aca="false">IF($AJ29="","",IF(INDEX(Securities!$O$6:$O$105,$AJ29)="","",INDEX(Securities!$O$6:$O$105,$AJ29)))</f>
        <v/>
      </c>
      <c r="P29" s="79" t="str">
        <f aca="false">IF($AJ29="","",INDEX(Securities!$N$6:$N$105,$AJ29)&amp;"")</f>
        <v/>
      </c>
      <c r="Q29" s="82"/>
      <c r="R29" s="85" t="str">
        <f aca="false">IF($C29="","",IF($Q29&lt;&gt;"",$Q29,IF($P29="At cost",IF($M29="","",$M29),IF(OR($O29="",$L29=""),"",$L29*$O29))))</f>
        <v/>
      </c>
      <c r="S29" s="85" t="str">
        <f aca="false">IF(OR(NOT(ISNUMBER($R29)),$M29=""),"",$R29-$M29)</f>
        <v/>
      </c>
      <c r="T29" s="86" t="str">
        <f aca="false">IF(OR($S29="",N($M29)=0),"",$S29/$M29)</f>
        <v/>
      </c>
      <c r="U29" s="82"/>
      <c r="V29" s="82"/>
      <c r="W29" s="87"/>
      <c r="X29" s="79" t="str">
        <f aca="false">IF($AJ29="","",INDEX(Securities!$L$6:$L$105,$AJ29)&amp;"")</f>
        <v/>
      </c>
      <c r="Y29" s="87"/>
      <c r="Z29" s="87"/>
      <c r="AA29" s="86" t="str">
        <f aca="false">IF(OR($W29="",$Z29=""),"",$W29-$Z29)</f>
        <v/>
      </c>
      <c r="AB29" s="79" t="str">
        <f aca="false">IF($C29="","",IF($P29="At cost","At cost",IF(NOT(ISNUMBER($J29)),"No date",IF(ValDate-$J29&lt;365,"Absolute",IF($W29="","XIRR missing","XIRR")))))</f>
        <v/>
      </c>
      <c r="AC29" s="86" t="str">
        <f aca="false">IF(NOT(ISNUMBER($R29)),"",IF(SUM($R$6:$R$205)=0,"",$R29/SUM($R$6:$R$205)))</f>
        <v/>
      </c>
      <c r="AD29" s="82"/>
      <c r="AE29" s="80"/>
      <c r="AF29" s="78"/>
      <c r="AG29" s="88" t="str">
        <f aca="false">IF($C29="","",IF(COUNTIFS('Tax Lots'!$B$6:$B$205,$B29,'Tax Lots'!$C$6:$C$205,$C29)=0,"",SUMIFS('Tax Lots'!$P$6:$P$205,'Tax Lots'!$B$6:$B$205,$B29,'Tax Lots'!$C$6:$C$205,$C29)))</f>
        <v/>
      </c>
      <c r="AH29" s="79" t="str">
        <f aca="false">IF($A29&amp;$B29&amp;$C29="","",IF($A29="","Missing ID",IF(COUNTIF($A$6:$A$205,$A29)&gt;1,"Duplicate ID",IF($AI29="","Unknown account",IF($AJ29="","Unknown security",IF(COUNTIFS($B$6:$B$205,$B29,$C$6:$C$205,$C29)&gt;1,"Same security twice in one account",IF(AND(ISNUMBER($J29),ISNUMBER($K29),N($K29)&lt;N($J29)),"Last date before first",IF(NOT(ISNUMBER($R29)),"No market value",IF(OR(N($J29)&gt;ValDate,N($K29)&gt;ValDate),"Date after valuation",IF(AND(ISNUMBER($AG29),ABS(N($L29)-N($AG29))&gt;0.001),"Lot quantity differs",IF(AND(ISNUMBER($AG29),ABS(N($M29)-SUMIFS('Tax Lots'!$Q$6:$Q$205,'Tax Lots'!$B$6:$B$205,$B29,'Tax Lots'!$C$6:$C$205,$C29))&gt;1),"Lot cost differs",IF(AND(ISNUMBER($AG29),ABS(N($V29)-SUMIFS('Tax Lots'!$AA$6:$AA$205,'Tax Lots'!$B$6:$B$205,$B29,'Tax Lots'!$C$6:$C$205,$C29))&gt;1),"Lot realised gain differs","OK"))))))))))))</f>
        <v/>
      </c>
      <c r="AI29" s="89" t="str">
        <f aca="false">IF($B29="","",IFERROR(MATCH($B29,Accounts!$A$6:$A$55,0),""))</f>
        <v/>
      </c>
      <c r="AJ29" s="89" t="str">
        <f aca="false">IF($C29="","",IFERROR(MATCH($C29,Securities!$A$6:$A$105,0),""))</f>
        <v/>
      </c>
      <c r="AK29" s="89" t="str">
        <f aca="false">IF($AI29="","",INDEX(Accounts!$B$6:$B$55,$AI29)&amp;"")</f>
        <v/>
      </c>
      <c r="AL29" s="89" t="str">
        <f aca="false">IF(OR($C29="",$I29="",NOT(ISNUMBER($R29))),"",$I29&amp;"|"&amp;(SUMPRODUCT(($I$6:$I$205=$I29)*ISNUMBER($R$6:$R$205)*($R$6:$R$205&gt;$R29))+SUMPRODUCT(($I$6:$I29=$I29)*ISNUMBER($R$6:$R29)*($R$6:$R29=$R29))))</f>
        <v/>
      </c>
      <c r="AM29" s="89" t="n">
        <f aca="false">IF(AND(ISNUMBER($R29),$W29&lt;&gt;"",$Z29&lt;&gt;"",$AB29="XIRR"),$R29*$W29,0)</f>
        <v>0</v>
      </c>
      <c r="AN29" s="89" t="n">
        <f aca="false">IF(AND(ISNUMBER($R29),$W29&lt;&gt;"",$Z29&lt;&gt;"",$AB29="XIRR"),$R29,0)</f>
        <v>0</v>
      </c>
      <c r="AO29" s="89" t="n">
        <f aca="false">IF(AND(ISNUMBER($R29),$W29&lt;&gt;"",$Z29&lt;&gt;"",$AB29="XIRR"),$R29*$Z29,0)</f>
        <v>0</v>
      </c>
      <c r="AP29" s="89" t="n">
        <f aca="false">IF(AND(ISNUMBER($M29),$Y29&lt;&gt;"",ISNUMBER($T29)),$M29*$Y29,0)</f>
        <v>0</v>
      </c>
      <c r="AQ29" s="89" t="n">
        <f aca="false">IF(AND(ISNUMBER($M29),$Y29&lt;&gt;"",ISNUMBER($T29)),$M29,0)</f>
        <v>0</v>
      </c>
    </row>
    <row r="30" customFormat="false" ht="15" hidden="false" customHeight="false" outlineLevel="0" collapsed="false">
      <c r="A30" s="77"/>
      <c r="B30" s="78"/>
      <c r="C30" s="78"/>
      <c r="D30" s="79" t="str">
        <f aca="false">IF($AI30="","",INDEX(Accounts!$C$6:$C$55,$AI30)&amp;"")</f>
        <v/>
      </c>
      <c r="E30" s="79" t="str">
        <f aca="false">IF($AI30="","",INDEX(Accounts!$F$6:$F$55,$AI30)&amp;"")</f>
        <v/>
      </c>
      <c r="F30" s="79" t="str">
        <f aca="false">IF($AJ30="","",INDEX(Securities!$B$6:$B$105,$AJ30)&amp;"")</f>
        <v/>
      </c>
      <c r="G30" s="79" t="str">
        <f aca="false">IF($AJ30="","",INDEX(Securities!$F$6:$F$105,$AJ30)&amp;"")</f>
        <v/>
      </c>
      <c r="H30" s="79" t="str">
        <f aca="false">IF($AJ30="","",INDEX(Securities!$E$6:$E$105,$AJ30)&amp;"")</f>
        <v/>
      </c>
      <c r="I30" s="79" t="str">
        <f aca="false">IF($AJ30="","",INDEX(Securities!$H$6:$H$105,$AJ30)&amp;"")</f>
        <v/>
      </c>
      <c r="J30" s="80"/>
      <c r="K30" s="80"/>
      <c r="L30" s="81"/>
      <c r="M30" s="82"/>
      <c r="N30" s="83" t="str">
        <f aca="false">IF(OR($L30="",$M30=""),"",IF(N($L30)=0,"",$M30/$L30))</f>
        <v/>
      </c>
      <c r="O30" s="84" t="str">
        <f aca="false">IF($AJ30="","",IF(INDEX(Securities!$O$6:$O$105,$AJ30)="","",INDEX(Securities!$O$6:$O$105,$AJ30)))</f>
        <v/>
      </c>
      <c r="P30" s="79" t="str">
        <f aca="false">IF($AJ30="","",INDEX(Securities!$N$6:$N$105,$AJ30)&amp;"")</f>
        <v/>
      </c>
      <c r="Q30" s="82"/>
      <c r="R30" s="85" t="str">
        <f aca="false">IF($C30="","",IF($Q30&lt;&gt;"",$Q30,IF($P30="At cost",IF($M30="","",$M30),IF(OR($O30="",$L30=""),"",$L30*$O30))))</f>
        <v/>
      </c>
      <c r="S30" s="85" t="str">
        <f aca="false">IF(OR(NOT(ISNUMBER($R30)),$M30=""),"",$R30-$M30)</f>
        <v/>
      </c>
      <c r="T30" s="86" t="str">
        <f aca="false">IF(OR($S30="",N($M30)=0),"",$S30/$M30)</f>
        <v/>
      </c>
      <c r="U30" s="82"/>
      <c r="V30" s="82"/>
      <c r="W30" s="87"/>
      <c r="X30" s="79" t="str">
        <f aca="false">IF($AJ30="","",INDEX(Securities!$L$6:$L$105,$AJ30)&amp;"")</f>
        <v/>
      </c>
      <c r="Y30" s="87"/>
      <c r="Z30" s="87"/>
      <c r="AA30" s="86" t="str">
        <f aca="false">IF(OR($W30="",$Z30=""),"",$W30-$Z30)</f>
        <v/>
      </c>
      <c r="AB30" s="79" t="str">
        <f aca="false">IF($C30="","",IF($P30="At cost","At cost",IF(NOT(ISNUMBER($J30)),"No date",IF(ValDate-$J30&lt;365,"Absolute",IF($W30="","XIRR missing","XIRR")))))</f>
        <v/>
      </c>
      <c r="AC30" s="86" t="str">
        <f aca="false">IF(NOT(ISNUMBER($R30)),"",IF(SUM($R$6:$R$205)=0,"",$R30/SUM($R$6:$R$205)))</f>
        <v/>
      </c>
      <c r="AD30" s="82"/>
      <c r="AE30" s="80"/>
      <c r="AF30" s="78"/>
      <c r="AG30" s="88" t="str">
        <f aca="false">IF($C30="","",IF(COUNTIFS('Tax Lots'!$B$6:$B$205,$B30,'Tax Lots'!$C$6:$C$205,$C30)=0,"",SUMIFS('Tax Lots'!$P$6:$P$205,'Tax Lots'!$B$6:$B$205,$B30,'Tax Lots'!$C$6:$C$205,$C30)))</f>
        <v/>
      </c>
      <c r="AH30" s="79" t="str">
        <f aca="false">IF($A30&amp;$B30&amp;$C30="","",IF($A30="","Missing ID",IF(COUNTIF($A$6:$A$205,$A30)&gt;1,"Duplicate ID",IF($AI30="","Unknown account",IF($AJ30="","Unknown security",IF(COUNTIFS($B$6:$B$205,$B30,$C$6:$C$205,$C30)&gt;1,"Same security twice in one account",IF(AND(ISNUMBER($J30),ISNUMBER($K30),N($K30)&lt;N($J30)),"Last date before first",IF(NOT(ISNUMBER($R30)),"No market value",IF(OR(N($J30)&gt;ValDate,N($K30)&gt;ValDate),"Date after valuation",IF(AND(ISNUMBER($AG30),ABS(N($L30)-N($AG30))&gt;0.001),"Lot quantity differs",IF(AND(ISNUMBER($AG30),ABS(N($M30)-SUMIFS('Tax Lots'!$Q$6:$Q$205,'Tax Lots'!$B$6:$B$205,$B30,'Tax Lots'!$C$6:$C$205,$C30))&gt;1),"Lot cost differs",IF(AND(ISNUMBER($AG30),ABS(N($V30)-SUMIFS('Tax Lots'!$AA$6:$AA$205,'Tax Lots'!$B$6:$B$205,$B30,'Tax Lots'!$C$6:$C$205,$C30))&gt;1),"Lot realised gain differs","OK"))))))))))))</f>
        <v/>
      </c>
      <c r="AI30" s="89" t="str">
        <f aca="false">IF($B30="","",IFERROR(MATCH($B30,Accounts!$A$6:$A$55,0),""))</f>
        <v/>
      </c>
      <c r="AJ30" s="89" t="str">
        <f aca="false">IF($C30="","",IFERROR(MATCH($C30,Securities!$A$6:$A$105,0),""))</f>
        <v/>
      </c>
      <c r="AK30" s="89" t="str">
        <f aca="false">IF($AI30="","",INDEX(Accounts!$B$6:$B$55,$AI30)&amp;"")</f>
        <v/>
      </c>
      <c r="AL30" s="89" t="str">
        <f aca="false">IF(OR($C30="",$I30="",NOT(ISNUMBER($R30))),"",$I30&amp;"|"&amp;(SUMPRODUCT(($I$6:$I$205=$I30)*ISNUMBER($R$6:$R$205)*($R$6:$R$205&gt;$R30))+SUMPRODUCT(($I$6:$I30=$I30)*ISNUMBER($R$6:$R30)*($R$6:$R30=$R30))))</f>
        <v/>
      </c>
      <c r="AM30" s="89" t="n">
        <f aca="false">IF(AND(ISNUMBER($R30),$W30&lt;&gt;"",$Z30&lt;&gt;"",$AB30="XIRR"),$R30*$W30,0)</f>
        <v>0</v>
      </c>
      <c r="AN30" s="89" t="n">
        <f aca="false">IF(AND(ISNUMBER($R30),$W30&lt;&gt;"",$Z30&lt;&gt;"",$AB30="XIRR"),$R30,0)</f>
        <v>0</v>
      </c>
      <c r="AO30" s="89" t="n">
        <f aca="false">IF(AND(ISNUMBER($R30),$W30&lt;&gt;"",$Z30&lt;&gt;"",$AB30="XIRR"),$R30*$Z30,0)</f>
        <v>0</v>
      </c>
      <c r="AP30" s="89" t="n">
        <f aca="false">IF(AND(ISNUMBER($M30),$Y30&lt;&gt;"",ISNUMBER($T30)),$M30*$Y30,0)</f>
        <v>0</v>
      </c>
      <c r="AQ30" s="89" t="n">
        <f aca="false">IF(AND(ISNUMBER($M30),$Y30&lt;&gt;"",ISNUMBER($T30)),$M30,0)</f>
        <v>0</v>
      </c>
    </row>
    <row r="31" customFormat="false" ht="15" hidden="false" customHeight="false" outlineLevel="0" collapsed="false">
      <c r="A31" s="77"/>
      <c r="B31" s="78"/>
      <c r="C31" s="78"/>
      <c r="D31" s="79" t="str">
        <f aca="false">IF($AI31="","",INDEX(Accounts!$C$6:$C$55,$AI31)&amp;"")</f>
        <v/>
      </c>
      <c r="E31" s="79" t="str">
        <f aca="false">IF($AI31="","",INDEX(Accounts!$F$6:$F$55,$AI31)&amp;"")</f>
        <v/>
      </c>
      <c r="F31" s="79" t="str">
        <f aca="false">IF($AJ31="","",INDEX(Securities!$B$6:$B$105,$AJ31)&amp;"")</f>
        <v/>
      </c>
      <c r="G31" s="79" t="str">
        <f aca="false">IF($AJ31="","",INDEX(Securities!$F$6:$F$105,$AJ31)&amp;"")</f>
        <v/>
      </c>
      <c r="H31" s="79" t="str">
        <f aca="false">IF($AJ31="","",INDEX(Securities!$E$6:$E$105,$AJ31)&amp;"")</f>
        <v/>
      </c>
      <c r="I31" s="79" t="str">
        <f aca="false">IF($AJ31="","",INDEX(Securities!$H$6:$H$105,$AJ31)&amp;"")</f>
        <v/>
      </c>
      <c r="J31" s="80"/>
      <c r="K31" s="80"/>
      <c r="L31" s="81"/>
      <c r="M31" s="82"/>
      <c r="N31" s="83" t="str">
        <f aca="false">IF(OR($L31="",$M31=""),"",IF(N($L31)=0,"",$M31/$L31))</f>
        <v/>
      </c>
      <c r="O31" s="84" t="str">
        <f aca="false">IF($AJ31="","",IF(INDEX(Securities!$O$6:$O$105,$AJ31)="","",INDEX(Securities!$O$6:$O$105,$AJ31)))</f>
        <v/>
      </c>
      <c r="P31" s="79" t="str">
        <f aca="false">IF($AJ31="","",INDEX(Securities!$N$6:$N$105,$AJ31)&amp;"")</f>
        <v/>
      </c>
      <c r="Q31" s="82"/>
      <c r="R31" s="85" t="str">
        <f aca="false">IF($C31="","",IF($Q31&lt;&gt;"",$Q31,IF($P31="At cost",IF($M31="","",$M31),IF(OR($O31="",$L31=""),"",$L31*$O31))))</f>
        <v/>
      </c>
      <c r="S31" s="85" t="str">
        <f aca="false">IF(OR(NOT(ISNUMBER($R31)),$M31=""),"",$R31-$M31)</f>
        <v/>
      </c>
      <c r="T31" s="86" t="str">
        <f aca="false">IF(OR($S31="",N($M31)=0),"",$S31/$M31)</f>
        <v/>
      </c>
      <c r="U31" s="82"/>
      <c r="V31" s="82"/>
      <c r="W31" s="87"/>
      <c r="X31" s="79" t="str">
        <f aca="false">IF($AJ31="","",INDEX(Securities!$L$6:$L$105,$AJ31)&amp;"")</f>
        <v/>
      </c>
      <c r="Y31" s="87"/>
      <c r="Z31" s="87"/>
      <c r="AA31" s="86" t="str">
        <f aca="false">IF(OR($W31="",$Z31=""),"",$W31-$Z31)</f>
        <v/>
      </c>
      <c r="AB31" s="79" t="str">
        <f aca="false">IF($C31="","",IF($P31="At cost","At cost",IF(NOT(ISNUMBER($J31)),"No date",IF(ValDate-$J31&lt;365,"Absolute",IF($W31="","XIRR missing","XIRR")))))</f>
        <v/>
      </c>
      <c r="AC31" s="86" t="str">
        <f aca="false">IF(NOT(ISNUMBER($R31)),"",IF(SUM($R$6:$R$205)=0,"",$R31/SUM($R$6:$R$205)))</f>
        <v/>
      </c>
      <c r="AD31" s="82"/>
      <c r="AE31" s="80"/>
      <c r="AF31" s="78"/>
      <c r="AG31" s="88" t="str">
        <f aca="false">IF($C31="","",IF(COUNTIFS('Tax Lots'!$B$6:$B$205,$B31,'Tax Lots'!$C$6:$C$205,$C31)=0,"",SUMIFS('Tax Lots'!$P$6:$P$205,'Tax Lots'!$B$6:$B$205,$B31,'Tax Lots'!$C$6:$C$205,$C31)))</f>
        <v/>
      </c>
      <c r="AH31" s="79" t="str">
        <f aca="false">IF($A31&amp;$B31&amp;$C31="","",IF($A31="","Missing ID",IF(COUNTIF($A$6:$A$205,$A31)&gt;1,"Duplicate ID",IF($AI31="","Unknown account",IF($AJ31="","Unknown security",IF(COUNTIFS($B$6:$B$205,$B31,$C$6:$C$205,$C31)&gt;1,"Same security twice in one account",IF(AND(ISNUMBER($J31),ISNUMBER($K31),N($K31)&lt;N($J31)),"Last date before first",IF(NOT(ISNUMBER($R31)),"No market value",IF(OR(N($J31)&gt;ValDate,N($K31)&gt;ValDate),"Date after valuation",IF(AND(ISNUMBER($AG31),ABS(N($L31)-N($AG31))&gt;0.001),"Lot quantity differs",IF(AND(ISNUMBER($AG31),ABS(N($M31)-SUMIFS('Tax Lots'!$Q$6:$Q$205,'Tax Lots'!$B$6:$B$205,$B31,'Tax Lots'!$C$6:$C$205,$C31))&gt;1),"Lot cost differs",IF(AND(ISNUMBER($AG31),ABS(N($V31)-SUMIFS('Tax Lots'!$AA$6:$AA$205,'Tax Lots'!$B$6:$B$205,$B31,'Tax Lots'!$C$6:$C$205,$C31))&gt;1),"Lot realised gain differs","OK"))))))))))))</f>
        <v/>
      </c>
      <c r="AI31" s="89" t="str">
        <f aca="false">IF($B31="","",IFERROR(MATCH($B31,Accounts!$A$6:$A$55,0),""))</f>
        <v/>
      </c>
      <c r="AJ31" s="89" t="str">
        <f aca="false">IF($C31="","",IFERROR(MATCH($C31,Securities!$A$6:$A$105,0),""))</f>
        <v/>
      </c>
      <c r="AK31" s="89" t="str">
        <f aca="false">IF($AI31="","",INDEX(Accounts!$B$6:$B$55,$AI31)&amp;"")</f>
        <v/>
      </c>
      <c r="AL31" s="89" t="str">
        <f aca="false">IF(OR($C31="",$I31="",NOT(ISNUMBER($R31))),"",$I31&amp;"|"&amp;(SUMPRODUCT(($I$6:$I$205=$I31)*ISNUMBER($R$6:$R$205)*($R$6:$R$205&gt;$R31))+SUMPRODUCT(($I$6:$I31=$I31)*ISNUMBER($R$6:$R31)*($R$6:$R31=$R31))))</f>
        <v/>
      </c>
      <c r="AM31" s="89" t="n">
        <f aca="false">IF(AND(ISNUMBER($R31),$W31&lt;&gt;"",$Z31&lt;&gt;"",$AB31="XIRR"),$R31*$W31,0)</f>
        <v>0</v>
      </c>
      <c r="AN31" s="89" t="n">
        <f aca="false">IF(AND(ISNUMBER($R31),$W31&lt;&gt;"",$Z31&lt;&gt;"",$AB31="XIRR"),$R31,0)</f>
        <v>0</v>
      </c>
      <c r="AO31" s="89" t="n">
        <f aca="false">IF(AND(ISNUMBER($R31),$W31&lt;&gt;"",$Z31&lt;&gt;"",$AB31="XIRR"),$R31*$Z31,0)</f>
        <v>0</v>
      </c>
      <c r="AP31" s="89" t="n">
        <f aca="false">IF(AND(ISNUMBER($M31),$Y31&lt;&gt;"",ISNUMBER($T31)),$M31*$Y31,0)</f>
        <v>0</v>
      </c>
      <c r="AQ31" s="89" t="n">
        <f aca="false">IF(AND(ISNUMBER($M31),$Y31&lt;&gt;"",ISNUMBER($T31)),$M31,0)</f>
        <v>0</v>
      </c>
    </row>
    <row r="32" customFormat="false" ht="15" hidden="false" customHeight="false" outlineLevel="0" collapsed="false">
      <c r="A32" s="77"/>
      <c r="B32" s="78"/>
      <c r="C32" s="78"/>
      <c r="D32" s="79" t="str">
        <f aca="false">IF($AI32="","",INDEX(Accounts!$C$6:$C$55,$AI32)&amp;"")</f>
        <v/>
      </c>
      <c r="E32" s="79" t="str">
        <f aca="false">IF($AI32="","",INDEX(Accounts!$F$6:$F$55,$AI32)&amp;"")</f>
        <v/>
      </c>
      <c r="F32" s="79" t="str">
        <f aca="false">IF($AJ32="","",INDEX(Securities!$B$6:$B$105,$AJ32)&amp;"")</f>
        <v/>
      </c>
      <c r="G32" s="79" t="str">
        <f aca="false">IF($AJ32="","",INDEX(Securities!$F$6:$F$105,$AJ32)&amp;"")</f>
        <v/>
      </c>
      <c r="H32" s="79" t="str">
        <f aca="false">IF($AJ32="","",INDEX(Securities!$E$6:$E$105,$AJ32)&amp;"")</f>
        <v/>
      </c>
      <c r="I32" s="79" t="str">
        <f aca="false">IF($AJ32="","",INDEX(Securities!$H$6:$H$105,$AJ32)&amp;"")</f>
        <v/>
      </c>
      <c r="J32" s="80"/>
      <c r="K32" s="80"/>
      <c r="L32" s="81"/>
      <c r="M32" s="82"/>
      <c r="N32" s="83" t="str">
        <f aca="false">IF(OR($L32="",$M32=""),"",IF(N($L32)=0,"",$M32/$L32))</f>
        <v/>
      </c>
      <c r="O32" s="84" t="str">
        <f aca="false">IF($AJ32="","",IF(INDEX(Securities!$O$6:$O$105,$AJ32)="","",INDEX(Securities!$O$6:$O$105,$AJ32)))</f>
        <v/>
      </c>
      <c r="P32" s="79" t="str">
        <f aca="false">IF($AJ32="","",INDEX(Securities!$N$6:$N$105,$AJ32)&amp;"")</f>
        <v/>
      </c>
      <c r="Q32" s="82"/>
      <c r="R32" s="85" t="str">
        <f aca="false">IF($C32="","",IF($Q32&lt;&gt;"",$Q32,IF($P32="At cost",IF($M32="","",$M32),IF(OR($O32="",$L32=""),"",$L32*$O32))))</f>
        <v/>
      </c>
      <c r="S32" s="85" t="str">
        <f aca="false">IF(OR(NOT(ISNUMBER($R32)),$M32=""),"",$R32-$M32)</f>
        <v/>
      </c>
      <c r="T32" s="86" t="str">
        <f aca="false">IF(OR($S32="",N($M32)=0),"",$S32/$M32)</f>
        <v/>
      </c>
      <c r="U32" s="82"/>
      <c r="V32" s="82"/>
      <c r="W32" s="87"/>
      <c r="X32" s="79" t="str">
        <f aca="false">IF($AJ32="","",INDEX(Securities!$L$6:$L$105,$AJ32)&amp;"")</f>
        <v/>
      </c>
      <c r="Y32" s="87"/>
      <c r="Z32" s="87"/>
      <c r="AA32" s="86" t="str">
        <f aca="false">IF(OR($W32="",$Z32=""),"",$W32-$Z32)</f>
        <v/>
      </c>
      <c r="AB32" s="79" t="str">
        <f aca="false">IF($C32="","",IF($P32="At cost","At cost",IF(NOT(ISNUMBER($J32)),"No date",IF(ValDate-$J32&lt;365,"Absolute",IF($W32="","XIRR missing","XIRR")))))</f>
        <v/>
      </c>
      <c r="AC32" s="86" t="str">
        <f aca="false">IF(NOT(ISNUMBER($R32)),"",IF(SUM($R$6:$R$205)=0,"",$R32/SUM($R$6:$R$205)))</f>
        <v/>
      </c>
      <c r="AD32" s="82"/>
      <c r="AE32" s="80"/>
      <c r="AF32" s="78"/>
      <c r="AG32" s="88" t="str">
        <f aca="false">IF($C32="","",IF(COUNTIFS('Tax Lots'!$B$6:$B$205,$B32,'Tax Lots'!$C$6:$C$205,$C32)=0,"",SUMIFS('Tax Lots'!$P$6:$P$205,'Tax Lots'!$B$6:$B$205,$B32,'Tax Lots'!$C$6:$C$205,$C32)))</f>
        <v/>
      </c>
      <c r="AH32" s="79" t="str">
        <f aca="false">IF($A32&amp;$B32&amp;$C32="","",IF($A32="","Missing ID",IF(COUNTIF($A$6:$A$205,$A32)&gt;1,"Duplicate ID",IF($AI32="","Unknown account",IF($AJ32="","Unknown security",IF(COUNTIFS($B$6:$B$205,$B32,$C$6:$C$205,$C32)&gt;1,"Same security twice in one account",IF(AND(ISNUMBER($J32),ISNUMBER($K32),N($K32)&lt;N($J32)),"Last date before first",IF(NOT(ISNUMBER($R32)),"No market value",IF(OR(N($J32)&gt;ValDate,N($K32)&gt;ValDate),"Date after valuation",IF(AND(ISNUMBER($AG32),ABS(N($L32)-N($AG32))&gt;0.001),"Lot quantity differs",IF(AND(ISNUMBER($AG32),ABS(N($M32)-SUMIFS('Tax Lots'!$Q$6:$Q$205,'Tax Lots'!$B$6:$B$205,$B32,'Tax Lots'!$C$6:$C$205,$C32))&gt;1),"Lot cost differs",IF(AND(ISNUMBER($AG32),ABS(N($V32)-SUMIFS('Tax Lots'!$AA$6:$AA$205,'Tax Lots'!$B$6:$B$205,$B32,'Tax Lots'!$C$6:$C$205,$C32))&gt;1),"Lot realised gain differs","OK"))))))))))))</f>
        <v/>
      </c>
      <c r="AI32" s="89" t="str">
        <f aca="false">IF($B32="","",IFERROR(MATCH($B32,Accounts!$A$6:$A$55,0),""))</f>
        <v/>
      </c>
      <c r="AJ32" s="89" t="str">
        <f aca="false">IF($C32="","",IFERROR(MATCH($C32,Securities!$A$6:$A$105,0),""))</f>
        <v/>
      </c>
      <c r="AK32" s="89" t="str">
        <f aca="false">IF($AI32="","",INDEX(Accounts!$B$6:$B$55,$AI32)&amp;"")</f>
        <v/>
      </c>
      <c r="AL32" s="89" t="str">
        <f aca="false">IF(OR($C32="",$I32="",NOT(ISNUMBER($R32))),"",$I32&amp;"|"&amp;(SUMPRODUCT(($I$6:$I$205=$I32)*ISNUMBER($R$6:$R$205)*($R$6:$R$205&gt;$R32))+SUMPRODUCT(($I$6:$I32=$I32)*ISNUMBER($R$6:$R32)*($R$6:$R32=$R32))))</f>
        <v/>
      </c>
      <c r="AM32" s="89" t="n">
        <f aca="false">IF(AND(ISNUMBER($R32),$W32&lt;&gt;"",$Z32&lt;&gt;"",$AB32="XIRR"),$R32*$W32,0)</f>
        <v>0</v>
      </c>
      <c r="AN32" s="89" t="n">
        <f aca="false">IF(AND(ISNUMBER($R32),$W32&lt;&gt;"",$Z32&lt;&gt;"",$AB32="XIRR"),$R32,0)</f>
        <v>0</v>
      </c>
      <c r="AO32" s="89" t="n">
        <f aca="false">IF(AND(ISNUMBER($R32),$W32&lt;&gt;"",$Z32&lt;&gt;"",$AB32="XIRR"),$R32*$Z32,0)</f>
        <v>0</v>
      </c>
      <c r="AP32" s="89" t="n">
        <f aca="false">IF(AND(ISNUMBER($M32),$Y32&lt;&gt;"",ISNUMBER($T32)),$M32*$Y32,0)</f>
        <v>0</v>
      </c>
      <c r="AQ32" s="89" t="n">
        <f aca="false">IF(AND(ISNUMBER($M32),$Y32&lt;&gt;"",ISNUMBER($T32)),$M32,0)</f>
        <v>0</v>
      </c>
    </row>
    <row r="33" customFormat="false" ht="15" hidden="false" customHeight="false" outlineLevel="0" collapsed="false">
      <c r="A33" s="77"/>
      <c r="B33" s="78"/>
      <c r="C33" s="78"/>
      <c r="D33" s="79" t="str">
        <f aca="false">IF($AI33="","",INDEX(Accounts!$C$6:$C$55,$AI33)&amp;"")</f>
        <v/>
      </c>
      <c r="E33" s="79" t="str">
        <f aca="false">IF($AI33="","",INDEX(Accounts!$F$6:$F$55,$AI33)&amp;"")</f>
        <v/>
      </c>
      <c r="F33" s="79" t="str">
        <f aca="false">IF($AJ33="","",INDEX(Securities!$B$6:$B$105,$AJ33)&amp;"")</f>
        <v/>
      </c>
      <c r="G33" s="79" t="str">
        <f aca="false">IF($AJ33="","",INDEX(Securities!$F$6:$F$105,$AJ33)&amp;"")</f>
        <v/>
      </c>
      <c r="H33" s="79" t="str">
        <f aca="false">IF($AJ33="","",INDEX(Securities!$E$6:$E$105,$AJ33)&amp;"")</f>
        <v/>
      </c>
      <c r="I33" s="79" t="str">
        <f aca="false">IF($AJ33="","",INDEX(Securities!$H$6:$H$105,$AJ33)&amp;"")</f>
        <v/>
      </c>
      <c r="J33" s="80"/>
      <c r="K33" s="80"/>
      <c r="L33" s="81"/>
      <c r="M33" s="82"/>
      <c r="N33" s="83" t="str">
        <f aca="false">IF(OR($L33="",$M33=""),"",IF(N($L33)=0,"",$M33/$L33))</f>
        <v/>
      </c>
      <c r="O33" s="84" t="str">
        <f aca="false">IF($AJ33="","",IF(INDEX(Securities!$O$6:$O$105,$AJ33)="","",INDEX(Securities!$O$6:$O$105,$AJ33)))</f>
        <v/>
      </c>
      <c r="P33" s="79" t="str">
        <f aca="false">IF($AJ33="","",INDEX(Securities!$N$6:$N$105,$AJ33)&amp;"")</f>
        <v/>
      </c>
      <c r="Q33" s="82"/>
      <c r="R33" s="85" t="str">
        <f aca="false">IF($C33="","",IF($Q33&lt;&gt;"",$Q33,IF($P33="At cost",IF($M33="","",$M33),IF(OR($O33="",$L33=""),"",$L33*$O33))))</f>
        <v/>
      </c>
      <c r="S33" s="85" t="str">
        <f aca="false">IF(OR(NOT(ISNUMBER($R33)),$M33=""),"",$R33-$M33)</f>
        <v/>
      </c>
      <c r="T33" s="86" t="str">
        <f aca="false">IF(OR($S33="",N($M33)=0),"",$S33/$M33)</f>
        <v/>
      </c>
      <c r="U33" s="82"/>
      <c r="V33" s="82"/>
      <c r="W33" s="87"/>
      <c r="X33" s="79" t="str">
        <f aca="false">IF($AJ33="","",INDEX(Securities!$L$6:$L$105,$AJ33)&amp;"")</f>
        <v/>
      </c>
      <c r="Y33" s="87"/>
      <c r="Z33" s="87"/>
      <c r="AA33" s="86" t="str">
        <f aca="false">IF(OR($W33="",$Z33=""),"",$W33-$Z33)</f>
        <v/>
      </c>
      <c r="AB33" s="79" t="str">
        <f aca="false">IF($C33="","",IF($P33="At cost","At cost",IF(NOT(ISNUMBER($J33)),"No date",IF(ValDate-$J33&lt;365,"Absolute",IF($W33="","XIRR missing","XIRR")))))</f>
        <v/>
      </c>
      <c r="AC33" s="86" t="str">
        <f aca="false">IF(NOT(ISNUMBER($R33)),"",IF(SUM($R$6:$R$205)=0,"",$R33/SUM($R$6:$R$205)))</f>
        <v/>
      </c>
      <c r="AD33" s="82"/>
      <c r="AE33" s="80"/>
      <c r="AF33" s="78"/>
      <c r="AG33" s="88" t="str">
        <f aca="false">IF($C33="","",IF(COUNTIFS('Tax Lots'!$B$6:$B$205,$B33,'Tax Lots'!$C$6:$C$205,$C33)=0,"",SUMIFS('Tax Lots'!$P$6:$P$205,'Tax Lots'!$B$6:$B$205,$B33,'Tax Lots'!$C$6:$C$205,$C33)))</f>
        <v/>
      </c>
      <c r="AH33" s="79" t="str">
        <f aca="false">IF($A33&amp;$B33&amp;$C33="","",IF($A33="","Missing ID",IF(COUNTIF($A$6:$A$205,$A33)&gt;1,"Duplicate ID",IF($AI33="","Unknown account",IF($AJ33="","Unknown security",IF(COUNTIFS($B$6:$B$205,$B33,$C$6:$C$205,$C33)&gt;1,"Same security twice in one account",IF(AND(ISNUMBER($J33),ISNUMBER($K33),N($K33)&lt;N($J33)),"Last date before first",IF(NOT(ISNUMBER($R33)),"No market value",IF(OR(N($J33)&gt;ValDate,N($K33)&gt;ValDate),"Date after valuation",IF(AND(ISNUMBER($AG33),ABS(N($L33)-N($AG33))&gt;0.001),"Lot quantity differs",IF(AND(ISNUMBER($AG33),ABS(N($M33)-SUMIFS('Tax Lots'!$Q$6:$Q$205,'Tax Lots'!$B$6:$B$205,$B33,'Tax Lots'!$C$6:$C$205,$C33))&gt;1),"Lot cost differs",IF(AND(ISNUMBER($AG33),ABS(N($V33)-SUMIFS('Tax Lots'!$AA$6:$AA$205,'Tax Lots'!$B$6:$B$205,$B33,'Tax Lots'!$C$6:$C$205,$C33))&gt;1),"Lot realised gain differs","OK"))))))))))))</f>
        <v/>
      </c>
      <c r="AI33" s="89" t="str">
        <f aca="false">IF($B33="","",IFERROR(MATCH($B33,Accounts!$A$6:$A$55,0),""))</f>
        <v/>
      </c>
      <c r="AJ33" s="89" t="str">
        <f aca="false">IF($C33="","",IFERROR(MATCH($C33,Securities!$A$6:$A$105,0),""))</f>
        <v/>
      </c>
      <c r="AK33" s="89" t="str">
        <f aca="false">IF($AI33="","",INDEX(Accounts!$B$6:$B$55,$AI33)&amp;"")</f>
        <v/>
      </c>
      <c r="AL33" s="89" t="str">
        <f aca="false">IF(OR($C33="",$I33="",NOT(ISNUMBER($R33))),"",$I33&amp;"|"&amp;(SUMPRODUCT(($I$6:$I$205=$I33)*ISNUMBER($R$6:$R$205)*($R$6:$R$205&gt;$R33))+SUMPRODUCT(($I$6:$I33=$I33)*ISNUMBER($R$6:$R33)*($R$6:$R33=$R33))))</f>
        <v/>
      </c>
      <c r="AM33" s="89" t="n">
        <f aca="false">IF(AND(ISNUMBER($R33),$W33&lt;&gt;"",$Z33&lt;&gt;"",$AB33="XIRR"),$R33*$W33,0)</f>
        <v>0</v>
      </c>
      <c r="AN33" s="89" t="n">
        <f aca="false">IF(AND(ISNUMBER($R33),$W33&lt;&gt;"",$Z33&lt;&gt;"",$AB33="XIRR"),$R33,0)</f>
        <v>0</v>
      </c>
      <c r="AO33" s="89" t="n">
        <f aca="false">IF(AND(ISNUMBER($R33),$W33&lt;&gt;"",$Z33&lt;&gt;"",$AB33="XIRR"),$R33*$Z33,0)</f>
        <v>0</v>
      </c>
      <c r="AP33" s="89" t="n">
        <f aca="false">IF(AND(ISNUMBER($M33),$Y33&lt;&gt;"",ISNUMBER($T33)),$M33*$Y33,0)</f>
        <v>0</v>
      </c>
      <c r="AQ33" s="89" t="n">
        <f aca="false">IF(AND(ISNUMBER($M33),$Y33&lt;&gt;"",ISNUMBER($T33)),$M33,0)</f>
        <v>0</v>
      </c>
    </row>
    <row r="34" customFormat="false" ht="15" hidden="false" customHeight="false" outlineLevel="0" collapsed="false">
      <c r="A34" s="77"/>
      <c r="B34" s="78"/>
      <c r="C34" s="78"/>
      <c r="D34" s="79" t="str">
        <f aca="false">IF($AI34="","",INDEX(Accounts!$C$6:$C$55,$AI34)&amp;"")</f>
        <v/>
      </c>
      <c r="E34" s="79" t="str">
        <f aca="false">IF($AI34="","",INDEX(Accounts!$F$6:$F$55,$AI34)&amp;"")</f>
        <v/>
      </c>
      <c r="F34" s="79" t="str">
        <f aca="false">IF($AJ34="","",INDEX(Securities!$B$6:$B$105,$AJ34)&amp;"")</f>
        <v/>
      </c>
      <c r="G34" s="79" t="str">
        <f aca="false">IF($AJ34="","",INDEX(Securities!$F$6:$F$105,$AJ34)&amp;"")</f>
        <v/>
      </c>
      <c r="H34" s="79" t="str">
        <f aca="false">IF($AJ34="","",INDEX(Securities!$E$6:$E$105,$AJ34)&amp;"")</f>
        <v/>
      </c>
      <c r="I34" s="79" t="str">
        <f aca="false">IF($AJ34="","",INDEX(Securities!$H$6:$H$105,$AJ34)&amp;"")</f>
        <v/>
      </c>
      <c r="J34" s="80"/>
      <c r="K34" s="80"/>
      <c r="L34" s="81"/>
      <c r="M34" s="82"/>
      <c r="N34" s="83" t="str">
        <f aca="false">IF(OR($L34="",$M34=""),"",IF(N($L34)=0,"",$M34/$L34))</f>
        <v/>
      </c>
      <c r="O34" s="84" t="str">
        <f aca="false">IF($AJ34="","",IF(INDEX(Securities!$O$6:$O$105,$AJ34)="","",INDEX(Securities!$O$6:$O$105,$AJ34)))</f>
        <v/>
      </c>
      <c r="P34" s="79" t="str">
        <f aca="false">IF($AJ34="","",INDEX(Securities!$N$6:$N$105,$AJ34)&amp;"")</f>
        <v/>
      </c>
      <c r="Q34" s="82"/>
      <c r="R34" s="85" t="str">
        <f aca="false">IF($C34="","",IF($Q34&lt;&gt;"",$Q34,IF($P34="At cost",IF($M34="","",$M34),IF(OR($O34="",$L34=""),"",$L34*$O34))))</f>
        <v/>
      </c>
      <c r="S34" s="85" t="str">
        <f aca="false">IF(OR(NOT(ISNUMBER($R34)),$M34=""),"",$R34-$M34)</f>
        <v/>
      </c>
      <c r="T34" s="86" t="str">
        <f aca="false">IF(OR($S34="",N($M34)=0),"",$S34/$M34)</f>
        <v/>
      </c>
      <c r="U34" s="82"/>
      <c r="V34" s="82"/>
      <c r="W34" s="87"/>
      <c r="X34" s="79" t="str">
        <f aca="false">IF($AJ34="","",INDEX(Securities!$L$6:$L$105,$AJ34)&amp;"")</f>
        <v/>
      </c>
      <c r="Y34" s="87"/>
      <c r="Z34" s="87"/>
      <c r="AA34" s="86" t="str">
        <f aca="false">IF(OR($W34="",$Z34=""),"",$W34-$Z34)</f>
        <v/>
      </c>
      <c r="AB34" s="79" t="str">
        <f aca="false">IF($C34="","",IF($P34="At cost","At cost",IF(NOT(ISNUMBER($J34)),"No date",IF(ValDate-$J34&lt;365,"Absolute",IF($W34="","XIRR missing","XIRR")))))</f>
        <v/>
      </c>
      <c r="AC34" s="86" t="str">
        <f aca="false">IF(NOT(ISNUMBER($R34)),"",IF(SUM($R$6:$R$205)=0,"",$R34/SUM($R$6:$R$205)))</f>
        <v/>
      </c>
      <c r="AD34" s="82"/>
      <c r="AE34" s="80"/>
      <c r="AF34" s="78"/>
      <c r="AG34" s="88" t="str">
        <f aca="false">IF($C34="","",IF(COUNTIFS('Tax Lots'!$B$6:$B$205,$B34,'Tax Lots'!$C$6:$C$205,$C34)=0,"",SUMIFS('Tax Lots'!$P$6:$P$205,'Tax Lots'!$B$6:$B$205,$B34,'Tax Lots'!$C$6:$C$205,$C34)))</f>
        <v/>
      </c>
      <c r="AH34" s="79" t="str">
        <f aca="false">IF($A34&amp;$B34&amp;$C34="","",IF($A34="","Missing ID",IF(COUNTIF($A$6:$A$205,$A34)&gt;1,"Duplicate ID",IF($AI34="","Unknown account",IF($AJ34="","Unknown security",IF(COUNTIFS($B$6:$B$205,$B34,$C$6:$C$205,$C34)&gt;1,"Same security twice in one account",IF(AND(ISNUMBER($J34),ISNUMBER($K34),N($K34)&lt;N($J34)),"Last date before first",IF(NOT(ISNUMBER($R34)),"No market value",IF(OR(N($J34)&gt;ValDate,N($K34)&gt;ValDate),"Date after valuation",IF(AND(ISNUMBER($AG34),ABS(N($L34)-N($AG34))&gt;0.001),"Lot quantity differs",IF(AND(ISNUMBER($AG34),ABS(N($M34)-SUMIFS('Tax Lots'!$Q$6:$Q$205,'Tax Lots'!$B$6:$B$205,$B34,'Tax Lots'!$C$6:$C$205,$C34))&gt;1),"Lot cost differs",IF(AND(ISNUMBER($AG34),ABS(N($V34)-SUMIFS('Tax Lots'!$AA$6:$AA$205,'Tax Lots'!$B$6:$B$205,$B34,'Tax Lots'!$C$6:$C$205,$C34))&gt;1),"Lot realised gain differs","OK"))))))))))))</f>
        <v/>
      </c>
      <c r="AI34" s="89" t="str">
        <f aca="false">IF($B34="","",IFERROR(MATCH($B34,Accounts!$A$6:$A$55,0),""))</f>
        <v/>
      </c>
      <c r="AJ34" s="89" t="str">
        <f aca="false">IF($C34="","",IFERROR(MATCH($C34,Securities!$A$6:$A$105,0),""))</f>
        <v/>
      </c>
      <c r="AK34" s="89" t="str">
        <f aca="false">IF($AI34="","",INDEX(Accounts!$B$6:$B$55,$AI34)&amp;"")</f>
        <v/>
      </c>
      <c r="AL34" s="89" t="str">
        <f aca="false">IF(OR($C34="",$I34="",NOT(ISNUMBER($R34))),"",$I34&amp;"|"&amp;(SUMPRODUCT(($I$6:$I$205=$I34)*ISNUMBER($R$6:$R$205)*($R$6:$R$205&gt;$R34))+SUMPRODUCT(($I$6:$I34=$I34)*ISNUMBER($R$6:$R34)*($R$6:$R34=$R34))))</f>
        <v/>
      </c>
      <c r="AM34" s="89" t="n">
        <f aca="false">IF(AND(ISNUMBER($R34),$W34&lt;&gt;"",$Z34&lt;&gt;"",$AB34="XIRR"),$R34*$W34,0)</f>
        <v>0</v>
      </c>
      <c r="AN34" s="89" t="n">
        <f aca="false">IF(AND(ISNUMBER($R34),$W34&lt;&gt;"",$Z34&lt;&gt;"",$AB34="XIRR"),$R34,0)</f>
        <v>0</v>
      </c>
      <c r="AO34" s="89" t="n">
        <f aca="false">IF(AND(ISNUMBER($R34),$W34&lt;&gt;"",$Z34&lt;&gt;"",$AB34="XIRR"),$R34*$Z34,0)</f>
        <v>0</v>
      </c>
      <c r="AP34" s="89" t="n">
        <f aca="false">IF(AND(ISNUMBER($M34),$Y34&lt;&gt;"",ISNUMBER($T34)),$M34*$Y34,0)</f>
        <v>0</v>
      </c>
      <c r="AQ34" s="89" t="n">
        <f aca="false">IF(AND(ISNUMBER($M34),$Y34&lt;&gt;"",ISNUMBER($T34)),$M34,0)</f>
        <v>0</v>
      </c>
    </row>
    <row r="35" customFormat="false" ht="15" hidden="false" customHeight="false" outlineLevel="0" collapsed="false">
      <c r="A35" s="77"/>
      <c r="B35" s="78"/>
      <c r="C35" s="78"/>
      <c r="D35" s="79" t="str">
        <f aca="false">IF($AI35="","",INDEX(Accounts!$C$6:$C$55,$AI35)&amp;"")</f>
        <v/>
      </c>
      <c r="E35" s="79" t="str">
        <f aca="false">IF($AI35="","",INDEX(Accounts!$F$6:$F$55,$AI35)&amp;"")</f>
        <v/>
      </c>
      <c r="F35" s="79" t="str">
        <f aca="false">IF($AJ35="","",INDEX(Securities!$B$6:$B$105,$AJ35)&amp;"")</f>
        <v/>
      </c>
      <c r="G35" s="79" t="str">
        <f aca="false">IF($AJ35="","",INDEX(Securities!$F$6:$F$105,$AJ35)&amp;"")</f>
        <v/>
      </c>
      <c r="H35" s="79" t="str">
        <f aca="false">IF($AJ35="","",INDEX(Securities!$E$6:$E$105,$AJ35)&amp;"")</f>
        <v/>
      </c>
      <c r="I35" s="79" t="str">
        <f aca="false">IF($AJ35="","",INDEX(Securities!$H$6:$H$105,$AJ35)&amp;"")</f>
        <v/>
      </c>
      <c r="J35" s="80"/>
      <c r="K35" s="80"/>
      <c r="L35" s="81"/>
      <c r="M35" s="82"/>
      <c r="N35" s="83" t="str">
        <f aca="false">IF(OR($L35="",$M35=""),"",IF(N($L35)=0,"",$M35/$L35))</f>
        <v/>
      </c>
      <c r="O35" s="84" t="str">
        <f aca="false">IF($AJ35="","",IF(INDEX(Securities!$O$6:$O$105,$AJ35)="","",INDEX(Securities!$O$6:$O$105,$AJ35)))</f>
        <v/>
      </c>
      <c r="P35" s="79" t="str">
        <f aca="false">IF($AJ35="","",INDEX(Securities!$N$6:$N$105,$AJ35)&amp;"")</f>
        <v/>
      </c>
      <c r="Q35" s="82"/>
      <c r="R35" s="85" t="str">
        <f aca="false">IF($C35="","",IF($Q35&lt;&gt;"",$Q35,IF($P35="At cost",IF($M35="","",$M35),IF(OR($O35="",$L35=""),"",$L35*$O35))))</f>
        <v/>
      </c>
      <c r="S35" s="85" t="str">
        <f aca="false">IF(OR(NOT(ISNUMBER($R35)),$M35=""),"",$R35-$M35)</f>
        <v/>
      </c>
      <c r="T35" s="86" t="str">
        <f aca="false">IF(OR($S35="",N($M35)=0),"",$S35/$M35)</f>
        <v/>
      </c>
      <c r="U35" s="82"/>
      <c r="V35" s="82"/>
      <c r="W35" s="87"/>
      <c r="X35" s="79" t="str">
        <f aca="false">IF($AJ35="","",INDEX(Securities!$L$6:$L$105,$AJ35)&amp;"")</f>
        <v/>
      </c>
      <c r="Y35" s="87"/>
      <c r="Z35" s="87"/>
      <c r="AA35" s="86" t="str">
        <f aca="false">IF(OR($W35="",$Z35=""),"",$W35-$Z35)</f>
        <v/>
      </c>
      <c r="AB35" s="79" t="str">
        <f aca="false">IF($C35="","",IF($P35="At cost","At cost",IF(NOT(ISNUMBER($J35)),"No date",IF(ValDate-$J35&lt;365,"Absolute",IF($W35="","XIRR missing","XIRR")))))</f>
        <v/>
      </c>
      <c r="AC35" s="86" t="str">
        <f aca="false">IF(NOT(ISNUMBER($R35)),"",IF(SUM($R$6:$R$205)=0,"",$R35/SUM($R$6:$R$205)))</f>
        <v/>
      </c>
      <c r="AD35" s="82"/>
      <c r="AE35" s="80"/>
      <c r="AF35" s="78"/>
      <c r="AG35" s="88" t="str">
        <f aca="false">IF($C35="","",IF(COUNTIFS('Tax Lots'!$B$6:$B$205,$B35,'Tax Lots'!$C$6:$C$205,$C35)=0,"",SUMIFS('Tax Lots'!$P$6:$P$205,'Tax Lots'!$B$6:$B$205,$B35,'Tax Lots'!$C$6:$C$205,$C35)))</f>
        <v/>
      </c>
      <c r="AH35" s="79" t="str">
        <f aca="false">IF($A35&amp;$B35&amp;$C35="","",IF($A35="","Missing ID",IF(COUNTIF($A$6:$A$205,$A35)&gt;1,"Duplicate ID",IF($AI35="","Unknown account",IF($AJ35="","Unknown security",IF(COUNTIFS($B$6:$B$205,$B35,$C$6:$C$205,$C35)&gt;1,"Same security twice in one account",IF(AND(ISNUMBER($J35),ISNUMBER($K35),N($K35)&lt;N($J35)),"Last date before first",IF(NOT(ISNUMBER($R35)),"No market value",IF(OR(N($J35)&gt;ValDate,N($K35)&gt;ValDate),"Date after valuation",IF(AND(ISNUMBER($AG35),ABS(N($L35)-N($AG35))&gt;0.001),"Lot quantity differs",IF(AND(ISNUMBER($AG35),ABS(N($M35)-SUMIFS('Tax Lots'!$Q$6:$Q$205,'Tax Lots'!$B$6:$B$205,$B35,'Tax Lots'!$C$6:$C$205,$C35))&gt;1),"Lot cost differs",IF(AND(ISNUMBER($AG35),ABS(N($V35)-SUMIFS('Tax Lots'!$AA$6:$AA$205,'Tax Lots'!$B$6:$B$205,$B35,'Tax Lots'!$C$6:$C$205,$C35))&gt;1),"Lot realised gain differs","OK"))))))))))))</f>
        <v/>
      </c>
      <c r="AI35" s="89" t="str">
        <f aca="false">IF($B35="","",IFERROR(MATCH($B35,Accounts!$A$6:$A$55,0),""))</f>
        <v/>
      </c>
      <c r="AJ35" s="89" t="str">
        <f aca="false">IF($C35="","",IFERROR(MATCH($C35,Securities!$A$6:$A$105,0),""))</f>
        <v/>
      </c>
      <c r="AK35" s="89" t="str">
        <f aca="false">IF($AI35="","",INDEX(Accounts!$B$6:$B$55,$AI35)&amp;"")</f>
        <v/>
      </c>
      <c r="AL35" s="89" t="str">
        <f aca="false">IF(OR($C35="",$I35="",NOT(ISNUMBER($R35))),"",$I35&amp;"|"&amp;(SUMPRODUCT(($I$6:$I$205=$I35)*ISNUMBER($R$6:$R$205)*($R$6:$R$205&gt;$R35))+SUMPRODUCT(($I$6:$I35=$I35)*ISNUMBER($R$6:$R35)*($R$6:$R35=$R35))))</f>
        <v/>
      </c>
      <c r="AM35" s="89" t="n">
        <f aca="false">IF(AND(ISNUMBER($R35),$W35&lt;&gt;"",$Z35&lt;&gt;"",$AB35="XIRR"),$R35*$W35,0)</f>
        <v>0</v>
      </c>
      <c r="AN35" s="89" t="n">
        <f aca="false">IF(AND(ISNUMBER($R35),$W35&lt;&gt;"",$Z35&lt;&gt;"",$AB35="XIRR"),$R35,0)</f>
        <v>0</v>
      </c>
      <c r="AO35" s="89" t="n">
        <f aca="false">IF(AND(ISNUMBER($R35),$W35&lt;&gt;"",$Z35&lt;&gt;"",$AB35="XIRR"),$R35*$Z35,0)</f>
        <v>0</v>
      </c>
      <c r="AP35" s="89" t="n">
        <f aca="false">IF(AND(ISNUMBER($M35),$Y35&lt;&gt;"",ISNUMBER($T35)),$M35*$Y35,0)</f>
        <v>0</v>
      </c>
      <c r="AQ35" s="89" t="n">
        <f aca="false">IF(AND(ISNUMBER($M35),$Y35&lt;&gt;"",ISNUMBER($T35)),$M35,0)</f>
        <v>0</v>
      </c>
    </row>
    <row r="36" customFormat="false" ht="15" hidden="false" customHeight="false" outlineLevel="0" collapsed="false">
      <c r="A36" s="77"/>
      <c r="B36" s="78"/>
      <c r="C36" s="78"/>
      <c r="D36" s="79" t="str">
        <f aca="false">IF($AI36="","",INDEX(Accounts!$C$6:$C$55,$AI36)&amp;"")</f>
        <v/>
      </c>
      <c r="E36" s="79" t="str">
        <f aca="false">IF($AI36="","",INDEX(Accounts!$F$6:$F$55,$AI36)&amp;"")</f>
        <v/>
      </c>
      <c r="F36" s="79" t="str">
        <f aca="false">IF($AJ36="","",INDEX(Securities!$B$6:$B$105,$AJ36)&amp;"")</f>
        <v/>
      </c>
      <c r="G36" s="79" t="str">
        <f aca="false">IF($AJ36="","",INDEX(Securities!$F$6:$F$105,$AJ36)&amp;"")</f>
        <v/>
      </c>
      <c r="H36" s="79" t="str">
        <f aca="false">IF($AJ36="","",INDEX(Securities!$E$6:$E$105,$AJ36)&amp;"")</f>
        <v/>
      </c>
      <c r="I36" s="79" t="str">
        <f aca="false">IF($AJ36="","",INDEX(Securities!$H$6:$H$105,$AJ36)&amp;"")</f>
        <v/>
      </c>
      <c r="J36" s="80"/>
      <c r="K36" s="80"/>
      <c r="L36" s="81"/>
      <c r="M36" s="82"/>
      <c r="N36" s="83" t="str">
        <f aca="false">IF(OR($L36="",$M36=""),"",IF(N($L36)=0,"",$M36/$L36))</f>
        <v/>
      </c>
      <c r="O36" s="84" t="str">
        <f aca="false">IF($AJ36="","",IF(INDEX(Securities!$O$6:$O$105,$AJ36)="","",INDEX(Securities!$O$6:$O$105,$AJ36)))</f>
        <v/>
      </c>
      <c r="P36" s="79" t="str">
        <f aca="false">IF($AJ36="","",INDEX(Securities!$N$6:$N$105,$AJ36)&amp;"")</f>
        <v/>
      </c>
      <c r="Q36" s="82"/>
      <c r="R36" s="85" t="str">
        <f aca="false">IF($C36="","",IF($Q36&lt;&gt;"",$Q36,IF($P36="At cost",IF($M36="","",$M36),IF(OR($O36="",$L36=""),"",$L36*$O36))))</f>
        <v/>
      </c>
      <c r="S36" s="85" t="str">
        <f aca="false">IF(OR(NOT(ISNUMBER($R36)),$M36=""),"",$R36-$M36)</f>
        <v/>
      </c>
      <c r="T36" s="86" t="str">
        <f aca="false">IF(OR($S36="",N($M36)=0),"",$S36/$M36)</f>
        <v/>
      </c>
      <c r="U36" s="82"/>
      <c r="V36" s="82"/>
      <c r="W36" s="87"/>
      <c r="X36" s="79" t="str">
        <f aca="false">IF($AJ36="","",INDEX(Securities!$L$6:$L$105,$AJ36)&amp;"")</f>
        <v/>
      </c>
      <c r="Y36" s="87"/>
      <c r="Z36" s="87"/>
      <c r="AA36" s="86" t="str">
        <f aca="false">IF(OR($W36="",$Z36=""),"",$W36-$Z36)</f>
        <v/>
      </c>
      <c r="AB36" s="79" t="str">
        <f aca="false">IF($C36="","",IF($P36="At cost","At cost",IF(NOT(ISNUMBER($J36)),"No date",IF(ValDate-$J36&lt;365,"Absolute",IF($W36="","XIRR missing","XIRR")))))</f>
        <v/>
      </c>
      <c r="AC36" s="86" t="str">
        <f aca="false">IF(NOT(ISNUMBER($R36)),"",IF(SUM($R$6:$R$205)=0,"",$R36/SUM($R$6:$R$205)))</f>
        <v/>
      </c>
      <c r="AD36" s="82"/>
      <c r="AE36" s="80"/>
      <c r="AF36" s="78"/>
      <c r="AG36" s="88" t="str">
        <f aca="false">IF($C36="","",IF(COUNTIFS('Tax Lots'!$B$6:$B$205,$B36,'Tax Lots'!$C$6:$C$205,$C36)=0,"",SUMIFS('Tax Lots'!$P$6:$P$205,'Tax Lots'!$B$6:$B$205,$B36,'Tax Lots'!$C$6:$C$205,$C36)))</f>
        <v/>
      </c>
      <c r="AH36" s="79" t="str">
        <f aca="false">IF($A36&amp;$B36&amp;$C36="","",IF($A36="","Missing ID",IF(COUNTIF($A$6:$A$205,$A36)&gt;1,"Duplicate ID",IF($AI36="","Unknown account",IF($AJ36="","Unknown security",IF(COUNTIFS($B$6:$B$205,$B36,$C$6:$C$205,$C36)&gt;1,"Same security twice in one account",IF(AND(ISNUMBER($J36),ISNUMBER($K36),N($K36)&lt;N($J36)),"Last date before first",IF(NOT(ISNUMBER($R36)),"No market value",IF(OR(N($J36)&gt;ValDate,N($K36)&gt;ValDate),"Date after valuation",IF(AND(ISNUMBER($AG36),ABS(N($L36)-N($AG36))&gt;0.001),"Lot quantity differs",IF(AND(ISNUMBER($AG36),ABS(N($M36)-SUMIFS('Tax Lots'!$Q$6:$Q$205,'Tax Lots'!$B$6:$B$205,$B36,'Tax Lots'!$C$6:$C$205,$C36))&gt;1),"Lot cost differs",IF(AND(ISNUMBER($AG36),ABS(N($V36)-SUMIFS('Tax Lots'!$AA$6:$AA$205,'Tax Lots'!$B$6:$B$205,$B36,'Tax Lots'!$C$6:$C$205,$C36))&gt;1),"Lot realised gain differs","OK"))))))))))))</f>
        <v/>
      </c>
      <c r="AI36" s="89" t="str">
        <f aca="false">IF($B36="","",IFERROR(MATCH($B36,Accounts!$A$6:$A$55,0),""))</f>
        <v/>
      </c>
      <c r="AJ36" s="89" t="str">
        <f aca="false">IF($C36="","",IFERROR(MATCH($C36,Securities!$A$6:$A$105,0),""))</f>
        <v/>
      </c>
      <c r="AK36" s="89" t="str">
        <f aca="false">IF($AI36="","",INDEX(Accounts!$B$6:$B$55,$AI36)&amp;"")</f>
        <v/>
      </c>
      <c r="AL36" s="89" t="str">
        <f aca="false">IF(OR($C36="",$I36="",NOT(ISNUMBER($R36))),"",$I36&amp;"|"&amp;(SUMPRODUCT(($I$6:$I$205=$I36)*ISNUMBER($R$6:$R$205)*($R$6:$R$205&gt;$R36))+SUMPRODUCT(($I$6:$I36=$I36)*ISNUMBER($R$6:$R36)*($R$6:$R36=$R36))))</f>
        <v/>
      </c>
      <c r="AM36" s="89" t="n">
        <f aca="false">IF(AND(ISNUMBER($R36),$W36&lt;&gt;"",$Z36&lt;&gt;"",$AB36="XIRR"),$R36*$W36,0)</f>
        <v>0</v>
      </c>
      <c r="AN36" s="89" t="n">
        <f aca="false">IF(AND(ISNUMBER($R36),$W36&lt;&gt;"",$Z36&lt;&gt;"",$AB36="XIRR"),$R36,0)</f>
        <v>0</v>
      </c>
      <c r="AO36" s="89" t="n">
        <f aca="false">IF(AND(ISNUMBER($R36),$W36&lt;&gt;"",$Z36&lt;&gt;"",$AB36="XIRR"),$R36*$Z36,0)</f>
        <v>0</v>
      </c>
      <c r="AP36" s="89" t="n">
        <f aca="false">IF(AND(ISNUMBER($M36),$Y36&lt;&gt;"",ISNUMBER($T36)),$M36*$Y36,0)</f>
        <v>0</v>
      </c>
      <c r="AQ36" s="89" t="n">
        <f aca="false">IF(AND(ISNUMBER($M36),$Y36&lt;&gt;"",ISNUMBER($T36)),$M36,0)</f>
        <v>0</v>
      </c>
    </row>
    <row r="37" customFormat="false" ht="15" hidden="false" customHeight="false" outlineLevel="0" collapsed="false">
      <c r="A37" s="77"/>
      <c r="B37" s="78"/>
      <c r="C37" s="78"/>
      <c r="D37" s="79" t="str">
        <f aca="false">IF($AI37="","",INDEX(Accounts!$C$6:$C$55,$AI37)&amp;"")</f>
        <v/>
      </c>
      <c r="E37" s="79" t="str">
        <f aca="false">IF($AI37="","",INDEX(Accounts!$F$6:$F$55,$AI37)&amp;"")</f>
        <v/>
      </c>
      <c r="F37" s="79" t="str">
        <f aca="false">IF($AJ37="","",INDEX(Securities!$B$6:$B$105,$AJ37)&amp;"")</f>
        <v/>
      </c>
      <c r="G37" s="79" t="str">
        <f aca="false">IF($AJ37="","",INDEX(Securities!$F$6:$F$105,$AJ37)&amp;"")</f>
        <v/>
      </c>
      <c r="H37" s="79" t="str">
        <f aca="false">IF($AJ37="","",INDEX(Securities!$E$6:$E$105,$AJ37)&amp;"")</f>
        <v/>
      </c>
      <c r="I37" s="79" t="str">
        <f aca="false">IF($AJ37="","",INDEX(Securities!$H$6:$H$105,$AJ37)&amp;"")</f>
        <v/>
      </c>
      <c r="J37" s="80"/>
      <c r="K37" s="80"/>
      <c r="L37" s="81"/>
      <c r="M37" s="82"/>
      <c r="N37" s="83" t="str">
        <f aca="false">IF(OR($L37="",$M37=""),"",IF(N($L37)=0,"",$M37/$L37))</f>
        <v/>
      </c>
      <c r="O37" s="84" t="str">
        <f aca="false">IF($AJ37="","",IF(INDEX(Securities!$O$6:$O$105,$AJ37)="","",INDEX(Securities!$O$6:$O$105,$AJ37)))</f>
        <v/>
      </c>
      <c r="P37" s="79" t="str">
        <f aca="false">IF($AJ37="","",INDEX(Securities!$N$6:$N$105,$AJ37)&amp;"")</f>
        <v/>
      </c>
      <c r="Q37" s="82"/>
      <c r="R37" s="85" t="str">
        <f aca="false">IF($C37="","",IF($Q37&lt;&gt;"",$Q37,IF($P37="At cost",IF($M37="","",$M37),IF(OR($O37="",$L37=""),"",$L37*$O37))))</f>
        <v/>
      </c>
      <c r="S37" s="85" t="str">
        <f aca="false">IF(OR(NOT(ISNUMBER($R37)),$M37=""),"",$R37-$M37)</f>
        <v/>
      </c>
      <c r="T37" s="86" t="str">
        <f aca="false">IF(OR($S37="",N($M37)=0),"",$S37/$M37)</f>
        <v/>
      </c>
      <c r="U37" s="82"/>
      <c r="V37" s="82"/>
      <c r="W37" s="87"/>
      <c r="X37" s="79" t="str">
        <f aca="false">IF($AJ37="","",INDEX(Securities!$L$6:$L$105,$AJ37)&amp;"")</f>
        <v/>
      </c>
      <c r="Y37" s="87"/>
      <c r="Z37" s="87"/>
      <c r="AA37" s="86" t="str">
        <f aca="false">IF(OR($W37="",$Z37=""),"",$W37-$Z37)</f>
        <v/>
      </c>
      <c r="AB37" s="79" t="str">
        <f aca="false">IF($C37="","",IF($P37="At cost","At cost",IF(NOT(ISNUMBER($J37)),"No date",IF(ValDate-$J37&lt;365,"Absolute",IF($W37="","XIRR missing","XIRR")))))</f>
        <v/>
      </c>
      <c r="AC37" s="86" t="str">
        <f aca="false">IF(NOT(ISNUMBER($R37)),"",IF(SUM($R$6:$R$205)=0,"",$R37/SUM($R$6:$R$205)))</f>
        <v/>
      </c>
      <c r="AD37" s="82"/>
      <c r="AE37" s="80"/>
      <c r="AF37" s="78"/>
      <c r="AG37" s="88" t="str">
        <f aca="false">IF($C37="","",IF(COUNTIFS('Tax Lots'!$B$6:$B$205,$B37,'Tax Lots'!$C$6:$C$205,$C37)=0,"",SUMIFS('Tax Lots'!$P$6:$P$205,'Tax Lots'!$B$6:$B$205,$B37,'Tax Lots'!$C$6:$C$205,$C37)))</f>
        <v/>
      </c>
      <c r="AH37" s="79" t="str">
        <f aca="false">IF($A37&amp;$B37&amp;$C37="","",IF($A37="","Missing ID",IF(COUNTIF($A$6:$A$205,$A37)&gt;1,"Duplicate ID",IF($AI37="","Unknown account",IF($AJ37="","Unknown security",IF(COUNTIFS($B$6:$B$205,$B37,$C$6:$C$205,$C37)&gt;1,"Same security twice in one account",IF(AND(ISNUMBER($J37),ISNUMBER($K37),N($K37)&lt;N($J37)),"Last date before first",IF(NOT(ISNUMBER($R37)),"No market value",IF(OR(N($J37)&gt;ValDate,N($K37)&gt;ValDate),"Date after valuation",IF(AND(ISNUMBER($AG37),ABS(N($L37)-N($AG37))&gt;0.001),"Lot quantity differs",IF(AND(ISNUMBER($AG37),ABS(N($M37)-SUMIFS('Tax Lots'!$Q$6:$Q$205,'Tax Lots'!$B$6:$B$205,$B37,'Tax Lots'!$C$6:$C$205,$C37))&gt;1),"Lot cost differs",IF(AND(ISNUMBER($AG37),ABS(N($V37)-SUMIFS('Tax Lots'!$AA$6:$AA$205,'Tax Lots'!$B$6:$B$205,$B37,'Tax Lots'!$C$6:$C$205,$C37))&gt;1),"Lot realised gain differs","OK"))))))))))))</f>
        <v/>
      </c>
      <c r="AI37" s="89" t="str">
        <f aca="false">IF($B37="","",IFERROR(MATCH($B37,Accounts!$A$6:$A$55,0),""))</f>
        <v/>
      </c>
      <c r="AJ37" s="89" t="str">
        <f aca="false">IF($C37="","",IFERROR(MATCH($C37,Securities!$A$6:$A$105,0),""))</f>
        <v/>
      </c>
      <c r="AK37" s="89" t="str">
        <f aca="false">IF($AI37="","",INDEX(Accounts!$B$6:$B$55,$AI37)&amp;"")</f>
        <v/>
      </c>
      <c r="AL37" s="89" t="str">
        <f aca="false">IF(OR($C37="",$I37="",NOT(ISNUMBER($R37))),"",$I37&amp;"|"&amp;(SUMPRODUCT(($I$6:$I$205=$I37)*ISNUMBER($R$6:$R$205)*($R$6:$R$205&gt;$R37))+SUMPRODUCT(($I$6:$I37=$I37)*ISNUMBER($R$6:$R37)*($R$6:$R37=$R37))))</f>
        <v/>
      </c>
      <c r="AM37" s="89" t="n">
        <f aca="false">IF(AND(ISNUMBER($R37),$W37&lt;&gt;"",$Z37&lt;&gt;"",$AB37="XIRR"),$R37*$W37,0)</f>
        <v>0</v>
      </c>
      <c r="AN37" s="89" t="n">
        <f aca="false">IF(AND(ISNUMBER($R37),$W37&lt;&gt;"",$Z37&lt;&gt;"",$AB37="XIRR"),$R37,0)</f>
        <v>0</v>
      </c>
      <c r="AO37" s="89" t="n">
        <f aca="false">IF(AND(ISNUMBER($R37),$W37&lt;&gt;"",$Z37&lt;&gt;"",$AB37="XIRR"),$R37*$Z37,0)</f>
        <v>0</v>
      </c>
      <c r="AP37" s="89" t="n">
        <f aca="false">IF(AND(ISNUMBER($M37),$Y37&lt;&gt;"",ISNUMBER($T37)),$M37*$Y37,0)</f>
        <v>0</v>
      </c>
      <c r="AQ37" s="89" t="n">
        <f aca="false">IF(AND(ISNUMBER($M37),$Y37&lt;&gt;"",ISNUMBER($T37)),$M37,0)</f>
        <v>0</v>
      </c>
    </row>
    <row r="38" customFormat="false" ht="15" hidden="false" customHeight="false" outlineLevel="0" collapsed="false">
      <c r="A38" s="77"/>
      <c r="B38" s="78"/>
      <c r="C38" s="78"/>
      <c r="D38" s="79" t="str">
        <f aca="false">IF($AI38="","",INDEX(Accounts!$C$6:$C$55,$AI38)&amp;"")</f>
        <v/>
      </c>
      <c r="E38" s="79" t="str">
        <f aca="false">IF($AI38="","",INDEX(Accounts!$F$6:$F$55,$AI38)&amp;"")</f>
        <v/>
      </c>
      <c r="F38" s="79" t="str">
        <f aca="false">IF($AJ38="","",INDEX(Securities!$B$6:$B$105,$AJ38)&amp;"")</f>
        <v/>
      </c>
      <c r="G38" s="79" t="str">
        <f aca="false">IF($AJ38="","",INDEX(Securities!$F$6:$F$105,$AJ38)&amp;"")</f>
        <v/>
      </c>
      <c r="H38" s="79" t="str">
        <f aca="false">IF($AJ38="","",INDEX(Securities!$E$6:$E$105,$AJ38)&amp;"")</f>
        <v/>
      </c>
      <c r="I38" s="79" t="str">
        <f aca="false">IF($AJ38="","",INDEX(Securities!$H$6:$H$105,$AJ38)&amp;"")</f>
        <v/>
      </c>
      <c r="J38" s="80"/>
      <c r="K38" s="80"/>
      <c r="L38" s="81"/>
      <c r="M38" s="82"/>
      <c r="N38" s="83" t="str">
        <f aca="false">IF(OR($L38="",$M38=""),"",IF(N($L38)=0,"",$M38/$L38))</f>
        <v/>
      </c>
      <c r="O38" s="84" t="str">
        <f aca="false">IF($AJ38="","",IF(INDEX(Securities!$O$6:$O$105,$AJ38)="","",INDEX(Securities!$O$6:$O$105,$AJ38)))</f>
        <v/>
      </c>
      <c r="P38" s="79" t="str">
        <f aca="false">IF($AJ38="","",INDEX(Securities!$N$6:$N$105,$AJ38)&amp;"")</f>
        <v/>
      </c>
      <c r="Q38" s="82"/>
      <c r="R38" s="85" t="str">
        <f aca="false">IF($C38="","",IF($Q38&lt;&gt;"",$Q38,IF($P38="At cost",IF($M38="","",$M38),IF(OR($O38="",$L38=""),"",$L38*$O38))))</f>
        <v/>
      </c>
      <c r="S38" s="85" t="str">
        <f aca="false">IF(OR(NOT(ISNUMBER($R38)),$M38=""),"",$R38-$M38)</f>
        <v/>
      </c>
      <c r="T38" s="86" t="str">
        <f aca="false">IF(OR($S38="",N($M38)=0),"",$S38/$M38)</f>
        <v/>
      </c>
      <c r="U38" s="82"/>
      <c r="V38" s="82"/>
      <c r="W38" s="87"/>
      <c r="X38" s="79" t="str">
        <f aca="false">IF($AJ38="","",INDEX(Securities!$L$6:$L$105,$AJ38)&amp;"")</f>
        <v/>
      </c>
      <c r="Y38" s="87"/>
      <c r="Z38" s="87"/>
      <c r="AA38" s="86" t="str">
        <f aca="false">IF(OR($W38="",$Z38=""),"",$W38-$Z38)</f>
        <v/>
      </c>
      <c r="AB38" s="79" t="str">
        <f aca="false">IF($C38="","",IF($P38="At cost","At cost",IF(NOT(ISNUMBER($J38)),"No date",IF(ValDate-$J38&lt;365,"Absolute",IF($W38="","XIRR missing","XIRR")))))</f>
        <v/>
      </c>
      <c r="AC38" s="86" t="str">
        <f aca="false">IF(NOT(ISNUMBER($R38)),"",IF(SUM($R$6:$R$205)=0,"",$R38/SUM($R$6:$R$205)))</f>
        <v/>
      </c>
      <c r="AD38" s="82"/>
      <c r="AE38" s="80"/>
      <c r="AF38" s="78"/>
      <c r="AG38" s="88" t="str">
        <f aca="false">IF($C38="","",IF(COUNTIFS('Tax Lots'!$B$6:$B$205,$B38,'Tax Lots'!$C$6:$C$205,$C38)=0,"",SUMIFS('Tax Lots'!$P$6:$P$205,'Tax Lots'!$B$6:$B$205,$B38,'Tax Lots'!$C$6:$C$205,$C38)))</f>
        <v/>
      </c>
      <c r="AH38" s="79" t="str">
        <f aca="false">IF($A38&amp;$B38&amp;$C38="","",IF($A38="","Missing ID",IF(COUNTIF($A$6:$A$205,$A38)&gt;1,"Duplicate ID",IF($AI38="","Unknown account",IF($AJ38="","Unknown security",IF(COUNTIFS($B$6:$B$205,$B38,$C$6:$C$205,$C38)&gt;1,"Same security twice in one account",IF(AND(ISNUMBER($J38),ISNUMBER($K38),N($K38)&lt;N($J38)),"Last date before first",IF(NOT(ISNUMBER($R38)),"No market value",IF(OR(N($J38)&gt;ValDate,N($K38)&gt;ValDate),"Date after valuation",IF(AND(ISNUMBER($AG38),ABS(N($L38)-N($AG38))&gt;0.001),"Lot quantity differs",IF(AND(ISNUMBER($AG38),ABS(N($M38)-SUMIFS('Tax Lots'!$Q$6:$Q$205,'Tax Lots'!$B$6:$B$205,$B38,'Tax Lots'!$C$6:$C$205,$C38))&gt;1),"Lot cost differs",IF(AND(ISNUMBER($AG38),ABS(N($V38)-SUMIFS('Tax Lots'!$AA$6:$AA$205,'Tax Lots'!$B$6:$B$205,$B38,'Tax Lots'!$C$6:$C$205,$C38))&gt;1),"Lot realised gain differs","OK"))))))))))))</f>
        <v/>
      </c>
      <c r="AI38" s="89" t="str">
        <f aca="false">IF($B38="","",IFERROR(MATCH($B38,Accounts!$A$6:$A$55,0),""))</f>
        <v/>
      </c>
      <c r="AJ38" s="89" t="str">
        <f aca="false">IF($C38="","",IFERROR(MATCH($C38,Securities!$A$6:$A$105,0),""))</f>
        <v/>
      </c>
      <c r="AK38" s="89" t="str">
        <f aca="false">IF($AI38="","",INDEX(Accounts!$B$6:$B$55,$AI38)&amp;"")</f>
        <v/>
      </c>
      <c r="AL38" s="89" t="str">
        <f aca="false">IF(OR($C38="",$I38="",NOT(ISNUMBER($R38))),"",$I38&amp;"|"&amp;(SUMPRODUCT(($I$6:$I$205=$I38)*ISNUMBER($R$6:$R$205)*($R$6:$R$205&gt;$R38))+SUMPRODUCT(($I$6:$I38=$I38)*ISNUMBER($R$6:$R38)*($R$6:$R38=$R38))))</f>
        <v/>
      </c>
      <c r="AM38" s="89" t="n">
        <f aca="false">IF(AND(ISNUMBER($R38),$W38&lt;&gt;"",$Z38&lt;&gt;"",$AB38="XIRR"),$R38*$W38,0)</f>
        <v>0</v>
      </c>
      <c r="AN38" s="89" t="n">
        <f aca="false">IF(AND(ISNUMBER($R38),$W38&lt;&gt;"",$Z38&lt;&gt;"",$AB38="XIRR"),$R38,0)</f>
        <v>0</v>
      </c>
      <c r="AO38" s="89" t="n">
        <f aca="false">IF(AND(ISNUMBER($R38),$W38&lt;&gt;"",$Z38&lt;&gt;"",$AB38="XIRR"),$R38*$Z38,0)</f>
        <v>0</v>
      </c>
      <c r="AP38" s="89" t="n">
        <f aca="false">IF(AND(ISNUMBER($M38),$Y38&lt;&gt;"",ISNUMBER($T38)),$M38*$Y38,0)</f>
        <v>0</v>
      </c>
      <c r="AQ38" s="89" t="n">
        <f aca="false">IF(AND(ISNUMBER($M38),$Y38&lt;&gt;"",ISNUMBER($T38)),$M38,0)</f>
        <v>0</v>
      </c>
    </row>
    <row r="39" customFormat="false" ht="15" hidden="false" customHeight="false" outlineLevel="0" collapsed="false">
      <c r="A39" s="77"/>
      <c r="B39" s="78"/>
      <c r="C39" s="78"/>
      <c r="D39" s="79" t="str">
        <f aca="false">IF($AI39="","",INDEX(Accounts!$C$6:$C$55,$AI39)&amp;"")</f>
        <v/>
      </c>
      <c r="E39" s="79" t="str">
        <f aca="false">IF($AI39="","",INDEX(Accounts!$F$6:$F$55,$AI39)&amp;"")</f>
        <v/>
      </c>
      <c r="F39" s="79" t="str">
        <f aca="false">IF($AJ39="","",INDEX(Securities!$B$6:$B$105,$AJ39)&amp;"")</f>
        <v/>
      </c>
      <c r="G39" s="79" t="str">
        <f aca="false">IF($AJ39="","",INDEX(Securities!$F$6:$F$105,$AJ39)&amp;"")</f>
        <v/>
      </c>
      <c r="H39" s="79" t="str">
        <f aca="false">IF($AJ39="","",INDEX(Securities!$E$6:$E$105,$AJ39)&amp;"")</f>
        <v/>
      </c>
      <c r="I39" s="79" t="str">
        <f aca="false">IF($AJ39="","",INDEX(Securities!$H$6:$H$105,$AJ39)&amp;"")</f>
        <v/>
      </c>
      <c r="J39" s="80"/>
      <c r="K39" s="80"/>
      <c r="L39" s="81"/>
      <c r="M39" s="82"/>
      <c r="N39" s="83" t="str">
        <f aca="false">IF(OR($L39="",$M39=""),"",IF(N($L39)=0,"",$M39/$L39))</f>
        <v/>
      </c>
      <c r="O39" s="84" t="str">
        <f aca="false">IF($AJ39="","",IF(INDEX(Securities!$O$6:$O$105,$AJ39)="","",INDEX(Securities!$O$6:$O$105,$AJ39)))</f>
        <v/>
      </c>
      <c r="P39" s="79" t="str">
        <f aca="false">IF($AJ39="","",INDEX(Securities!$N$6:$N$105,$AJ39)&amp;"")</f>
        <v/>
      </c>
      <c r="Q39" s="82"/>
      <c r="R39" s="85" t="str">
        <f aca="false">IF($C39="","",IF($Q39&lt;&gt;"",$Q39,IF($P39="At cost",IF($M39="","",$M39),IF(OR($O39="",$L39=""),"",$L39*$O39))))</f>
        <v/>
      </c>
      <c r="S39" s="85" t="str">
        <f aca="false">IF(OR(NOT(ISNUMBER($R39)),$M39=""),"",$R39-$M39)</f>
        <v/>
      </c>
      <c r="T39" s="86" t="str">
        <f aca="false">IF(OR($S39="",N($M39)=0),"",$S39/$M39)</f>
        <v/>
      </c>
      <c r="U39" s="82"/>
      <c r="V39" s="82"/>
      <c r="W39" s="87"/>
      <c r="X39" s="79" t="str">
        <f aca="false">IF($AJ39="","",INDEX(Securities!$L$6:$L$105,$AJ39)&amp;"")</f>
        <v/>
      </c>
      <c r="Y39" s="87"/>
      <c r="Z39" s="87"/>
      <c r="AA39" s="86" t="str">
        <f aca="false">IF(OR($W39="",$Z39=""),"",$W39-$Z39)</f>
        <v/>
      </c>
      <c r="AB39" s="79" t="str">
        <f aca="false">IF($C39="","",IF($P39="At cost","At cost",IF(NOT(ISNUMBER($J39)),"No date",IF(ValDate-$J39&lt;365,"Absolute",IF($W39="","XIRR missing","XIRR")))))</f>
        <v/>
      </c>
      <c r="AC39" s="86" t="str">
        <f aca="false">IF(NOT(ISNUMBER($R39)),"",IF(SUM($R$6:$R$205)=0,"",$R39/SUM($R$6:$R$205)))</f>
        <v/>
      </c>
      <c r="AD39" s="82"/>
      <c r="AE39" s="80"/>
      <c r="AF39" s="78"/>
      <c r="AG39" s="88" t="str">
        <f aca="false">IF($C39="","",IF(COUNTIFS('Tax Lots'!$B$6:$B$205,$B39,'Tax Lots'!$C$6:$C$205,$C39)=0,"",SUMIFS('Tax Lots'!$P$6:$P$205,'Tax Lots'!$B$6:$B$205,$B39,'Tax Lots'!$C$6:$C$205,$C39)))</f>
        <v/>
      </c>
      <c r="AH39" s="79" t="str">
        <f aca="false">IF($A39&amp;$B39&amp;$C39="","",IF($A39="","Missing ID",IF(COUNTIF($A$6:$A$205,$A39)&gt;1,"Duplicate ID",IF($AI39="","Unknown account",IF($AJ39="","Unknown security",IF(COUNTIFS($B$6:$B$205,$B39,$C$6:$C$205,$C39)&gt;1,"Same security twice in one account",IF(AND(ISNUMBER($J39),ISNUMBER($K39),N($K39)&lt;N($J39)),"Last date before first",IF(NOT(ISNUMBER($R39)),"No market value",IF(OR(N($J39)&gt;ValDate,N($K39)&gt;ValDate),"Date after valuation",IF(AND(ISNUMBER($AG39),ABS(N($L39)-N($AG39))&gt;0.001),"Lot quantity differs",IF(AND(ISNUMBER($AG39),ABS(N($M39)-SUMIFS('Tax Lots'!$Q$6:$Q$205,'Tax Lots'!$B$6:$B$205,$B39,'Tax Lots'!$C$6:$C$205,$C39))&gt;1),"Lot cost differs",IF(AND(ISNUMBER($AG39),ABS(N($V39)-SUMIFS('Tax Lots'!$AA$6:$AA$205,'Tax Lots'!$B$6:$B$205,$B39,'Tax Lots'!$C$6:$C$205,$C39))&gt;1),"Lot realised gain differs","OK"))))))))))))</f>
        <v/>
      </c>
      <c r="AI39" s="89" t="str">
        <f aca="false">IF($B39="","",IFERROR(MATCH($B39,Accounts!$A$6:$A$55,0),""))</f>
        <v/>
      </c>
      <c r="AJ39" s="89" t="str">
        <f aca="false">IF($C39="","",IFERROR(MATCH($C39,Securities!$A$6:$A$105,0),""))</f>
        <v/>
      </c>
      <c r="AK39" s="89" t="str">
        <f aca="false">IF($AI39="","",INDEX(Accounts!$B$6:$B$55,$AI39)&amp;"")</f>
        <v/>
      </c>
      <c r="AL39" s="89" t="str">
        <f aca="false">IF(OR($C39="",$I39="",NOT(ISNUMBER($R39))),"",$I39&amp;"|"&amp;(SUMPRODUCT(($I$6:$I$205=$I39)*ISNUMBER($R$6:$R$205)*($R$6:$R$205&gt;$R39))+SUMPRODUCT(($I$6:$I39=$I39)*ISNUMBER($R$6:$R39)*($R$6:$R39=$R39))))</f>
        <v/>
      </c>
      <c r="AM39" s="89" t="n">
        <f aca="false">IF(AND(ISNUMBER($R39),$W39&lt;&gt;"",$Z39&lt;&gt;"",$AB39="XIRR"),$R39*$W39,0)</f>
        <v>0</v>
      </c>
      <c r="AN39" s="89" t="n">
        <f aca="false">IF(AND(ISNUMBER($R39),$W39&lt;&gt;"",$Z39&lt;&gt;"",$AB39="XIRR"),$R39,0)</f>
        <v>0</v>
      </c>
      <c r="AO39" s="89" t="n">
        <f aca="false">IF(AND(ISNUMBER($R39),$W39&lt;&gt;"",$Z39&lt;&gt;"",$AB39="XIRR"),$R39*$Z39,0)</f>
        <v>0</v>
      </c>
      <c r="AP39" s="89" t="n">
        <f aca="false">IF(AND(ISNUMBER($M39),$Y39&lt;&gt;"",ISNUMBER($T39)),$M39*$Y39,0)</f>
        <v>0</v>
      </c>
      <c r="AQ39" s="89" t="n">
        <f aca="false">IF(AND(ISNUMBER($M39),$Y39&lt;&gt;"",ISNUMBER($T39)),$M39,0)</f>
        <v>0</v>
      </c>
    </row>
    <row r="40" customFormat="false" ht="15" hidden="false" customHeight="false" outlineLevel="0" collapsed="false">
      <c r="A40" s="77"/>
      <c r="B40" s="78"/>
      <c r="C40" s="78"/>
      <c r="D40" s="79" t="str">
        <f aca="false">IF($AI40="","",INDEX(Accounts!$C$6:$C$55,$AI40)&amp;"")</f>
        <v/>
      </c>
      <c r="E40" s="79" t="str">
        <f aca="false">IF($AI40="","",INDEX(Accounts!$F$6:$F$55,$AI40)&amp;"")</f>
        <v/>
      </c>
      <c r="F40" s="79" t="str">
        <f aca="false">IF($AJ40="","",INDEX(Securities!$B$6:$B$105,$AJ40)&amp;"")</f>
        <v/>
      </c>
      <c r="G40" s="79" t="str">
        <f aca="false">IF($AJ40="","",INDEX(Securities!$F$6:$F$105,$AJ40)&amp;"")</f>
        <v/>
      </c>
      <c r="H40" s="79" t="str">
        <f aca="false">IF($AJ40="","",INDEX(Securities!$E$6:$E$105,$AJ40)&amp;"")</f>
        <v/>
      </c>
      <c r="I40" s="79" t="str">
        <f aca="false">IF($AJ40="","",INDEX(Securities!$H$6:$H$105,$AJ40)&amp;"")</f>
        <v/>
      </c>
      <c r="J40" s="80"/>
      <c r="K40" s="80"/>
      <c r="L40" s="81"/>
      <c r="M40" s="82"/>
      <c r="N40" s="83" t="str">
        <f aca="false">IF(OR($L40="",$M40=""),"",IF(N($L40)=0,"",$M40/$L40))</f>
        <v/>
      </c>
      <c r="O40" s="84" t="str">
        <f aca="false">IF($AJ40="","",IF(INDEX(Securities!$O$6:$O$105,$AJ40)="","",INDEX(Securities!$O$6:$O$105,$AJ40)))</f>
        <v/>
      </c>
      <c r="P40" s="79" t="str">
        <f aca="false">IF($AJ40="","",INDEX(Securities!$N$6:$N$105,$AJ40)&amp;"")</f>
        <v/>
      </c>
      <c r="Q40" s="82"/>
      <c r="R40" s="85" t="str">
        <f aca="false">IF($C40="","",IF($Q40&lt;&gt;"",$Q40,IF($P40="At cost",IF($M40="","",$M40),IF(OR($O40="",$L40=""),"",$L40*$O40))))</f>
        <v/>
      </c>
      <c r="S40" s="85" t="str">
        <f aca="false">IF(OR(NOT(ISNUMBER($R40)),$M40=""),"",$R40-$M40)</f>
        <v/>
      </c>
      <c r="T40" s="86" t="str">
        <f aca="false">IF(OR($S40="",N($M40)=0),"",$S40/$M40)</f>
        <v/>
      </c>
      <c r="U40" s="82"/>
      <c r="V40" s="82"/>
      <c r="W40" s="87"/>
      <c r="X40" s="79" t="str">
        <f aca="false">IF($AJ40="","",INDEX(Securities!$L$6:$L$105,$AJ40)&amp;"")</f>
        <v/>
      </c>
      <c r="Y40" s="87"/>
      <c r="Z40" s="87"/>
      <c r="AA40" s="86" t="str">
        <f aca="false">IF(OR($W40="",$Z40=""),"",$W40-$Z40)</f>
        <v/>
      </c>
      <c r="AB40" s="79" t="str">
        <f aca="false">IF($C40="","",IF($P40="At cost","At cost",IF(NOT(ISNUMBER($J40)),"No date",IF(ValDate-$J40&lt;365,"Absolute",IF($W40="","XIRR missing","XIRR")))))</f>
        <v/>
      </c>
      <c r="AC40" s="86" t="str">
        <f aca="false">IF(NOT(ISNUMBER($R40)),"",IF(SUM($R$6:$R$205)=0,"",$R40/SUM($R$6:$R$205)))</f>
        <v/>
      </c>
      <c r="AD40" s="82"/>
      <c r="AE40" s="80"/>
      <c r="AF40" s="78"/>
      <c r="AG40" s="88" t="str">
        <f aca="false">IF($C40="","",IF(COUNTIFS('Tax Lots'!$B$6:$B$205,$B40,'Tax Lots'!$C$6:$C$205,$C40)=0,"",SUMIFS('Tax Lots'!$P$6:$P$205,'Tax Lots'!$B$6:$B$205,$B40,'Tax Lots'!$C$6:$C$205,$C40)))</f>
        <v/>
      </c>
      <c r="AH40" s="79" t="str">
        <f aca="false">IF($A40&amp;$B40&amp;$C40="","",IF($A40="","Missing ID",IF(COUNTIF($A$6:$A$205,$A40)&gt;1,"Duplicate ID",IF($AI40="","Unknown account",IF($AJ40="","Unknown security",IF(COUNTIFS($B$6:$B$205,$B40,$C$6:$C$205,$C40)&gt;1,"Same security twice in one account",IF(AND(ISNUMBER($J40),ISNUMBER($K40),N($K40)&lt;N($J40)),"Last date before first",IF(NOT(ISNUMBER($R40)),"No market value",IF(OR(N($J40)&gt;ValDate,N($K40)&gt;ValDate),"Date after valuation",IF(AND(ISNUMBER($AG40),ABS(N($L40)-N($AG40))&gt;0.001),"Lot quantity differs",IF(AND(ISNUMBER($AG40),ABS(N($M40)-SUMIFS('Tax Lots'!$Q$6:$Q$205,'Tax Lots'!$B$6:$B$205,$B40,'Tax Lots'!$C$6:$C$205,$C40))&gt;1),"Lot cost differs",IF(AND(ISNUMBER($AG40),ABS(N($V40)-SUMIFS('Tax Lots'!$AA$6:$AA$205,'Tax Lots'!$B$6:$B$205,$B40,'Tax Lots'!$C$6:$C$205,$C40))&gt;1),"Lot realised gain differs","OK"))))))))))))</f>
        <v/>
      </c>
      <c r="AI40" s="89" t="str">
        <f aca="false">IF($B40="","",IFERROR(MATCH($B40,Accounts!$A$6:$A$55,0),""))</f>
        <v/>
      </c>
      <c r="AJ40" s="89" t="str">
        <f aca="false">IF($C40="","",IFERROR(MATCH($C40,Securities!$A$6:$A$105,0),""))</f>
        <v/>
      </c>
      <c r="AK40" s="89" t="str">
        <f aca="false">IF($AI40="","",INDEX(Accounts!$B$6:$B$55,$AI40)&amp;"")</f>
        <v/>
      </c>
      <c r="AL40" s="89" t="str">
        <f aca="false">IF(OR($C40="",$I40="",NOT(ISNUMBER($R40))),"",$I40&amp;"|"&amp;(SUMPRODUCT(($I$6:$I$205=$I40)*ISNUMBER($R$6:$R$205)*($R$6:$R$205&gt;$R40))+SUMPRODUCT(($I$6:$I40=$I40)*ISNUMBER($R$6:$R40)*($R$6:$R40=$R40))))</f>
        <v/>
      </c>
      <c r="AM40" s="89" t="n">
        <f aca="false">IF(AND(ISNUMBER($R40),$W40&lt;&gt;"",$Z40&lt;&gt;"",$AB40="XIRR"),$R40*$W40,0)</f>
        <v>0</v>
      </c>
      <c r="AN40" s="89" t="n">
        <f aca="false">IF(AND(ISNUMBER($R40),$W40&lt;&gt;"",$Z40&lt;&gt;"",$AB40="XIRR"),$R40,0)</f>
        <v>0</v>
      </c>
      <c r="AO40" s="89" t="n">
        <f aca="false">IF(AND(ISNUMBER($R40),$W40&lt;&gt;"",$Z40&lt;&gt;"",$AB40="XIRR"),$R40*$Z40,0)</f>
        <v>0</v>
      </c>
      <c r="AP40" s="89" t="n">
        <f aca="false">IF(AND(ISNUMBER($M40),$Y40&lt;&gt;"",ISNUMBER($T40)),$M40*$Y40,0)</f>
        <v>0</v>
      </c>
      <c r="AQ40" s="89" t="n">
        <f aca="false">IF(AND(ISNUMBER($M40),$Y40&lt;&gt;"",ISNUMBER($T40)),$M40,0)</f>
        <v>0</v>
      </c>
    </row>
    <row r="41" customFormat="false" ht="15" hidden="false" customHeight="false" outlineLevel="0" collapsed="false">
      <c r="A41" s="77"/>
      <c r="B41" s="78"/>
      <c r="C41" s="78"/>
      <c r="D41" s="79" t="str">
        <f aca="false">IF($AI41="","",INDEX(Accounts!$C$6:$C$55,$AI41)&amp;"")</f>
        <v/>
      </c>
      <c r="E41" s="79" t="str">
        <f aca="false">IF($AI41="","",INDEX(Accounts!$F$6:$F$55,$AI41)&amp;"")</f>
        <v/>
      </c>
      <c r="F41" s="79" t="str">
        <f aca="false">IF($AJ41="","",INDEX(Securities!$B$6:$B$105,$AJ41)&amp;"")</f>
        <v/>
      </c>
      <c r="G41" s="79" t="str">
        <f aca="false">IF($AJ41="","",INDEX(Securities!$F$6:$F$105,$AJ41)&amp;"")</f>
        <v/>
      </c>
      <c r="H41" s="79" t="str">
        <f aca="false">IF($AJ41="","",INDEX(Securities!$E$6:$E$105,$AJ41)&amp;"")</f>
        <v/>
      </c>
      <c r="I41" s="79" t="str">
        <f aca="false">IF($AJ41="","",INDEX(Securities!$H$6:$H$105,$AJ41)&amp;"")</f>
        <v/>
      </c>
      <c r="J41" s="80"/>
      <c r="K41" s="80"/>
      <c r="L41" s="81"/>
      <c r="M41" s="82"/>
      <c r="N41" s="83" t="str">
        <f aca="false">IF(OR($L41="",$M41=""),"",IF(N($L41)=0,"",$M41/$L41))</f>
        <v/>
      </c>
      <c r="O41" s="84" t="str">
        <f aca="false">IF($AJ41="","",IF(INDEX(Securities!$O$6:$O$105,$AJ41)="","",INDEX(Securities!$O$6:$O$105,$AJ41)))</f>
        <v/>
      </c>
      <c r="P41" s="79" t="str">
        <f aca="false">IF($AJ41="","",INDEX(Securities!$N$6:$N$105,$AJ41)&amp;"")</f>
        <v/>
      </c>
      <c r="Q41" s="82"/>
      <c r="R41" s="85" t="str">
        <f aca="false">IF($C41="","",IF($Q41&lt;&gt;"",$Q41,IF($P41="At cost",IF($M41="","",$M41),IF(OR($O41="",$L41=""),"",$L41*$O41))))</f>
        <v/>
      </c>
      <c r="S41" s="85" t="str">
        <f aca="false">IF(OR(NOT(ISNUMBER($R41)),$M41=""),"",$R41-$M41)</f>
        <v/>
      </c>
      <c r="T41" s="86" t="str">
        <f aca="false">IF(OR($S41="",N($M41)=0),"",$S41/$M41)</f>
        <v/>
      </c>
      <c r="U41" s="82"/>
      <c r="V41" s="82"/>
      <c r="W41" s="87"/>
      <c r="X41" s="79" t="str">
        <f aca="false">IF($AJ41="","",INDEX(Securities!$L$6:$L$105,$AJ41)&amp;"")</f>
        <v/>
      </c>
      <c r="Y41" s="87"/>
      <c r="Z41" s="87"/>
      <c r="AA41" s="86" t="str">
        <f aca="false">IF(OR($W41="",$Z41=""),"",$W41-$Z41)</f>
        <v/>
      </c>
      <c r="AB41" s="79" t="str">
        <f aca="false">IF($C41="","",IF($P41="At cost","At cost",IF(NOT(ISNUMBER($J41)),"No date",IF(ValDate-$J41&lt;365,"Absolute",IF($W41="","XIRR missing","XIRR")))))</f>
        <v/>
      </c>
      <c r="AC41" s="86" t="str">
        <f aca="false">IF(NOT(ISNUMBER($R41)),"",IF(SUM($R$6:$R$205)=0,"",$R41/SUM($R$6:$R$205)))</f>
        <v/>
      </c>
      <c r="AD41" s="82"/>
      <c r="AE41" s="80"/>
      <c r="AF41" s="78"/>
      <c r="AG41" s="88" t="str">
        <f aca="false">IF($C41="","",IF(COUNTIFS('Tax Lots'!$B$6:$B$205,$B41,'Tax Lots'!$C$6:$C$205,$C41)=0,"",SUMIFS('Tax Lots'!$P$6:$P$205,'Tax Lots'!$B$6:$B$205,$B41,'Tax Lots'!$C$6:$C$205,$C41)))</f>
        <v/>
      </c>
      <c r="AH41" s="79" t="str">
        <f aca="false">IF($A41&amp;$B41&amp;$C41="","",IF($A41="","Missing ID",IF(COUNTIF($A$6:$A$205,$A41)&gt;1,"Duplicate ID",IF($AI41="","Unknown account",IF($AJ41="","Unknown security",IF(COUNTIFS($B$6:$B$205,$B41,$C$6:$C$205,$C41)&gt;1,"Same security twice in one account",IF(AND(ISNUMBER($J41),ISNUMBER($K41),N($K41)&lt;N($J41)),"Last date before first",IF(NOT(ISNUMBER($R41)),"No market value",IF(OR(N($J41)&gt;ValDate,N($K41)&gt;ValDate),"Date after valuation",IF(AND(ISNUMBER($AG41),ABS(N($L41)-N($AG41))&gt;0.001),"Lot quantity differs",IF(AND(ISNUMBER($AG41),ABS(N($M41)-SUMIFS('Tax Lots'!$Q$6:$Q$205,'Tax Lots'!$B$6:$B$205,$B41,'Tax Lots'!$C$6:$C$205,$C41))&gt;1),"Lot cost differs",IF(AND(ISNUMBER($AG41),ABS(N($V41)-SUMIFS('Tax Lots'!$AA$6:$AA$205,'Tax Lots'!$B$6:$B$205,$B41,'Tax Lots'!$C$6:$C$205,$C41))&gt;1),"Lot realised gain differs","OK"))))))))))))</f>
        <v/>
      </c>
      <c r="AI41" s="89" t="str">
        <f aca="false">IF($B41="","",IFERROR(MATCH($B41,Accounts!$A$6:$A$55,0),""))</f>
        <v/>
      </c>
      <c r="AJ41" s="89" t="str">
        <f aca="false">IF($C41="","",IFERROR(MATCH($C41,Securities!$A$6:$A$105,0),""))</f>
        <v/>
      </c>
      <c r="AK41" s="89" t="str">
        <f aca="false">IF($AI41="","",INDEX(Accounts!$B$6:$B$55,$AI41)&amp;"")</f>
        <v/>
      </c>
      <c r="AL41" s="89" t="str">
        <f aca="false">IF(OR($C41="",$I41="",NOT(ISNUMBER($R41))),"",$I41&amp;"|"&amp;(SUMPRODUCT(($I$6:$I$205=$I41)*ISNUMBER($R$6:$R$205)*($R$6:$R$205&gt;$R41))+SUMPRODUCT(($I$6:$I41=$I41)*ISNUMBER($R$6:$R41)*($R$6:$R41=$R41))))</f>
        <v/>
      </c>
      <c r="AM41" s="89" t="n">
        <f aca="false">IF(AND(ISNUMBER($R41),$W41&lt;&gt;"",$Z41&lt;&gt;"",$AB41="XIRR"),$R41*$W41,0)</f>
        <v>0</v>
      </c>
      <c r="AN41" s="89" t="n">
        <f aca="false">IF(AND(ISNUMBER($R41),$W41&lt;&gt;"",$Z41&lt;&gt;"",$AB41="XIRR"),$R41,0)</f>
        <v>0</v>
      </c>
      <c r="AO41" s="89" t="n">
        <f aca="false">IF(AND(ISNUMBER($R41),$W41&lt;&gt;"",$Z41&lt;&gt;"",$AB41="XIRR"),$R41*$Z41,0)</f>
        <v>0</v>
      </c>
      <c r="AP41" s="89" t="n">
        <f aca="false">IF(AND(ISNUMBER($M41),$Y41&lt;&gt;"",ISNUMBER($T41)),$M41*$Y41,0)</f>
        <v>0</v>
      </c>
      <c r="AQ41" s="89" t="n">
        <f aca="false">IF(AND(ISNUMBER($M41),$Y41&lt;&gt;"",ISNUMBER($T41)),$M41,0)</f>
        <v>0</v>
      </c>
    </row>
    <row r="42" customFormat="false" ht="15" hidden="false" customHeight="false" outlineLevel="0" collapsed="false">
      <c r="A42" s="77"/>
      <c r="B42" s="78"/>
      <c r="C42" s="78"/>
      <c r="D42" s="79" t="str">
        <f aca="false">IF($AI42="","",INDEX(Accounts!$C$6:$C$55,$AI42)&amp;"")</f>
        <v/>
      </c>
      <c r="E42" s="79" t="str">
        <f aca="false">IF($AI42="","",INDEX(Accounts!$F$6:$F$55,$AI42)&amp;"")</f>
        <v/>
      </c>
      <c r="F42" s="79" t="str">
        <f aca="false">IF($AJ42="","",INDEX(Securities!$B$6:$B$105,$AJ42)&amp;"")</f>
        <v/>
      </c>
      <c r="G42" s="79" t="str">
        <f aca="false">IF($AJ42="","",INDEX(Securities!$F$6:$F$105,$AJ42)&amp;"")</f>
        <v/>
      </c>
      <c r="H42" s="79" t="str">
        <f aca="false">IF($AJ42="","",INDEX(Securities!$E$6:$E$105,$AJ42)&amp;"")</f>
        <v/>
      </c>
      <c r="I42" s="79" t="str">
        <f aca="false">IF($AJ42="","",INDEX(Securities!$H$6:$H$105,$AJ42)&amp;"")</f>
        <v/>
      </c>
      <c r="J42" s="80"/>
      <c r="K42" s="80"/>
      <c r="L42" s="81"/>
      <c r="M42" s="82"/>
      <c r="N42" s="83" t="str">
        <f aca="false">IF(OR($L42="",$M42=""),"",IF(N($L42)=0,"",$M42/$L42))</f>
        <v/>
      </c>
      <c r="O42" s="84" t="str">
        <f aca="false">IF($AJ42="","",IF(INDEX(Securities!$O$6:$O$105,$AJ42)="","",INDEX(Securities!$O$6:$O$105,$AJ42)))</f>
        <v/>
      </c>
      <c r="P42" s="79" t="str">
        <f aca="false">IF($AJ42="","",INDEX(Securities!$N$6:$N$105,$AJ42)&amp;"")</f>
        <v/>
      </c>
      <c r="Q42" s="82"/>
      <c r="R42" s="85" t="str">
        <f aca="false">IF($C42="","",IF($Q42&lt;&gt;"",$Q42,IF($P42="At cost",IF($M42="","",$M42),IF(OR($O42="",$L42=""),"",$L42*$O42))))</f>
        <v/>
      </c>
      <c r="S42" s="85" t="str">
        <f aca="false">IF(OR(NOT(ISNUMBER($R42)),$M42=""),"",$R42-$M42)</f>
        <v/>
      </c>
      <c r="T42" s="86" t="str">
        <f aca="false">IF(OR($S42="",N($M42)=0),"",$S42/$M42)</f>
        <v/>
      </c>
      <c r="U42" s="82"/>
      <c r="V42" s="82"/>
      <c r="W42" s="87"/>
      <c r="X42" s="79" t="str">
        <f aca="false">IF($AJ42="","",INDEX(Securities!$L$6:$L$105,$AJ42)&amp;"")</f>
        <v/>
      </c>
      <c r="Y42" s="87"/>
      <c r="Z42" s="87"/>
      <c r="AA42" s="86" t="str">
        <f aca="false">IF(OR($W42="",$Z42=""),"",$W42-$Z42)</f>
        <v/>
      </c>
      <c r="AB42" s="79" t="str">
        <f aca="false">IF($C42="","",IF($P42="At cost","At cost",IF(NOT(ISNUMBER($J42)),"No date",IF(ValDate-$J42&lt;365,"Absolute",IF($W42="","XIRR missing","XIRR")))))</f>
        <v/>
      </c>
      <c r="AC42" s="86" t="str">
        <f aca="false">IF(NOT(ISNUMBER($R42)),"",IF(SUM($R$6:$R$205)=0,"",$R42/SUM($R$6:$R$205)))</f>
        <v/>
      </c>
      <c r="AD42" s="82"/>
      <c r="AE42" s="80"/>
      <c r="AF42" s="78"/>
      <c r="AG42" s="88" t="str">
        <f aca="false">IF($C42="","",IF(COUNTIFS('Tax Lots'!$B$6:$B$205,$B42,'Tax Lots'!$C$6:$C$205,$C42)=0,"",SUMIFS('Tax Lots'!$P$6:$P$205,'Tax Lots'!$B$6:$B$205,$B42,'Tax Lots'!$C$6:$C$205,$C42)))</f>
        <v/>
      </c>
      <c r="AH42" s="79" t="str">
        <f aca="false">IF($A42&amp;$B42&amp;$C42="","",IF($A42="","Missing ID",IF(COUNTIF($A$6:$A$205,$A42)&gt;1,"Duplicate ID",IF($AI42="","Unknown account",IF($AJ42="","Unknown security",IF(COUNTIFS($B$6:$B$205,$B42,$C$6:$C$205,$C42)&gt;1,"Same security twice in one account",IF(AND(ISNUMBER($J42),ISNUMBER($K42),N($K42)&lt;N($J42)),"Last date before first",IF(NOT(ISNUMBER($R42)),"No market value",IF(OR(N($J42)&gt;ValDate,N($K42)&gt;ValDate),"Date after valuation",IF(AND(ISNUMBER($AG42),ABS(N($L42)-N($AG42))&gt;0.001),"Lot quantity differs",IF(AND(ISNUMBER($AG42),ABS(N($M42)-SUMIFS('Tax Lots'!$Q$6:$Q$205,'Tax Lots'!$B$6:$B$205,$B42,'Tax Lots'!$C$6:$C$205,$C42))&gt;1),"Lot cost differs",IF(AND(ISNUMBER($AG42),ABS(N($V42)-SUMIFS('Tax Lots'!$AA$6:$AA$205,'Tax Lots'!$B$6:$B$205,$B42,'Tax Lots'!$C$6:$C$205,$C42))&gt;1),"Lot realised gain differs","OK"))))))))))))</f>
        <v/>
      </c>
      <c r="AI42" s="89" t="str">
        <f aca="false">IF($B42="","",IFERROR(MATCH($B42,Accounts!$A$6:$A$55,0),""))</f>
        <v/>
      </c>
      <c r="AJ42" s="89" t="str">
        <f aca="false">IF($C42="","",IFERROR(MATCH($C42,Securities!$A$6:$A$105,0),""))</f>
        <v/>
      </c>
      <c r="AK42" s="89" t="str">
        <f aca="false">IF($AI42="","",INDEX(Accounts!$B$6:$B$55,$AI42)&amp;"")</f>
        <v/>
      </c>
      <c r="AL42" s="89" t="str">
        <f aca="false">IF(OR($C42="",$I42="",NOT(ISNUMBER($R42))),"",$I42&amp;"|"&amp;(SUMPRODUCT(($I$6:$I$205=$I42)*ISNUMBER($R$6:$R$205)*($R$6:$R$205&gt;$R42))+SUMPRODUCT(($I$6:$I42=$I42)*ISNUMBER($R$6:$R42)*($R$6:$R42=$R42))))</f>
        <v/>
      </c>
      <c r="AM42" s="89" t="n">
        <f aca="false">IF(AND(ISNUMBER($R42),$W42&lt;&gt;"",$Z42&lt;&gt;"",$AB42="XIRR"),$R42*$W42,0)</f>
        <v>0</v>
      </c>
      <c r="AN42" s="89" t="n">
        <f aca="false">IF(AND(ISNUMBER($R42),$W42&lt;&gt;"",$Z42&lt;&gt;"",$AB42="XIRR"),$R42,0)</f>
        <v>0</v>
      </c>
      <c r="AO42" s="89" t="n">
        <f aca="false">IF(AND(ISNUMBER($R42),$W42&lt;&gt;"",$Z42&lt;&gt;"",$AB42="XIRR"),$R42*$Z42,0)</f>
        <v>0</v>
      </c>
      <c r="AP42" s="89" t="n">
        <f aca="false">IF(AND(ISNUMBER($M42),$Y42&lt;&gt;"",ISNUMBER($T42)),$M42*$Y42,0)</f>
        <v>0</v>
      </c>
      <c r="AQ42" s="89" t="n">
        <f aca="false">IF(AND(ISNUMBER($M42),$Y42&lt;&gt;"",ISNUMBER($T42)),$M42,0)</f>
        <v>0</v>
      </c>
    </row>
    <row r="43" customFormat="false" ht="15" hidden="false" customHeight="false" outlineLevel="0" collapsed="false">
      <c r="A43" s="77"/>
      <c r="B43" s="78"/>
      <c r="C43" s="78"/>
      <c r="D43" s="79" t="str">
        <f aca="false">IF($AI43="","",INDEX(Accounts!$C$6:$C$55,$AI43)&amp;"")</f>
        <v/>
      </c>
      <c r="E43" s="79" t="str">
        <f aca="false">IF($AI43="","",INDEX(Accounts!$F$6:$F$55,$AI43)&amp;"")</f>
        <v/>
      </c>
      <c r="F43" s="79" t="str">
        <f aca="false">IF($AJ43="","",INDEX(Securities!$B$6:$B$105,$AJ43)&amp;"")</f>
        <v/>
      </c>
      <c r="G43" s="79" t="str">
        <f aca="false">IF($AJ43="","",INDEX(Securities!$F$6:$F$105,$AJ43)&amp;"")</f>
        <v/>
      </c>
      <c r="H43" s="79" t="str">
        <f aca="false">IF($AJ43="","",INDEX(Securities!$E$6:$E$105,$AJ43)&amp;"")</f>
        <v/>
      </c>
      <c r="I43" s="79" t="str">
        <f aca="false">IF($AJ43="","",INDEX(Securities!$H$6:$H$105,$AJ43)&amp;"")</f>
        <v/>
      </c>
      <c r="J43" s="80"/>
      <c r="K43" s="80"/>
      <c r="L43" s="81"/>
      <c r="M43" s="82"/>
      <c r="N43" s="83" t="str">
        <f aca="false">IF(OR($L43="",$M43=""),"",IF(N($L43)=0,"",$M43/$L43))</f>
        <v/>
      </c>
      <c r="O43" s="84" t="str">
        <f aca="false">IF($AJ43="","",IF(INDEX(Securities!$O$6:$O$105,$AJ43)="","",INDEX(Securities!$O$6:$O$105,$AJ43)))</f>
        <v/>
      </c>
      <c r="P43" s="79" t="str">
        <f aca="false">IF($AJ43="","",INDEX(Securities!$N$6:$N$105,$AJ43)&amp;"")</f>
        <v/>
      </c>
      <c r="Q43" s="82"/>
      <c r="R43" s="85" t="str">
        <f aca="false">IF($C43="","",IF($Q43&lt;&gt;"",$Q43,IF($P43="At cost",IF($M43="","",$M43),IF(OR($O43="",$L43=""),"",$L43*$O43))))</f>
        <v/>
      </c>
      <c r="S43" s="85" t="str">
        <f aca="false">IF(OR(NOT(ISNUMBER($R43)),$M43=""),"",$R43-$M43)</f>
        <v/>
      </c>
      <c r="T43" s="86" t="str">
        <f aca="false">IF(OR($S43="",N($M43)=0),"",$S43/$M43)</f>
        <v/>
      </c>
      <c r="U43" s="82"/>
      <c r="V43" s="82"/>
      <c r="W43" s="87"/>
      <c r="X43" s="79" t="str">
        <f aca="false">IF($AJ43="","",INDEX(Securities!$L$6:$L$105,$AJ43)&amp;"")</f>
        <v/>
      </c>
      <c r="Y43" s="87"/>
      <c r="Z43" s="87"/>
      <c r="AA43" s="86" t="str">
        <f aca="false">IF(OR($W43="",$Z43=""),"",$W43-$Z43)</f>
        <v/>
      </c>
      <c r="AB43" s="79" t="str">
        <f aca="false">IF($C43="","",IF($P43="At cost","At cost",IF(NOT(ISNUMBER($J43)),"No date",IF(ValDate-$J43&lt;365,"Absolute",IF($W43="","XIRR missing","XIRR")))))</f>
        <v/>
      </c>
      <c r="AC43" s="86" t="str">
        <f aca="false">IF(NOT(ISNUMBER($R43)),"",IF(SUM($R$6:$R$205)=0,"",$R43/SUM($R$6:$R$205)))</f>
        <v/>
      </c>
      <c r="AD43" s="82"/>
      <c r="AE43" s="80"/>
      <c r="AF43" s="78"/>
      <c r="AG43" s="88" t="str">
        <f aca="false">IF($C43="","",IF(COUNTIFS('Tax Lots'!$B$6:$B$205,$B43,'Tax Lots'!$C$6:$C$205,$C43)=0,"",SUMIFS('Tax Lots'!$P$6:$P$205,'Tax Lots'!$B$6:$B$205,$B43,'Tax Lots'!$C$6:$C$205,$C43)))</f>
        <v/>
      </c>
      <c r="AH43" s="79" t="str">
        <f aca="false">IF($A43&amp;$B43&amp;$C43="","",IF($A43="","Missing ID",IF(COUNTIF($A$6:$A$205,$A43)&gt;1,"Duplicate ID",IF($AI43="","Unknown account",IF($AJ43="","Unknown security",IF(COUNTIFS($B$6:$B$205,$B43,$C$6:$C$205,$C43)&gt;1,"Same security twice in one account",IF(AND(ISNUMBER($J43),ISNUMBER($K43),N($K43)&lt;N($J43)),"Last date before first",IF(NOT(ISNUMBER($R43)),"No market value",IF(OR(N($J43)&gt;ValDate,N($K43)&gt;ValDate),"Date after valuation",IF(AND(ISNUMBER($AG43),ABS(N($L43)-N($AG43))&gt;0.001),"Lot quantity differs",IF(AND(ISNUMBER($AG43),ABS(N($M43)-SUMIFS('Tax Lots'!$Q$6:$Q$205,'Tax Lots'!$B$6:$B$205,$B43,'Tax Lots'!$C$6:$C$205,$C43))&gt;1),"Lot cost differs",IF(AND(ISNUMBER($AG43),ABS(N($V43)-SUMIFS('Tax Lots'!$AA$6:$AA$205,'Tax Lots'!$B$6:$B$205,$B43,'Tax Lots'!$C$6:$C$205,$C43))&gt;1),"Lot realised gain differs","OK"))))))))))))</f>
        <v/>
      </c>
      <c r="AI43" s="89" t="str">
        <f aca="false">IF($B43="","",IFERROR(MATCH($B43,Accounts!$A$6:$A$55,0),""))</f>
        <v/>
      </c>
      <c r="AJ43" s="89" t="str">
        <f aca="false">IF($C43="","",IFERROR(MATCH($C43,Securities!$A$6:$A$105,0),""))</f>
        <v/>
      </c>
      <c r="AK43" s="89" t="str">
        <f aca="false">IF($AI43="","",INDEX(Accounts!$B$6:$B$55,$AI43)&amp;"")</f>
        <v/>
      </c>
      <c r="AL43" s="89" t="str">
        <f aca="false">IF(OR($C43="",$I43="",NOT(ISNUMBER($R43))),"",$I43&amp;"|"&amp;(SUMPRODUCT(($I$6:$I$205=$I43)*ISNUMBER($R$6:$R$205)*($R$6:$R$205&gt;$R43))+SUMPRODUCT(($I$6:$I43=$I43)*ISNUMBER($R$6:$R43)*($R$6:$R43=$R43))))</f>
        <v/>
      </c>
      <c r="AM43" s="89" t="n">
        <f aca="false">IF(AND(ISNUMBER($R43),$W43&lt;&gt;"",$Z43&lt;&gt;"",$AB43="XIRR"),$R43*$W43,0)</f>
        <v>0</v>
      </c>
      <c r="AN43" s="89" t="n">
        <f aca="false">IF(AND(ISNUMBER($R43),$W43&lt;&gt;"",$Z43&lt;&gt;"",$AB43="XIRR"),$R43,0)</f>
        <v>0</v>
      </c>
      <c r="AO43" s="89" t="n">
        <f aca="false">IF(AND(ISNUMBER($R43),$W43&lt;&gt;"",$Z43&lt;&gt;"",$AB43="XIRR"),$R43*$Z43,0)</f>
        <v>0</v>
      </c>
      <c r="AP43" s="89" t="n">
        <f aca="false">IF(AND(ISNUMBER($M43),$Y43&lt;&gt;"",ISNUMBER($T43)),$M43*$Y43,0)</f>
        <v>0</v>
      </c>
      <c r="AQ43" s="89" t="n">
        <f aca="false">IF(AND(ISNUMBER($M43),$Y43&lt;&gt;"",ISNUMBER($T43)),$M43,0)</f>
        <v>0</v>
      </c>
    </row>
    <row r="44" customFormat="false" ht="15" hidden="false" customHeight="false" outlineLevel="0" collapsed="false">
      <c r="A44" s="77"/>
      <c r="B44" s="78"/>
      <c r="C44" s="78"/>
      <c r="D44" s="79" t="str">
        <f aca="false">IF($AI44="","",INDEX(Accounts!$C$6:$C$55,$AI44)&amp;"")</f>
        <v/>
      </c>
      <c r="E44" s="79" t="str">
        <f aca="false">IF($AI44="","",INDEX(Accounts!$F$6:$F$55,$AI44)&amp;"")</f>
        <v/>
      </c>
      <c r="F44" s="79" t="str">
        <f aca="false">IF($AJ44="","",INDEX(Securities!$B$6:$B$105,$AJ44)&amp;"")</f>
        <v/>
      </c>
      <c r="G44" s="79" t="str">
        <f aca="false">IF($AJ44="","",INDEX(Securities!$F$6:$F$105,$AJ44)&amp;"")</f>
        <v/>
      </c>
      <c r="H44" s="79" t="str">
        <f aca="false">IF($AJ44="","",INDEX(Securities!$E$6:$E$105,$AJ44)&amp;"")</f>
        <v/>
      </c>
      <c r="I44" s="79" t="str">
        <f aca="false">IF($AJ44="","",INDEX(Securities!$H$6:$H$105,$AJ44)&amp;"")</f>
        <v/>
      </c>
      <c r="J44" s="80"/>
      <c r="K44" s="80"/>
      <c r="L44" s="81"/>
      <c r="M44" s="82"/>
      <c r="N44" s="83" t="str">
        <f aca="false">IF(OR($L44="",$M44=""),"",IF(N($L44)=0,"",$M44/$L44))</f>
        <v/>
      </c>
      <c r="O44" s="84" t="str">
        <f aca="false">IF($AJ44="","",IF(INDEX(Securities!$O$6:$O$105,$AJ44)="","",INDEX(Securities!$O$6:$O$105,$AJ44)))</f>
        <v/>
      </c>
      <c r="P44" s="79" t="str">
        <f aca="false">IF($AJ44="","",INDEX(Securities!$N$6:$N$105,$AJ44)&amp;"")</f>
        <v/>
      </c>
      <c r="Q44" s="82"/>
      <c r="R44" s="85" t="str">
        <f aca="false">IF($C44="","",IF($Q44&lt;&gt;"",$Q44,IF($P44="At cost",IF($M44="","",$M44),IF(OR($O44="",$L44=""),"",$L44*$O44))))</f>
        <v/>
      </c>
      <c r="S44" s="85" t="str">
        <f aca="false">IF(OR(NOT(ISNUMBER($R44)),$M44=""),"",$R44-$M44)</f>
        <v/>
      </c>
      <c r="T44" s="86" t="str">
        <f aca="false">IF(OR($S44="",N($M44)=0),"",$S44/$M44)</f>
        <v/>
      </c>
      <c r="U44" s="82"/>
      <c r="V44" s="82"/>
      <c r="W44" s="87"/>
      <c r="X44" s="79" t="str">
        <f aca="false">IF($AJ44="","",INDEX(Securities!$L$6:$L$105,$AJ44)&amp;"")</f>
        <v/>
      </c>
      <c r="Y44" s="87"/>
      <c r="Z44" s="87"/>
      <c r="AA44" s="86" t="str">
        <f aca="false">IF(OR($W44="",$Z44=""),"",$W44-$Z44)</f>
        <v/>
      </c>
      <c r="AB44" s="79" t="str">
        <f aca="false">IF($C44="","",IF($P44="At cost","At cost",IF(NOT(ISNUMBER($J44)),"No date",IF(ValDate-$J44&lt;365,"Absolute",IF($W44="","XIRR missing","XIRR")))))</f>
        <v/>
      </c>
      <c r="AC44" s="86" t="str">
        <f aca="false">IF(NOT(ISNUMBER($R44)),"",IF(SUM($R$6:$R$205)=0,"",$R44/SUM($R$6:$R$205)))</f>
        <v/>
      </c>
      <c r="AD44" s="82"/>
      <c r="AE44" s="80"/>
      <c r="AF44" s="78"/>
      <c r="AG44" s="88" t="str">
        <f aca="false">IF($C44="","",IF(COUNTIFS('Tax Lots'!$B$6:$B$205,$B44,'Tax Lots'!$C$6:$C$205,$C44)=0,"",SUMIFS('Tax Lots'!$P$6:$P$205,'Tax Lots'!$B$6:$B$205,$B44,'Tax Lots'!$C$6:$C$205,$C44)))</f>
        <v/>
      </c>
      <c r="AH44" s="79" t="str">
        <f aca="false">IF($A44&amp;$B44&amp;$C44="","",IF($A44="","Missing ID",IF(COUNTIF($A$6:$A$205,$A44)&gt;1,"Duplicate ID",IF($AI44="","Unknown account",IF($AJ44="","Unknown security",IF(COUNTIFS($B$6:$B$205,$B44,$C$6:$C$205,$C44)&gt;1,"Same security twice in one account",IF(AND(ISNUMBER($J44),ISNUMBER($K44),N($K44)&lt;N($J44)),"Last date before first",IF(NOT(ISNUMBER($R44)),"No market value",IF(OR(N($J44)&gt;ValDate,N($K44)&gt;ValDate),"Date after valuation",IF(AND(ISNUMBER($AG44),ABS(N($L44)-N($AG44))&gt;0.001),"Lot quantity differs",IF(AND(ISNUMBER($AG44),ABS(N($M44)-SUMIFS('Tax Lots'!$Q$6:$Q$205,'Tax Lots'!$B$6:$B$205,$B44,'Tax Lots'!$C$6:$C$205,$C44))&gt;1),"Lot cost differs",IF(AND(ISNUMBER($AG44),ABS(N($V44)-SUMIFS('Tax Lots'!$AA$6:$AA$205,'Tax Lots'!$B$6:$B$205,$B44,'Tax Lots'!$C$6:$C$205,$C44))&gt;1),"Lot realised gain differs","OK"))))))))))))</f>
        <v/>
      </c>
      <c r="AI44" s="89" t="str">
        <f aca="false">IF($B44="","",IFERROR(MATCH($B44,Accounts!$A$6:$A$55,0),""))</f>
        <v/>
      </c>
      <c r="AJ44" s="89" t="str">
        <f aca="false">IF($C44="","",IFERROR(MATCH($C44,Securities!$A$6:$A$105,0),""))</f>
        <v/>
      </c>
      <c r="AK44" s="89" t="str">
        <f aca="false">IF($AI44="","",INDEX(Accounts!$B$6:$B$55,$AI44)&amp;"")</f>
        <v/>
      </c>
      <c r="AL44" s="89" t="str">
        <f aca="false">IF(OR($C44="",$I44="",NOT(ISNUMBER($R44))),"",$I44&amp;"|"&amp;(SUMPRODUCT(($I$6:$I$205=$I44)*ISNUMBER($R$6:$R$205)*($R$6:$R$205&gt;$R44))+SUMPRODUCT(($I$6:$I44=$I44)*ISNUMBER($R$6:$R44)*($R$6:$R44=$R44))))</f>
        <v/>
      </c>
      <c r="AM44" s="89" t="n">
        <f aca="false">IF(AND(ISNUMBER($R44),$W44&lt;&gt;"",$Z44&lt;&gt;"",$AB44="XIRR"),$R44*$W44,0)</f>
        <v>0</v>
      </c>
      <c r="AN44" s="89" t="n">
        <f aca="false">IF(AND(ISNUMBER($R44),$W44&lt;&gt;"",$Z44&lt;&gt;"",$AB44="XIRR"),$R44,0)</f>
        <v>0</v>
      </c>
      <c r="AO44" s="89" t="n">
        <f aca="false">IF(AND(ISNUMBER($R44),$W44&lt;&gt;"",$Z44&lt;&gt;"",$AB44="XIRR"),$R44*$Z44,0)</f>
        <v>0</v>
      </c>
      <c r="AP44" s="89" t="n">
        <f aca="false">IF(AND(ISNUMBER($M44),$Y44&lt;&gt;"",ISNUMBER($T44)),$M44*$Y44,0)</f>
        <v>0</v>
      </c>
      <c r="AQ44" s="89" t="n">
        <f aca="false">IF(AND(ISNUMBER($M44),$Y44&lt;&gt;"",ISNUMBER($T44)),$M44,0)</f>
        <v>0</v>
      </c>
    </row>
    <row r="45" customFormat="false" ht="15" hidden="false" customHeight="false" outlineLevel="0" collapsed="false">
      <c r="A45" s="77"/>
      <c r="B45" s="78"/>
      <c r="C45" s="78"/>
      <c r="D45" s="79" t="str">
        <f aca="false">IF($AI45="","",INDEX(Accounts!$C$6:$C$55,$AI45)&amp;"")</f>
        <v/>
      </c>
      <c r="E45" s="79" t="str">
        <f aca="false">IF($AI45="","",INDEX(Accounts!$F$6:$F$55,$AI45)&amp;"")</f>
        <v/>
      </c>
      <c r="F45" s="79" t="str">
        <f aca="false">IF($AJ45="","",INDEX(Securities!$B$6:$B$105,$AJ45)&amp;"")</f>
        <v/>
      </c>
      <c r="G45" s="79" t="str">
        <f aca="false">IF($AJ45="","",INDEX(Securities!$F$6:$F$105,$AJ45)&amp;"")</f>
        <v/>
      </c>
      <c r="H45" s="79" t="str">
        <f aca="false">IF($AJ45="","",INDEX(Securities!$E$6:$E$105,$AJ45)&amp;"")</f>
        <v/>
      </c>
      <c r="I45" s="79" t="str">
        <f aca="false">IF($AJ45="","",INDEX(Securities!$H$6:$H$105,$AJ45)&amp;"")</f>
        <v/>
      </c>
      <c r="J45" s="80"/>
      <c r="K45" s="80"/>
      <c r="L45" s="81"/>
      <c r="M45" s="82"/>
      <c r="N45" s="83" t="str">
        <f aca="false">IF(OR($L45="",$M45=""),"",IF(N($L45)=0,"",$M45/$L45))</f>
        <v/>
      </c>
      <c r="O45" s="84" t="str">
        <f aca="false">IF($AJ45="","",IF(INDEX(Securities!$O$6:$O$105,$AJ45)="","",INDEX(Securities!$O$6:$O$105,$AJ45)))</f>
        <v/>
      </c>
      <c r="P45" s="79" t="str">
        <f aca="false">IF($AJ45="","",INDEX(Securities!$N$6:$N$105,$AJ45)&amp;"")</f>
        <v/>
      </c>
      <c r="Q45" s="82"/>
      <c r="R45" s="85" t="str">
        <f aca="false">IF($C45="","",IF($Q45&lt;&gt;"",$Q45,IF($P45="At cost",IF($M45="","",$M45),IF(OR($O45="",$L45=""),"",$L45*$O45))))</f>
        <v/>
      </c>
      <c r="S45" s="85" t="str">
        <f aca="false">IF(OR(NOT(ISNUMBER($R45)),$M45=""),"",$R45-$M45)</f>
        <v/>
      </c>
      <c r="T45" s="86" t="str">
        <f aca="false">IF(OR($S45="",N($M45)=0),"",$S45/$M45)</f>
        <v/>
      </c>
      <c r="U45" s="82"/>
      <c r="V45" s="82"/>
      <c r="W45" s="87"/>
      <c r="X45" s="79" t="str">
        <f aca="false">IF($AJ45="","",INDEX(Securities!$L$6:$L$105,$AJ45)&amp;"")</f>
        <v/>
      </c>
      <c r="Y45" s="87"/>
      <c r="Z45" s="87"/>
      <c r="AA45" s="86" t="str">
        <f aca="false">IF(OR($W45="",$Z45=""),"",$W45-$Z45)</f>
        <v/>
      </c>
      <c r="AB45" s="79" t="str">
        <f aca="false">IF($C45="","",IF($P45="At cost","At cost",IF(NOT(ISNUMBER($J45)),"No date",IF(ValDate-$J45&lt;365,"Absolute",IF($W45="","XIRR missing","XIRR")))))</f>
        <v/>
      </c>
      <c r="AC45" s="86" t="str">
        <f aca="false">IF(NOT(ISNUMBER($R45)),"",IF(SUM($R$6:$R$205)=0,"",$R45/SUM($R$6:$R$205)))</f>
        <v/>
      </c>
      <c r="AD45" s="82"/>
      <c r="AE45" s="80"/>
      <c r="AF45" s="78"/>
      <c r="AG45" s="88" t="str">
        <f aca="false">IF($C45="","",IF(COUNTIFS('Tax Lots'!$B$6:$B$205,$B45,'Tax Lots'!$C$6:$C$205,$C45)=0,"",SUMIFS('Tax Lots'!$P$6:$P$205,'Tax Lots'!$B$6:$B$205,$B45,'Tax Lots'!$C$6:$C$205,$C45)))</f>
        <v/>
      </c>
      <c r="AH45" s="79" t="str">
        <f aca="false">IF($A45&amp;$B45&amp;$C45="","",IF($A45="","Missing ID",IF(COUNTIF($A$6:$A$205,$A45)&gt;1,"Duplicate ID",IF($AI45="","Unknown account",IF($AJ45="","Unknown security",IF(COUNTIFS($B$6:$B$205,$B45,$C$6:$C$205,$C45)&gt;1,"Same security twice in one account",IF(AND(ISNUMBER($J45),ISNUMBER($K45),N($K45)&lt;N($J45)),"Last date before first",IF(NOT(ISNUMBER($R45)),"No market value",IF(OR(N($J45)&gt;ValDate,N($K45)&gt;ValDate),"Date after valuation",IF(AND(ISNUMBER($AG45),ABS(N($L45)-N($AG45))&gt;0.001),"Lot quantity differs",IF(AND(ISNUMBER($AG45),ABS(N($M45)-SUMIFS('Tax Lots'!$Q$6:$Q$205,'Tax Lots'!$B$6:$B$205,$B45,'Tax Lots'!$C$6:$C$205,$C45))&gt;1),"Lot cost differs",IF(AND(ISNUMBER($AG45),ABS(N($V45)-SUMIFS('Tax Lots'!$AA$6:$AA$205,'Tax Lots'!$B$6:$B$205,$B45,'Tax Lots'!$C$6:$C$205,$C45))&gt;1),"Lot realised gain differs","OK"))))))))))))</f>
        <v/>
      </c>
      <c r="AI45" s="89" t="str">
        <f aca="false">IF($B45="","",IFERROR(MATCH($B45,Accounts!$A$6:$A$55,0),""))</f>
        <v/>
      </c>
      <c r="AJ45" s="89" t="str">
        <f aca="false">IF($C45="","",IFERROR(MATCH($C45,Securities!$A$6:$A$105,0),""))</f>
        <v/>
      </c>
      <c r="AK45" s="89" t="str">
        <f aca="false">IF($AI45="","",INDEX(Accounts!$B$6:$B$55,$AI45)&amp;"")</f>
        <v/>
      </c>
      <c r="AL45" s="89" t="str">
        <f aca="false">IF(OR($C45="",$I45="",NOT(ISNUMBER($R45))),"",$I45&amp;"|"&amp;(SUMPRODUCT(($I$6:$I$205=$I45)*ISNUMBER($R$6:$R$205)*($R$6:$R$205&gt;$R45))+SUMPRODUCT(($I$6:$I45=$I45)*ISNUMBER($R$6:$R45)*($R$6:$R45=$R45))))</f>
        <v/>
      </c>
      <c r="AM45" s="89" t="n">
        <f aca="false">IF(AND(ISNUMBER($R45),$W45&lt;&gt;"",$Z45&lt;&gt;"",$AB45="XIRR"),$R45*$W45,0)</f>
        <v>0</v>
      </c>
      <c r="AN45" s="89" t="n">
        <f aca="false">IF(AND(ISNUMBER($R45),$W45&lt;&gt;"",$Z45&lt;&gt;"",$AB45="XIRR"),$R45,0)</f>
        <v>0</v>
      </c>
      <c r="AO45" s="89" t="n">
        <f aca="false">IF(AND(ISNUMBER($R45),$W45&lt;&gt;"",$Z45&lt;&gt;"",$AB45="XIRR"),$R45*$Z45,0)</f>
        <v>0</v>
      </c>
      <c r="AP45" s="89" t="n">
        <f aca="false">IF(AND(ISNUMBER($M45),$Y45&lt;&gt;"",ISNUMBER($T45)),$M45*$Y45,0)</f>
        <v>0</v>
      </c>
      <c r="AQ45" s="89" t="n">
        <f aca="false">IF(AND(ISNUMBER($M45),$Y45&lt;&gt;"",ISNUMBER($T45)),$M45,0)</f>
        <v>0</v>
      </c>
    </row>
    <row r="46" customFormat="false" ht="15" hidden="false" customHeight="false" outlineLevel="0" collapsed="false">
      <c r="A46" s="77"/>
      <c r="B46" s="78"/>
      <c r="C46" s="78"/>
      <c r="D46" s="79" t="str">
        <f aca="false">IF($AI46="","",INDEX(Accounts!$C$6:$C$55,$AI46)&amp;"")</f>
        <v/>
      </c>
      <c r="E46" s="79" t="str">
        <f aca="false">IF($AI46="","",INDEX(Accounts!$F$6:$F$55,$AI46)&amp;"")</f>
        <v/>
      </c>
      <c r="F46" s="79" t="str">
        <f aca="false">IF($AJ46="","",INDEX(Securities!$B$6:$B$105,$AJ46)&amp;"")</f>
        <v/>
      </c>
      <c r="G46" s="79" t="str">
        <f aca="false">IF($AJ46="","",INDEX(Securities!$F$6:$F$105,$AJ46)&amp;"")</f>
        <v/>
      </c>
      <c r="H46" s="79" t="str">
        <f aca="false">IF($AJ46="","",INDEX(Securities!$E$6:$E$105,$AJ46)&amp;"")</f>
        <v/>
      </c>
      <c r="I46" s="79" t="str">
        <f aca="false">IF($AJ46="","",INDEX(Securities!$H$6:$H$105,$AJ46)&amp;"")</f>
        <v/>
      </c>
      <c r="J46" s="80"/>
      <c r="K46" s="80"/>
      <c r="L46" s="81"/>
      <c r="M46" s="82"/>
      <c r="N46" s="83" t="str">
        <f aca="false">IF(OR($L46="",$M46=""),"",IF(N($L46)=0,"",$M46/$L46))</f>
        <v/>
      </c>
      <c r="O46" s="84" t="str">
        <f aca="false">IF($AJ46="","",IF(INDEX(Securities!$O$6:$O$105,$AJ46)="","",INDEX(Securities!$O$6:$O$105,$AJ46)))</f>
        <v/>
      </c>
      <c r="P46" s="79" t="str">
        <f aca="false">IF($AJ46="","",INDEX(Securities!$N$6:$N$105,$AJ46)&amp;"")</f>
        <v/>
      </c>
      <c r="Q46" s="82"/>
      <c r="R46" s="85" t="str">
        <f aca="false">IF($C46="","",IF($Q46&lt;&gt;"",$Q46,IF($P46="At cost",IF($M46="","",$M46),IF(OR($O46="",$L46=""),"",$L46*$O46))))</f>
        <v/>
      </c>
      <c r="S46" s="85" t="str">
        <f aca="false">IF(OR(NOT(ISNUMBER($R46)),$M46=""),"",$R46-$M46)</f>
        <v/>
      </c>
      <c r="T46" s="86" t="str">
        <f aca="false">IF(OR($S46="",N($M46)=0),"",$S46/$M46)</f>
        <v/>
      </c>
      <c r="U46" s="82"/>
      <c r="V46" s="82"/>
      <c r="W46" s="87"/>
      <c r="X46" s="79" t="str">
        <f aca="false">IF($AJ46="","",INDEX(Securities!$L$6:$L$105,$AJ46)&amp;"")</f>
        <v/>
      </c>
      <c r="Y46" s="87"/>
      <c r="Z46" s="87"/>
      <c r="AA46" s="86" t="str">
        <f aca="false">IF(OR($W46="",$Z46=""),"",$W46-$Z46)</f>
        <v/>
      </c>
      <c r="AB46" s="79" t="str">
        <f aca="false">IF($C46="","",IF($P46="At cost","At cost",IF(NOT(ISNUMBER($J46)),"No date",IF(ValDate-$J46&lt;365,"Absolute",IF($W46="","XIRR missing","XIRR")))))</f>
        <v/>
      </c>
      <c r="AC46" s="86" t="str">
        <f aca="false">IF(NOT(ISNUMBER($R46)),"",IF(SUM($R$6:$R$205)=0,"",$R46/SUM($R$6:$R$205)))</f>
        <v/>
      </c>
      <c r="AD46" s="82"/>
      <c r="AE46" s="80"/>
      <c r="AF46" s="78"/>
      <c r="AG46" s="88" t="str">
        <f aca="false">IF($C46="","",IF(COUNTIFS('Tax Lots'!$B$6:$B$205,$B46,'Tax Lots'!$C$6:$C$205,$C46)=0,"",SUMIFS('Tax Lots'!$P$6:$P$205,'Tax Lots'!$B$6:$B$205,$B46,'Tax Lots'!$C$6:$C$205,$C46)))</f>
        <v/>
      </c>
      <c r="AH46" s="79" t="str">
        <f aca="false">IF($A46&amp;$B46&amp;$C46="","",IF($A46="","Missing ID",IF(COUNTIF($A$6:$A$205,$A46)&gt;1,"Duplicate ID",IF($AI46="","Unknown account",IF($AJ46="","Unknown security",IF(COUNTIFS($B$6:$B$205,$B46,$C$6:$C$205,$C46)&gt;1,"Same security twice in one account",IF(AND(ISNUMBER($J46),ISNUMBER($K46),N($K46)&lt;N($J46)),"Last date before first",IF(NOT(ISNUMBER($R46)),"No market value",IF(OR(N($J46)&gt;ValDate,N($K46)&gt;ValDate),"Date after valuation",IF(AND(ISNUMBER($AG46),ABS(N($L46)-N($AG46))&gt;0.001),"Lot quantity differs",IF(AND(ISNUMBER($AG46),ABS(N($M46)-SUMIFS('Tax Lots'!$Q$6:$Q$205,'Tax Lots'!$B$6:$B$205,$B46,'Tax Lots'!$C$6:$C$205,$C46))&gt;1),"Lot cost differs",IF(AND(ISNUMBER($AG46),ABS(N($V46)-SUMIFS('Tax Lots'!$AA$6:$AA$205,'Tax Lots'!$B$6:$B$205,$B46,'Tax Lots'!$C$6:$C$205,$C46))&gt;1),"Lot realised gain differs","OK"))))))))))))</f>
        <v/>
      </c>
      <c r="AI46" s="89" t="str">
        <f aca="false">IF($B46="","",IFERROR(MATCH($B46,Accounts!$A$6:$A$55,0),""))</f>
        <v/>
      </c>
      <c r="AJ46" s="89" t="str">
        <f aca="false">IF($C46="","",IFERROR(MATCH($C46,Securities!$A$6:$A$105,0),""))</f>
        <v/>
      </c>
      <c r="AK46" s="89" t="str">
        <f aca="false">IF($AI46="","",INDEX(Accounts!$B$6:$B$55,$AI46)&amp;"")</f>
        <v/>
      </c>
      <c r="AL46" s="89" t="str">
        <f aca="false">IF(OR($C46="",$I46="",NOT(ISNUMBER($R46))),"",$I46&amp;"|"&amp;(SUMPRODUCT(($I$6:$I$205=$I46)*ISNUMBER($R$6:$R$205)*($R$6:$R$205&gt;$R46))+SUMPRODUCT(($I$6:$I46=$I46)*ISNUMBER($R$6:$R46)*($R$6:$R46=$R46))))</f>
        <v/>
      </c>
      <c r="AM46" s="89" t="n">
        <f aca="false">IF(AND(ISNUMBER($R46),$W46&lt;&gt;"",$Z46&lt;&gt;"",$AB46="XIRR"),$R46*$W46,0)</f>
        <v>0</v>
      </c>
      <c r="AN46" s="89" t="n">
        <f aca="false">IF(AND(ISNUMBER($R46),$W46&lt;&gt;"",$Z46&lt;&gt;"",$AB46="XIRR"),$R46,0)</f>
        <v>0</v>
      </c>
      <c r="AO46" s="89" t="n">
        <f aca="false">IF(AND(ISNUMBER($R46),$W46&lt;&gt;"",$Z46&lt;&gt;"",$AB46="XIRR"),$R46*$Z46,0)</f>
        <v>0</v>
      </c>
      <c r="AP46" s="89" t="n">
        <f aca="false">IF(AND(ISNUMBER($M46),$Y46&lt;&gt;"",ISNUMBER($T46)),$M46*$Y46,0)</f>
        <v>0</v>
      </c>
      <c r="AQ46" s="89" t="n">
        <f aca="false">IF(AND(ISNUMBER($M46),$Y46&lt;&gt;"",ISNUMBER($T46)),$M46,0)</f>
        <v>0</v>
      </c>
    </row>
    <row r="47" customFormat="false" ht="15" hidden="false" customHeight="false" outlineLevel="0" collapsed="false">
      <c r="A47" s="77"/>
      <c r="B47" s="78"/>
      <c r="C47" s="78"/>
      <c r="D47" s="79" t="str">
        <f aca="false">IF($AI47="","",INDEX(Accounts!$C$6:$C$55,$AI47)&amp;"")</f>
        <v/>
      </c>
      <c r="E47" s="79" t="str">
        <f aca="false">IF($AI47="","",INDEX(Accounts!$F$6:$F$55,$AI47)&amp;"")</f>
        <v/>
      </c>
      <c r="F47" s="79" t="str">
        <f aca="false">IF($AJ47="","",INDEX(Securities!$B$6:$B$105,$AJ47)&amp;"")</f>
        <v/>
      </c>
      <c r="G47" s="79" t="str">
        <f aca="false">IF($AJ47="","",INDEX(Securities!$F$6:$F$105,$AJ47)&amp;"")</f>
        <v/>
      </c>
      <c r="H47" s="79" t="str">
        <f aca="false">IF($AJ47="","",INDEX(Securities!$E$6:$E$105,$AJ47)&amp;"")</f>
        <v/>
      </c>
      <c r="I47" s="79" t="str">
        <f aca="false">IF($AJ47="","",INDEX(Securities!$H$6:$H$105,$AJ47)&amp;"")</f>
        <v/>
      </c>
      <c r="J47" s="80"/>
      <c r="K47" s="80"/>
      <c r="L47" s="81"/>
      <c r="M47" s="82"/>
      <c r="N47" s="83" t="str">
        <f aca="false">IF(OR($L47="",$M47=""),"",IF(N($L47)=0,"",$M47/$L47))</f>
        <v/>
      </c>
      <c r="O47" s="84" t="str">
        <f aca="false">IF($AJ47="","",IF(INDEX(Securities!$O$6:$O$105,$AJ47)="","",INDEX(Securities!$O$6:$O$105,$AJ47)))</f>
        <v/>
      </c>
      <c r="P47" s="79" t="str">
        <f aca="false">IF($AJ47="","",INDEX(Securities!$N$6:$N$105,$AJ47)&amp;"")</f>
        <v/>
      </c>
      <c r="Q47" s="82"/>
      <c r="R47" s="85" t="str">
        <f aca="false">IF($C47="","",IF($Q47&lt;&gt;"",$Q47,IF($P47="At cost",IF($M47="","",$M47),IF(OR($O47="",$L47=""),"",$L47*$O47))))</f>
        <v/>
      </c>
      <c r="S47" s="85" t="str">
        <f aca="false">IF(OR(NOT(ISNUMBER($R47)),$M47=""),"",$R47-$M47)</f>
        <v/>
      </c>
      <c r="T47" s="86" t="str">
        <f aca="false">IF(OR($S47="",N($M47)=0),"",$S47/$M47)</f>
        <v/>
      </c>
      <c r="U47" s="82"/>
      <c r="V47" s="82"/>
      <c r="W47" s="87"/>
      <c r="X47" s="79" t="str">
        <f aca="false">IF($AJ47="","",INDEX(Securities!$L$6:$L$105,$AJ47)&amp;"")</f>
        <v/>
      </c>
      <c r="Y47" s="87"/>
      <c r="Z47" s="87"/>
      <c r="AA47" s="86" t="str">
        <f aca="false">IF(OR($W47="",$Z47=""),"",$W47-$Z47)</f>
        <v/>
      </c>
      <c r="AB47" s="79" t="str">
        <f aca="false">IF($C47="","",IF($P47="At cost","At cost",IF(NOT(ISNUMBER($J47)),"No date",IF(ValDate-$J47&lt;365,"Absolute",IF($W47="","XIRR missing","XIRR")))))</f>
        <v/>
      </c>
      <c r="AC47" s="86" t="str">
        <f aca="false">IF(NOT(ISNUMBER($R47)),"",IF(SUM($R$6:$R$205)=0,"",$R47/SUM($R$6:$R$205)))</f>
        <v/>
      </c>
      <c r="AD47" s="82"/>
      <c r="AE47" s="80"/>
      <c r="AF47" s="78"/>
      <c r="AG47" s="88" t="str">
        <f aca="false">IF($C47="","",IF(COUNTIFS('Tax Lots'!$B$6:$B$205,$B47,'Tax Lots'!$C$6:$C$205,$C47)=0,"",SUMIFS('Tax Lots'!$P$6:$P$205,'Tax Lots'!$B$6:$B$205,$B47,'Tax Lots'!$C$6:$C$205,$C47)))</f>
        <v/>
      </c>
      <c r="AH47" s="79" t="str">
        <f aca="false">IF($A47&amp;$B47&amp;$C47="","",IF($A47="","Missing ID",IF(COUNTIF($A$6:$A$205,$A47)&gt;1,"Duplicate ID",IF($AI47="","Unknown account",IF($AJ47="","Unknown security",IF(COUNTIFS($B$6:$B$205,$B47,$C$6:$C$205,$C47)&gt;1,"Same security twice in one account",IF(AND(ISNUMBER($J47),ISNUMBER($K47),N($K47)&lt;N($J47)),"Last date before first",IF(NOT(ISNUMBER($R47)),"No market value",IF(OR(N($J47)&gt;ValDate,N($K47)&gt;ValDate),"Date after valuation",IF(AND(ISNUMBER($AG47),ABS(N($L47)-N($AG47))&gt;0.001),"Lot quantity differs",IF(AND(ISNUMBER($AG47),ABS(N($M47)-SUMIFS('Tax Lots'!$Q$6:$Q$205,'Tax Lots'!$B$6:$B$205,$B47,'Tax Lots'!$C$6:$C$205,$C47))&gt;1),"Lot cost differs",IF(AND(ISNUMBER($AG47),ABS(N($V47)-SUMIFS('Tax Lots'!$AA$6:$AA$205,'Tax Lots'!$B$6:$B$205,$B47,'Tax Lots'!$C$6:$C$205,$C47))&gt;1),"Lot realised gain differs","OK"))))))))))))</f>
        <v/>
      </c>
      <c r="AI47" s="89" t="str">
        <f aca="false">IF($B47="","",IFERROR(MATCH($B47,Accounts!$A$6:$A$55,0),""))</f>
        <v/>
      </c>
      <c r="AJ47" s="89" t="str">
        <f aca="false">IF($C47="","",IFERROR(MATCH($C47,Securities!$A$6:$A$105,0),""))</f>
        <v/>
      </c>
      <c r="AK47" s="89" t="str">
        <f aca="false">IF($AI47="","",INDEX(Accounts!$B$6:$B$55,$AI47)&amp;"")</f>
        <v/>
      </c>
      <c r="AL47" s="89" t="str">
        <f aca="false">IF(OR($C47="",$I47="",NOT(ISNUMBER($R47))),"",$I47&amp;"|"&amp;(SUMPRODUCT(($I$6:$I$205=$I47)*ISNUMBER($R$6:$R$205)*($R$6:$R$205&gt;$R47))+SUMPRODUCT(($I$6:$I47=$I47)*ISNUMBER($R$6:$R47)*($R$6:$R47=$R47))))</f>
        <v/>
      </c>
      <c r="AM47" s="89" t="n">
        <f aca="false">IF(AND(ISNUMBER($R47),$W47&lt;&gt;"",$Z47&lt;&gt;"",$AB47="XIRR"),$R47*$W47,0)</f>
        <v>0</v>
      </c>
      <c r="AN47" s="89" t="n">
        <f aca="false">IF(AND(ISNUMBER($R47),$W47&lt;&gt;"",$Z47&lt;&gt;"",$AB47="XIRR"),$R47,0)</f>
        <v>0</v>
      </c>
      <c r="AO47" s="89" t="n">
        <f aca="false">IF(AND(ISNUMBER($R47),$W47&lt;&gt;"",$Z47&lt;&gt;"",$AB47="XIRR"),$R47*$Z47,0)</f>
        <v>0</v>
      </c>
      <c r="AP47" s="89" t="n">
        <f aca="false">IF(AND(ISNUMBER($M47),$Y47&lt;&gt;"",ISNUMBER($T47)),$M47*$Y47,0)</f>
        <v>0</v>
      </c>
      <c r="AQ47" s="89" t="n">
        <f aca="false">IF(AND(ISNUMBER($M47),$Y47&lt;&gt;"",ISNUMBER($T47)),$M47,0)</f>
        <v>0</v>
      </c>
    </row>
    <row r="48" customFormat="false" ht="15" hidden="false" customHeight="false" outlineLevel="0" collapsed="false">
      <c r="A48" s="77"/>
      <c r="B48" s="78"/>
      <c r="C48" s="78"/>
      <c r="D48" s="79" t="str">
        <f aca="false">IF($AI48="","",INDEX(Accounts!$C$6:$C$55,$AI48)&amp;"")</f>
        <v/>
      </c>
      <c r="E48" s="79" t="str">
        <f aca="false">IF($AI48="","",INDEX(Accounts!$F$6:$F$55,$AI48)&amp;"")</f>
        <v/>
      </c>
      <c r="F48" s="79" t="str">
        <f aca="false">IF($AJ48="","",INDEX(Securities!$B$6:$B$105,$AJ48)&amp;"")</f>
        <v/>
      </c>
      <c r="G48" s="79" t="str">
        <f aca="false">IF($AJ48="","",INDEX(Securities!$F$6:$F$105,$AJ48)&amp;"")</f>
        <v/>
      </c>
      <c r="H48" s="79" t="str">
        <f aca="false">IF($AJ48="","",INDEX(Securities!$E$6:$E$105,$AJ48)&amp;"")</f>
        <v/>
      </c>
      <c r="I48" s="79" t="str">
        <f aca="false">IF($AJ48="","",INDEX(Securities!$H$6:$H$105,$AJ48)&amp;"")</f>
        <v/>
      </c>
      <c r="J48" s="80"/>
      <c r="K48" s="80"/>
      <c r="L48" s="81"/>
      <c r="M48" s="82"/>
      <c r="N48" s="83" t="str">
        <f aca="false">IF(OR($L48="",$M48=""),"",IF(N($L48)=0,"",$M48/$L48))</f>
        <v/>
      </c>
      <c r="O48" s="84" t="str">
        <f aca="false">IF($AJ48="","",IF(INDEX(Securities!$O$6:$O$105,$AJ48)="","",INDEX(Securities!$O$6:$O$105,$AJ48)))</f>
        <v/>
      </c>
      <c r="P48" s="79" t="str">
        <f aca="false">IF($AJ48="","",INDEX(Securities!$N$6:$N$105,$AJ48)&amp;"")</f>
        <v/>
      </c>
      <c r="Q48" s="82"/>
      <c r="R48" s="85" t="str">
        <f aca="false">IF($C48="","",IF($Q48&lt;&gt;"",$Q48,IF($P48="At cost",IF($M48="","",$M48),IF(OR($O48="",$L48=""),"",$L48*$O48))))</f>
        <v/>
      </c>
      <c r="S48" s="85" t="str">
        <f aca="false">IF(OR(NOT(ISNUMBER($R48)),$M48=""),"",$R48-$M48)</f>
        <v/>
      </c>
      <c r="T48" s="86" t="str">
        <f aca="false">IF(OR($S48="",N($M48)=0),"",$S48/$M48)</f>
        <v/>
      </c>
      <c r="U48" s="82"/>
      <c r="V48" s="82"/>
      <c r="W48" s="87"/>
      <c r="X48" s="79" t="str">
        <f aca="false">IF($AJ48="","",INDEX(Securities!$L$6:$L$105,$AJ48)&amp;"")</f>
        <v/>
      </c>
      <c r="Y48" s="87"/>
      <c r="Z48" s="87"/>
      <c r="AA48" s="86" t="str">
        <f aca="false">IF(OR($W48="",$Z48=""),"",$W48-$Z48)</f>
        <v/>
      </c>
      <c r="AB48" s="79" t="str">
        <f aca="false">IF($C48="","",IF($P48="At cost","At cost",IF(NOT(ISNUMBER($J48)),"No date",IF(ValDate-$J48&lt;365,"Absolute",IF($W48="","XIRR missing","XIRR")))))</f>
        <v/>
      </c>
      <c r="AC48" s="86" t="str">
        <f aca="false">IF(NOT(ISNUMBER($R48)),"",IF(SUM($R$6:$R$205)=0,"",$R48/SUM($R$6:$R$205)))</f>
        <v/>
      </c>
      <c r="AD48" s="82"/>
      <c r="AE48" s="80"/>
      <c r="AF48" s="78"/>
      <c r="AG48" s="88" t="str">
        <f aca="false">IF($C48="","",IF(COUNTIFS('Tax Lots'!$B$6:$B$205,$B48,'Tax Lots'!$C$6:$C$205,$C48)=0,"",SUMIFS('Tax Lots'!$P$6:$P$205,'Tax Lots'!$B$6:$B$205,$B48,'Tax Lots'!$C$6:$C$205,$C48)))</f>
        <v/>
      </c>
      <c r="AH48" s="79" t="str">
        <f aca="false">IF($A48&amp;$B48&amp;$C48="","",IF($A48="","Missing ID",IF(COUNTIF($A$6:$A$205,$A48)&gt;1,"Duplicate ID",IF($AI48="","Unknown account",IF($AJ48="","Unknown security",IF(COUNTIFS($B$6:$B$205,$B48,$C$6:$C$205,$C48)&gt;1,"Same security twice in one account",IF(AND(ISNUMBER($J48),ISNUMBER($K48),N($K48)&lt;N($J48)),"Last date before first",IF(NOT(ISNUMBER($R48)),"No market value",IF(OR(N($J48)&gt;ValDate,N($K48)&gt;ValDate),"Date after valuation",IF(AND(ISNUMBER($AG48),ABS(N($L48)-N($AG48))&gt;0.001),"Lot quantity differs",IF(AND(ISNUMBER($AG48),ABS(N($M48)-SUMIFS('Tax Lots'!$Q$6:$Q$205,'Tax Lots'!$B$6:$B$205,$B48,'Tax Lots'!$C$6:$C$205,$C48))&gt;1),"Lot cost differs",IF(AND(ISNUMBER($AG48),ABS(N($V48)-SUMIFS('Tax Lots'!$AA$6:$AA$205,'Tax Lots'!$B$6:$B$205,$B48,'Tax Lots'!$C$6:$C$205,$C48))&gt;1),"Lot realised gain differs","OK"))))))))))))</f>
        <v/>
      </c>
      <c r="AI48" s="89" t="str">
        <f aca="false">IF($B48="","",IFERROR(MATCH($B48,Accounts!$A$6:$A$55,0),""))</f>
        <v/>
      </c>
      <c r="AJ48" s="89" t="str">
        <f aca="false">IF($C48="","",IFERROR(MATCH($C48,Securities!$A$6:$A$105,0),""))</f>
        <v/>
      </c>
      <c r="AK48" s="89" t="str">
        <f aca="false">IF($AI48="","",INDEX(Accounts!$B$6:$B$55,$AI48)&amp;"")</f>
        <v/>
      </c>
      <c r="AL48" s="89" t="str">
        <f aca="false">IF(OR($C48="",$I48="",NOT(ISNUMBER($R48))),"",$I48&amp;"|"&amp;(SUMPRODUCT(($I$6:$I$205=$I48)*ISNUMBER($R$6:$R$205)*($R$6:$R$205&gt;$R48))+SUMPRODUCT(($I$6:$I48=$I48)*ISNUMBER($R$6:$R48)*($R$6:$R48=$R48))))</f>
        <v/>
      </c>
      <c r="AM48" s="89" t="n">
        <f aca="false">IF(AND(ISNUMBER($R48),$W48&lt;&gt;"",$Z48&lt;&gt;"",$AB48="XIRR"),$R48*$W48,0)</f>
        <v>0</v>
      </c>
      <c r="AN48" s="89" t="n">
        <f aca="false">IF(AND(ISNUMBER($R48),$W48&lt;&gt;"",$Z48&lt;&gt;"",$AB48="XIRR"),$R48,0)</f>
        <v>0</v>
      </c>
      <c r="AO48" s="89" t="n">
        <f aca="false">IF(AND(ISNUMBER($R48),$W48&lt;&gt;"",$Z48&lt;&gt;"",$AB48="XIRR"),$R48*$Z48,0)</f>
        <v>0</v>
      </c>
      <c r="AP48" s="89" t="n">
        <f aca="false">IF(AND(ISNUMBER($M48),$Y48&lt;&gt;"",ISNUMBER($T48)),$M48*$Y48,0)</f>
        <v>0</v>
      </c>
      <c r="AQ48" s="89" t="n">
        <f aca="false">IF(AND(ISNUMBER($M48),$Y48&lt;&gt;"",ISNUMBER($T48)),$M48,0)</f>
        <v>0</v>
      </c>
    </row>
    <row r="49" customFormat="false" ht="15" hidden="false" customHeight="false" outlineLevel="0" collapsed="false">
      <c r="A49" s="77"/>
      <c r="B49" s="78"/>
      <c r="C49" s="78"/>
      <c r="D49" s="79" t="str">
        <f aca="false">IF($AI49="","",INDEX(Accounts!$C$6:$C$55,$AI49)&amp;"")</f>
        <v/>
      </c>
      <c r="E49" s="79" t="str">
        <f aca="false">IF($AI49="","",INDEX(Accounts!$F$6:$F$55,$AI49)&amp;"")</f>
        <v/>
      </c>
      <c r="F49" s="79" t="str">
        <f aca="false">IF($AJ49="","",INDEX(Securities!$B$6:$B$105,$AJ49)&amp;"")</f>
        <v/>
      </c>
      <c r="G49" s="79" t="str">
        <f aca="false">IF($AJ49="","",INDEX(Securities!$F$6:$F$105,$AJ49)&amp;"")</f>
        <v/>
      </c>
      <c r="H49" s="79" t="str">
        <f aca="false">IF($AJ49="","",INDEX(Securities!$E$6:$E$105,$AJ49)&amp;"")</f>
        <v/>
      </c>
      <c r="I49" s="79" t="str">
        <f aca="false">IF($AJ49="","",INDEX(Securities!$H$6:$H$105,$AJ49)&amp;"")</f>
        <v/>
      </c>
      <c r="J49" s="80"/>
      <c r="K49" s="80"/>
      <c r="L49" s="81"/>
      <c r="M49" s="82"/>
      <c r="N49" s="83" t="str">
        <f aca="false">IF(OR($L49="",$M49=""),"",IF(N($L49)=0,"",$M49/$L49))</f>
        <v/>
      </c>
      <c r="O49" s="84" t="str">
        <f aca="false">IF($AJ49="","",IF(INDEX(Securities!$O$6:$O$105,$AJ49)="","",INDEX(Securities!$O$6:$O$105,$AJ49)))</f>
        <v/>
      </c>
      <c r="P49" s="79" t="str">
        <f aca="false">IF($AJ49="","",INDEX(Securities!$N$6:$N$105,$AJ49)&amp;"")</f>
        <v/>
      </c>
      <c r="Q49" s="82"/>
      <c r="R49" s="85" t="str">
        <f aca="false">IF($C49="","",IF($Q49&lt;&gt;"",$Q49,IF($P49="At cost",IF($M49="","",$M49),IF(OR($O49="",$L49=""),"",$L49*$O49))))</f>
        <v/>
      </c>
      <c r="S49" s="85" t="str">
        <f aca="false">IF(OR(NOT(ISNUMBER($R49)),$M49=""),"",$R49-$M49)</f>
        <v/>
      </c>
      <c r="T49" s="86" t="str">
        <f aca="false">IF(OR($S49="",N($M49)=0),"",$S49/$M49)</f>
        <v/>
      </c>
      <c r="U49" s="82"/>
      <c r="V49" s="82"/>
      <c r="W49" s="87"/>
      <c r="X49" s="79" t="str">
        <f aca="false">IF($AJ49="","",INDEX(Securities!$L$6:$L$105,$AJ49)&amp;"")</f>
        <v/>
      </c>
      <c r="Y49" s="87"/>
      <c r="Z49" s="87"/>
      <c r="AA49" s="86" t="str">
        <f aca="false">IF(OR($W49="",$Z49=""),"",$W49-$Z49)</f>
        <v/>
      </c>
      <c r="AB49" s="79" t="str">
        <f aca="false">IF($C49="","",IF($P49="At cost","At cost",IF(NOT(ISNUMBER($J49)),"No date",IF(ValDate-$J49&lt;365,"Absolute",IF($W49="","XIRR missing","XIRR")))))</f>
        <v/>
      </c>
      <c r="AC49" s="86" t="str">
        <f aca="false">IF(NOT(ISNUMBER($R49)),"",IF(SUM($R$6:$R$205)=0,"",$R49/SUM($R$6:$R$205)))</f>
        <v/>
      </c>
      <c r="AD49" s="82"/>
      <c r="AE49" s="80"/>
      <c r="AF49" s="78"/>
      <c r="AG49" s="88" t="str">
        <f aca="false">IF($C49="","",IF(COUNTIFS('Tax Lots'!$B$6:$B$205,$B49,'Tax Lots'!$C$6:$C$205,$C49)=0,"",SUMIFS('Tax Lots'!$P$6:$P$205,'Tax Lots'!$B$6:$B$205,$B49,'Tax Lots'!$C$6:$C$205,$C49)))</f>
        <v/>
      </c>
      <c r="AH49" s="79" t="str">
        <f aca="false">IF($A49&amp;$B49&amp;$C49="","",IF($A49="","Missing ID",IF(COUNTIF($A$6:$A$205,$A49)&gt;1,"Duplicate ID",IF($AI49="","Unknown account",IF($AJ49="","Unknown security",IF(COUNTIFS($B$6:$B$205,$B49,$C$6:$C$205,$C49)&gt;1,"Same security twice in one account",IF(AND(ISNUMBER($J49),ISNUMBER($K49),N($K49)&lt;N($J49)),"Last date before first",IF(NOT(ISNUMBER($R49)),"No market value",IF(OR(N($J49)&gt;ValDate,N($K49)&gt;ValDate),"Date after valuation",IF(AND(ISNUMBER($AG49),ABS(N($L49)-N($AG49))&gt;0.001),"Lot quantity differs",IF(AND(ISNUMBER($AG49),ABS(N($M49)-SUMIFS('Tax Lots'!$Q$6:$Q$205,'Tax Lots'!$B$6:$B$205,$B49,'Tax Lots'!$C$6:$C$205,$C49))&gt;1),"Lot cost differs",IF(AND(ISNUMBER($AG49),ABS(N($V49)-SUMIFS('Tax Lots'!$AA$6:$AA$205,'Tax Lots'!$B$6:$B$205,$B49,'Tax Lots'!$C$6:$C$205,$C49))&gt;1),"Lot realised gain differs","OK"))))))))))))</f>
        <v/>
      </c>
      <c r="AI49" s="89" t="str">
        <f aca="false">IF($B49="","",IFERROR(MATCH($B49,Accounts!$A$6:$A$55,0),""))</f>
        <v/>
      </c>
      <c r="AJ49" s="89" t="str">
        <f aca="false">IF($C49="","",IFERROR(MATCH($C49,Securities!$A$6:$A$105,0),""))</f>
        <v/>
      </c>
      <c r="AK49" s="89" t="str">
        <f aca="false">IF($AI49="","",INDEX(Accounts!$B$6:$B$55,$AI49)&amp;"")</f>
        <v/>
      </c>
      <c r="AL49" s="89" t="str">
        <f aca="false">IF(OR($C49="",$I49="",NOT(ISNUMBER($R49))),"",$I49&amp;"|"&amp;(SUMPRODUCT(($I$6:$I$205=$I49)*ISNUMBER($R$6:$R$205)*($R$6:$R$205&gt;$R49))+SUMPRODUCT(($I$6:$I49=$I49)*ISNUMBER($R$6:$R49)*($R$6:$R49=$R49))))</f>
        <v/>
      </c>
      <c r="AM49" s="89" t="n">
        <f aca="false">IF(AND(ISNUMBER($R49),$W49&lt;&gt;"",$Z49&lt;&gt;"",$AB49="XIRR"),$R49*$W49,0)</f>
        <v>0</v>
      </c>
      <c r="AN49" s="89" t="n">
        <f aca="false">IF(AND(ISNUMBER($R49),$W49&lt;&gt;"",$Z49&lt;&gt;"",$AB49="XIRR"),$R49,0)</f>
        <v>0</v>
      </c>
      <c r="AO49" s="89" t="n">
        <f aca="false">IF(AND(ISNUMBER($R49),$W49&lt;&gt;"",$Z49&lt;&gt;"",$AB49="XIRR"),$R49*$Z49,0)</f>
        <v>0</v>
      </c>
      <c r="AP49" s="89" t="n">
        <f aca="false">IF(AND(ISNUMBER($M49),$Y49&lt;&gt;"",ISNUMBER($T49)),$M49*$Y49,0)</f>
        <v>0</v>
      </c>
      <c r="AQ49" s="89" t="n">
        <f aca="false">IF(AND(ISNUMBER($M49),$Y49&lt;&gt;"",ISNUMBER($T49)),$M49,0)</f>
        <v>0</v>
      </c>
    </row>
    <row r="50" customFormat="false" ht="15" hidden="false" customHeight="false" outlineLevel="0" collapsed="false">
      <c r="A50" s="77"/>
      <c r="B50" s="78"/>
      <c r="C50" s="78"/>
      <c r="D50" s="79" t="str">
        <f aca="false">IF($AI50="","",INDEX(Accounts!$C$6:$C$55,$AI50)&amp;"")</f>
        <v/>
      </c>
      <c r="E50" s="79" t="str">
        <f aca="false">IF($AI50="","",INDEX(Accounts!$F$6:$F$55,$AI50)&amp;"")</f>
        <v/>
      </c>
      <c r="F50" s="79" t="str">
        <f aca="false">IF($AJ50="","",INDEX(Securities!$B$6:$B$105,$AJ50)&amp;"")</f>
        <v/>
      </c>
      <c r="G50" s="79" t="str">
        <f aca="false">IF($AJ50="","",INDEX(Securities!$F$6:$F$105,$AJ50)&amp;"")</f>
        <v/>
      </c>
      <c r="H50" s="79" t="str">
        <f aca="false">IF($AJ50="","",INDEX(Securities!$E$6:$E$105,$AJ50)&amp;"")</f>
        <v/>
      </c>
      <c r="I50" s="79" t="str">
        <f aca="false">IF($AJ50="","",INDEX(Securities!$H$6:$H$105,$AJ50)&amp;"")</f>
        <v/>
      </c>
      <c r="J50" s="80"/>
      <c r="K50" s="80"/>
      <c r="L50" s="81"/>
      <c r="M50" s="82"/>
      <c r="N50" s="83" t="str">
        <f aca="false">IF(OR($L50="",$M50=""),"",IF(N($L50)=0,"",$M50/$L50))</f>
        <v/>
      </c>
      <c r="O50" s="84" t="str">
        <f aca="false">IF($AJ50="","",IF(INDEX(Securities!$O$6:$O$105,$AJ50)="","",INDEX(Securities!$O$6:$O$105,$AJ50)))</f>
        <v/>
      </c>
      <c r="P50" s="79" t="str">
        <f aca="false">IF($AJ50="","",INDEX(Securities!$N$6:$N$105,$AJ50)&amp;"")</f>
        <v/>
      </c>
      <c r="Q50" s="82"/>
      <c r="R50" s="85" t="str">
        <f aca="false">IF($C50="","",IF($Q50&lt;&gt;"",$Q50,IF($P50="At cost",IF($M50="","",$M50),IF(OR($O50="",$L50=""),"",$L50*$O50))))</f>
        <v/>
      </c>
      <c r="S50" s="85" t="str">
        <f aca="false">IF(OR(NOT(ISNUMBER($R50)),$M50=""),"",$R50-$M50)</f>
        <v/>
      </c>
      <c r="T50" s="86" t="str">
        <f aca="false">IF(OR($S50="",N($M50)=0),"",$S50/$M50)</f>
        <v/>
      </c>
      <c r="U50" s="82"/>
      <c r="V50" s="82"/>
      <c r="W50" s="87"/>
      <c r="X50" s="79" t="str">
        <f aca="false">IF($AJ50="","",INDEX(Securities!$L$6:$L$105,$AJ50)&amp;"")</f>
        <v/>
      </c>
      <c r="Y50" s="87"/>
      <c r="Z50" s="87"/>
      <c r="AA50" s="86" t="str">
        <f aca="false">IF(OR($W50="",$Z50=""),"",$W50-$Z50)</f>
        <v/>
      </c>
      <c r="AB50" s="79" t="str">
        <f aca="false">IF($C50="","",IF($P50="At cost","At cost",IF(NOT(ISNUMBER($J50)),"No date",IF(ValDate-$J50&lt;365,"Absolute",IF($W50="","XIRR missing","XIRR")))))</f>
        <v/>
      </c>
      <c r="AC50" s="86" t="str">
        <f aca="false">IF(NOT(ISNUMBER($R50)),"",IF(SUM($R$6:$R$205)=0,"",$R50/SUM($R$6:$R$205)))</f>
        <v/>
      </c>
      <c r="AD50" s="82"/>
      <c r="AE50" s="80"/>
      <c r="AF50" s="78"/>
      <c r="AG50" s="88" t="str">
        <f aca="false">IF($C50="","",IF(COUNTIFS('Tax Lots'!$B$6:$B$205,$B50,'Tax Lots'!$C$6:$C$205,$C50)=0,"",SUMIFS('Tax Lots'!$P$6:$P$205,'Tax Lots'!$B$6:$B$205,$B50,'Tax Lots'!$C$6:$C$205,$C50)))</f>
        <v/>
      </c>
      <c r="AH50" s="79" t="str">
        <f aca="false">IF($A50&amp;$B50&amp;$C50="","",IF($A50="","Missing ID",IF(COUNTIF($A$6:$A$205,$A50)&gt;1,"Duplicate ID",IF($AI50="","Unknown account",IF($AJ50="","Unknown security",IF(COUNTIFS($B$6:$B$205,$B50,$C$6:$C$205,$C50)&gt;1,"Same security twice in one account",IF(AND(ISNUMBER($J50),ISNUMBER($K50),N($K50)&lt;N($J50)),"Last date before first",IF(NOT(ISNUMBER($R50)),"No market value",IF(OR(N($J50)&gt;ValDate,N($K50)&gt;ValDate),"Date after valuation",IF(AND(ISNUMBER($AG50),ABS(N($L50)-N($AG50))&gt;0.001),"Lot quantity differs",IF(AND(ISNUMBER($AG50),ABS(N($M50)-SUMIFS('Tax Lots'!$Q$6:$Q$205,'Tax Lots'!$B$6:$B$205,$B50,'Tax Lots'!$C$6:$C$205,$C50))&gt;1),"Lot cost differs",IF(AND(ISNUMBER($AG50),ABS(N($V50)-SUMIFS('Tax Lots'!$AA$6:$AA$205,'Tax Lots'!$B$6:$B$205,$B50,'Tax Lots'!$C$6:$C$205,$C50))&gt;1),"Lot realised gain differs","OK"))))))))))))</f>
        <v/>
      </c>
      <c r="AI50" s="89" t="str">
        <f aca="false">IF($B50="","",IFERROR(MATCH($B50,Accounts!$A$6:$A$55,0),""))</f>
        <v/>
      </c>
      <c r="AJ50" s="89" t="str">
        <f aca="false">IF($C50="","",IFERROR(MATCH($C50,Securities!$A$6:$A$105,0),""))</f>
        <v/>
      </c>
      <c r="AK50" s="89" t="str">
        <f aca="false">IF($AI50="","",INDEX(Accounts!$B$6:$B$55,$AI50)&amp;"")</f>
        <v/>
      </c>
      <c r="AL50" s="89" t="str">
        <f aca="false">IF(OR($C50="",$I50="",NOT(ISNUMBER($R50))),"",$I50&amp;"|"&amp;(SUMPRODUCT(($I$6:$I$205=$I50)*ISNUMBER($R$6:$R$205)*($R$6:$R$205&gt;$R50))+SUMPRODUCT(($I$6:$I50=$I50)*ISNUMBER($R$6:$R50)*($R$6:$R50=$R50))))</f>
        <v/>
      </c>
      <c r="AM50" s="89" t="n">
        <f aca="false">IF(AND(ISNUMBER($R50),$W50&lt;&gt;"",$Z50&lt;&gt;"",$AB50="XIRR"),$R50*$W50,0)</f>
        <v>0</v>
      </c>
      <c r="AN50" s="89" t="n">
        <f aca="false">IF(AND(ISNUMBER($R50),$W50&lt;&gt;"",$Z50&lt;&gt;"",$AB50="XIRR"),$R50,0)</f>
        <v>0</v>
      </c>
      <c r="AO50" s="89" t="n">
        <f aca="false">IF(AND(ISNUMBER($R50),$W50&lt;&gt;"",$Z50&lt;&gt;"",$AB50="XIRR"),$R50*$Z50,0)</f>
        <v>0</v>
      </c>
      <c r="AP50" s="89" t="n">
        <f aca="false">IF(AND(ISNUMBER($M50),$Y50&lt;&gt;"",ISNUMBER($T50)),$M50*$Y50,0)</f>
        <v>0</v>
      </c>
      <c r="AQ50" s="89" t="n">
        <f aca="false">IF(AND(ISNUMBER($M50),$Y50&lt;&gt;"",ISNUMBER($T50)),$M50,0)</f>
        <v>0</v>
      </c>
    </row>
    <row r="51" customFormat="false" ht="15" hidden="false" customHeight="false" outlineLevel="0" collapsed="false">
      <c r="A51" s="77"/>
      <c r="B51" s="78"/>
      <c r="C51" s="78"/>
      <c r="D51" s="79" t="str">
        <f aca="false">IF($AI51="","",INDEX(Accounts!$C$6:$C$55,$AI51)&amp;"")</f>
        <v/>
      </c>
      <c r="E51" s="79" t="str">
        <f aca="false">IF($AI51="","",INDEX(Accounts!$F$6:$F$55,$AI51)&amp;"")</f>
        <v/>
      </c>
      <c r="F51" s="79" t="str">
        <f aca="false">IF($AJ51="","",INDEX(Securities!$B$6:$B$105,$AJ51)&amp;"")</f>
        <v/>
      </c>
      <c r="G51" s="79" t="str">
        <f aca="false">IF($AJ51="","",INDEX(Securities!$F$6:$F$105,$AJ51)&amp;"")</f>
        <v/>
      </c>
      <c r="H51" s="79" t="str">
        <f aca="false">IF($AJ51="","",INDEX(Securities!$E$6:$E$105,$AJ51)&amp;"")</f>
        <v/>
      </c>
      <c r="I51" s="79" t="str">
        <f aca="false">IF($AJ51="","",INDEX(Securities!$H$6:$H$105,$AJ51)&amp;"")</f>
        <v/>
      </c>
      <c r="J51" s="80"/>
      <c r="K51" s="80"/>
      <c r="L51" s="81"/>
      <c r="M51" s="82"/>
      <c r="N51" s="83" t="str">
        <f aca="false">IF(OR($L51="",$M51=""),"",IF(N($L51)=0,"",$M51/$L51))</f>
        <v/>
      </c>
      <c r="O51" s="84" t="str">
        <f aca="false">IF($AJ51="","",IF(INDEX(Securities!$O$6:$O$105,$AJ51)="","",INDEX(Securities!$O$6:$O$105,$AJ51)))</f>
        <v/>
      </c>
      <c r="P51" s="79" t="str">
        <f aca="false">IF($AJ51="","",INDEX(Securities!$N$6:$N$105,$AJ51)&amp;"")</f>
        <v/>
      </c>
      <c r="Q51" s="82"/>
      <c r="R51" s="85" t="str">
        <f aca="false">IF($C51="","",IF($Q51&lt;&gt;"",$Q51,IF($P51="At cost",IF($M51="","",$M51),IF(OR($O51="",$L51=""),"",$L51*$O51))))</f>
        <v/>
      </c>
      <c r="S51" s="85" t="str">
        <f aca="false">IF(OR(NOT(ISNUMBER($R51)),$M51=""),"",$R51-$M51)</f>
        <v/>
      </c>
      <c r="T51" s="86" t="str">
        <f aca="false">IF(OR($S51="",N($M51)=0),"",$S51/$M51)</f>
        <v/>
      </c>
      <c r="U51" s="82"/>
      <c r="V51" s="82"/>
      <c r="W51" s="87"/>
      <c r="X51" s="79" t="str">
        <f aca="false">IF($AJ51="","",INDEX(Securities!$L$6:$L$105,$AJ51)&amp;"")</f>
        <v/>
      </c>
      <c r="Y51" s="87"/>
      <c r="Z51" s="87"/>
      <c r="AA51" s="86" t="str">
        <f aca="false">IF(OR($W51="",$Z51=""),"",$W51-$Z51)</f>
        <v/>
      </c>
      <c r="AB51" s="79" t="str">
        <f aca="false">IF($C51="","",IF($P51="At cost","At cost",IF(NOT(ISNUMBER($J51)),"No date",IF(ValDate-$J51&lt;365,"Absolute",IF($W51="","XIRR missing","XIRR")))))</f>
        <v/>
      </c>
      <c r="AC51" s="86" t="str">
        <f aca="false">IF(NOT(ISNUMBER($R51)),"",IF(SUM($R$6:$R$205)=0,"",$R51/SUM($R$6:$R$205)))</f>
        <v/>
      </c>
      <c r="AD51" s="82"/>
      <c r="AE51" s="80"/>
      <c r="AF51" s="78"/>
      <c r="AG51" s="88" t="str">
        <f aca="false">IF($C51="","",IF(COUNTIFS('Tax Lots'!$B$6:$B$205,$B51,'Tax Lots'!$C$6:$C$205,$C51)=0,"",SUMIFS('Tax Lots'!$P$6:$P$205,'Tax Lots'!$B$6:$B$205,$B51,'Tax Lots'!$C$6:$C$205,$C51)))</f>
        <v/>
      </c>
      <c r="AH51" s="79" t="str">
        <f aca="false">IF($A51&amp;$B51&amp;$C51="","",IF($A51="","Missing ID",IF(COUNTIF($A$6:$A$205,$A51)&gt;1,"Duplicate ID",IF($AI51="","Unknown account",IF($AJ51="","Unknown security",IF(COUNTIFS($B$6:$B$205,$B51,$C$6:$C$205,$C51)&gt;1,"Same security twice in one account",IF(AND(ISNUMBER($J51),ISNUMBER($K51),N($K51)&lt;N($J51)),"Last date before first",IF(NOT(ISNUMBER($R51)),"No market value",IF(OR(N($J51)&gt;ValDate,N($K51)&gt;ValDate),"Date after valuation",IF(AND(ISNUMBER($AG51),ABS(N($L51)-N($AG51))&gt;0.001),"Lot quantity differs",IF(AND(ISNUMBER($AG51),ABS(N($M51)-SUMIFS('Tax Lots'!$Q$6:$Q$205,'Tax Lots'!$B$6:$B$205,$B51,'Tax Lots'!$C$6:$C$205,$C51))&gt;1),"Lot cost differs",IF(AND(ISNUMBER($AG51),ABS(N($V51)-SUMIFS('Tax Lots'!$AA$6:$AA$205,'Tax Lots'!$B$6:$B$205,$B51,'Tax Lots'!$C$6:$C$205,$C51))&gt;1),"Lot realised gain differs","OK"))))))))))))</f>
        <v/>
      </c>
      <c r="AI51" s="89" t="str">
        <f aca="false">IF($B51="","",IFERROR(MATCH($B51,Accounts!$A$6:$A$55,0),""))</f>
        <v/>
      </c>
      <c r="AJ51" s="89" t="str">
        <f aca="false">IF($C51="","",IFERROR(MATCH($C51,Securities!$A$6:$A$105,0),""))</f>
        <v/>
      </c>
      <c r="AK51" s="89" t="str">
        <f aca="false">IF($AI51="","",INDEX(Accounts!$B$6:$B$55,$AI51)&amp;"")</f>
        <v/>
      </c>
      <c r="AL51" s="89" t="str">
        <f aca="false">IF(OR($C51="",$I51="",NOT(ISNUMBER($R51))),"",$I51&amp;"|"&amp;(SUMPRODUCT(($I$6:$I$205=$I51)*ISNUMBER($R$6:$R$205)*($R$6:$R$205&gt;$R51))+SUMPRODUCT(($I$6:$I51=$I51)*ISNUMBER($R$6:$R51)*($R$6:$R51=$R51))))</f>
        <v/>
      </c>
      <c r="AM51" s="89" t="n">
        <f aca="false">IF(AND(ISNUMBER($R51),$W51&lt;&gt;"",$Z51&lt;&gt;"",$AB51="XIRR"),$R51*$W51,0)</f>
        <v>0</v>
      </c>
      <c r="AN51" s="89" t="n">
        <f aca="false">IF(AND(ISNUMBER($R51),$W51&lt;&gt;"",$Z51&lt;&gt;"",$AB51="XIRR"),$R51,0)</f>
        <v>0</v>
      </c>
      <c r="AO51" s="89" t="n">
        <f aca="false">IF(AND(ISNUMBER($R51),$W51&lt;&gt;"",$Z51&lt;&gt;"",$AB51="XIRR"),$R51*$Z51,0)</f>
        <v>0</v>
      </c>
      <c r="AP51" s="89" t="n">
        <f aca="false">IF(AND(ISNUMBER($M51),$Y51&lt;&gt;"",ISNUMBER($T51)),$M51*$Y51,0)</f>
        <v>0</v>
      </c>
      <c r="AQ51" s="89" t="n">
        <f aca="false">IF(AND(ISNUMBER($M51),$Y51&lt;&gt;"",ISNUMBER($T51)),$M51,0)</f>
        <v>0</v>
      </c>
    </row>
    <row r="52" customFormat="false" ht="15" hidden="false" customHeight="false" outlineLevel="0" collapsed="false">
      <c r="A52" s="77"/>
      <c r="B52" s="78"/>
      <c r="C52" s="78"/>
      <c r="D52" s="79" t="str">
        <f aca="false">IF($AI52="","",INDEX(Accounts!$C$6:$C$55,$AI52)&amp;"")</f>
        <v/>
      </c>
      <c r="E52" s="79" t="str">
        <f aca="false">IF($AI52="","",INDEX(Accounts!$F$6:$F$55,$AI52)&amp;"")</f>
        <v/>
      </c>
      <c r="F52" s="79" t="str">
        <f aca="false">IF($AJ52="","",INDEX(Securities!$B$6:$B$105,$AJ52)&amp;"")</f>
        <v/>
      </c>
      <c r="G52" s="79" t="str">
        <f aca="false">IF($AJ52="","",INDEX(Securities!$F$6:$F$105,$AJ52)&amp;"")</f>
        <v/>
      </c>
      <c r="H52" s="79" t="str">
        <f aca="false">IF($AJ52="","",INDEX(Securities!$E$6:$E$105,$AJ52)&amp;"")</f>
        <v/>
      </c>
      <c r="I52" s="79" t="str">
        <f aca="false">IF($AJ52="","",INDEX(Securities!$H$6:$H$105,$AJ52)&amp;"")</f>
        <v/>
      </c>
      <c r="J52" s="80"/>
      <c r="K52" s="80"/>
      <c r="L52" s="81"/>
      <c r="M52" s="82"/>
      <c r="N52" s="83" t="str">
        <f aca="false">IF(OR($L52="",$M52=""),"",IF(N($L52)=0,"",$M52/$L52))</f>
        <v/>
      </c>
      <c r="O52" s="84" t="str">
        <f aca="false">IF($AJ52="","",IF(INDEX(Securities!$O$6:$O$105,$AJ52)="","",INDEX(Securities!$O$6:$O$105,$AJ52)))</f>
        <v/>
      </c>
      <c r="P52" s="79" t="str">
        <f aca="false">IF($AJ52="","",INDEX(Securities!$N$6:$N$105,$AJ52)&amp;"")</f>
        <v/>
      </c>
      <c r="Q52" s="82"/>
      <c r="R52" s="85" t="str">
        <f aca="false">IF($C52="","",IF($Q52&lt;&gt;"",$Q52,IF($P52="At cost",IF($M52="","",$M52),IF(OR($O52="",$L52=""),"",$L52*$O52))))</f>
        <v/>
      </c>
      <c r="S52" s="85" t="str">
        <f aca="false">IF(OR(NOT(ISNUMBER($R52)),$M52=""),"",$R52-$M52)</f>
        <v/>
      </c>
      <c r="T52" s="86" t="str">
        <f aca="false">IF(OR($S52="",N($M52)=0),"",$S52/$M52)</f>
        <v/>
      </c>
      <c r="U52" s="82"/>
      <c r="V52" s="82"/>
      <c r="W52" s="87"/>
      <c r="X52" s="79" t="str">
        <f aca="false">IF($AJ52="","",INDEX(Securities!$L$6:$L$105,$AJ52)&amp;"")</f>
        <v/>
      </c>
      <c r="Y52" s="87"/>
      <c r="Z52" s="87"/>
      <c r="AA52" s="86" t="str">
        <f aca="false">IF(OR($W52="",$Z52=""),"",$W52-$Z52)</f>
        <v/>
      </c>
      <c r="AB52" s="79" t="str">
        <f aca="false">IF($C52="","",IF($P52="At cost","At cost",IF(NOT(ISNUMBER($J52)),"No date",IF(ValDate-$J52&lt;365,"Absolute",IF($W52="","XIRR missing","XIRR")))))</f>
        <v/>
      </c>
      <c r="AC52" s="86" t="str">
        <f aca="false">IF(NOT(ISNUMBER($R52)),"",IF(SUM($R$6:$R$205)=0,"",$R52/SUM($R$6:$R$205)))</f>
        <v/>
      </c>
      <c r="AD52" s="82"/>
      <c r="AE52" s="80"/>
      <c r="AF52" s="78"/>
      <c r="AG52" s="88" t="str">
        <f aca="false">IF($C52="","",IF(COUNTIFS('Tax Lots'!$B$6:$B$205,$B52,'Tax Lots'!$C$6:$C$205,$C52)=0,"",SUMIFS('Tax Lots'!$P$6:$P$205,'Tax Lots'!$B$6:$B$205,$B52,'Tax Lots'!$C$6:$C$205,$C52)))</f>
        <v/>
      </c>
      <c r="AH52" s="79" t="str">
        <f aca="false">IF($A52&amp;$B52&amp;$C52="","",IF($A52="","Missing ID",IF(COUNTIF($A$6:$A$205,$A52)&gt;1,"Duplicate ID",IF($AI52="","Unknown account",IF($AJ52="","Unknown security",IF(COUNTIFS($B$6:$B$205,$B52,$C$6:$C$205,$C52)&gt;1,"Same security twice in one account",IF(AND(ISNUMBER($J52),ISNUMBER($K52),N($K52)&lt;N($J52)),"Last date before first",IF(NOT(ISNUMBER($R52)),"No market value",IF(OR(N($J52)&gt;ValDate,N($K52)&gt;ValDate),"Date after valuation",IF(AND(ISNUMBER($AG52),ABS(N($L52)-N($AG52))&gt;0.001),"Lot quantity differs",IF(AND(ISNUMBER($AG52),ABS(N($M52)-SUMIFS('Tax Lots'!$Q$6:$Q$205,'Tax Lots'!$B$6:$B$205,$B52,'Tax Lots'!$C$6:$C$205,$C52))&gt;1),"Lot cost differs",IF(AND(ISNUMBER($AG52),ABS(N($V52)-SUMIFS('Tax Lots'!$AA$6:$AA$205,'Tax Lots'!$B$6:$B$205,$B52,'Tax Lots'!$C$6:$C$205,$C52))&gt;1),"Lot realised gain differs","OK"))))))))))))</f>
        <v/>
      </c>
      <c r="AI52" s="89" t="str">
        <f aca="false">IF($B52="","",IFERROR(MATCH($B52,Accounts!$A$6:$A$55,0),""))</f>
        <v/>
      </c>
      <c r="AJ52" s="89" t="str">
        <f aca="false">IF($C52="","",IFERROR(MATCH($C52,Securities!$A$6:$A$105,0),""))</f>
        <v/>
      </c>
      <c r="AK52" s="89" t="str">
        <f aca="false">IF($AI52="","",INDEX(Accounts!$B$6:$B$55,$AI52)&amp;"")</f>
        <v/>
      </c>
      <c r="AL52" s="89" t="str">
        <f aca="false">IF(OR($C52="",$I52="",NOT(ISNUMBER($R52))),"",$I52&amp;"|"&amp;(SUMPRODUCT(($I$6:$I$205=$I52)*ISNUMBER($R$6:$R$205)*($R$6:$R$205&gt;$R52))+SUMPRODUCT(($I$6:$I52=$I52)*ISNUMBER($R$6:$R52)*($R$6:$R52=$R52))))</f>
        <v/>
      </c>
      <c r="AM52" s="89" t="n">
        <f aca="false">IF(AND(ISNUMBER($R52),$W52&lt;&gt;"",$Z52&lt;&gt;"",$AB52="XIRR"),$R52*$W52,0)</f>
        <v>0</v>
      </c>
      <c r="AN52" s="89" t="n">
        <f aca="false">IF(AND(ISNUMBER($R52),$W52&lt;&gt;"",$Z52&lt;&gt;"",$AB52="XIRR"),$R52,0)</f>
        <v>0</v>
      </c>
      <c r="AO52" s="89" t="n">
        <f aca="false">IF(AND(ISNUMBER($R52),$W52&lt;&gt;"",$Z52&lt;&gt;"",$AB52="XIRR"),$R52*$Z52,0)</f>
        <v>0</v>
      </c>
      <c r="AP52" s="89" t="n">
        <f aca="false">IF(AND(ISNUMBER($M52),$Y52&lt;&gt;"",ISNUMBER($T52)),$M52*$Y52,0)</f>
        <v>0</v>
      </c>
      <c r="AQ52" s="89" t="n">
        <f aca="false">IF(AND(ISNUMBER($M52),$Y52&lt;&gt;"",ISNUMBER($T52)),$M52,0)</f>
        <v>0</v>
      </c>
    </row>
    <row r="53" customFormat="false" ht="15" hidden="false" customHeight="false" outlineLevel="0" collapsed="false">
      <c r="A53" s="77"/>
      <c r="B53" s="78"/>
      <c r="C53" s="78"/>
      <c r="D53" s="79" t="str">
        <f aca="false">IF($AI53="","",INDEX(Accounts!$C$6:$C$55,$AI53)&amp;"")</f>
        <v/>
      </c>
      <c r="E53" s="79" t="str">
        <f aca="false">IF($AI53="","",INDEX(Accounts!$F$6:$F$55,$AI53)&amp;"")</f>
        <v/>
      </c>
      <c r="F53" s="79" t="str">
        <f aca="false">IF($AJ53="","",INDEX(Securities!$B$6:$B$105,$AJ53)&amp;"")</f>
        <v/>
      </c>
      <c r="G53" s="79" t="str">
        <f aca="false">IF($AJ53="","",INDEX(Securities!$F$6:$F$105,$AJ53)&amp;"")</f>
        <v/>
      </c>
      <c r="H53" s="79" t="str">
        <f aca="false">IF($AJ53="","",INDEX(Securities!$E$6:$E$105,$AJ53)&amp;"")</f>
        <v/>
      </c>
      <c r="I53" s="79" t="str">
        <f aca="false">IF($AJ53="","",INDEX(Securities!$H$6:$H$105,$AJ53)&amp;"")</f>
        <v/>
      </c>
      <c r="J53" s="80"/>
      <c r="K53" s="80"/>
      <c r="L53" s="81"/>
      <c r="M53" s="82"/>
      <c r="N53" s="83" t="str">
        <f aca="false">IF(OR($L53="",$M53=""),"",IF(N($L53)=0,"",$M53/$L53))</f>
        <v/>
      </c>
      <c r="O53" s="84" t="str">
        <f aca="false">IF($AJ53="","",IF(INDEX(Securities!$O$6:$O$105,$AJ53)="","",INDEX(Securities!$O$6:$O$105,$AJ53)))</f>
        <v/>
      </c>
      <c r="P53" s="79" t="str">
        <f aca="false">IF($AJ53="","",INDEX(Securities!$N$6:$N$105,$AJ53)&amp;"")</f>
        <v/>
      </c>
      <c r="Q53" s="82"/>
      <c r="R53" s="85" t="str">
        <f aca="false">IF($C53="","",IF($Q53&lt;&gt;"",$Q53,IF($P53="At cost",IF($M53="","",$M53),IF(OR($O53="",$L53=""),"",$L53*$O53))))</f>
        <v/>
      </c>
      <c r="S53" s="85" t="str">
        <f aca="false">IF(OR(NOT(ISNUMBER($R53)),$M53=""),"",$R53-$M53)</f>
        <v/>
      </c>
      <c r="T53" s="86" t="str">
        <f aca="false">IF(OR($S53="",N($M53)=0),"",$S53/$M53)</f>
        <v/>
      </c>
      <c r="U53" s="82"/>
      <c r="V53" s="82"/>
      <c r="W53" s="87"/>
      <c r="X53" s="79" t="str">
        <f aca="false">IF($AJ53="","",INDEX(Securities!$L$6:$L$105,$AJ53)&amp;"")</f>
        <v/>
      </c>
      <c r="Y53" s="87"/>
      <c r="Z53" s="87"/>
      <c r="AA53" s="86" t="str">
        <f aca="false">IF(OR($W53="",$Z53=""),"",$W53-$Z53)</f>
        <v/>
      </c>
      <c r="AB53" s="79" t="str">
        <f aca="false">IF($C53="","",IF($P53="At cost","At cost",IF(NOT(ISNUMBER($J53)),"No date",IF(ValDate-$J53&lt;365,"Absolute",IF($W53="","XIRR missing","XIRR")))))</f>
        <v/>
      </c>
      <c r="AC53" s="86" t="str">
        <f aca="false">IF(NOT(ISNUMBER($R53)),"",IF(SUM($R$6:$R$205)=0,"",$R53/SUM($R$6:$R$205)))</f>
        <v/>
      </c>
      <c r="AD53" s="82"/>
      <c r="AE53" s="80"/>
      <c r="AF53" s="78"/>
      <c r="AG53" s="88" t="str">
        <f aca="false">IF($C53="","",IF(COUNTIFS('Tax Lots'!$B$6:$B$205,$B53,'Tax Lots'!$C$6:$C$205,$C53)=0,"",SUMIFS('Tax Lots'!$P$6:$P$205,'Tax Lots'!$B$6:$B$205,$B53,'Tax Lots'!$C$6:$C$205,$C53)))</f>
        <v/>
      </c>
      <c r="AH53" s="79" t="str">
        <f aca="false">IF($A53&amp;$B53&amp;$C53="","",IF($A53="","Missing ID",IF(COUNTIF($A$6:$A$205,$A53)&gt;1,"Duplicate ID",IF($AI53="","Unknown account",IF($AJ53="","Unknown security",IF(COUNTIFS($B$6:$B$205,$B53,$C$6:$C$205,$C53)&gt;1,"Same security twice in one account",IF(AND(ISNUMBER($J53),ISNUMBER($K53),N($K53)&lt;N($J53)),"Last date before first",IF(NOT(ISNUMBER($R53)),"No market value",IF(OR(N($J53)&gt;ValDate,N($K53)&gt;ValDate),"Date after valuation",IF(AND(ISNUMBER($AG53),ABS(N($L53)-N($AG53))&gt;0.001),"Lot quantity differs",IF(AND(ISNUMBER($AG53),ABS(N($M53)-SUMIFS('Tax Lots'!$Q$6:$Q$205,'Tax Lots'!$B$6:$B$205,$B53,'Tax Lots'!$C$6:$C$205,$C53))&gt;1),"Lot cost differs",IF(AND(ISNUMBER($AG53),ABS(N($V53)-SUMIFS('Tax Lots'!$AA$6:$AA$205,'Tax Lots'!$B$6:$B$205,$B53,'Tax Lots'!$C$6:$C$205,$C53))&gt;1),"Lot realised gain differs","OK"))))))))))))</f>
        <v/>
      </c>
      <c r="AI53" s="89" t="str">
        <f aca="false">IF($B53="","",IFERROR(MATCH($B53,Accounts!$A$6:$A$55,0),""))</f>
        <v/>
      </c>
      <c r="AJ53" s="89" t="str">
        <f aca="false">IF($C53="","",IFERROR(MATCH($C53,Securities!$A$6:$A$105,0),""))</f>
        <v/>
      </c>
      <c r="AK53" s="89" t="str">
        <f aca="false">IF($AI53="","",INDEX(Accounts!$B$6:$B$55,$AI53)&amp;"")</f>
        <v/>
      </c>
      <c r="AL53" s="89" t="str">
        <f aca="false">IF(OR($C53="",$I53="",NOT(ISNUMBER($R53))),"",$I53&amp;"|"&amp;(SUMPRODUCT(($I$6:$I$205=$I53)*ISNUMBER($R$6:$R$205)*($R$6:$R$205&gt;$R53))+SUMPRODUCT(($I$6:$I53=$I53)*ISNUMBER($R$6:$R53)*($R$6:$R53=$R53))))</f>
        <v/>
      </c>
      <c r="AM53" s="89" t="n">
        <f aca="false">IF(AND(ISNUMBER($R53),$W53&lt;&gt;"",$Z53&lt;&gt;"",$AB53="XIRR"),$R53*$W53,0)</f>
        <v>0</v>
      </c>
      <c r="AN53" s="89" t="n">
        <f aca="false">IF(AND(ISNUMBER($R53),$W53&lt;&gt;"",$Z53&lt;&gt;"",$AB53="XIRR"),$R53,0)</f>
        <v>0</v>
      </c>
      <c r="AO53" s="89" t="n">
        <f aca="false">IF(AND(ISNUMBER($R53),$W53&lt;&gt;"",$Z53&lt;&gt;"",$AB53="XIRR"),$R53*$Z53,0)</f>
        <v>0</v>
      </c>
      <c r="AP53" s="89" t="n">
        <f aca="false">IF(AND(ISNUMBER($M53),$Y53&lt;&gt;"",ISNUMBER($T53)),$M53*$Y53,0)</f>
        <v>0</v>
      </c>
      <c r="AQ53" s="89" t="n">
        <f aca="false">IF(AND(ISNUMBER($M53),$Y53&lt;&gt;"",ISNUMBER($T53)),$M53,0)</f>
        <v>0</v>
      </c>
    </row>
    <row r="54" customFormat="false" ht="15" hidden="false" customHeight="false" outlineLevel="0" collapsed="false">
      <c r="A54" s="77"/>
      <c r="B54" s="78"/>
      <c r="C54" s="78"/>
      <c r="D54" s="79" t="str">
        <f aca="false">IF($AI54="","",INDEX(Accounts!$C$6:$C$55,$AI54)&amp;"")</f>
        <v/>
      </c>
      <c r="E54" s="79" t="str">
        <f aca="false">IF($AI54="","",INDEX(Accounts!$F$6:$F$55,$AI54)&amp;"")</f>
        <v/>
      </c>
      <c r="F54" s="79" t="str">
        <f aca="false">IF($AJ54="","",INDEX(Securities!$B$6:$B$105,$AJ54)&amp;"")</f>
        <v/>
      </c>
      <c r="G54" s="79" t="str">
        <f aca="false">IF($AJ54="","",INDEX(Securities!$F$6:$F$105,$AJ54)&amp;"")</f>
        <v/>
      </c>
      <c r="H54" s="79" t="str">
        <f aca="false">IF($AJ54="","",INDEX(Securities!$E$6:$E$105,$AJ54)&amp;"")</f>
        <v/>
      </c>
      <c r="I54" s="79" t="str">
        <f aca="false">IF($AJ54="","",INDEX(Securities!$H$6:$H$105,$AJ54)&amp;"")</f>
        <v/>
      </c>
      <c r="J54" s="80"/>
      <c r="K54" s="80"/>
      <c r="L54" s="81"/>
      <c r="M54" s="82"/>
      <c r="N54" s="83" t="str">
        <f aca="false">IF(OR($L54="",$M54=""),"",IF(N($L54)=0,"",$M54/$L54))</f>
        <v/>
      </c>
      <c r="O54" s="84" t="str">
        <f aca="false">IF($AJ54="","",IF(INDEX(Securities!$O$6:$O$105,$AJ54)="","",INDEX(Securities!$O$6:$O$105,$AJ54)))</f>
        <v/>
      </c>
      <c r="P54" s="79" t="str">
        <f aca="false">IF($AJ54="","",INDEX(Securities!$N$6:$N$105,$AJ54)&amp;"")</f>
        <v/>
      </c>
      <c r="Q54" s="82"/>
      <c r="R54" s="85" t="str">
        <f aca="false">IF($C54="","",IF($Q54&lt;&gt;"",$Q54,IF($P54="At cost",IF($M54="","",$M54),IF(OR($O54="",$L54=""),"",$L54*$O54))))</f>
        <v/>
      </c>
      <c r="S54" s="85" t="str">
        <f aca="false">IF(OR(NOT(ISNUMBER($R54)),$M54=""),"",$R54-$M54)</f>
        <v/>
      </c>
      <c r="T54" s="86" t="str">
        <f aca="false">IF(OR($S54="",N($M54)=0),"",$S54/$M54)</f>
        <v/>
      </c>
      <c r="U54" s="82"/>
      <c r="V54" s="82"/>
      <c r="W54" s="87"/>
      <c r="X54" s="79" t="str">
        <f aca="false">IF($AJ54="","",INDEX(Securities!$L$6:$L$105,$AJ54)&amp;"")</f>
        <v/>
      </c>
      <c r="Y54" s="87"/>
      <c r="Z54" s="87"/>
      <c r="AA54" s="86" t="str">
        <f aca="false">IF(OR($W54="",$Z54=""),"",$W54-$Z54)</f>
        <v/>
      </c>
      <c r="AB54" s="79" t="str">
        <f aca="false">IF($C54="","",IF($P54="At cost","At cost",IF(NOT(ISNUMBER($J54)),"No date",IF(ValDate-$J54&lt;365,"Absolute",IF($W54="","XIRR missing","XIRR")))))</f>
        <v/>
      </c>
      <c r="AC54" s="86" t="str">
        <f aca="false">IF(NOT(ISNUMBER($R54)),"",IF(SUM($R$6:$R$205)=0,"",$R54/SUM($R$6:$R$205)))</f>
        <v/>
      </c>
      <c r="AD54" s="82"/>
      <c r="AE54" s="80"/>
      <c r="AF54" s="78"/>
      <c r="AG54" s="88" t="str">
        <f aca="false">IF($C54="","",IF(COUNTIFS('Tax Lots'!$B$6:$B$205,$B54,'Tax Lots'!$C$6:$C$205,$C54)=0,"",SUMIFS('Tax Lots'!$P$6:$P$205,'Tax Lots'!$B$6:$B$205,$B54,'Tax Lots'!$C$6:$C$205,$C54)))</f>
        <v/>
      </c>
      <c r="AH54" s="79" t="str">
        <f aca="false">IF($A54&amp;$B54&amp;$C54="","",IF($A54="","Missing ID",IF(COUNTIF($A$6:$A$205,$A54)&gt;1,"Duplicate ID",IF($AI54="","Unknown account",IF($AJ54="","Unknown security",IF(COUNTIFS($B$6:$B$205,$B54,$C$6:$C$205,$C54)&gt;1,"Same security twice in one account",IF(AND(ISNUMBER($J54),ISNUMBER($K54),N($K54)&lt;N($J54)),"Last date before first",IF(NOT(ISNUMBER($R54)),"No market value",IF(OR(N($J54)&gt;ValDate,N($K54)&gt;ValDate),"Date after valuation",IF(AND(ISNUMBER($AG54),ABS(N($L54)-N($AG54))&gt;0.001),"Lot quantity differs",IF(AND(ISNUMBER($AG54),ABS(N($M54)-SUMIFS('Tax Lots'!$Q$6:$Q$205,'Tax Lots'!$B$6:$B$205,$B54,'Tax Lots'!$C$6:$C$205,$C54))&gt;1),"Lot cost differs",IF(AND(ISNUMBER($AG54),ABS(N($V54)-SUMIFS('Tax Lots'!$AA$6:$AA$205,'Tax Lots'!$B$6:$B$205,$B54,'Tax Lots'!$C$6:$C$205,$C54))&gt;1),"Lot realised gain differs","OK"))))))))))))</f>
        <v/>
      </c>
      <c r="AI54" s="89" t="str">
        <f aca="false">IF($B54="","",IFERROR(MATCH($B54,Accounts!$A$6:$A$55,0),""))</f>
        <v/>
      </c>
      <c r="AJ54" s="89" t="str">
        <f aca="false">IF($C54="","",IFERROR(MATCH($C54,Securities!$A$6:$A$105,0),""))</f>
        <v/>
      </c>
      <c r="AK54" s="89" t="str">
        <f aca="false">IF($AI54="","",INDEX(Accounts!$B$6:$B$55,$AI54)&amp;"")</f>
        <v/>
      </c>
      <c r="AL54" s="89" t="str">
        <f aca="false">IF(OR($C54="",$I54="",NOT(ISNUMBER($R54))),"",$I54&amp;"|"&amp;(SUMPRODUCT(($I$6:$I$205=$I54)*ISNUMBER($R$6:$R$205)*($R$6:$R$205&gt;$R54))+SUMPRODUCT(($I$6:$I54=$I54)*ISNUMBER($R$6:$R54)*($R$6:$R54=$R54))))</f>
        <v/>
      </c>
      <c r="AM54" s="89" t="n">
        <f aca="false">IF(AND(ISNUMBER($R54),$W54&lt;&gt;"",$Z54&lt;&gt;"",$AB54="XIRR"),$R54*$W54,0)</f>
        <v>0</v>
      </c>
      <c r="AN54" s="89" t="n">
        <f aca="false">IF(AND(ISNUMBER($R54),$W54&lt;&gt;"",$Z54&lt;&gt;"",$AB54="XIRR"),$R54,0)</f>
        <v>0</v>
      </c>
      <c r="AO54" s="89" t="n">
        <f aca="false">IF(AND(ISNUMBER($R54),$W54&lt;&gt;"",$Z54&lt;&gt;"",$AB54="XIRR"),$R54*$Z54,0)</f>
        <v>0</v>
      </c>
      <c r="AP54" s="89" t="n">
        <f aca="false">IF(AND(ISNUMBER($M54),$Y54&lt;&gt;"",ISNUMBER($T54)),$M54*$Y54,0)</f>
        <v>0</v>
      </c>
      <c r="AQ54" s="89" t="n">
        <f aca="false">IF(AND(ISNUMBER($M54),$Y54&lt;&gt;"",ISNUMBER($T54)),$M54,0)</f>
        <v>0</v>
      </c>
    </row>
    <row r="55" customFormat="false" ht="15" hidden="false" customHeight="false" outlineLevel="0" collapsed="false">
      <c r="A55" s="77"/>
      <c r="B55" s="78"/>
      <c r="C55" s="78"/>
      <c r="D55" s="79" t="str">
        <f aca="false">IF($AI55="","",INDEX(Accounts!$C$6:$C$55,$AI55)&amp;"")</f>
        <v/>
      </c>
      <c r="E55" s="79" t="str">
        <f aca="false">IF($AI55="","",INDEX(Accounts!$F$6:$F$55,$AI55)&amp;"")</f>
        <v/>
      </c>
      <c r="F55" s="79" t="str">
        <f aca="false">IF($AJ55="","",INDEX(Securities!$B$6:$B$105,$AJ55)&amp;"")</f>
        <v/>
      </c>
      <c r="G55" s="79" t="str">
        <f aca="false">IF($AJ55="","",INDEX(Securities!$F$6:$F$105,$AJ55)&amp;"")</f>
        <v/>
      </c>
      <c r="H55" s="79" t="str">
        <f aca="false">IF($AJ55="","",INDEX(Securities!$E$6:$E$105,$AJ55)&amp;"")</f>
        <v/>
      </c>
      <c r="I55" s="79" t="str">
        <f aca="false">IF($AJ55="","",INDEX(Securities!$H$6:$H$105,$AJ55)&amp;"")</f>
        <v/>
      </c>
      <c r="J55" s="80"/>
      <c r="K55" s="80"/>
      <c r="L55" s="81"/>
      <c r="M55" s="82"/>
      <c r="N55" s="83" t="str">
        <f aca="false">IF(OR($L55="",$M55=""),"",IF(N($L55)=0,"",$M55/$L55))</f>
        <v/>
      </c>
      <c r="O55" s="84" t="str">
        <f aca="false">IF($AJ55="","",IF(INDEX(Securities!$O$6:$O$105,$AJ55)="","",INDEX(Securities!$O$6:$O$105,$AJ55)))</f>
        <v/>
      </c>
      <c r="P55" s="79" t="str">
        <f aca="false">IF($AJ55="","",INDEX(Securities!$N$6:$N$105,$AJ55)&amp;"")</f>
        <v/>
      </c>
      <c r="Q55" s="82"/>
      <c r="R55" s="85" t="str">
        <f aca="false">IF($C55="","",IF($Q55&lt;&gt;"",$Q55,IF($P55="At cost",IF($M55="","",$M55),IF(OR($O55="",$L55=""),"",$L55*$O55))))</f>
        <v/>
      </c>
      <c r="S55" s="85" t="str">
        <f aca="false">IF(OR(NOT(ISNUMBER($R55)),$M55=""),"",$R55-$M55)</f>
        <v/>
      </c>
      <c r="T55" s="86" t="str">
        <f aca="false">IF(OR($S55="",N($M55)=0),"",$S55/$M55)</f>
        <v/>
      </c>
      <c r="U55" s="82"/>
      <c r="V55" s="82"/>
      <c r="W55" s="87"/>
      <c r="X55" s="79" t="str">
        <f aca="false">IF($AJ55="","",INDEX(Securities!$L$6:$L$105,$AJ55)&amp;"")</f>
        <v/>
      </c>
      <c r="Y55" s="87"/>
      <c r="Z55" s="87"/>
      <c r="AA55" s="86" t="str">
        <f aca="false">IF(OR($W55="",$Z55=""),"",$W55-$Z55)</f>
        <v/>
      </c>
      <c r="AB55" s="79" t="str">
        <f aca="false">IF($C55="","",IF($P55="At cost","At cost",IF(NOT(ISNUMBER($J55)),"No date",IF(ValDate-$J55&lt;365,"Absolute",IF($W55="","XIRR missing","XIRR")))))</f>
        <v/>
      </c>
      <c r="AC55" s="86" t="str">
        <f aca="false">IF(NOT(ISNUMBER($R55)),"",IF(SUM($R$6:$R$205)=0,"",$R55/SUM($R$6:$R$205)))</f>
        <v/>
      </c>
      <c r="AD55" s="82"/>
      <c r="AE55" s="80"/>
      <c r="AF55" s="78"/>
      <c r="AG55" s="88" t="str">
        <f aca="false">IF($C55="","",IF(COUNTIFS('Tax Lots'!$B$6:$B$205,$B55,'Tax Lots'!$C$6:$C$205,$C55)=0,"",SUMIFS('Tax Lots'!$P$6:$P$205,'Tax Lots'!$B$6:$B$205,$B55,'Tax Lots'!$C$6:$C$205,$C55)))</f>
        <v/>
      </c>
      <c r="AH55" s="79" t="str">
        <f aca="false">IF($A55&amp;$B55&amp;$C55="","",IF($A55="","Missing ID",IF(COUNTIF($A$6:$A$205,$A55)&gt;1,"Duplicate ID",IF($AI55="","Unknown account",IF($AJ55="","Unknown security",IF(COUNTIFS($B$6:$B$205,$B55,$C$6:$C$205,$C55)&gt;1,"Same security twice in one account",IF(AND(ISNUMBER($J55),ISNUMBER($K55),N($K55)&lt;N($J55)),"Last date before first",IF(NOT(ISNUMBER($R55)),"No market value",IF(OR(N($J55)&gt;ValDate,N($K55)&gt;ValDate),"Date after valuation",IF(AND(ISNUMBER($AG55),ABS(N($L55)-N($AG55))&gt;0.001),"Lot quantity differs",IF(AND(ISNUMBER($AG55),ABS(N($M55)-SUMIFS('Tax Lots'!$Q$6:$Q$205,'Tax Lots'!$B$6:$B$205,$B55,'Tax Lots'!$C$6:$C$205,$C55))&gt;1),"Lot cost differs",IF(AND(ISNUMBER($AG55),ABS(N($V55)-SUMIFS('Tax Lots'!$AA$6:$AA$205,'Tax Lots'!$B$6:$B$205,$B55,'Tax Lots'!$C$6:$C$205,$C55))&gt;1),"Lot realised gain differs","OK"))))))))))))</f>
        <v/>
      </c>
      <c r="AI55" s="89" t="str">
        <f aca="false">IF($B55="","",IFERROR(MATCH($B55,Accounts!$A$6:$A$55,0),""))</f>
        <v/>
      </c>
      <c r="AJ55" s="89" t="str">
        <f aca="false">IF($C55="","",IFERROR(MATCH($C55,Securities!$A$6:$A$105,0),""))</f>
        <v/>
      </c>
      <c r="AK55" s="89" t="str">
        <f aca="false">IF($AI55="","",INDEX(Accounts!$B$6:$B$55,$AI55)&amp;"")</f>
        <v/>
      </c>
      <c r="AL55" s="89" t="str">
        <f aca="false">IF(OR($C55="",$I55="",NOT(ISNUMBER($R55))),"",$I55&amp;"|"&amp;(SUMPRODUCT(($I$6:$I$205=$I55)*ISNUMBER($R$6:$R$205)*($R$6:$R$205&gt;$R55))+SUMPRODUCT(($I$6:$I55=$I55)*ISNUMBER($R$6:$R55)*($R$6:$R55=$R55))))</f>
        <v/>
      </c>
      <c r="AM55" s="89" t="n">
        <f aca="false">IF(AND(ISNUMBER($R55),$W55&lt;&gt;"",$Z55&lt;&gt;"",$AB55="XIRR"),$R55*$W55,0)</f>
        <v>0</v>
      </c>
      <c r="AN55" s="89" t="n">
        <f aca="false">IF(AND(ISNUMBER($R55),$W55&lt;&gt;"",$Z55&lt;&gt;"",$AB55="XIRR"),$R55,0)</f>
        <v>0</v>
      </c>
      <c r="AO55" s="89" t="n">
        <f aca="false">IF(AND(ISNUMBER($R55),$W55&lt;&gt;"",$Z55&lt;&gt;"",$AB55="XIRR"),$R55*$Z55,0)</f>
        <v>0</v>
      </c>
      <c r="AP55" s="89" t="n">
        <f aca="false">IF(AND(ISNUMBER($M55),$Y55&lt;&gt;"",ISNUMBER($T55)),$M55*$Y55,0)</f>
        <v>0</v>
      </c>
      <c r="AQ55" s="89" t="n">
        <f aca="false">IF(AND(ISNUMBER($M55),$Y55&lt;&gt;"",ISNUMBER($T55)),$M55,0)</f>
        <v>0</v>
      </c>
    </row>
    <row r="56" customFormat="false" ht="15" hidden="false" customHeight="false" outlineLevel="0" collapsed="false">
      <c r="A56" s="77"/>
      <c r="B56" s="78"/>
      <c r="C56" s="78"/>
      <c r="D56" s="79" t="str">
        <f aca="false">IF($AI56="","",INDEX(Accounts!$C$6:$C$55,$AI56)&amp;"")</f>
        <v/>
      </c>
      <c r="E56" s="79" t="str">
        <f aca="false">IF($AI56="","",INDEX(Accounts!$F$6:$F$55,$AI56)&amp;"")</f>
        <v/>
      </c>
      <c r="F56" s="79" t="str">
        <f aca="false">IF($AJ56="","",INDEX(Securities!$B$6:$B$105,$AJ56)&amp;"")</f>
        <v/>
      </c>
      <c r="G56" s="79" t="str">
        <f aca="false">IF($AJ56="","",INDEX(Securities!$F$6:$F$105,$AJ56)&amp;"")</f>
        <v/>
      </c>
      <c r="H56" s="79" t="str">
        <f aca="false">IF($AJ56="","",INDEX(Securities!$E$6:$E$105,$AJ56)&amp;"")</f>
        <v/>
      </c>
      <c r="I56" s="79" t="str">
        <f aca="false">IF($AJ56="","",INDEX(Securities!$H$6:$H$105,$AJ56)&amp;"")</f>
        <v/>
      </c>
      <c r="J56" s="80"/>
      <c r="K56" s="80"/>
      <c r="L56" s="81"/>
      <c r="M56" s="82"/>
      <c r="N56" s="83" t="str">
        <f aca="false">IF(OR($L56="",$M56=""),"",IF(N($L56)=0,"",$M56/$L56))</f>
        <v/>
      </c>
      <c r="O56" s="84" t="str">
        <f aca="false">IF($AJ56="","",IF(INDEX(Securities!$O$6:$O$105,$AJ56)="","",INDEX(Securities!$O$6:$O$105,$AJ56)))</f>
        <v/>
      </c>
      <c r="P56" s="79" t="str">
        <f aca="false">IF($AJ56="","",INDEX(Securities!$N$6:$N$105,$AJ56)&amp;"")</f>
        <v/>
      </c>
      <c r="Q56" s="82"/>
      <c r="R56" s="85" t="str">
        <f aca="false">IF($C56="","",IF($Q56&lt;&gt;"",$Q56,IF($P56="At cost",IF($M56="","",$M56),IF(OR($O56="",$L56=""),"",$L56*$O56))))</f>
        <v/>
      </c>
      <c r="S56" s="85" t="str">
        <f aca="false">IF(OR(NOT(ISNUMBER($R56)),$M56=""),"",$R56-$M56)</f>
        <v/>
      </c>
      <c r="T56" s="86" t="str">
        <f aca="false">IF(OR($S56="",N($M56)=0),"",$S56/$M56)</f>
        <v/>
      </c>
      <c r="U56" s="82"/>
      <c r="V56" s="82"/>
      <c r="W56" s="87"/>
      <c r="X56" s="79" t="str">
        <f aca="false">IF($AJ56="","",INDEX(Securities!$L$6:$L$105,$AJ56)&amp;"")</f>
        <v/>
      </c>
      <c r="Y56" s="87"/>
      <c r="Z56" s="87"/>
      <c r="AA56" s="86" t="str">
        <f aca="false">IF(OR($W56="",$Z56=""),"",$W56-$Z56)</f>
        <v/>
      </c>
      <c r="AB56" s="79" t="str">
        <f aca="false">IF($C56="","",IF($P56="At cost","At cost",IF(NOT(ISNUMBER($J56)),"No date",IF(ValDate-$J56&lt;365,"Absolute",IF($W56="","XIRR missing","XIRR")))))</f>
        <v/>
      </c>
      <c r="AC56" s="86" t="str">
        <f aca="false">IF(NOT(ISNUMBER($R56)),"",IF(SUM($R$6:$R$205)=0,"",$R56/SUM($R$6:$R$205)))</f>
        <v/>
      </c>
      <c r="AD56" s="82"/>
      <c r="AE56" s="80"/>
      <c r="AF56" s="78"/>
      <c r="AG56" s="88" t="str">
        <f aca="false">IF($C56="","",IF(COUNTIFS('Tax Lots'!$B$6:$B$205,$B56,'Tax Lots'!$C$6:$C$205,$C56)=0,"",SUMIFS('Tax Lots'!$P$6:$P$205,'Tax Lots'!$B$6:$B$205,$B56,'Tax Lots'!$C$6:$C$205,$C56)))</f>
        <v/>
      </c>
      <c r="AH56" s="79" t="str">
        <f aca="false">IF($A56&amp;$B56&amp;$C56="","",IF($A56="","Missing ID",IF(COUNTIF($A$6:$A$205,$A56)&gt;1,"Duplicate ID",IF($AI56="","Unknown account",IF($AJ56="","Unknown security",IF(COUNTIFS($B$6:$B$205,$B56,$C$6:$C$205,$C56)&gt;1,"Same security twice in one account",IF(AND(ISNUMBER($J56),ISNUMBER($K56),N($K56)&lt;N($J56)),"Last date before first",IF(NOT(ISNUMBER($R56)),"No market value",IF(OR(N($J56)&gt;ValDate,N($K56)&gt;ValDate),"Date after valuation",IF(AND(ISNUMBER($AG56),ABS(N($L56)-N($AG56))&gt;0.001),"Lot quantity differs",IF(AND(ISNUMBER($AG56),ABS(N($M56)-SUMIFS('Tax Lots'!$Q$6:$Q$205,'Tax Lots'!$B$6:$B$205,$B56,'Tax Lots'!$C$6:$C$205,$C56))&gt;1),"Lot cost differs",IF(AND(ISNUMBER($AG56),ABS(N($V56)-SUMIFS('Tax Lots'!$AA$6:$AA$205,'Tax Lots'!$B$6:$B$205,$B56,'Tax Lots'!$C$6:$C$205,$C56))&gt;1),"Lot realised gain differs","OK"))))))))))))</f>
        <v/>
      </c>
      <c r="AI56" s="89" t="str">
        <f aca="false">IF($B56="","",IFERROR(MATCH($B56,Accounts!$A$6:$A$55,0),""))</f>
        <v/>
      </c>
      <c r="AJ56" s="89" t="str">
        <f aca="false">IF($C56="","",IFERROR(MATCH($C56,Securities!$A$6:$A$105,0),""))</f>
        <v/>
      </c>
      <c r="AK56" s="89" t="str">
        <f aca="false">IF($AI56="","",INDEX(Accounts!$B$6:$B$55,$AI56)&amp;"")</f>
        <v/>
      </c>
      <c r="AL56" s="89" t="str">
        <f aca="false">IF(OR($C56="",$I56="",NOT(ISNUMBER($R56))),"",$I56&amp;"|"&amp;(SUMPRODUCT(($I$6:$I$205=$I56)*ISNUMBER($R$6:$R$205)*($R$6:$R$205&gt;$R56))+SUMPRODUCT(($I$6:$I56=$I56)*ISNUMBER($R$6:$R56)*($R$6:$R56=$R56))))</f>
        <v/>
      </c>
      <c r="AM56" s="89" t="n">
        <f aca="false">IF(AND(ISNUMBER($R56),$W56&lt;&gt;"",$Z56&lt;&gt;"",$AB56="XIRR"),$R56*$W56,0)</f>
        <v>0</v>
      </c>
      <c r="AN56" s="89" t="n">
        <f aca="false">IF(AND(ISNUMBER($R56),$W56&lt;&gt;"",$Z56&lt;&gt;"",$AB56="XIRR"),$R56,0)</f>
        <v>0</v>
      </c>
      <c r="AO56" s="89" t="n">
        <f aca="false">IF(AND(ISNUMBER($R56),$W56&lt;&gt;"",$Z56&lt;&gt;"",$AB56="XIRR"),$R56*$Z56,0)</f>
        <v>0</v>
      </c>
      <c r="AP56" s="89" t="n">
        <f aca="false">IF(AND(ISNUMBER($M56),$Y56&lt;&gt;"",ISNUMBER($T56)),$M56*$Y56,0)</f>
        <v>0</v>
      </c>
      <c r="AQ56" s="89" t="n">
        <f aca="false">IF(AND(ISNUMBER($M56),$Y56&lt;&gt;"",ISNUMBER($T56)),$M56,0)</f>
        <v>0</v>
      </c>
    </row>
    <row r="57" customFormat="false" ht="15" hidden="false" customHeight="false" outlineLevel="0" collapsed="false">
      <c r="A57" s="77"/>
      <c r="B57" s="78"/>
      <c r="C57" s="78"/>
      <c r="D57" s="79" t="str">
        <f aca="false">IF($AI57="","",INDEX(Accounts!$C$6:$C$55,$AI57)&amp;"")</f>
        <v/>
      </c>
      <c r="E57" s="79" t="str">
        <f aca="false">IF($AI57="","",INDEX(Accounts!$F$6:$F$55,$AI57)&amp;"")</f>
        <v/>
      </c>
      <c r="F57" s="79" t="str">
        <f aca="false">IF($AJ57="","",INDEX(Securities!$B$6:$B$105,$AJ57)&amp;"")</f>
        <v/>
      </c>
      <c r="G57" s="79" t="str">
        <f aca="false">IF($AJ57="","",INDEX(Securities!$F$6:$F$105,$AJ57)&amp;"")</f>
        <v/>
      </c>
      <c r="H57" s="79" t="str">
        <f aca="false">IF($AJ57="","",INDEX(Securities!$E$6:$E$105,$AJ57)&amp;"")</f>
        <v/>
      </c>
      <c r="I57" s="79" t="str">
        <f aca="false">IF($AJ57="","",INDEX(Securities!$H$6:$H$105,$AJ57)&amp;"")</f>
        <v/>
      </c>
      <c r="J57" s="80"/>
      <c r="K57" s="80"/>
      <c r="L57" s="81"/>
      <c r="M57" s="82"/>
      <c r="N57" s="83" t="str">
        <f aca="false">IF(OR($L57="",$M57=""),"",IF(N($L57)=0,"",$M57/$L57))</f>
        <v/>
      </c>
      <c r="O57" s="84" t="str">
        <f aca="false">IF($AJ57="","",IF(INDEX(Securities!$O$6:$O$105,$AJ57)="","",INDEX(Securities!$O$6:$O$105,$AJ57)))</f>
        <v/>
      </c>
      <c r="P57" s="79" t="str">
        <f aca="false">IF($AJ57="","",INDEX(Securities!$N$6:$N$105,$AJ57)&amp;"")</f>
        <v/>
      </c>
      <c r="Q57" s="82"/>
      <c r="R57" s="85" t="str">
        <f aca="false">IF($C57="","",IF($Q57&lt;&gt;"",$Q57,IF($P57="At cost",IF($M57="","",$M57),IF(OR($O57="",$L57=""),"",$L57*$O57))))</f>
        <v/>
      </c>
      <c r="S57" s="85" t="str">
        <f aca="false">IF(OR(NOT(ISNUMBER($R57)),$M57=""),"",$R57-$M57)</f>
        <v/>
      </c>
      <c r="T57" s="86" t="str">
        <f aca="false">IF(OR($S57="",N($M57)=0),"",$S57/$M57)</f>
        <v/>
      </c>
      <c r="U57" s="82"/>
      <c r="V57" s="82"/>
      <c r="W57" s="87"/>
      <c r="X57" s="79" t="str">
        <f aca="false">IF($AJ57="","",INDEX(Securities!$L$6:$L$105,$AJ57)&amp;"")</f>
        <v/>
      </c>
      <c r="Y57" s="87"/>
      <c r="Z57" s="87"/>
      <c r="AA57" s="86" t="str">
        <f aca="false">IF(OR($W57="",$Z57=""),"",$W57-$Z57)</f>
        <v/>
      </c>
      <c r="AB57" s="79" t="str">
        <f aca="false">IF($C57="","",IF($P57="At cost","At cost",IF(NOT(ISNUMBER($J57)),"No date",IF(ValDate-$J57&lt;365,"Absolute",IF($W57="","XIRR missing","XIRR")))))</f>
        <v/>
      </c>
      <c r="AC57" s="86" t="str">
        <f aca="false">IF(NOT(ISNUMBER($R57)),"",IF(SUM($R$6:$R$205)=0,"",$R57/SUM($R$6:$R$205)))</f>
        <v/>
      </c>
      <c r="AD57" s="82"/>
      <c r="AE57" s="80"/>
      <c r="AF57" s="78"/>
      <c r="AG57" s="88" t="str">
        <f aca="false">IF($C57="","",IF(COUNTIFS('Tax Lots'!$B$6:$B$205,$B57,'Tax Lots'!$C$6:$C$205,$C57)=0,"",SUMIFS('Tax Lots'!$P$6:$P$205,'Tax Lots'!$B$6:$B$205,$B57,'Tax Lots'!$C$6:$C$205,$C57)))</f>
        <v/>
      </c>
      <c r="AH57" s="79" t="str">
        <f aca="false">IF($A57&amp;$B57&amp;$C57="","",IF($A57="","Missing ID",IF(COUNTIF($A$6:$A$205,$A57)&gt;1,"Duplicate ID",IF($AI57="","Unknown account",IF($AJ57="","Unknown security",IF(COUNTIFS($B$6:$B$205,$B57,$C$6:$C$205,$C57)&gt;1,"Same security twice in one account",IF(AND(ISNUMBER($J57),ISNUMBER($K57),N($K57)&lt;N($J57)),"Last date before first",IF(NOT(ISNUMBER($R57)),"No market value",IF(OR(N($J57)&gt;ValDate,N($K57)&gt;ValDate),"Date after valuation",IF(AND(ISNUMBER($AG57),ABS(N($L57)-N($AG57))&gt;0.001),"Lot quantity differs",IF(AND(ISNUMBER($AG57),ABS(N($M57)-SUMIFS('Tax Lots'!$Q$6:$Q$205,'Tax Lots'!$B$6:$B$205,$B57,'Tax Lots'!$C$6:$C$205,$C57))&gt;1),"Lot cost differs",IF(AND(ISNUMBER($AG57),ABS(N($V57)-SUMIFS('Tax Lots'!$AA$6:$AA$205,'Tax Lots'!$B$6:$B$205,$B57,'Tax Lots'!$C$6:$C$205,$C57))&gt;1),"Lot realised gain differs","OK"))))))))))))</f>
        <v/>
      </c>
      <c r="AI57" s="89" t="str">
        <f aca="false">IF($B57="","",IFERROR(MATCH($B57,Accounts!$A$6:$A$55,0),""))</f>
        <v/>
      </c>
      <c r="AJ57" s="89" t="str">
        <f aca="false">IF($C57="","",IFERROR(MATCH($C57,Securities!$A$6:$A$105,0),""))</f>
        <v/>
      </c>
      <c r="AK57" s="89" t="str">
        <f aca="false">IF($AI57="","",INDEX(Accounts!$B$6:$B$55,$AI57)&amp;"")</f>
        <v/>
      </c>
      <c r="AL57" s="89" t="str">
        <f aca="false">IF(OR($C57="",$I57="",NOT(ISNUMBER($R57))),"",$I57&amp;"|"&amp;(SUMPRODUCT(($I$6:$I$205=$I57)*ISNUMBER($R$6:$R$205)*($R$6:$R$205&gt;$R57))+SUMPRODUCT(($I$6:$I57=$I57)*ISNUMBER($R$6:$R57)*($R$6:$R57=$R57))))</f>
        <v/>
      </c>
      <c r="AM57" s="89" t="n">
        <f aca="false">IF(AND(ISNUMBER($R57),$W57&lt;&gt;"",$Z57&lt;&gt;"",$AB57="XIRR"),$R57*$W57,0)</f>
        <v>0</v>
      </c>
      <c r="AN57" s="89" t="n">
        <f aca="false">IF(AND(ISNUMBER($R57),$W57&lt;&gt;"",$Z57&lt;&gt;"",$AB57="XIRR"),$R57,0)</f>
        <v>0</v>
      </c>
      <c r="AO57" s="89" t="n">
        <f aca="false">IF(AND(ISNUMBER($R57),$W57&lt;&gt;"",$Z57&lt;&gt;"",$AB57="XIRR"),$R57*$Z57,0)</f>
        <v>0</v>
      </c>
      <c r="AP57" s="89" t="n">
        <f aca="false">IF(AND(ISNUMBER($M57),$Y57&lt;&gt;"",ISNUMBER($T57)),$M57*$Y57,0)</f>
        <v>0</v>
      </c>
      <c r="AQ57" s="89" t="n">
        <f aca="false">IF(AND(ISNUMBER($M57),$Y57&lt;&gt;"",ISNUMBER($T57)),$M57,0)</f>
        <v>0</v>
      </c>
    </row>
    <row r="58" customFormat="false" ht="15" hidden="false" customHeight="false" outlineLevel="0" collapsed="false">
      <c r="A58" s="77"/>
      <c r="B58" s="78"/>
      <c r="C58" s="78"/>
      <c r="D58" s="79" t="str">
        <f aca="false">IF($AI58="","",INDEX(Accounts!$C$6:$C$55,$AI58)&amp;"")</f>
        <v/>
      </c>
      <c r="E58" s="79" t="str">
        <f aca="false">IF($AI58="","",INDEX(Accounts!$F$6:$F$55,$AI58)&amp;"")</f>
        <v/>
      </c>
      <c r="F58" s="79" t="str">
        <f aca="false">IF($AJ58="","",INDEX(Securities!$B$6:$B$105,$AJ58)&amp;"")</f>
        <v/>
      </c>
      <c r="G58" s="79" t="str">
        <f aca="false">IF($AJ58="","",INDEX(Securities!$F$6:$F$105,$AJ58)&amp;"")</f>
        <v/>
      </c>
      <c r="H58" s="79" t="str">
        <f aca="false">IF($AJ58="","",INDEX(Securities!$E$6:$E$105,$AJ58)&amp;"")</f>
        <v/>
      </c>
      <c r="I58" s="79" t="str">
        <f aca="false">IF($AJ58="","",INDEX(Securities!$H$6:$H$105,$AJ58)&amp;"")</f>
        <v/>
      </c>
      <c r="J58" s="80"/>
      <c r="K58" s="80"/>
      <c r="L58" s="81"/>
      <c r="M58" s="82"/>
      <c r="N58" s="83" t="str">
        <f aca="false">IF(OR($L58="",$M58=""),"",IF(N($L58)=0,"",$M58/$L58))</f>
        <v/>
      </c>
      <c r="O58" s="84" t="str">
        <f aca="false">IF($AJ58="","",IF(INDEX(Securities!$O$6:$O$105,$AJ58)="","",INDEX(Securities!$O$6:$O$105,$AJ58)))</f>
        <v/>
      </c>
      <c r="P58" s="79" t="str">
        <f aca="false">IF($AJ58="","",INDEX(Securities!$N$6:$N$105,$AJ58)&amp;"")</f>
        <v/>
      </c>
      <c r="Q58" s="82"/>
      <c r="R58" s="85" t="str">
        <f aca="false">IF($C58="","",IF($Q58&lt;&gt;"",$Q58,IF($P58="At cost",IF($M58="","",$M58),IF(OR($O58="",$L58=""),"",$L58*$O58))))</f>
        <v/>
      </c>
      <c r="S58" s="85" t="str">
        <f aca="false">IF(OR(NOT(ISNUMBER($R58)),$M58=""),"",$R58-$M58)</f>
        <v/>
      </c>
      <c r="T58" s="86" t="str">
        <f aca="false">IF(OR($S58="",N($M58)=0),"",$S58/$M58)</f>
        <v/>
      </c>
      <c r="U58" s="82"/>
      <c r="V58" s="82"/>
      <c r="W58" s="87"/>
      <c r="X58" s="79" t="str">
        <f aca="false">IF($AJ58="","",INDEX(Securities!$L$6:$L$105,$AJ58)&amp;"")</f>
        <v/>
      </c>
      <c r="Y58" s="87"/>
      <c r="Z58" s="87"/>
      <c r="AA58" s="86" t="str">
        <f aca="false">IF(OR($W58="",$Z58=""),"",$W58-$Z58)</f>
        <v/>
      </c>
      <c r="AB58" s="79" t="str">
        <f aca="false">IF($C58="","",IF($P58="At cost","At cost",IF(NOT(ISNUMBER($J58)),"No date",IF(ValDate-$J58&lt;365,"Absolute",IF($W58="","XIRR missing","XIRR")))))</f>
        <v/>
      </c>
      <c r="AC58" s="86" t="str">
        <f aca="false">IF(NOT(ISNUMBER($R58)),"",IF(SUM($R$6:$R$205)=0,"",$R58/SUM($R$6:$R$205)))</f>
        <v/>
      </c>
      <c r="AD58" s="82"/>
      <c r="AE58" s="80"/>
      <c r="AF58" s="78"/>
      <c r="AG58" s="88" t="str">
        <f aca="false">IF($C58="","",IF(COUNTIFS('Tax Lots'!$B$6:$B$205,$B58,'Tax Lots'!$C$6:$C$205,$C58)=0,"",SUMIFS('Tax Lots'!$P$6:$P$205,'Tax Lots'!$B$6:$B$205,$B58,'Tax Lots'!$C$6:$C$205,$C58)))</f>
        <v/>
      </c>
      <c r="AH58" s="79" t="str">
        <f aca="false">IF($A58&amp;$B58&amp;$C58="","",IF($A58="","Missing ID",IF(COUNTIF($A$6:$A$205,$A58)&gt;1,"Duplicate ID",IF($AI58="","Unknown account",IF($AJ58="","Unknown security",IF(COUNTIFS($B$6:$B$205,$B58,$C$6:$C$205,$C58)&gt;1,"Same security twice in one account",IF(AND(ISNUMBER($J58),ISNUMBER($K58),N($K58)&lt;N($J58)),"Last date before first",IF(NOT(ISNUMBER($R58)),"No market value",IF(OR(N($J58)&gt;ValDate,N($K58)&gt;ValDate),"Date after valuation",IF(AND(ISNUMBER($AG58),ABS(N($L58)-N($AG58))&gt;0.001),"Lot quantity differs",IF(AND(ISNUMBER($AG58),ABS(N($M58)-SUMIFS('Tax Lots'!$Q$6:$Q$205,'Tax Lots'!$B$6:$B$205,$B58,'Tax Lots'!$C$6:$C$205,$C58))&gt;1),"Lot cost differs",IF(AND(ISNUMBER($AG58),ABS(N($V58)-SUMIFS('Tax Lots'!$AA$6:$AA$205,'Tax Lots'!$B$6:$B$205,$B58,'Tax Lots'!$C$6:$C$205,$C58))&gt;1),"Lot realised gain differs","OK"))))))))))))</f>
        <v/>
      </c>
      <c r="AI58" s="89" t="str">
        <f aca="false">IF($B58="","",IFERROR(MATCH($B58,Accounts!$A$6:$A$55,0),""))</f>
        <v/>
      </c>
      <c r="AJ58" s="89" t="str">
        <f aca="false">IF($C58="","",IFERROR(MATCH($C58,Securities!$A$6:$A$105,0),""))</f>
        <v/>
      </c>
      <c r="AK58" s="89" t="str">
        <f aca="false">IF($AI58="","",INDEX(Accounts!$B$6:$B$55,$AI58)&amp;"")</f>
        <v/>
      </c>
      <c r="AL58" s="89" t="str">
        <f aca="false">IF(OR($C58="",$I58="",NOT(ISNUMBER($R58))),"",$I58&amp;"|"&amp;(SUMPRODUCT(($I$6:$I$205=$I58)*ISNUMBER($R$6:$R$205)*($R$6:$R$205&gt;$R58))+SUMPRODUCT(($I$6:$I58=$I58)*ISNUMBER($R$6:$R58)*($R$6:$R58=$R58))))</f>
        <v/>
      </c>
      <c r="AM58" s="89" t="n">
        <f aca="false">IF(AND(ISNUMBER($R58),$W58&lt;&gt;"",$Z58&lt;&gt;"",$AB58="XIRR"),$R58*$W58,0)</f>
        <v>0</v>
      </c>
      <c r="AN58" s="89" t="n">
        <f aca="false">IF(AND(ISNUMBER($R58),$W58&lt;&gt;"",$Z58&lt;&gt;"",$AB58="XIRR"),$R58,0)</f>
        <v>0</v>
      </c>
      <c r="AO58" s="89" t="n">
        <f aca="false">IF(AND(ISNUMBER($R58),$W58&lt;&gt;"",$Z58&lt;&gt;"",$AB58="XIRR"),$R58*$Z58,0)</f>
        <v>0</v>
      </c>
      <c r="AP58" s="89" t="n">
        <f aca="false">IF(AND(ISNUMBER($M58),$Y58&lt;&gt;"",ISNUMBER($T58)),$M58*$Y58,0)</f>
        <v>0</v>
      </c>
      <c r="AQ58" s="89" t="n">
        <f aca="false">IF(AND(ISNUMBER($M58),$Y58&lt;&gt;"",ISNUMBER($T58)),$M58,0)</f>
        <v>0</v>
      </c>
    </row>
    <row r="59" customFormat="false" ht="15" hidden="false" customHeight="false" outlineLevel="0" collapsed="false">
      <c r="A59" s="77"/>
      <c r="B59" s="78"/>
      <c r="C59" s="78"/>
      <c r="D59" s="79" t="str">
        <f aca="false">IF($AI59="","",INDEX(Accounts!$C$6:$C$55,$AI59)&amp;"")</f>
        <v/>
      </c>
      <c r="E59" s="79" t="str">
        <f aca="false">IF($AI59="","",INDEX(Accounts!$F$6:$F$55,$AI59)&amp;"")</f>
        <v/>
      </c>
      <c r="F59" s="79" t="str">
        <f aca="false">IF($AJ59="","",INDEX(Securities!$B$6:$B$105,$AJ59)&amp;"")</f>
        <v/>
      </c>
      <c r="G59" s="79" t="str">
        <f aca="false">IF($AJ59="","",INDEX(Securities!$F$6:$F$105,$AJ59)&amp;"")</f>
        <v/>
      </c>
      <c r="H59" s="79" t="str">
        <f aca="false">IF($AJ59="","",INDEX(Securities!$E$6:$E$105,$AJ59)&amp;"")</f>
        <v/>
      </c>
      <c r="I59" s="79" t="str">
        <f aca="false">IF($AJ59="","",INDEX(Securities!$H$6:$H$105,$AJ59)&amp;"")</f>
        <v/>
      </c>
      <c r="J59" s="80"/>
      <c r="K59" s="80"/>
      <c r="L59" s="81"/>
      <c r="M59" s="82"/>
      <c r="N59" s="83" t="str">
        <f aca="false">IF(OR($L59="",$M59=""),"",IF(N($L59)=0,"",$M59/$L59))</f>
        <v/>
      </c>
      <c r="O59" s="84" t="str">
        <f aca="false">IF($AJ59="","",IF(INDEX(Securities!$O$6:$O$105,$AJ59)="","",INDEX(Securities!$O$6:$O$105,$AJ59)))</f>
        <v/>
      </c>
      <c r="P59" s="79" t="str">
        <f aca="false">IF($AJ59="","",INDEX(Securities!$N$6:$N$105,$AJ59)&amp;"")</f>
        <v/>
      </c>
      <c r="Q59" s="82"/>
      <c r="R59" s="85" t="str">
        <f aca="false">IF($C59="","",IF($Q59&lt;&gt;"",$Q59,IF($P59="At cost",IF($M59="","",$M59),IF(OR($O59="",$L59=""),"",$L59*$O59))))</f>
        <v/>
      </c>
      <c r="S59" s="85" t="str">
        <f aca="false">IF(OR(NOT(ISNUMBER($R59)),$M59=""),"",$R59-$M59)</f>
        <v/>
      </c>
      <c r="T59" s="86" t="str">
        <f aca="false">IF(OR($S59="",N($M59)=0),"",$S59/$M59)</f>
        <v/>
      </c>
      <c r="U59" s="82"/>
      <c r="V59" s="82"/>
      <c r="W59" s="87"/>
      <c r="X59" s="79" t="str">
        <f aca="false">IF($AJ59="","",INDEX(Securities!$L$6:$L$105,$AJ59)&amp;"")</f>
        <v/>
      </c>
      <c r="Y59" s="87"/>
      <c r="Z59" s="87"/>
      <c r="AA59" s="86" t="str">
        <f aca="false">IF(OR($W59="",$Z59=""),"",$W59-$Z59)</f>
        <v/>
      </c>
      <c r="AB59" s="79" t="str">
        <f aca="false">IF($C59="","",IF($P59="At cost","At cost",IF(NOT(ISNUMBER($J59)),"No date",IF(ValDate-$J59&lt;365,"Absolute",IF($W59="","XIRR missing","XIRR")))))</f>
        <v/>
      </c>
      <c r="AC59" s="86" t="str">
        <f aca="false">IF(NOT(ISNUMBER($R59)),"",IF(SUM($R$6:$R$205)=0,"",$R59/SUM($R$6:$R$205)))</f>
        <v/>
      </c>
      <c r="AD59" s="82"/>
      <c r="AE59" s="80"/>
      <c r="AF59" s="78"/>
      <c r="AG59" s="88" t="str">
        <f aca="false">IF($C59="","",IF(COUNTIFS('Tax Lots'!$B$6:$B$205,$B59,'Tax Lots'!$C$6:$C$205,$C59)=0,"",SUMIFS('Tax Lots'!$P$6:$P$205,'Tax Lots'!$B$6:$B$205,$B59,'Tax Lots'!$C$6:$C$205,$C59)))</f>
        <v/>
      </c>
      <c r="AH59" s="79" t="str">
        <f aca="false">IF($A59&amp;$B59&amp;$C59="","",IF($A59="","Missing ID",IF(COUNTIF($A$6:$A$205,$A59)&gt;1,"Duplicate ID",IF($AI59="","Unknown account",IF($AJ59="","Unknown security",IF(COUNTIFS($B$6:$B$205,$B59,$C$6:$C$205,$C59)&gt;1,"Same security twice in one account",IF(AND(ISNUMBER($J59),ISNUMBER($K59),N($K59)&lt;N($J59)),"Last date before first",IF(NOT(ISNUMBER($R59)),"No market value",IF(OR(N($J59)&gt;ValDate,N($K59)&gt;ValDate),"Date after valuation",IF(AND(ISNUMBER($AG59),ABS(N($L59)-N($AG59))&gt;0.001),"Lot quantity differs",IF(AND(ISNUMBER($AG59),ABS(N($M59)-SUMIFS('Tax Lots'!$Q$6:$Q$205,'Tax Lots'!$B$6:$B$205,$B59,'Tax Lots'!$C$6:$C$205,$C59))&gt;1),"Lot cost differs",IF(AND(ISNUMBER($AG59),ABS(N($V59)-SUMIFS('Tax Lots'!$AA$6:$AA$205,'Tax Lots'!$B$6:$B$205,$B59,'Tax Lots'!$C$6:$C$205,$C59))&gt;1),"Lot realised gain differs","OK"))))))))))))</f>
        <v/>
      </c>
      <c r="AI59" s="89" t="str">
        <f aca="false">IF($B59="","",IFERROR(MATCH($B59,Accounts!$A$6:$A$55,0),""))</f>
        <v/>
      </c>
      <c r="AJ59" s="89" t="str">
        <f aca="false">IF($C59="","",IFERROR(MATCH($C59,Securities!$A$6:$A$105,0),""))</f>
        <v/>
      </c>
      <c r="AK59" s="89" t="str">
        <f aca="false">IF($AI59="","",INDEX(Accounts!$B$6:$B$55,$AI59)&amp;"")</f>
        <v/>
      </c>
      <c r="AL59" s="89" t="str">
        <f aca="false">IF(OR($C59="",$I59="",NOT(ISNUMBER($R59))),"",$I59&amp;"|"&amp;(SUMPRODUCT(($I$6:$I$205=$I59)*ISNUMBER($R$6:$R$205)*($R$6:$R$205&gt;$R59))+SUMPRODUCT(($I$6:$I59=$I59)*ISNUMBER($R$6:$R59)*($R$6:$R59=$R59))))</f>
        <v/>
      </c>
      <c r="AM59" s="89" t="n">
        <f aca="false">IF(AND(ISNUMBER($R59),$W59&lt;&gt;"",$Z59&lt;&gt;"",$AB59="XIRR"),$R59*$W59,0)</f>
        <v>0</v>
      </c>
      <c r="AN59" s="89" t="n">
        <f aca="false">IF(AND(ISNUMBER($R59),$W59&lt;&gt;"",$Z59&lt;&gt;"",$AB59="XIRR"),$R59,0)</f>
        <v>0</v>
      </c>
      <c r="AO59" s="89" t="n">
        <f aca="false">IF(AND(ISNUMBER($R59),$W59&lt;&gt;"",$Z59&lt;&gt;"",$AB59="XIRR"),$R59*$Z59,0)</f>
        <v>0</v>
      </c>
      <c r="AP59" s="89" t="n">
        <f aca="false">IF(AND(ISNUMBER($M59),$Y59&lt;&gt;"",ISNUMBER($T59)),$M59*$Y59,0)</f>
        <v>0</v>
      </c>
      <c r="AQ59" s="89" t="n">
        <f aca="false">IF(AND(ISNUMBER($M59),$Y59&lt;&gt;"",ISNUMBER($T59)),$M59,0)</f>
        <v>0</v>
      </c>
    </row>
    <row r="60" customFormat="false" ht="15" hidden="false" customHeight="false" outlineLevel="0" collapsed="false">
      <c r="A60" s="77"/>
      <c r="B60" s="78"/>
      <c r="C60" s="78"/>
      <c r="D60" s="79" t="str">
        <f aca="false">IF($AI60="","",INDEX(Accounts!$C$6:$C$55,$AI60)&amp;"")</f>
        <v/>
      </c>
      <c r="E60" s="79" t="str">
        <f aca="false">IF($AI60="","",INDEX(Accounts!$F$6:$F$55,$AI60)&amp;"")</f>
        <v/>
      </c>
      <c r="F60" s="79" t="str">
        <f aca="false">IF($AJ60="","",INDEX(Securities!$B$6:$B$105,$AJ60)&amp;"")</f>
        <v/>
      </c>
      <c r="G60" s="79" t="str">
        <f aca="false">IF($AJ60="","",INDEX(Securities!$F$6:$F$105,$AJ60)&amp;"")</f>
        <v/>
      </c>
      <c r="H60" s="79" t="str">
        <f aca="false">IF($AJ60="","",INDEX(Securities!$E$6:$E$105,$AJ60)&amp;"")</f>
        <v/>
      </c>
      <c r="I60" s="79" t="str">
        <f aca="false">IF($AJ60="","",INDEX(Securities!$H$6:$H$105,$AJ60)&amp;"")</f>
        <v/>
      </c>
      <c r="J60" s="80"/>
      <c r="K60" s="80"/>
      <c r="L60" s="81"/>
      <c r="M60" s="82"/>
      <c r="N60" s="83" t="str">
        <f aca="false">IF(OR($L60="",$M60=""),"",IF(N($L60)=0,"",$M60/$L60))</f>
        <v/>
      </c>
      <c r="O60" s="84" t="str">
        <f aca="false">IF($AJ60="","",IF(INDEX(Securities!$O$6:$O$105,$AJ60)="","",INDEX(Securities!$O$6:$O$105,$AJ60)))</f>
        <v/>
      </c>
      <c r="P60" s="79" t="str">
        <f aca="false">IF($AJ60="","",INDEX(Securities!$N$6:$N$105,$AJ60)&amp;"")</f>
        <v/>
      </c>
      <c r="Q60" s="82"/>
      <c r="R60" s="85" t="str">
        <f aca="false">IF($C60="","",IF($Q60&lt;&gt;"",$Q60,IF($P60="At cost",IF($M60="","",$M60),IF(OR($O60="",$L60=""),"",$L60*$O60))))</f>
        <v/>
      </c>
      <c r="S60" s="85" t="str">
        <f aca="false">IF(OR(NOT(ISNUMBER($R60)),$M60=""),"",$R60-$M60)</f>
        <v/>
      </c>
      <c r="T60" s="86" t="str">
        <f aca="false">IF(OR($S60="",N($M60)=0),"",$S60/$M60)</f>
        <v/>
      </c>
      <c r="U60" s="82"/>
      <c r="V60" s="82"/>
      <c r="W60" s="87"/>
      <c r="X60" s="79" t="str">
        <f aca="false">IF($AJ60="","",INDEX(Securities!$L$6:$L$105,$AJ60)&amp;"")</f>
        <v/>
      </c>
      <c r="Y60" s="87"/>
      <c r="Z60" s="87"/>
      <c r="AA60" s="86" t="str">
        <f aca="false">IF(OR($W60="",$Z60=""),"",$W60-$Z60)</f>
        <v/>
      </c>
      <c r="AB60" s="79" t="str">
        <f aca="false">IF($C60="","",IF($P60="At cost","At cost",IF(NOT(ISNUMBER($J60)),"No date",IF(ValDate-$J60&lt;365,"Absolute",IF($W60="","XIRR missing","XIRR")))))</f>
        <v/>
      </c>
      <c r="AC60" s="86" t="str">
        <f aca="false">IF(NOT(ISNUMBER($R60)),"",IF(SUM($R$6:$R$205)=0,"",$R60/SUM($R$6:$R$205)))</f>
        <v/>
      </c>
      <c r="AD60" s="82"/>
      <c r="AE60" s="80"/>
      <c r="AF60" s="78"/>
      <c r="AG60" s="88" t="str">
        <f aca="false">IF($C60="","",IF(COUNTIFS('Tax Lots'!$B$6:$B$205,$B60,'Tax Lots'!$C$6:$C$205,$C60)=0,"",SUMIFS('Tax Lots'!$P$6:$P$205,'Tax Lots'!$B$6:$B$205,$B60,'Tax Lots'!$C$6:$C$205,$C60)))</f>
        <v/>
      </c>
      <c r="AH60" s="79" t="str">
        <f aca="false">IF($A60&amp;$B60&amp;$C60="","",IF($A60="","Missing ID",IF(COUNTIF($A$6:$A$205,$A60)&gt;1,"Duplicate ID",IF($AI60="","Unknown account",IF($AJ60="","Unknown security",IF(COUNTIFS($B$6:$B$205,$B60,$C$6:$C$205,$C60)&gt;1,"Same security twice in one account",IF(AND(ISNUMBER($J60),ISNUMBER($K60),N($K60)&lt;N($J60)),"Last date before first",IF(NOT(ISNUMBER($R60)),"No market value",IF(OR(N($J60)&gt;ValDate,N($K60)&gt;ValDate),"Date after valuation",IF(AND(ISNUMBER($AG60),ABS(N($L60)-N($AG60))&gt;0.001),"Lot quantity differs",IF(AND(ISNUMBER($AG60),ABS(N($M60)-SUMIFS('Tax Lots'!$Q$6:$Q$205,'Tax Lots'!$B$6:$B$205,$B60,'Tax Lots'!$C$6:$C$205,$C60))&gt;1),"Lot cost differs",IF(AND(ISNUMBER($AG60),ABS(N($V60)-SUMIFS('Tax Lots'!$AA$6:$AA$205,'Tax Lots'!$B$6:$B$205,$B60,'Tax Lots'!$C$6:$C$205,$C60))&gt;1),"Lot realised gain differs","OK"))))))))))))</f>
        <v/>
      </c>
      <c r="AI60" s="89" t="str">
        <f aca="false">IF($B60="","",IFERROR(MATCH($B60,Accounts!$A$6:$A$55,0),""))</f>
        <v/>
      </c>
      <c r="AJ60" s="89" t="str">
        <f aca="false">IF($C60="","",IFERROR(MATCH($C60,Securities!$A$6:$A$105,0),""))</f>
        <v/>
      </c>
      <c r="AK60" s="89" t="str">
        <f aca="false">IF($AI60="","",INDEX(Accounts!$B$6:$B$55,$AI60)&amp;"")</f>
        <v/>
      </c>
      <c r="AL60" s="89" t="str">
        <f aca="false">IF(OR($C60="",$I60="",NOT(ISNUMBER($R60))),"",$I60&amp;"|"&amp;(SUMPRODUCT(($I$6:$I$205=$I60)*ISNUMBER($R$6:$R$205)*($R$6:$R$205&gt;$R60))+SUMPRODUCT(($I$6:$I60=$I60)*ISNUMBER($R$6:$R60)*($R$6:$R60=$R60))))</f>
        <v/>
      </c>
      <c r="AM60" s="89" t="n">
        <f aca="false">IF(AND(ISNUMBER($R60),$W60&lt;&gt;"",$Z60&lt;&gt;"",$AB60="XIRR"),$R60*$W60,0)</f>
        <v>0</v>
      </c>
      <c r="AN60" s="89" t="n">
        <f aca="false">IF(AND(ISNUMBER($R60),$W60&lt;&gt;"",$Z60&lt;&gt;"",$AB60="XIRR"),$R60,0)</f>
        <v>0</v>
      </c>
      <c r="AO60" s="89" t="n">
        <f aca="false">IF(AND(ISNUMBER($R60),$W60&lt;&gt;"",$Z60&lt;&gt;"",$AB60="XIRR"),$R60*$Z60,0)</f>
        <v>0</v>
      </c>
      <c r="AP60" s="89" t="n">
        <f aca="false">IF(AND(ISNUMBER($M60),$Y60&lt;&gt;"",ISNUMBER($T60)),$M60*$Y60,0)</f>
        <v>0</v>
      </c>
      <c r="AQ60" s="89" t="n">
        <f aca="false">IF(AND(ISNUMBER($M60),$Y60&lt;&gt;"",ISNUMBER($T60)),$M60,0)</f>
        <v>0</v>
      </c>
    </row>
    <row r="61" customFormat="false" ht="15" hidden="false" customHeight="false" outlineLevel="0" collapsed="false">
      <c r="A61" s="77"/>
      <c r="B61" s="78"/>
      <c r="C61" s="78"/>
      <c r="D61" s="79" t="str">
        <f aca="false">IF($AI61="","",INDEX(Accounts!$C$6:$C$55,$AI61)&amp;"")</f>
        <v/>
      </c>
      <c r="E61" s="79" t="str">
        <f aca="false">IF($AI61="","",INDEX(Accounts!$F$6:$F$55,$AI61)&amp;"")</f>
        <v/>
      </c>
      <c r="F61" s="79" t="str">
        <f aca="false">IF($AJ61="","",INDEX(Securities!$B$6:$B$105,$AJ61)&amp;"")</f>
        <v/>
      </c>
      <c r="G61" s="79" t="str">
        <f aca="false">IF($AJ61="","",INDEX(Securities!$F$6:$F$105,$AJ61)&amp;"")</f>
        <v/>
      </c>
      <c r="H61" s="79" t="str">
        <f aca="false">IF($AJ61="","",INDEX(Securities!$E$6:$E$105,$AJ61)&amp;"")</f>
        <v/>
      </c>
      <c r="I61" s="79" t="str">
        <f aca="false">IF($AJ61="","",INDEX(Securities!$H$6:$H$105,$AJ61)&amp;"")</f>
        <v/>
      </c>
      <c r="J61" s="80"/>
      <c r="K61" s="80"/>
      <c r="L61" s="81"/>
      <c r="M61" s="82"/>
      <c r="N61" s="83" t="str">
        <f aca="false">IF(OR($L61="",$M61=""),"",IF(N($L61)=0,"",$M61/$L61))</f>
        <v/>
      </c>
      <c r="O61" s="84" t="str">
        <f aca="false">IF($AJ61="","",IF(INDEX(Securities!$O$6:$O$105,$AJ61)="","",INDEX(Securities!$O$6:$O$105,$AJ61)))</f>
        <v/>
      </c>
      <c r="P61" s="79" t="str">
        <f aca="false">IF($AJ61="","",INDEX(Securities!$N$6:$N$105,$AJ61)&amp;"")</f>
        <v/>
      </c>
      <c r="Q61" s="82"/>
      <c r="R61" s="85" t="str">
        <f aca="false">IF($C61="","",IF($Q61&lt;&gt;"",$Q61,IF($P61="At cost",IF($M61="","",$M61),IF(OR($O61="",$L61=""),"",$L61*$O61))))</f>
        <v/>
      </c>
      <c r="S61" s="85" t="str">
        <f aca="false">IF(OR(NOT(ISNUMBER($R61)),$M61=""),"",$R61-$M61)</f>
        <v/>
      </c>
      <c r="T61" s="86" t="str">
        <f aca="false">IF(OR($S61="",N($M61)=0),"",$S61/$M61)</f>
        <v/>
      </c>
      <c r="U61" s="82"/>
      <c r="V61" s="82"/>
      <c r="W61" s="87"/>
      <c r="X61" s="79" t="str">
        <f aca="false">IF($AJ61="","",INDEX(Securities!$L$6:$L$105,$AJ61)&amp;"")</f>
        <v/>
      </c>
      <c r="Y61" s="87"/>
      <c r="Z61" s="87"/>
      <c r="AA61" s="86" t="str">
        <f aca="false">IF(OR($W61="",$Z61=""),"",$W61-$Z61)</f>
        <v/>
      </c>
      <c r="AB61" s="79" t="str">
        <f aca="false">IF($C61="","",IF($P61="At cost","At cost",IF(NOT(ISNUMBER($J61)),"No date",IF(ValDate-$J61&lt;365,"Absolute",IF($W61="","XIRR missing","XIRR")))))</f>
        <v/>
      </c>
      <c r="AC61" s="86" t="str">
        <f aca="false">IF(NOT(ISNUMBER($R61)),"",IF(SUM($R$6:$R$205)=0,"",$R61/SUM($R$6:$R$205)))</f>
        <v/>
      </c>
      <c r="AD61" s="82"/>
      <c r="AE61" s="80"/>
      <c r="AF61" s="78"/>
      <c r="AG61" s="88" t="str">
        <f aca="false">IF($C61="","",IF(COUNTIFS('Tax Lots'!$B$6:$B$205,$B61,'Tax Lots'!$C$6:$C$205,$C61)=0,"",SUMIFS('Tax Lots'!$P$6:$P$205,'Tax Lots'!$B$6:$B$205,$B61,'Tax Lots'!$C$6:$C$205,$C61)))</f>
        <v/>
      </c>
      <c r="AH61" s="79" t="str">
        <f aca="false">IF($A61&amp;$B61&amp;$C61="","",IF($A61="","Missing ID",IF(COUNTIF($A$6:$A$205,$A61)&gt;1,"Duplicate ID",IF($AI61="","Unknown account",IF($AJ61="","Unknown security",IF(COUNTIFS($B$6:$B$205,$B61,$C$6:$C$205,$C61)&gt;1,"Same security twice in one account",IF(AND(ISNUMBER($J61),ISNUMBER($K61),N($K61)&lt;N($J61)),"Last date before first",IF(NOT(ISNUMBER($R61)),"No market value",IF(OR(N($J61)&gt;ValDate,N($K61)&gt;ValDate),"Date after valuation",IF(AND(ISNUMBER($AG61),ABS(N($L61)-N($AG61))&gt;0.001),"Lot quantity differs",IF(AND(ISNUMBER($AG61),ABS(N($M61)-SUMIFS('Tax Lots'!$Q$6:$Q$205,'Tax Lots'!$B$6:$B$205,$B61,'Tax Lots'!$C$6:$C$205,$C61))&gt;1),"Lot cost differs",IF(AND(ISNUMBER($AG61),ABS(N($V61)-SUMIFS('Tax Lots'!$AA$6:$AA$205,'Tax Lots'!$B$6:$B$205,$B61,'Tax Lots'!$C$6:$C$205,$C61))&gt;1),"Lot realised gain differs","OK"))))))))))))</f>
        <v/>
      </c>
      <c r="AI61" s="89" t="str">
        <f aca="false">IF($B61="","",IFERROR(MATCH($B61,Accounts!$A$6:$A$55,0),""))</f>
        <v/>
      </c>
      <c r="AJ61" s="89" t="str">
        <f aca="false">IF($C61="","",IFERROR(MATCH($C61,Securities!$A$6:$A$105,0),""))</f>
        <v/>
      </c>
      <c r="AK61" s="89" t="str">
        <f aca="false">IF($AI61="","",INDEX(Accounts!$B$6:$B$55,$AI61)&amp;"")</f>
        <v/>
      </c>
      <c r="AL61" s="89" t="str">
        <f aca="false">IF(OR($C61="",$I61="",NOT(ISNUMBER($R61))),"",$I61&amp;"|"&amp;(SUMPRODUCT(($I$6:$I$205=$I61)*ISNUMBER($R$6:$R$205)*($R$6:$R$205&gt;$R61))+SUMPRODUCT(($I$6:$I61=$I61)*ISNUMBER($R$6:$R61)*($R$6:$R61=$R61))))</f>
        <v/>
      </c>
      <c r="AM61" s="89" t="n">
        <f aca="false">IF(AND(ISNUMBER($R61),$W61&lt;&gt;"",$Z61&lt;&gt;"",$AB61="XIRR"),$R61*$W61,0)</f>
        <v>0</v>
      </c>
      <c r="AN61" s="89" t="n">
        <f aca="false">IF(AND(ISNUMBER($R61),$W61&lt;&gt;"",$Z61&lt;&gt;"",$AB61="XIRR"),$R61,0)</f>
        <v>0</v>
      </c>
      <c r="AO61" s="89" t="n">
        <f aca="false">IF(AND(ISNUMBER($R61),$W61&lt;&gt;"",$Z61&lt;&gt;"",$AB61="XIRR"),$R61*$Z61,0)</f>
        <v>0</v>
      </c>
      <c r="AP61" s="89" t="n">
        <f aca="false">IF(AND(ISNUMBER($M61),$Y61&lt;&gt;"",ISNUMBER($T61)),$M61*$Y61,0)</f>
        <v>0</v>
      </c>
      <c r="AQ61" s="89" t="n">
        <f aca="false">IF(AND(ISNUMBER($M61),$Y61&lt;&gt;"",ISNUMBER($T61)),$M61,0)</f>
        <v>0</v>
      </c>
    </row>
    <row r="62" customFormat="false" ht="15" hidden="false" customHeight="false" outlineLevel="0" collapsed="false">
      <c r="A62" s="77"/>
      <c r="B62" s="78"/>
      <c r="C62" s="78"/>
      <c r="D62" s="79" t="str">
        <f aca="false">IF($AI62="","",INDEX(Accounts!$C$6:$C$55,$AI62)&amp;"")</f>
        <v/>
      </c>
      <c r="E62" s="79" t="str">
        <f aca="false">IF($AI62="","",INDEX(Accounts!$F$6:$F$55,$AI62)&amp;"")</f>
        <v/>
      </c>
      <c r="F62" s="79" t="str">
        <f aca="false">IF($AJ62="","",INDEX(Securities!$B$6:$B$105,$AJ62)&amp;"")</f>
        <v/>
      </c>
      <c r="G62" s="79" t="str">
        <f aca="false">IF($AJ62="","",INDEX(Securities!$F$6:$F$105,$AJ62)&amp;"")</f>
        <v/>
      </c>
      <c r="H62" s="79" t="str">
        <f aca="false">IF($AJ62="","",INDEX(Securities!$E$6:$E$105,$AJ62)&amp;"")</f>
        <v/>
      </c>
      <c r="I62" s="79" t="str">
        <f aca="false">IF($AJ62="","",INDEX(Securities!$H$6:$H$105,$AJ62)&amp;"")</f>
        <v/>
      </c>
      <c r="J62" s="80"/>
      <c r="K62" s="80"/>
      <c r="L62" s="81"/>
      <c r="M62" s="82"/>
      <c r="N62" s="83" t="str">
        <f aca="false">IF(OR($L62="",$M62=""),"",IF(N($L62)=0,"",$M62/$L62))</f>
        <v/>
      </c>
      <c r="O62" s="84" t="str">
        <f aca="false">IF($AJ62="","",IF(INDEX(Securities!$O$6:$O$105,$AJ62)="","",INDEX(Securities!$O$6:$O$105,$AJ62)))</f>
        <v/>
      </c>
      <c r="P62" s="79" t="str">
        <f aca="false">IF($AJ62="","",INDEX(Securities!$N$6:$N$105,$AJ62)&amp;"")</f>
        <v/>
      </c>
      <c r="Q62" s="82"/>
      <c r="R62" s="85" t="str">
        <f aca="false">IF($C62="","",IF($Q62&lt;&gt;"",$Q62,IF($P62="At cost",IF($M62="","",$M62),IF(OR($O62="",$L62=""),"",$L62*$O62))))</f>
        <v/>
      </c>
      <c r="S62" s="85" t="str">
        <f aca="false">IF(OR(NOT(ISNUMBER($R62)),$M62=""),"",$R62-$M62)</f>
        <v/>
      </c>
      <c r="T62" s="86" t="str">
        <f aca="false">IF(OR($S62="",N($M62)=0),"",$S62/$M62)</f>
        <v/>
      </c>
      <c r="U62" s="82"/>
      <c r="V62" s="82"/>
      <c r="W62" s="87"/>
      <c r="X62" s="79" t="str">
        <f aca="false">IF($AJ62="","",INDEX(Securities!$L$6:$L$105,$AJ62)&amp;"")</f>
        <v/>
      </c>
      <c r="Y62" s="87"/>
      <c r="Z62" s="87"/>
      <c r="AA62" s="86" t="str">
        <f aca="false">IF(OR($W62="",$Z62=""),"",$W62-$Z62)</f>
        <v/>
      </c>
      <c r="AB62" s="79" t="str">
        <f aca="false">IF($C62="","",IF($P62="At cost","At cost",IF(NOT(ISNUMBER($J62)),"No date",IF(ValDate-$J62&lt;365,"Absolute",IF($W62="","XIRR missing","XIRR")))))</f>
        <v/>
      </c>
      <c r="AC62" s="86" t="str">
        <f aca="false">IF(NOT(ISNUMBER($R62)),"",IF(SUM($R$6:$R$205)=0,"",$R62/SUM($R$6:$R$205)))</f>
        <v/>
      </c>
      <c r="AD62" s="82"/>
      <c r="AE62" s="80"/>
      <c r="AF62" s="78"/>
      <c r="AG62" s="88" t="str">
        <f aca="false">IF($C62="","",IF(COUNTIFS('Tax Lots'!$B$6:$B$205,$B62,'Tax Lots'!$C$6:$C$205,$C62)=0,"",SUMIFS('Tax Lots'!$P$6:$P$205,'Tax Lots'!$B$6:$B$205,$B62,'Tax Lots'!$C$6:$C$205,$C62)))</f>
        <v/>
      </c>
      <c r="AH62" s="79" t="str">
        <f aca="false">IF($A62&amp;$B62&amp;$C62="","",IF($A62="","Missing ID",IF(COUNTIF($A$6:$A$205,$A62)&gt;1,"Duplicate ID",IF($AI62="","Unknown account",IF($AJ62="","Unknown security",IF(COUNTIFS($B$6:$B$205,$B62,$C$6:$C$205,$C62)&gt;1,"Same security twice in one account",IF(AND(ISNUMBER($J62),ISNUMBER($K62),N($K62)&lt;N($J62)),"Last date before first",IF(NOT(ISNUMBER($R62)),"No market value",IF(OR(N($J62)&gt;ValDate,N($K62)&gt;ValDate),"Date after valuation",IF(AND(ISNUMBER($AG62),ABS(N($L62)-N($AG62))&gt;0.001),"Lot quantity differs",IF(AND(ISNUMBER($AG62),ABS(N($M62)-SUMIFS('Tax Lots'!$Q$6:$Q$205,'Tax Lots'!$B$6:$B$205,$B62,'Tax Lots'!$C$6:$C$205,$C62))&gt;1),"Lot cost differs",IF(AND(ISNUMBER($AG62),ABS(N($V62)-SUMIFS('Tax Lots'!$AA$6:$AA$205,'Tax Lots'!$B$6:$B$205,$B62,'Tax Lots'!$C$6:$C$205,$C62))&gt;1),"Lot realised gain differs","OK"))))))))))))</f>
        <v/>
      </c>
      <c r="AI62" s="89" t="str">
        <f aca="false">IF($B62="","",IFERROR(MATCH($B62,Accounts!$A$6:$A$55,0),""))</f>
        <v/>
      </c>
      <c r="AJ62" s="89" t="str">
        <f aca="false">IF($C62="","",IFERROR(MATCH($C62,Securities!$A$6:$A$105,0),""))</f>
        <v/>
      </c>
      <c r="AK62" s="89" t="str">
        <f aca="false">IF($AI62="","",INDEX(Accounts!$B$6:$B$55,$AI62)&amp;"")</f>
        <v/>
      </c>
      <c r="AL62" s="89" t="str">
        <f aca="false">IF(OR($C62="",$I62="",NOT(ISNUMBER($R62))),"",$I62&amp;"|"&amp;(SUMPRODUCT(($I$6:$I$205=$I62)*ISNUMBER($R$6:$R$205)*($R$6:$R$205&gt;$R62))+SUMPRODUCT(($I$6:$I62=$I62)*ISNUMBER($R$6:$R62)*($R$6:$R62=$R62))))</f>
        <v/>
      </c>
      <c r="AM62" s="89" t="n">
        <f aca="false">IF(AND(ISNUMBER($R62),$W62&lt;&gt;"",$Z62&lt;&gt;"",$AB62="XIRR"),$R62*$W62,0)</f>
        <v>0</v>
      </c>
      <c r="AN62" s="89" t="n">
        <f aca="false">IF(AND(ISNUMBER($R62),$W62&lt;&gt;"",$Z62&lt;&gt;"",$AB62="XIRR"),$R62,0)</f>
        <v>0</v>
      </c>
      <c r="AO62" s="89" t="n">
        <f aca="false">IF(AND(ISNUMBER($R62),$W62&lt;&gt;"",$Z62&lt;&gt;"",$AB62="XIRR"),$R62*$Z62,0)</f>
        <v>0</v>
      </c>
      <c r="AP62" s="89" t="n">
        <f aca="false">IF(AND(ISNUMBER($M62),$Y62&lt;&gt;"",ISNUMBER($T62)),$M62*$Y62,0)</f>
        <v>0</v>
      </c>
      <c r="AQ62" s="89" t="n">
        <f aca="false">IF(AND(ISNUMBER($M62),$Y62&lt;&gt;"",ISNUMBER($T62)),$M62,0)</f>
        <v>0</v>
      </c>
    </row>
    <row r="63" customFormat="false" ht="15" hidden="false" customHeight="false" outlineLevel="0" collapsed="false">
      <c r="A63" s="77"/>
      <c r="B63" s="78"/>
      <c r="C63" s="78"/>
      <c r="D63" s="79" t="str">
        <f aca="false">IF($AI63="","",INDEX(Accounts!$C$6:$C$55,$AI63)&amp;"")</f>
        <v/>
      </c>
      <c r="E63" s="79" t="str">
        <f aca="false">IF($AI63="","",INDEX(Accounts!$F$6:$F$55,$AI63)&amp;"")</f>
        <v/>
      </c>
      <c r="F63" s="79" t="str">
        <f aca="false">IF($AJ63="","",INDEX(Securities!$B$6:$B$105,$AJ63)&amp;"")</f>
        <v/>
      </c>
      <c r="G63" s="79" t="str">
        <f aca="false">IF($AJ63="","",INDEX(Securities!$F$6:$F$105,$AJ63)&amp;"")</f>
        <v/>
      </c>
      <c r="H63" s="79" t="str">
        <f aca="false">IF($AJ63="","",INDEX(Securities!$E$6:$E$105,$AJ63)&amp;"")</f>
        <v/>
      </c>
      <c r="I63" s="79" t="str">
        <f aca="false">IF($AJ63="","",INDEX(Securities!$H$6:$H$105,$AJ63)&amp;"")</f>
        <v/>
      </c>
      <c r="J63" s="80"/>
      <c r="K63" s="80"/>
      <c r="L63" s="81"/>
      <c r="M63" s="82"/>
      <c r="N63" s="83" t="str">
        <f aca="false">IF(OR($L63="",$M63=""),"",IF(N($L63)=0,"",$M63/$L63))</f>
        <v/>
      </c>
      <c r="O63" s="84" t="str">
        <f aca="false">IF($AJ63="","",IF(INDEX(Securities!$O$6:$O$105,$AJ63)="","",INDEX(Securities!$O$6:$O$105,$AJ63)))</f>
        <v/>
      </c>
      <c r="P63" s="79" t="str">
        <f aca="false">IF($AJ63="","",INDEX(Securities!$N$6:$N$105,$AJ63)&amp;"")</f>
        <v/>
      </c>
      <c r="Q63" s="82"/>
      <c r="R63" s="85" t="str">
        <f aca="false">IF($C63="","",IF($Q63&lt;&gt;"",$Q63,IF($P63="At cost",IF($M63="","",$M63),IF(OR($O63="",$L63=""),"",$L63*$O63))))</f>
        <v/>
      </c>
      <c r="S63" s="85" t="str">
        <f aca="false">IF(OR(NOT(ISNUMBER($R63)),$M63=""),"",$R63-$M63)</f>
        <v/>
      </c>
      <c r="T63" s="86" t="str">
        <f aca="false">IF(OR($S63="",N($M63)=0),"",$S63/$M63)</f>
        <v/>
      </c>
      <c r="U63" s="82"/>
      <c r="V63" s="82"/>
      <c r="W63" s="87"/>
      <c r="X63" s="79" t="str">
        <f aca="false">IF($AJ63="","",INDEX(Securities!$L$6:$L$105,$AJ63)&amp;"")</f>
        <v/>
      </c>
      <c r="Y63" s="87"/>
      <c r="Z63" s="87"/>
      <c r="AA63" s="86" t="str">
        <f aca="false">IF(OR($W63="",$Z63=""),"",$W63-$Z63)</f>
        <v/>
      </c>
      <c r="AB63" s="79" t="str">
        <f aca="false">IF($C63="","",IF($P63="At cost","At cost",IF(NOT(ISNUMBER($J63)),"No date",IF(ValDate-$J63&lt;365,"Absolute",IF($W63="","XIRR missing","XIRR")))))</f>
        <v/>
      </c>
      <c r="AC63" s="86" t="str">
        <f aca="false">IF(NOT(ISNUMBER($R63)),"",IF(SUM($R$6:$R$205)=0,"",$R63/SUM($R$6:$R$205)))</f>
        <v/>
      </c>
      <c r="AD63" s="82"/>
      <c r="AE63" s="80"/>
      <c r="AF63" s="78"/>
      <c r="AG63" s="88" t="str">
        <f aca="false">IF($C63="","",IF(COUNTIFS('Tax Lots'!$B$6:$B$205,$B63,'Tax Lots'!$C$6:$C$205,$C63)=0,"",SUMIFS('Tax Lots'!$P$6:$P$205,'Tax Lots'!$B$6:$B$205,$B63,'Tax Lots'!$C$6:$C$205,$C63)))</f>
        <v/>
      </c>
      <c r="AH63" s="79" t="str">
        <f aca="false">IF($A63&amp;$B63&amp;$C63="","",IF($A63="","Missing ID",IF(COUNTIF($A$6:$A$205,$A63)&gt;1,"Duplicate ID",IF($AI63="","Unknown account",IF($AJ63="","Unknown security",IF(COUNTIFS($B$6:$B$205,$B63,$C$6:$C$205,$C63)&gt;1,"Same security twice in one account",IF(AND(ISNUMBER($J63),ISNUMBER($K63),N($K63)&lt;N($J63)),"Last date before first",IF(NOT(ISNUMBER($R63)),"No market value",IF(OR(N($J63)&gt;ValDate,N($K63)&gt;ValDate),"Date after valuation",IF(AND(ISNUMBER($AG63),ABS(N($L63)-N($AG63))&gt;0.001),"Lot quantity differs",IF(AND(ISNUMBER($AG63),ABS(N($M63)-SUMIFS('Tax Lots'!$Q$6:$Q$205,'Tax Lots'!$B$6:$B$205,$B63,'Tax Lots'!$C$6:$C$205,$C63))&gt;1),"Lot cost differs",IF(AND(ISNUMBER($AG63),ABS(N($V63)-SUMIFS('Tax Lots'!$AA$6:$AA$205,'Tax Lots'!$B$6:$B$205,$B63,'Tax Lots'!$C$6:$C$205,$C63))&gt;1),"Lot realised gain differs","OK"))))))))))))</f>
        <v/>
      </c>
      <c r="AI63" s="89" t="str">
        <f aca="false">IF($B63="","",IFERROR(MATCH($B63,Accounts!$A$6:$A$55,0),""))</f>
        <v/>
      </c>
      <c r="AJ63" s="89" t="str">
        <f aca="false">IF($C63="","",IFERROR(MATCH($C63,Securities!$A$6:$A$105,0),""))</f>
        <v/>
      </c>
      <c r="AK63" s="89" t="str">
        <f aca="false">IF($AI63="","",INDEX(Accounts!$B$6:$B$55,$AI63)&amp;"")</f>
        <v/>
      </c>
      <c r="AL63" s="89" t="str">
        <f aca="false">IF(OR($C63="",$I63="",NOT(ISNUMBER($R63))),"",$I63&amp;"|"&amp;(SUMPRODUCT(($I$6:$I$205=$I63)*ISNUMBER($R$6:$R$205)*($R$6:$R$205&gt;$R63))+SUMPRODUCT(($I$6:$I63=$I63)*ISNUMBER($R$6:$R63)*($R$6:$R63=$R63))))</f>
        <v/>
      </c>
      <c r="AM63" s="89" t="n">
        <f aca="false">IF(AND(ISNUMBER($R63),$W63&lt;&gt;"",$Z63&lt;&gt;"",$AB63="XIRR"),$R63*$W63,0)</f>
        <v>0</v>
      </c>
      <c r="AN63" s="89" t="n">
        <f aca="false">IF(AND(ISNUMBER($R63),$W63&lt;&gt;"",$Z63&lt;&gt;"",$AB63="XIRR"),$R63,0)</f>
        <v>0</v>
      </c>
      <c r="AO63" s="89" t="n">
        <f aca="false">IF(AND(ISNUMBER($R63),$W63&lt;&gt;"",$Z63&lt;&gt;"",$AB63="XIRR"),$R63*$Z63,0)</f>
        <v>0</v>
      </c>
      <c r="AP63" s="89" t="n">
        <f aca="false">IF(AND(ISNUMBER($M63),$Y63&lt;&gt;"",ISNUMBER($T63)),$M63*$Y63,0)</f>
        <v>0</v>
      </c>
      <c r="AQ63" s="89" t="n">
        <f aca="false">IF(AND(ISNUMBER($M63),$Y63&lt;&gt;"",ISNUMBER($T63)),$M63,0)</f>
        <v>0</v>
      </c>
    </row>
    <row r="64" customFormat="false" ht="15" hidden="false" customHeight="false" outlineLevel="0" collapsed="false">
      <c r="A64" s="77"/>
      <c r="B64" s="78"/>
      <c r="C64" s="78"/>
      <c r="D64" s="79" t="str">
        <f aca="false">IF($AI64="","",INDEX(Accounts!$C$6:$C$55,$AI64)&amp;"")</f>
        <v/>
      </c>
      <c r="E64" s="79" t="str">
        <f aca="false">IF($AI64="","",INDEX(Accounts!$F$6:$F$55,$AI64)&amp;"")</f>
        <v/>
      </c>
      <c r="F64" s="79" t="str">
        <f aca="false">IF($AJ64="","",INDEX(Securities!$B$6:$B$105,$AJ64)&amp;"")</f>
        <v/>
      </c>
      <c r="G64" s="79" t="str">
        <f aca="false">IF($AJ64="","",INDEX(Securities!$F$6:$F$105,$AJ64)&amp;"")</f>
        <v/>
      </c>
      <c r="H64" s="79" t="str">
        <f aca="false">IF($AJ64="","",INDEX(Securities!$E$6:$E$105,$AJ64)&amp;"")</f>
        <v/>
      </c>
      <c r="I64" s="79" t="str">
        <f aca="false">IF($AJ64="","",INDEX(Securities!$H$6:$H$105,$AJ64)&amp;"")</f>
        <v/>
      </c>
      <c r="J64" s="80"/>
      <c r="K64" s="80"/>
      <c r="L64" s="81"/>
      <c r="M64" s="82"/>
      <c r="N64" s="83" t="str">
        <f aca="false">IF(OR($L64="",$M64=""),"",IF(N($L64)=0,"",$M64/$L64))</f>
        <v/>
      </c>
      <c r="O64" s="84" t="str">
        <f aca="false">IF($AJ64="","",IF(INDEX(Securities!$O$6:$O$105,$AJ64)="","",INDEX(Securities!$O$6:$O$105,$AJ64)))</f>
        <v/>
      </c>
      <c r="P64" s="79" t="str">
        <f aca="false">IF($AJ64="","",INDEX(Securities!$N$6:$N$105,$AJ64)&amp;"")</f>
        <v/>
      </c>
      <c r="Q64" s="82"/>
      <c r="R64" s="85" t="str">
        <f aca="false">IF($C64="","",IF($Q64&lt;&gt;"",$Q64,IF($P64="At cost",IF($M64="","",$M64),IF(OR($O64="",$L64=""),"",$L64*$O64))))</f>
        <v/>
      </c>
      <c r="S64" s="85" t="str">
        <f aca="false">IF(OR(NOT(ISNUMBER($R64)),$M64=""),"",$R64-$M64)</f>
        <v/>
      </c>
      <c r="T64" s="86" t="str">
        <f aca="false">IF(OR($S64="",N($M64)=0),"",$S64/$M64)</f>
        <v/>
      </c>
      <c r="U64" s="82"/>
      <c r="V64" s="82"/>
      <c r="W64" s="87"/>
      <c r="X64" s="79" t="str">
        <f aca="false">IF($AJ64="","",INDEX(Securities!$L$6:$L$105,$AJ64)&amp;"")</f>
        <v/>
      </c>
      <c r="Y64" s="87"/>
      <c r="Z64" s="87"/>
      <c r="AA64" s="86" t="str">
        <f aca="false">IF(OR($W64="",$Z64=""),"",$W64-$Z64)</f>
        <v/>
      </c>
      <c r="AB64" s="79" t="str">
        <f aca="false">IF($C64="","",IF($P64="At cost","At cost",IF(NOT(ISNUMBER($J64)),"No date",IF(ValDate-$J64&lt;365,"Absolute",IF($W64="","XIRR missing","XIRR")))))</f>
        <v/>
      </c>
      <c r="AC64" s="86" t="str">
        <f aca="false">IF(NOT(ISNUMBER($R64)),"",IF(SUM($R$6:$R$205)=0,"",$R64/SUM($R$6:$R$205)))</f>
        <v/>
      </c>
      <c r="AD64" s="82"/>
      <c r="AE64" s="80"/>
      <c r="AF64" s="78"/>
      <c r="AG64" s="88" t="str">
        <f aca="false">IF($C64="","",IF(COUNTIFS('Tax Lots'!$B$6:$B$205,$B64,'Tax Lots'!$C$6:$C$205,$C64)=0,"",SUMIFS('Tax Lots'!$P$6:$P$205,'Tax Lots'!$B$6:$B$205,$B64,'Tax Lots'!$C$6:$C$205,$C64)))</f>
        <v/>
      </c>
      <c r="AH64" s="79" t="str">
        <f aca="false">IF($A64&amp;$B64&amp;$C64="","",IF($A64="","Missing ID",IF(COUNTIF($A$6:$A$205,$A64)&gt;1,"Duplicate ID",IF($AI64="","Unknown account",IF($AJ64="","Unknown security",IF(COUNTIFS($B$6:$B$205,$B64,$C$6:$C$205,$C64)&gt;1,"Same security twice in one account",IF(AND(ISNUMBER($J64),ISNUMBER($K64),N($K64)&lt;N($J64)),"Last date before first",IF(NOT(ISNUMBER($R64)),"No market value",IF(OR(N($J64)&gt;ValDate,N($K64)&gt;ValDate),"Date after valuation",IF(AND(ISNUMBER($AG64),ABS(N($L64)-N($AG64))&gt;0.001),"Lot quantity differs",IF(AND(ISNUMBER($AG64),ABS(N($M64)-SUMIFS('Tax Lots'!$Q$6:$Q$205,'Tax Lots'!$B$6:$B$205,$B64,'Tax Lots'!$C$6:$C$205,$C64))&gt;1),"Lot cost differs",IF(AND(ISNUMBER($AG64),ABS(N($V64)-SUMIFS('Tax Lots'!$AA$6:$AA$205,'Tax Lots'!$B$6:$B$205,$B64,'Tax Lots'!$C$6:$C$205,$C64))&gt;1),"Lot realised gain differs","OK"))))))))))))</f>
        <v/>
      </c>
      <c r="AI64" s="89" t="str">
        <f aca="false">IF($B64="","",IFERROR(MATCH($B64,Accounts!$A$6:$A$55,0),""))</f>
        <v/>
      </c>
      <c r="AJ64" s="89" t="str">
        <f aca="false">IF($C64="","",IFERROR(MATCH($C64,Securities!$A$6:$A$105,0),""))</f>
        <v/>
      </c>
      <c r="AK64" s="89" t="str">
        <f aca="false">IF($AI64="","",INDEX(Accounts!$B$6:$B$55,$AI64)&amp;"")</f>
        <v/>
      </c>
      <c r="AL64" s="89" t="str">
        <f aca="false">IF(OR($C64="",$I64="",NOT(ISNUMBER($R64))),"",$I64&amp;"|"&amp;(SUMPRODUCT(($I$6:$I$205=$I64)*ISNUMBER($R$6:$R$205)*($R$6:$R$205&gt;$R64))+SUMPRODUCT(($I$6:$I64=$I64)*ISNUMBER($R$6:$R64)*($R$6:$R64=$R64))))</f>
        <v/>
      </c>
      <c r="AM64" s="89" t="n">
        <f aca="false">IF(AND(ISNUMBER($R64),$W64&lt;&gt;"",$Z64&lt;&gt;"",$AB64="XIRR"),$R64*$W64,0)</f>
        <v>0</v>
      </c>
      <c r="AN64" s="89" t="n">
        <f aca="false">IF(AND(ISNUMBER($R64),$W64&lt;&gt;"",$Z64&lt;&gt;"",$AB64="XIRR"),$R64,0)</f>
        <v>0</v>
      </c>
      <c r="AO64" s="89" t="n">
        <f aca="false">IF(AND(ISNUMBER($R64),$W64&lt;&gt;"",$Z64&lt;&gt;"",$AB64="XIRR"),$R64*$Z64,0)</f>
        <v>0</v>
      </c>
      <c r="AP64" s="89" t="n">
        <f aca="false">IF(AND(ISNUMBER($M64),$Y64&lt;&gt;"",ISNUMBER($T64)),$M64*$Y64,0)</f>
        <v>0</v>
      </c>
      <c r="AQ64" s="89" t="n">
        <f aca="false">IF(AND(ISNUMBER($M64),$Y64&lt;&gt;"",ISNUMBER($T64)),$M64,0)</f>
        <v>0</v>
      </c>
    </row>
    <row r="65" customFormat="false" ht="15" hidden="false" customHeight="false" outlineLevel="0" collapsed="false">
      <c r="A65" s="77"/>
      <c r="B65" s="78"/>
      <c r="C65" s="78"/>
      <c r="D65" s="79" t="str">
        <f aca="false">IF($AI65="","",INDEX(Accounts!$C$6:$C$55,$AI65)&amp;"")</f>
        <v/>
      </c>
      <c r="E65" s="79" t="str">
        <f aca="false">IF($AI65="","",INDEX(Accounts!$F$6:$F$55,$AI65)&amp;"")</f>
        <v/>
      </c>
      <c r="F65" s="79" t="str">
        <f aca="false">IF($AJ65="","",INDEX(Securities!$B$6:$B$105,$AJ65)&amp;"")</f>
        <v/>
      </c>
      <c r="G65" s="79" t="str">
        <f aca="false">IF($AJ65="","",INDEX(Securities!$F$6:$F$105,$AJ65)&amp;"")</f>
        <v/>
      </c>
      <c r="H65" s="79" t="str">
        <f aca="false">IF($AJ65="","",INDEX(Securities!$E$6:$E$105,$AJ65)&amp;"")</f>
        <v/>
      </c>
      <c r="I65" s="79" t="str">
        <f aca="false">IF($AJ65="","",INDEX(Securities!$H$6:$H$105,$AJ65)&amp;"")</f>
        <v/>
      </c>
      <c r="J65" s="80"/>
      <c r="K65" s="80"/>
      <c r="L65" s="81"/>
      <c r="M65" s="82"/>
      <c r="N65" s="83" t="str">
        <f aca="false">IF(OR($L65="",$M65=""),"",IF(N($L65)=0,"",$M65/$L65))</f>
        <v/>
      </c>
      <c r="O65" s="84" t="str">
        <f aca="false">IF($AJ65="","",IF(INDEX(Securities!$O$6:$O$105,$AJ65)="","",INDEX(Securities!$O$6:$O$105,$AJ65)))</f>
        <v/>
      </c>
      <c r="P65" s="79" t="str">
        <f aca="false">IF($AJ65="","",INDEX(Securities!$N$6:$N$105,$AJ65)&amp;"")</f>
        <v/>
      </c>
      <c r="Q65" s="82"/>
      <c r="R65" s="85" t="str">
        <f aca="false">IF($C65="","",IF($Q65&lt;&gt;"",$Q65,IF($P65="At cost",IF($M65="","",$M65),IF(OR($O65="",$L65=""),"",$L65*$O65))))</f>
        <v/>
      </c>
      <c r="S65" s="85" t="str">
        <f aca="false">IF(OR(NOT(ISNUMBER($R65)),$M65=""),"",$R65-$M65)</f>
        <v/>
      </c>
      <c r="T65" s="86" t="str">
        <f aca="false">IF(OR($S65="",N($M65)=0),"",$S65/$M65)</f>
        <v/>
      </c>
      <c r="U65" s="82"/>
      <c r="V65" s="82"/>
      <c r="W65" s="87"/>
      <c r="X65" s="79" t="str">
        <f aca="false">IF($AJ65="","",INDEX(Securities!$L$6:$L$105,$AJ65)&amp;"")</f>
        <v/>
      </c>
      <c r="Y65" s="87"/>
      <c r="Z65" s="87"/>
      <c r="AA65" s="86" t="str">
        <f aca="false">IF(OR($W65="",$Z65=""),"",$W65-$Z65)</f>
        <v/>
      </c>
      <c r="AB65" s="79" t="str">
        <f aca="false">IF($C65="","",IF($P65="At cost","At cost",IF(NOT(ISNUMBER($J65)),"No date",IF(ValDate-$J65&lt;365,"Absolute",IF($W65="","XIRR missing","XIRR")))))</f>
        <v/>
      </c>
      <c r="AC65" s="86" t="str">
        <f aca="false">IF(NOT(ISNUMBER($R65)),"",IF(SUM($R$6:$R$205)=0,"",$R65/SUM($R$6:$R$205)))</f>
        <v/>
      </c>
      <c r="AD65" s="82"/>
      <c r="AE65" s="80"/>
      <c r="AF65" s="78"/>
      <c r="AG65" s="88" t="str">
        <f aca="false">IF($C65="","",IF(COUNTIFS('Tax Lots'!$B$6:$B$205,$B65,'Tax Lots'!$C$6:$C$205,$C65)=0,"",SUMIFS('Tax Lots'!$P$6:$P$205,'Tax Lots'!$B$6:$B$205,$B65,'Tax Lots'!$C$6:$C$205,$C65)))</f>
        <v/>
      </c>
      <c r="AH65" s="79" t="str">
        <f aca="false">IF($A65&amp;$B65&amp;$C65="","",IF($A65="","Missing ID",IF(COUNTIF($A$6:$A$205,$A65)&gt;1,"Duplicate ID",IF($AI65="","Unknown account",IF($AJ65="","Unknown security",IF(COUNTIFS($B$6:$B$205,$B65,$C$6:$C$205,$C65)&gt;1,"Same security twice in one account",IF(AND(ISNUMBER($J65),ISNUMBER($K65),N($K65)&lt;N($J65)),"Last date before first",IF(NOT(ISNUMBER($R65)),"No market value",IF(OR(N($J65)&gt;ValDate,N($K65)&gt;ValDate),"Date after valuation",IF(AND(ISNUMBER($AG65),ABS(N($L65)-N($AG65))&gt;0.001),"Lot quantity differs",IF(AND(ISNUMBER($AG65),ABS(N($M65)-SUMIFS('Tax Lots'!$Q$6:$Q$205,'Tax Lots'!$B$6:$B$205,$B65,'Tax Lots'!$C$6:$C$205,$C65))&gt;1),"Lot cost differs",IF(AND(ISNUMBER($AG65),ABS(N($V65)-SUMIFS('Tax Lots'!$AA$6:$AA$205,'Tax Lots'!$B$6:$B$205,$B65,'Tax Lots'!$C$6:$C$205,$C65))&gt;1),"Lot realised gain differs","OK"))))))))))))</f>
        <v/>
      </c>
      <c r="AI65" s="89" t="str">
        <f aca="false">IF($B65="","",IFERROR(MATCH($B65,Accounts!$A$6:$A$55,0),""))</f>
        <v/>
      </c>
      <c r="AJ65" s="89" t="str">
        <f aca="false">IF($C65="","",IFERROR(MATCH($C65,Securities!$A$6:$A$105,0),""))</f>
        <v/>
      </c>
      <c r="AK65" s="89" t="str">
        <f aca="false">IF($AI65="","",INDEX(Accounts!$B$6:$B$55,$AI65)&amp;"")</f>
        <v/>
      </c>
      <c r="AL65" s="89" t="str">
        <f aca="false">IF(OR($C65="",$I65="",NOT(ISNUMBER($R65))),"",$I65&amp;"|"&amp;(SUMPRODUCT(($I$6:$I$205=$I65)*ISNUMBER($R$6:$R$205)*($R$6:$R$205&gt;$R65))+SUMPRODUCT(($I$6:$I65=$I65)*ISNUMBER($R$6:$R65)*($R$6:$R65=$R65))))</f>
        <v/>
      </c>
      <c r="AM65" s="89" t="n">
        <f aca="false">IF(AND(ISNUMBER($R65),$W65&lt;&gt;"",$Z65&lt;&gt;"",$AB65="XIRR"),$R65*$W65,0)</f>
        <v>0</v>
      </c>
      <c r="AN65" s="89" t="n">
        <f aca="false">IF(AND(ISNUMBER($R65),$W65&lt;&gt;"",$Z65&lt;&gt;"",$AB65="XIRR"),$R65,0)</f>
        <v>0</v>
      </c>
      <c r="AO65" s="89" t="n">
        <f aca="false">IF(AND(ISNUMBER($R65),$W65&lt;&gt;"",$Z65&lt;&gt;"",$AB65="XIRR"),$R65*$Z65,0)</f>
        <v>0</v>
      </c>
      <c r="AP65" s="89" t="n">
        <f aca="false">IF(AND(ISNUMBER($M65),$Y65&lt;&gt;"",ISNUMBER($T65)),$M65*$Y65,0)</f>
        <v>0</v>
      </c>
      <c r="AQ65" s="89" t="n">
        <f aca="false">IF(AND(ISNUMBER($M65),$Y65&lt;&gt;"",ISNUMBER($T65)),$M65,0)</f>
        <v>0</v>
      </c>
    </row>
    <row r="66" customFormat="false" ht="15" hidden="false" customHeight="false" outlineLevel="0" collapsed="false">
      <c r="A66" s="77"/>
      <c r="B66" s="78"/>
      <c r="C66" s="78"/>
      <c r="D66" s="79" t="str">
        <f aca="false">IF($AI66="","",INDEX(Accounts!$C$6:$C$55,$AI66)&amp;"")</f>
        <v/>
      </c>
      <c r="E66" s="79" t="str">
        <f aca="false">IF($AI66="","",INDEX(Accounts!$F$6:$F$55,$AI66)&amp;"")</f>
        <v/>
      </c>
      <c r="F66" s="79" t="str">
        <f aca="false">IF($AJ66="","",INDEX(Securities!$B$6:$B$105,$AJ66)&amp;"")</f>
        <v/>
      </c>
      <c r="G66" s="79" t="str">
        <f aca="false">IF($AJ66="","",INDEX(Securities!$F$6:$F$105,$AJ66)&amp;"")</f>
        <v/>
      </c>
      <c r="H66" s="79" t="str">
        <f aca="false">IF($AJ66="","",INDEX(Securities!$E$6:$E$105,$AJ66)&amp;"")</f>
        <v/>
      </c>
      <c r="I66" s="79" t="str">
        <f aca="false">IF($AJ66="","",INDEX(Securities!$H$6:$H$105,$AJ66)&amp;"")</f>
        <v/>
      </c>
      <c r="J66" s="80"/>
      <c r="K66" s="80"/>
      <c r="L66" s="81"/>
      <c r="M66" s="82"/>
      <c r="N66" s="83" t="str">
        <f aca="false">IF(OR($L66="",$M66=""),"",IF(N($L66)=0,"",$M66/$L66))</f>
        <v/>
      </c>
      <c r="O66" s="84" t="str">
        <f aca="false">IF($AJ66="","",IF(INDEX(Securities!$O$6:$O$105,$AJ66)="","",INDEX(Securities!$O$6:$O$105,$AJ66)))</f>
        <v/>
      </c>
      <c r="P66" s="79" t="str">
        <f aca="false">IF($AJ66="","",INDEX(Securities!$N$6:$N$105,$AJ66)&amp;"")</f>
        <v/>
      </c>
      <c r="Q66" s="82"/>
      <c r="R66" s="85" t="str">
        <f aca="false">IF($C66="","",IF($Q66&lt;&gt;"",$Q66,IF($P66="At cost",IF($M66="","",$M66),IF(OR($O66="",$L66=""),"",$L66*$O66))))</f>
        <v/>
      </c>
      <c r="S66" s="85" t="str">
        <f aca="false">IF(OR(NOT(ISNUMBER($R66)),$M66=""),"",$R66-$M66)</f>
        <v/>
      </c>
      <c r="T66" s="86" t="str">
        <f aca="false">IF(OR($S66="",N($M66)=0),"",$S66/$M66)</f>
        <v/>
      </c>
      <c r="U66" s="82"/>
      <c r="V66" s="82"/>
      <c r="W66" s="87"/>
      <c r="X66" s="79" t="str">
        <f aca="false">IF($AJ66="","",INDEX(Securities!$L$6:$L$105,$AJ66)&amp;"")</f>
        <v/>
      </c>
      <c r="Y66" s="87"/>
      <c r="Z66" s="87"/>
      <c r="AA66" s="86" t="str">
        <f aca="false">IF(OR($W66="",$Z66=""),"",$W66-$Z66)</f>
        <v/>
      </c>
      <c r="AB66" s="79" t="str">
        <f aca="false">IF($C66="","",IF($P66="At cost","At cost",IF(NOT(ISNUMBER($J66)),"No date",IF(ValDate-$J66&lt;365,"Absolute",IF($W66="","XIRR missing","XIRR")))))</f>
        <v/>
      </c>
      <c r="AC66" s="86" t="str">
        <f aca="false">IF(NOT(ISNUMBER($R66)),"",IF(SUM($R$6:$R$205)=0,"",$R66/SUM($R$6:$R$205)))</f>
        <v/>
      </c>
      <c r="AD66" s="82"/>
      <c r="AE66" s="80"/>
      <c r="AF66" s="78"/>
      <c r="AG66" s="88" t="str">
        <f aca="false">IF($C66="","",IF(COUNTIFS('Tax Lots'!$B$6:$B$205,$B66,'Tax Lots'!$C$6:$C$205,$C66)=0,"",SUMIFS('Tax Lots'!$P$6:$P$205,'Tax Lots'!$B$6:$B$205,$B66,'Tax Lots'!$C$6:$C$205,$C66)))</f>
        <v/>
      </c>
      <c r="AH66" s="79" t="str">
        <f aca="false">IF($A66&amp;$B66&amp;$C66="","",IF($A66="","Missing ID",IF(COUNTIF($A$6:$A$205,$A66)&gt;1,"Duplicate ID",IF($AI66="","Unknown account",IF($AJ66="","Unknown security",IF(COUNTIFS($B$6:$B$205,$B66,$C$6:$C$205,$C66)&gt;1,"Same security twice in one account",IF(AND(ISNUMBER($J66),ISNUMBER($K66),N($K66)&lt;N($J66)),"Last date before first",IF(NOT(ISNUMBER($R66)),"No market value",IF(OR(N($J66)&gt;ValDate,N($K66)&gt;ValDate),"Date after valuation",IF(AND(ISNUMBER($AG66),ABS(N($L66)-N($AG66))&gt;0.001),"Lot quantity differs",IF(AND(ISNUMBER($AG66),ABS(N($M66)-SUMIFS('Tax Lots'!$Q$6:$Q$205,'Tax Lots'!$B$6:$B$205,$B66,'Tax Lots'!$C$6:$C$205,$C66))&gt;1),"Lot cost differs",IF(AND(ISNUMBER($AG66),ABS(N($V66)-SUMIFS('Tax Lots'!$AA$6:$AA$205,'Tax Lots'!$B$6:$B$205,$B66,'Tax Lots'!$C$6:$C$205,$C66))&gt;1),"Lot realised gain differs","OK"))))))))))))</f>
        <v/>
      </c>
      <c r="AI66" s="89" t="str">
        <f aca="false">IF($B66="","",IFERROR(MATCH($B66,Accounts!$A$6:$A$55,0),""))</f>
        <v/>
      </c>
      <c r="AJ66" s="89" t="str">
        <f aca="false">IF($C66="","",IFERROR(MATCH($C66,Securities!$A$6:$A$105,0),""))</f>
        <v/>
      </c>
      <c r="AK66" s="89" t="str">
        <f aca="false">IF($AI66="","",INDEX(Accounts!$B$6:$B$55,$AI66)&amp;"")</f>
        <v/>
      </c>
      <c r="AL66" s="89" t="str">
        <f aca="false">IF(OR($C66="",$I66="",NOT(ISNUMBER($R66))),"",$I66&amp;"|"&amp;(SUMPRODUCT(($I$6:$I$205=$I66)*ISNUMBER($R$6:$R$205)*($R$6:$R$205&gt;$R66))+SUMPRODUCT(($I$6:$I66=$I66)*ISNUMBER($R$6:$R66)*($R$6:$R66=$R66))))</f>
        <v/>
      </c>
      <c r="AM66" s="89" t="n">
        <f aca="false">IF(AND(ISNUMBER($R66),$W66&lt;&gt;"",$Z66&lt;&gt;"",$AB66="XIRR"),$R66*$W66,0)</f>
        <v>0</v>
      </c>
      <c r="AN66" s="89" t="n">
        <f aca="false">IF(AND(ISNUMBER($R66),$W66&lt;&gt;"",$Z66&lt;&gt;"",$AB66="XIRR"),$R66,0)</f>
        <v>0</v>
      </c>
      <c r="AO66" s="89" t="n">
        <f aca="false">IF(AND(ISNUMBER($R66),$W66&lt;&gt;"",$Z66&lt;&gt;"",$AB66="XIRR"),$R66*$Z66,0)</f>
        <v>0</v>
      </c>
      <c r="AP66" s="89" t="n">
        <f aca="false">IF(AND(ISNUMBER($M66),$Y66&lt;&gt;"",ISNUMBER($T66)),$M66*$Y66,0)</f>
        <v>0</v>
      </c>
      <c r="AQ66" s="89" t="n">
        <f aca="false">IF(AND(ISNUMBER($M66),$Y66&lt;&gt;"",ISNUMBER($T66)),$M66,0)</f>
        <v>0</v>
      </c>
    </row>
    <row r="67" customFormat="false" ht="15" hidden="false" customHeight="false" outlineLevel="0" collapsed="false">
      <c r="A67" s="77"/>
      <c r="B67" s="78"/>
      <c r="C67" s="78"/>
      <c r="D67" s="79" t="str">
        <f aca="false">IF($AI67="","",INDEX(Accounts!$C$6:$C$55,$AI67)&amp;"")</f>
        <v/>
      </c>
      <c r="E67" s="79" t="str">
        <f aca="false">IF($AI67="","",INDEX(Accounts!$F$6:$F$55,$AI67)&amp;"")</f>
        <v/>
      </c>
      <c r="F67" s="79" t="str">
        <f aca="false">IF($AJ67="","",INDEX(Securities!$B$6:$B$105,$AJ67)&amp;"")</f>
        <v/>
      </c>
      <c r="G67" s="79" t="str">
        <f aca="false">IF($AJ67="","",INDEX(Securities!$F$6:$F$105,$AJ67)&amp;"")</f>
        <v/>
      </c>
      <c r="H67" s="79" t="str">
        <f aca="false">IF($AJ67="","",INDEX(Securities!$E$6:$E$105,$AJ67)&amp;"")</f>
        <v/>
      </c>
      <c r="I67" s="79" t="str">
        <f aca="false">IF($AJ67="","",INDEX(Securities!$H$6:$H$105,$AJ67)&amp;"")</f>
        <v/>
      </c>
      <c r="J67" s="80"/>
      <c r="K67" s="80"/>
      <c r="L67" s="81"/>
      <c r="M67" s="82"/>
      <c r="N67" s="83" t="str">
        <f aca="false">IF(OR($L67="",$M67=""),"",IF(N($L67)=0,"",$M67/$L67))</f>
        <v/>
      </c>
      <c r="O67" s="84" t="str">
        <f aca="false">IF($AJ67="","",IF(INDEX(Securities!$O$6:$O$105,$AJ67)="","",INDEX(Securities!$O$6:$O$105,$AJ67)))</f>
        <v/>
      </c>
      <c r="P67" s="79" t="str">
        <f aca="false">IF($AJ67="","",INDEX(Securities!$N$6:$N$105,$AJ67)&amp;"")</f>
        <v/>
      </c>
      <c r="Q67" s="82"/>
      <c r="R67" s="85" t="str">
        <f aca="false">IF($C67="","",IF($Q67&lt;&gt;"",$Q67,IF($P67="At cost",IF($M67="","",$M67),IF(OR($O67="",$L67=""),"",$L67*$O67))))</f>
        <v/>
      </c>
      <c r="S67" s="85" t="str">
        <f aca="false">IF(OR(NOT(ISNUMBER($R67)),$M67=""),"",$R67-$M67)</f>
        <v/>
      </c>
      <c r="T67" s="86" t="str">
        <f aca="false">IF(OR($S67="",N($M67)=0),"",$S67/$M67)</f>
        <v/>
      </c>
      <c r="U67" s="82"/>
      <c r="V67" s="82"/>
      <c r="W67" s="87"/>
      <c r="X67" s="79" t="str">
        <f aca="false">IF($AJ67="","",INDEX(Securities!$L$6:$L$105,$AJ67)&amp;"")</f>
        <v/>
      </c>
      <c r="Y67" s="87"/>
      <c r="Z67" s="87"/>
      <c r="AA67" s="86" t="str">
        <f aca="false">IF(OR($W67="",$Z67=""),"",$W67-$Z67)</f>
        <v/>
      </c>
      <c r="AB67" s="79" t="str">
        <f aca="false">IF($C67="","",IF($P67="At cost","At cost",IF(NOT(ISNUMBER($J67)),"No date",IF(ValDate-$J67&lt;365,"Absolute",IF($W67="","XIRR missing","XIRR")))))</f>
        <v/>
      </c>
      <c r="AC67" s="86" t="str">
        <f aca="false">IF(NOT(ISNUMBER($R67)),"",IF(SUM($R$6:$R$205)=0,"",$R67/SUM($R$6:$R$205)))</f>
        <v/>
      </c>
      <c r="AD67" s="82"/>
      <c r="AE67" s="80"/>
      <c r="AF67" s="78"/>
      <c r="AG67" s="88" t="str">
        <f aca="false">IF($C67="","",IF(COUNTIFS('Tax Lots'!$B$6:$B$205,$B67,'Tax Lots'!$C$6:$C$205,$C67)=0,"",SUMIFS('Tax Lots'!$P$6:$P$205,'Tax Lots'!$B$6:$B$205,$B67,'Tax Lots'!$C$6:$C$205,$C67)))</f>
        <v/>
      </c>
      <c r="AH67" s="79" t="str">
        <f aca="false">IF($A67&amp;$B67&amp;$C67="","",IF($A67="","Missing ID",IF(COUNTIF($A$6:$A$205,$A67)&gt;1,"Duplicate ID",IF($AI67="","Unknown account",IF($AJ67="","Unknown security",IF(COUNTIFS($B$6:$B$205,$B67,$C$6:$C$205,$C67)&gt;1,"Same security twice in one account",IF(AND(ISNUMBER($J67),ISNUMBER($K67),N($K67)&lt;N($J67)),"Last date before first",IF(NOT(ISNUMBER($R67)),"No market value",IF(OR(N($J67)&gt;ValDate,N($K67)&gt;ValDate),"Date after valuation",IF(AND(ISNUMBER($AG67),ABS(N($L67)-N($AG67))&gt;0.001),"Lot quantity differs",IF(AND(ISNUMBER($AG67),ABS(N($M67)-SUMIFS('Tax Lots'!$Q$6:$Q$205,'Tax Lots'!$B$6:$B$205,$B67,'Tax Lots'!$C$6:$C$205,$C67))&gt;1),"Lot cost differs",IF(AND(ISNUMBER($AG67),ABS(N($V67)-SUMIFS('Tax Lots'!$AA$6:$AA$205,'Tax Lots'!$B$6:$B$205,$B67,'Tax Lots'!$C$6:$C$205,$C67))&gt;1),"Lot realised gain differs","OK"))))))))))))</f>
        <v/>
      </c>
      <c r="AI67" s="89" t="str">
        <f aca="false">IF($B67="","",IFERROR(MATCH($B67,Accounts!$A$6:$A$55,0),""))</f>
        <v/>
      </c>
      <c r="AJ67" s="89" t="str">
        <f aca="false">IF($C67="","",IFERROR(MATCH($C67,Securities!$A$6:$A$105,0),""))</f>
        <v/>
      </c>
      <c r="AK67" s="89" t="str">
        <f aca="false">IF($AI67="","",INDEX(Accounts!$B$6:$B$55,$AI67)&amp;"")</f>
        <v/>
      </c>
      <c r="AL67" s="89" t="str">
        <f aca="false">IF(OR($C67="",$I67="",NOT(ISNUMBER($R67))),"",$I67&amp;"|"&amp;(SUMPRODUCT(($I$6:$I$205=$I67)*ISNUMBER($R$6:$R$205)*($R$6:$R$205&gt;$R67))+SUMPRODUCT(($I$6:$I67=$I67)*ISNUMBER($R$6:$R67)*($R$6:$R67=$R67))))</f>
        <v/>
      </c>
      <c r="AM67" s="89" t="n">
        <f aca="false">IF(AND(ISNUMBER($R67),$W67&lt;&gt;"",$Z67&lt;&gt;"",$AB67="XIRR"),$R67*$W67,0)</f>
        <v>0</v>
      </c>
      <c r="AN67" s="89" t="n">
        <f aca="false">IF(AND(ISNUMBER($R67),$W67&lt;&gt;"",$Z67&lt;&gt;"",$AB67="XIRR"),$R67,0)</f>
        <v>0</v>
      </c>
      <c r="AO67" s="89" t="n">
        <f aca="false">IF(AND(ISNUMBER($R67),$W67&lt;&gt;"",$Z67&lt;&gt;"",$AB67="XIRR"),$R67*$Z67,0)</f>
        <v>0</v>
      </c>
      <c r="AP67" s="89" t="n">
        <f aca="false">IF(AND(ISNUMBER($M67),$Y67&lt;&gt;"",ISNUMBER($T67)),$M67*$Y67,0)</f>
        <v>0</v>
      </c>
      <c r="AQ67" s="89" t="n">
        <f aca="false">IF(AND(ISNUMBER($M67),$Y67&lt;&gt;"",ISNUMBER($T67)),$M67,0)</f>
        <v>0</v>
      </c>
    </row>
    <row r="68" customFormat="false" ht="15" hidden="false" customHeight="false" outlineLevel="0" collapsed="false">
      <c r="A68" s="77"/>
      <c r="B68" s="78"/>
      <c r="C68" s="78"/>
      <c r="D68" s="79" t="str">
        <f aca="false">IF($AI68="","",INDEX(Accounts!$C$6:$C$55,$AI68)&amp;"")</f>
        <v/>
      </c>
      <c r="E68" s="79" t="str">
        <f aca="false">IF($AI68="","",INDEX(Accounts!$F$6:$F$55,$AI68)&amp;"")</f>
        <v/>
      </c>
      <c r="F68" s="79" t="str">
        <f aca="false">IF($AJ68="","",INDEX(Securities!$B$6:$B$105,$AJ68)&amp;"")</f>
        <v/>
      </c>
      <c r="G68" s="79" t="str">
        <f aca="false">IF($AJ68="","",INDEX(Securities!$F$6:$F$105,$AJ68)&amp;"")</f>
        <v/>
      </c>
      <c r="H68" s="79" t="str">
        <f aca="false">IF($AJ68="","",INDEX(Securities!$E$6:$E$105,$AJ68)&amp;"")</f>
        <v/>
      </c>
      <c r="I68" s="79" t="str">
        <f aca="false">IF($AJ68="","",INDEX(Securities!$H$6:$H$105,$AJ68)&amp;"")</f>
        <v/>
      </c>
      <c r="J68" s="80"/>
      <c r="K68" s="80"/>
      <c r="L68" s="81"/>
      <c r="M68" s="82"/>
      <c r="N68" s="83" t="str">
        <f aca="false">IF(OR($L68="",$M68=""),"",IF(N($L68)=0,"",$M68/$L68))</f>
        <v/>
      </c>
      <c r="O68" s="84" t="str">
        <f aca="false">IF($AJ68="","",IF(INDEX(Securities!$O$6:$O$105,$AJ68)="","",INDEX(Securities!$O$6:$O$105,$AJ68)))</f>
        <v/>
      </c>
      <c r="P68" s="79" t="str">
        <f aca="false">IF($AJ68="","",INDEX(Securities!$N$6:$N$105,$AJ68)&amp;"")</f>
        <v/>
      </c>
      <c r="Q68" s="82"/>
      <c r="R68" s="85" t="str">
        <f aca="false">IF($C68="","",IF($Q68&lt;&gt;"",$Q68,IF($P68="At cost",IF($M68="","",$M68),IF(OR($O68="",$L68=""),"",$L68*$O68))))</f>
        <v/>
      </c>
      <c r="S68" s="85" t="str">
        <f aca="false">IF(OR(NOT(ISNUMBER($R68)),$M68=""),"",$R68-$M68)</f>
        <v/>
      </c>
      <c r="T68" s="86" t="str">
        <f aca="false">IF(OR($S68="",N($M68)=0),"",$S68/$M68)</f>
        <v/>
      </c>
      <c r="U68" s="82"/>
      <c r="V68" s="82"/>
      <c r="W68" s="87"/>
      <c r="X68" s="79" t="str">
        <f aca="false">IF($AJ68="","",INDEX(Securities!$L$6:$L$105,$AJ68)&amp;"")</f>
        <v/>
      </c>
      <c r="Y68" s="87"/>
      <c r="Z68" s="87"/>
      <c r="AA68" s="86" t="str">
        <f aca="false">IF(OR($W68="",$Z68=""),"",$W68-$Z68)</f>
        <v/>
      </c>
      <c r="AB68" s="79" t="str">
        <f aca="false">IF($C68="","",IF($P68="At cost","At cost",IF(NOT(ISNUMBER($J68)),"No date",IF(ValDate-$J68&lt;365,"Absolute",IF($W68="","XIRR missing","XIRR")))))</f>
        <v/>
      </c>
      <c r="AC68" s="86" t="str">
        <f aca="false">IF(NOT(ISNUMBER($R68)),"",IF(SUM($R$6:$R$205)=0,"",$R68/SUM($R$6:$R$205)))</f>
        <v/>
      </c>
      <c r="AD68" s="82"/>
      <c r="AE68" s="80"/>
      <c r="AF68" s="78"/>
      <c r="AG68" s="88" t="str">
        <f aca="false">IF($C68="","",IF(COUNTIFS('Tax Lots'!$B$6:$B$205,$B68,'Tax Lots'!$C$6:$C$205,$C68)=0,"",SUMIFS('Tax Lots'!$P$6:$P$205,'Tax Lots'!$B$6:$B$205,$B68,'Tax Lots'!$C$6:$C$205,$C68)))</f>
        <v/>
      </c>
      <c r="AH68" s="79" t="str">
        <f aca="false">IF($A68&amp;$B68&amp;$C68="","",IF($A68="","Missing ID",IF(COUNTIF($A$6:$A$205,$A68)&gt;1,"Duplicate ID",IF($AI68="","Unknown account",IF($AJ68="","Unknown security",IF(COUNTIFS($B$6:$B$205,$B68,$C$6:$C$205,$C68)&gt;1,"Same security twice in one account",IF(AND(ISNUMBER($J68),ISNUMBER($K68),N($K68)&lt;N($J68)),"Last date before first",IF(NOT(ISNUMBER($R68)),"No market value",IF(OR(N($J68)&gt;ValDate,N($K68)&gt;ValDate),"Date after valuation",IF(AND(ISNUMBER($AG68),ABS(N($L68)-N($AG68))&gt;0.001),"Lot quantity differs",IF(AND(ISNUMBER($AG68),ABS(N($M68)-SUMIFS('Tax Lots'!$Q$6:$Q$205,'Tax Lots'!$B$6:$B$205,$B68,'Tax Lots'!$C$6:$C$205,$C68))&gt;1),"Lot cost differs",IF(AND(ISNUMBER($AG68),ABS(N($V68)-SUMIFS('Tax Lots'!$AA$6:$AA$205,'Tax Lots'!$B$6:$B$205,$B68,'Tax Lots'!$C$6:$C$205,$C68))&gt;1),"Lot realised gain differs","OK"))))))))))))</f>
        <v/>
      </c>
      <c r="AI68" s="89" t="str">
        <f aca="false">IF($B68="","",IFERROR(MATCH($B68,Accounts!$A$6:$A$55,0),""))</f>
        <v/>
      </c>
      <c r="AJ68" s="89" t="str">
        <f aca="false">IF($C68="","",IFERROR(MATCH($C68,Securities!$A$6:$A$105,0),""))</f>
        <v/>
      </c>
      <c r="AK68" s="89" t="str">
        <f aca="false">IF($AI68="","",INDEX(Accounts!$B$6:$B$55,$AI68)&amp;"")</f>
        <v/>
      </c>
      <c r="AL68" s="89" t="str">
        <f aca="false">IF(OR($C68="",$I68="",NOT(ISNUMBER($R68))),"",$I68&amp;"|"&amp;(SUMPRODUCT(($I$6:$I$205=$I68)*ISNUMBER($R$6:$R$205)*($R$6:$R$205&gt;$R68))+SUMPRODUCT(($I$6:$I68=$I68)*ISNUMBER($R$6:$R68)*($R$6:$R68=$R68))))</f>
        <v/>
      </c>
      <c r="AM68" s="89" t="n">
        <f aca="false">IF(AND(ISNUMBER($R68),$W68&lt;&gt;"",$Z68&lt;&gt;"",$AB68="XIRR"),$R68*$W68,0)</f>
        <v>0</v>
      </c>
      <c r="AN68" s="89" t="n">
        <f aca="false">IF(AND(ISNUMBER($R68),$W68&lt;&gt;"",$Z68&lt;&gt;"",$AB68="XIRR"),$R68,0)</f>
        <v>0</v>
      </c>
      <c r="AO68" s="89" t="n">
        <f aca="false">IF(AND(ISNUMBER($R68),$W68&lt;&gt;"",$Z68&lt;&gt;"",$AB68="XIRR"),$R68*$Z68,0)</f>
        <v>0</v>
      </c>
      <c r="AP68" s="89" t="n">
        <f aca="false">IF(AND(ISNUMBER($M68),$Y68&lt;&gt;"",ISNUMBER($T68)),$M68*$Y68,0)</f>
        <v>0</v>
      </c>
      <c r="AQ68" s="89" t="n">
        <f aca="false">IF(AND(ISNUMBER($M68),$Y68&lt;&gt;"",ISNUMBER($T68)),$M68,0)</f>
        <v>0</v>
      </c>
    </row>
    <row r="69" customFormat="false" ht="15" hidden="false" customHeight="false" outlineLevel="0" collapsed="false">
      <c r="A69" s="77"/>
      <c r="B69" s="78"/>
      <c r="C69" s="78"/>
      <c r="D69" s="79" t="str">
        <f aca="false">IF($AI69="","",INDEX(Accounts!$C$6:$C$55,$AI69)&amp;"")</f>
        <v/>
      </c>
      <c r="E69" s="79" t="str">
        <f aca="false">IF($AI69="","",INDEX(Accounts!$F$6:$F$55,$AI69)&amp;"")</f>
        <v/>
      </c>
      <c r="F69" s="79" t="str">
        <f aca="false">IF($AJ69="","",INDEX(Securities!$B$6:$B$105,$AJ69)&amp;"")</f>
        <v/>
      </c>
      <c r="G69" s="79" t="str">
        <f aca="false">IF($AJ69="","",INDEX(Securities!$F$6:$F$105,$AJ69)&amp;"")</f>
        <v/>
      </c>
      <c r="H69" s="79" t="str">
        <f aca="false">IF($AJ69="","",INDEX(Securities!$E$6:$E$105,$AJ69)&amp;"")</f>
        <v/>
      </c>
      <c r="I69" s="79" t="str">
        <f aca="false">IF($AJ69="","",INDEX(Securities!$H$6:$H$105,$AJ69)&amp;"")</f>
        <v/>
      </c>
      <c r="J69" s="80"/>
      <c r="K69" s="80"/>
      <c r="L69" s="81"/>
      <c r="M69" s="82"/>
      <c r="N69" s="83" t="str">
        <f aca="false">IF(OR($L69="",$M69=""),"",IF(N($L69)=0,"",$M69/$L69))</f>
        <v/>
      </c>
      <c r="O69" s="84" t="str">
        <f aca="false">IF($AJ69="","",IF(INDEX(Securities!$O$6:$O$105,$AJ69)="","",INDEX(Securities!$O$6:$O$105,$AJ69)))</f>
        <v/>
      </c>
      <c r="P69" s="79" t="str">
        <f aca="false">IF($AJ69="","",INDEX(Securities!$N$6:$N$105,$AJ69)&amp;"")</f>
        <v/>
      </c>
      <c r="Q69" s="82"/>
      <c r="R69" s="85" t="str">
        <f aca="false">IF($C69="","",IF($Q69&lt;&gt;"",$Q69,IF($P69="At cost",IF($M69="","",$M69),IF(OR($O69="",$L69=""),"",$L69*$O69))))</f>
        <v/>
      </c>
      <c r="S69" s="85" t="str">
        <f aca="false">IF(OR(NOT(ISNUMBER($R69)),$M69=""),"",$R69-$M69)</f>
        <v/>
      </c>
      <c r="T69" s="86" t="str">
        <f aca="false">IF(OR($S69="",N($M69)=0),"",$S69/$M69)</f>
        <v/>
      </c>
      <c r="U69" s="82"/>
      <c r="V69" s="82"/>
      <c r="W69" s="87"/>
      <c r="X69" s="79" t="str">
        <f aca="false">IF($AJ69="","",INDEX(Securities!$L$6:$L$105,$AJ69)&amp;"")</f>
        <v/>
      </c>
      <c r="Y69" s="87"/>
      <c r="Z69" s="87"/>
      <c r="AA69" s="86" t="str">
        <f aca="false">IF(OR($W69="",$Z69=""),"",$W69-$Z69)</f>
        <v/>
      </c>
      <c r="AB69" s="79" t="str">
        <f aca="false">IF($C69="","",IF($P69="At cost","At cost",IF(NOT(ISNUMBER($J69)),"No date",IF(ValDate-$J69&lt;365,"Absolute",IF($W69="","XIRR missing","XIRR")))))</f>
        <v/>
      </c>
      <c r="AC69" s="86" t="str">
        <f aca="false">IF(NOT(ISNUMBER($R69)),"",IF(SUM($R$6:$R$205)=0,"",$R69/SUM($R$6:$R$205)))</f>
        <v/>
      </c>
      <c r="AD69" s="82"/>
      <c r="AE69" s="80"/>
      <c r="AF69" s="78"/>
      <c r="AG69" s="88" t="str">
        <f aca="false">IF($C69="","",IF(COUNTIFS('Tax Lots'!$B$6:$B$205,$B69,'Tax Lots'!$C$6:$C$205,$C69)=0,"",SUMIFS('Tax Lots'!$P$6:$P$205,'Tax Lots'!$B$6:$B$205,$B69,'Tax Lots'!$C$6:$C$205,$C69)))</f>
        <v/>
      </c>
      <c r="AH69" s="79" t="str">
        <f aca="false">IF($A69&amp;$B69&amp;$C69="","",IF($A69="","Missing ID",IF(COUNTIF($A$6:$A$205,$A69)&gt;1,"Duplicate ID",IF($AI69="","Unknown account",IF($AJ69="","Unknown security",IF(COUNTIFS($B$6:$B$205,$B69,$C$6:$C$205,$C69)&gt;1,"Same security twice in one account",IF(AND(ISNUMBER($J69),ISNUMBER($K69),N($K69)&lt;N($J69)),"Last date before first",IF(NOT(ISNUMBER($R69)),"No market value",IF(OR(N($J69)&gt;ValDate,N($K69)&gt;ValDate),"Date after valuation",IF(AND(ISNUMBER($AG69),ABS(N($L69)-N($AG69))&gt;0.001),"Lot quantity differs",IF(AND(ISNUMBER($AG69),ABS(N($M69)-SUMIFS('Tax Lots'!$Q$6:$Q$205,'Tax Lots'!$B$6:$B$205,$B69,'Tax Lots'!$C$6:$C$205,$C69))&gt;1),"Lot cost differs",IF(AND(ISNUMBER($AG69),ABS(N($V69)-SUMIFS('Tax Lots'!$AA$6:$AA$205,'Tax Lots'!$B$6:$B$205,$B69,'Tax Lots'!$C$6:$C$205,$C69))&gt;1),"Lot realised gain differs","OK"))))))))))))</f>
        <v/>
      </c>
      <c r="AI69" s="89" t="str">
        <f aca="false">IF($B69="","",IFERROR(MATCH($B69,Accounts!$A$6:$A$55,0),""))</f>
        <v/>
      </c>
      <c r="AJ69" s="89" t="str">
        <f aca="false">IF($C69="","",IFERROR(MATCH($C69,Securities!$A$6:$A$105,0),""))</f>
        <v/>
      </c>
      <c r="AK69" s="89" t="str">
        <f aca="false">IF($AI69="","",INDEX(Accounts!$B$6:$B$55,$AI69)&amp;"")</f>
        <v/>
      </c>
      <c r="AL69" s="89" t="str">
        <f aca="false">IF(OR($C69="",$I69="",NOT(ISNUMBER($R69))),"",$I69&amp;"|"&amp;(SUMPRODUCT(($I$6:$I$205=$I69)*ISNUMBER($R$6:$R$205)*($R$6:$R$205&gt;$R69))+SUMPRODUCT(($I$6:$I69=$I69)*ISNUMBER($R$6:$R69)*($R$6:$R69=$R69))))</f>
        <v/>
      </c>
      <c r="AM69" s="89" t="n">
        <f aca="false">IF(AND(ISNUMBER($R69),$W69&lt;&gt;"",$Z69&lt;&gt;"",$AB69="XIRR"),$R69*$W69,0)</f>
        <v>0</v>
      </c>
      <c r="AN69" s="89" t="n">
        <f aca="false">IF(AND(ISNUMBER($R69),$W69&lt;&gt;"",$Z69&lt;&gt;"",$AB69="XIRR"),$R69,0)</f>
        <v>0</v>
      </c>
      <c r="AO69" s="89" t="n">
        <f aca="false">IF(AND(ISNUMBER($R69),$W69&lt;&gt;"",$Z69&lt;&gt;"",$AB69="XIRR"),$R69*$Z69,0)</f>
        <v>0</v>
      </c>
      <c r="AP69" s="89" t="n">
        <f aca="false">IF(AND(ISNUMBER($M69),$Y69&lt;&gt;"",ISNUMBER($T69)),$M69*$Y69,0)</f>
        <v>0</v>
      </c>
      <c r="AQ69" s="89" t="n">
        <f aca="false">IF(AND(ISNUMBER($M69),$Y69&lt;&gt;"",ISNUMBER($T69)),$M69,0)</f>
        <v>0</v>
      </c>
    </row>
    <row r="70" customFormat="false" ht="15" hidden="false" customHeight="false" outlineLevel="0" collapsed="false">
      <c r="A70" s="77"/>
      <c r="B70" s="78"/>
      <c r="C70" s="78"/>
      <c r="D70" s="79" t="str">
        <f aca="false">IF($AI70="","",INDEX(Accounts!$C$6:$C$55,$AI70)&amp;"")</f>
        <v/>
      </c>
      <c r="E70" s="79" t="str">
        <f aca="false">IF($AI70="","",INDEX(Accounts!$F$6:$F$55,$AI70)&amp;"")</f>
        <v/>
      </c>
      <c r="F70" s="79" t="str">
        <f aca="false">IF($AJ70="","",INDEX(Securities!$B$6:$B$105,$AJ70)&amp;"")</f>
        <v/>
      </c>
      <c r="G70" s="79" t="str">
        <f aca="false">IF($AJ70="","",INDEX(Securities!$F$6:$F$105,$AJ70)&amp;"")</f>
        <v/>
      </c>
      <c r="H70" s="79" t="str">
        <f aca="false">IF($AJ70="","",INDEX(Securities!$E$6:$E$105,$AJ70)&amp;"")</f>
        <v/>
      </c>
      <c r="I70" s="79" t="str">
        <f aca="false">IF($AJ70="","",INDEX(Securities!$H$6:$H$105,$AJ70)&amp;"")</f>
        <v/>
      </c>
      <c r="J70" s="80"/>
      <c r="K70" s="80"/>
      <c r="L70" s="81"/>
      <c r="M70" s="82"/>
      <c r="N70" s="83" t="str">
        <f aca="false">IF(OR($L70="",$M70=""),"",IF(N($L70)=0,"",$M70/$L70))</f>
        <v/>
      </c>
      <c r="O70" s="84" t="str">
        <f aca="false">IF($AJ70="","",IF(INDEX(Securities!$O$6:$O$105,$AJ70)="","",INDEX(Securities!$O$6:$O$105,$AJ70)))</f>
        <v/>
      </c>
      <c r="P70" s="79" t="str">
        <f aca="false">IF($AJ70="","",INDEX(Securities!$N$6:$N$105,$AJ70)&amp;"")</f>
        <v/>
      </c>
      <c r="Q70" s="82"/>
      <c r="R70" s="85" t="str">
        <f aca="false">IF($C70="","",IF($Q70&lt;&gt;"",$Q70,IF($P70="At cost",IF($M70="","",$M70),IF(OR($O70="",$L70=""),"",$L70*$O70))))</f>
        <v/>
      </c>
      <c r="S70" s="85" t="str">
        <f aca="false">IF(OR(NOT(ISNUMBER($R70)),$M70=""),"",$R70-$M70)</f>
        <v/>
      </c>
      <c r="T70" s="86" t="str">
        <f aca="false">IF(OR($S70="",N($M70)=0),"",$S70/$M70)</f>
        <v/>
      </c>
      <c r="U70" s="82"/>
      <c r="V70" s="82"/>
      <c r="W70" s="87"/>
      <c r="X70" s="79" t="str">
        <f aca="false">IF($AJ70="","",INDEX(Securities!$L$6:$L$105,$AJ70)&amp;"")</f>
        <v/>
      </c>
      <c r="Y70" s="87"/>
      <c r="Z70" s="87"/>
      <c r="AA70" s="86" t="str">
        <f aca="false">IF(OR($W70="",$Z70=""),"",$W70-$Z70)</f>
        <v/>
      </c>
      <c r="AB70" s="79" t="str">
        <f aca="false">IF($C70="","",IF($P70="At cost","At cost",IF(NOT(ISNUMBER($J70)),"No date",IF(ValDate-$J70&lt;365,"Absolute",IF($W70="","XIRR missing","XIRR")))))</f>
        <v/>
      </c>
      <c r="AC70" s="86" t="str">
        <f aca="false">IF(NOT(ISNUMBER($R70)),"",IF(SUM($R$6:$R$205)=0,"",$R70/SUM($R$6:$R$205)))</f>
        <v/>
      </c>
      <c r="AD70" s="82"/>
      <c r="AE70" s="80"/>
      <c r="AF70" s="78"/>
      <c r="AG70" s="88" t="str">
        <f aca="false">IF($C70="","",IF(COUNTIFS('Tax Lots'!$B$6:$B$205,$B70,'Tax Lots'!$C$6:$C$205,$C70)=0,"",SUMIFS('Tax Lots'!$P$6:$P$205,'Tax Lots'!$B$6:$B$205,$B70,'Tax Lots'!$C$6:$C$205,$C70)))</f>
        <v/>
      </c>
      <c r="AH70" s="79" t="str">
        <f aca="false">IF($A70&amp;$B70&amp;$C70="","",IF($A70="","Missing ID",IF(COUNTIF($A$6:$A$205,$A70)&gt;1,"Duplicate ID",IF($AI70="","Unknown account",IF($AJ70="","Unknown security",IF(COUNTIFS($B$6:$B$205,$B70,$C$6:$C$205,$C70)&gt;1,"Same security twice in one account",IF(AND(ISNUMBER($J70),ISNUMBER($K70),N($K70)&lt;N($J70)),"Last date before first",IF(NOT(ISNUMBER($R70)),"No market value",IF(OR(N($J70)&gt;ValDate,N($K70)&gt;ValDate),"Date after valuation",IF(AND(ISNUMBER($AG70),ABS(N($L70)-N($AG70))&gt;0.001),"Lot quantity differs",IF(AND(ISNUMBER($AG70),ABS(N($M70)-SUMIFS('Tax Lots'!$Q$6:$Q$205,'Tax Lots'!$B$6:$B$205,$B70,'Tax Lots'!$C$6:$C$205,$C70))&gt;1),"Lot cost differs",IF(AND(ISNUMBER($AG70),ABS(N($V70)-SUMIFS('Tax Lots'!$AA$6:$AA$205,'Tax Lots'!$B$6:$B$205,$B70,'Tax Lots'!$C$6:$C$205,$C70))&gt;1),"Lot realised gain differs","OK"))))))))))))</f>
        <v/>
      </c>
      <c r="AI70" s="89" t="str">
        <f aca="false">IF($B70="","",IFERROR(MATCH($B70,Accounts!$A$6:$A$55,0),""))</f>
        <v/>
      </c>
      <c r="AJ70" s="89" t="str">
        <f aca="false">IF($C70="","",IFERROR(MATCH($C70,Securities!$A$6:$A$105,0),""))</f>
        <v/>
      </c>
      <c r="AK70" s="89" t="str">
        <f aca="false">IF($AI70="","",INDEX(Accounts!$B$6:$B$55,$AI70)&amp;"")</f>
        <v/>
      </c>
      <c r="AL70" s="89" t="str">
        <f aca="false">IF(OR($C70="",$I70="",NOT(ISNUMBER($R70))),"",$I70&amp;"|"&amp;(SUMPRODUCT(($I$6:$I$205=$I70)*ISNUMBER($R$6:$R$205)*($R$6:$R$205&gt;$R70))+SUMPRODUCT(($I$6:$I70=$I70)*ISNUMBER($R$6:$R70)*($R$6:$R70=$R70))))</f>
        <v/>
      </c>
      <c r="AM70" s="89" t="n">
        <f aca="false">IF(AND(ISNUMBER($R70),$W70&lt;&gt;"",$Z70&lt;&gt;"",$AB70="XIRR"),$R70*$W70,0)</f>
        <v>0</v>
      </c>
      <c r="AN70" s="89" t="n">
        <f aca="false">IF(AND(ISNUMBER($R70),$W70&lt;&gt;"",$Z70&lt;&gt;"",$AB70="XIRR"),$R70,0)</f>
        <v>0</v>
      </c>
      <c r="AO70" s="89" t="n">
        <f aca="false">IF(AND(ISNUMBER($R70),$W70&lt;&gt;"",$Z70&lt;&gt;"",$AB70="XIRR"),$R70*$Z70,0)</f>
        <v>0</v>
      </c>
      <c r="AP70" s="89" t="n">
        <f aca="false">IF(AND(ISNUMBER($M70),$Y70&lt;&gt;"",ISNUMBER($T70)),$M70*$Y70,0)</f>
        <v>0</v>
      </c>
      <c r="AQ70" s="89" t="n">
        <f aca="false">IF(AND(ISNUMBER($M70),$Y70&lt;&gt;"",ISNUMBER($T70)),$M70,0)</f>
        <v>0</v>
      </c>
    </row>
    <row r="71" customFormat="false" ht="15" hidden="false" customHeight="false" outlineLevel="0" collapsed="false">
      <c r="A71" s="77"/>
      <c r="B71" s="78"/>
      <c r="C71" s="78"/>
      <c r="D71" s="79" t="str">
        <f aca="false">IF($AI71="","",INDEX(Accounts!$C$6:$C$55,$AI71)&amp;"")</f>
        <v/>
      </c>
      <c r="E71" s="79" t="str">
        <f aca="false">IF($AI71="","",INDEX(Accounts!$F$6:$F$55,$AI71)&amp;"")</f>
        <v/>
      </c>
      <c r="F71" s="79" t="str">
        <f aca="false">IF($AJ71="","",INDEX(Securities!$B$6:$B$105,$AJ71)&amp;"")</f>
        <v/>
      </c>
      <c r="G71" s="79" t="str">
        <f aca="false">IF($AJ71="","",INDEX(Securities!$F$6:$F$105,$AJ71)&amp;"")</f>
        <v/>
      </c>
      <c r="H71" s="79" t="str">
        <f aca="false">IF($AJ71="","",INDEX(Securities!$E$6:$E$105,$AJ71)&amp;"")</f>
        <v/>
      </c>
      <c r="I71" s="79" t="str">
        <f aca="false">IF($AJ71="","",INDEX(Securities!$H$6:$H$105,$AJ71)&amp;"")</f>
        <v/>
      </c>
      <c r="J71" s="80"/>
      <c r="K71" s="80"/>
      <c r="L71" s="81"/>
      <c r="M71" s="82"/>
      <c r="N71" s="83" t="str">
        <f aca="false">IF(OR($L71="",$M71=""),"",IF(N($L71)=0,"",$M71/$L71))</f>
        <v/>
      </c>
      <c r="O71" s="84" t="str">
        <f aca="false">IF($AJ71="","",IF(INDEX(Securities!$O$6:$O$105,$AJ71)="","",INDEX(Securities!$O$6:$O$105,$AJ71)))</f>
        <v/>
      </c>
      <c r="P71" s="79" t="str">
        <f aca="false">IF($AJ71="","",INDEX(Securities!$N$6:$N$105,$AJ71)&amp;"")</f>
        <v/>
      </c>
      <c r="Q71" s="82"/>
      <c r="R71" s="85" t="str">
        <f aca="false">IF($C71="","",IF($Q71&lt;&gt;"",$Q71,IF($P71="At cost",IF($M71="","",$M71),IF(OR($O71="",$L71=""),"",$L71*$O71))))</f>
        <v/>
      </c>
      <c r="S71" s="85" t="str">
        <f aca="false">IF(OR(NOT(ISNUMBER($R71)),$M71=""),"",$R71-$M71)</f>
        <v/>
      </c>
      <c r="T71" s="86" t="str">
        <f aca="false">IF(OR($S71="",N($M71)=0),"",$S71/$M71)</f>
        <v/>
      </c>
      <c r="U71" s="82"/>
      <c r="V71" s="82"/>
      <c r="W71" s="87"/>
      <c r="X71" s="79" t="str">
        <f aca="false">IF($AJ71="","",INDEX(Securities!$L$6:$L$105,$AJ71)&amp;"")</f>
        <v/>
      </c>
      <c r="Y71" s="87"/>
      <c r="Z71" s="87"/>
      <c r="AA71" s="86" t="str">
        <f aca="false">IF(OR($W71="",$Z71=""),"",$W71-$Z71)</f>
        <v/>
      </c>
      <c r="AB71" s="79" t="str">
        <f aca="false">IF($C71="","",IF($P71="At cost","At cost",IF(NOT(ISNUMBER($J71)),"No date",IF(ValDate-$J71&lt;365,"Absolute",IF($W71="","XIRR missing","XIRR")))))</f>
        <v/>
      </c>
      <c r="AC71" s="86" t="str">
        <f aca="false">IF(NOT(ISNUMBER($R71)),"",IF(SUM($R$6:$R$205)=0,"",$R71/SUM($R$6:$R$205)))</f>
        <v/>
      </c>
      <c r="AD71" s="82"/>
      <c r="AE71" s="80"/>
      <c r="AF71" s="78"/>
      <c r="AG71" s="88" t="str">
        <f aca="false">IF($C71="","",IF(COUNTIFS('Tax Lots'!$B$6:$B$205,$B71,'Tax Lots'!$C$6:$C$205,$C71)=0,"",SUMIFS('Tax Lots'!$P$6:$P$205,'Tax Lots'!$B$6:$B$205,$B71,'Tax Lots'!$C$6:$C$205,$C71)))</f>
        <v/>
      </c>
      <c r="AH71" s="79" t="str">
        <f aca="false">IF($A71&amp;$B71&amp;$C71="","",IF($A71="","Missing ID",IF(COUNTIF($A$6:$A$205,$A71)&gt;1,"Duplicate ID",IF($AI71="","Unknown account",IF($AJ71="","Unknown security",IF(COUNTIFS($B$6:$B$205,$B71,$C$6:$C$205,$C71)&gt;1,"Same security twice in one account",IF(AND(ISNUMBER($J71),ISNUMBER($K71),N($K71)&lt;N($J71)),"Last date before first",IF(NOT(ISNUMBER($R71)),"No market value",IF(OR(N($J71)&gt;ValDate,N($K71)&gt;ValDate),"Date after valuation",IF(AND(ISNUMBER($AG71),ABS(N($L71)-N($AG71))&gt;0.001),"Lot quantity differs",IF(AND(ISNUMBER($AG71),ABS(N($M71)-SUMIFS('Tax Lots'!$Q$6:$Q$205,'Tax Lots'!$B$6:$B$205,$B71,'Tax Lots'!$C$6:$C$205,$C71))&gt;1),"Lot cost differs",IF(AND(ISNUMBER($AG71),ABS(N($V71)-SUMIFS('Tax Lots'!$AA$6:$AA$205,'Tax Lots'!$B$6:$B$205,$B71,'Tax Lots'!$C$6:$C$205,$C71))&gt;1),"Lot realised gain differs","OK"))))))))))))</f>
        <v/>
      </c>
      <c r="AI71" s="89" t="str">
        <f aca="false">IF($B71="","",IFERROR(MATCH($B71,Accounts!$A$6:$A$55,0),""))</f>
        <v/>
      </c>
      <c r="AJ71" s="89" t="str">
        <f aca="false">IF($C71="","",IFERROR(MATCH($C71,Securities!$A$6:$A$105,0),""))</f>
        <v/>
      </c>
      <c r="AK71" s="89" t="str">
        <f aca="false">IF($AI71="","",INDEX(Accounts!$B$6:$B$55,$AI71)&amp;"")</f>
        <v/>
      </c>
      <c r="AL71" s="89" t="str">
        <f aca="false">IF(OR($C71="",$I71="",NOT(ISNUMBER($R71))),"",$I71&amp;"|"&amp;(SUMPRODUCT(($I$6:$I$205=$I71)*ISNUMBER($R$6:$R$205)*($R$6:$R$205&gt;$R71))+SUMPRODUCT(($I$6:$I71=$I71)*ISNUMBER($R$6:$R71)*($R$6:$R71=$R71))))</f>
        <v/>
      </c>
      <c r="AM71" s="89" t="n">
        <f aca="false">IF(AND(ISNUMBER($R71),$W71&lt;&gt;"",$Z71&lt;&gt;"",$AB71="XIRR"),$R71*$W71,0)</f>
        <v>0</v>
      </c>
      <c r="AN71" s="89" t="n">
        <f aca="false">IF(AND(ISNUMBER($R71),$W71&lt;&gt;"",$Z71&lt;&gt;"",$AB71="XIRR"),$R71,0)</f>
        <v>0</v>
      </c>
      <c r="AO71" s="89" t="n">
        <f aca="false">IF(AND(ISNUMBER($R71),$W71&lt;&gt;"",$Z71&lt;&gt;"",$AB71="XIRR"),$R71*$Z71,0)</f>
        <v>0</v>
      </c>
      <c r="AP71" s="89" t="n">
        <f aca="false">IF(AND(ISNUMBER($M71),$Y71&lt;&gt;"",ISNUMBER($T71)),$M71*$Y71,0)</f>
        <v>0</v>
      </c>
      <c r="AQ71" s="89" t="n">
        <f aca="false">IF(AND(ISNUMBER($M71),$Y71&lt;&gt;"",ISNUMBER($T71)),$M71,0)</f>
        <v>0</v>
      </c>
    </row>
    <row r="72" customFormat="false" ht="15" hidden="false" customHeight="false" outlineLevel="0" collapsed="false">
      <c r="A72" s="77"/>
      <c r="B72" s="78"/>
      <c r="C72" s="78"/>
      <c r="D72" s="79" t="str">
        <f aca="false">IF($AI72="","",INDEX(Accounts!$C$6:$C$55,$AI72)&amp;"")</f>
        <v/>
      </c>
      <c r="E72" s="79" t="str">
        <f aca="false">IF($AI72="","",INDEX(Accounts!$F$6:$F$55,$AI72)&amp;"")</f>
        <v/>
      </c>
      <c r="F72" s="79" t="str">
        <f aca="false">IF($AJ72="","",INDEX(Securities!$B$6:$B$105,$AJ72)&amp;"")</f>
        <v/>
      </c>
      <c r="G72" s="79" t="str">
        <f aca="false">IF($AJ72="","",INDEX(Securities!$F$6:$F$105,$AJ72)&amp;"")</f>
        <v/>
      </c>
      <c r="H72" s="79" t="str">
        <f aca="false">IF($AJ72="","",INDEX(Securities!$E$6:$E$105,$AJ72)&amp;"")</f>
        <v/>
      </c>
      <c r="I72" s="79" t="str">
        <f aca="false">IF($AJ72="","",INDEX(Securities!$H$6:$H$105,$AJ72)&amp;"")</f>
        <v/>
      </c>
      <c r="J72" s="80"/>
      <c r="K72" s="80"/>
      <c r="L72" s="81"/>
      <c r="M72" s="82"/>
      <c r="N72" s="83" t="str">
        <f aca="false">IF(OR($L72="",$M72=""),"",IF(N($L72)=0,"",$M72/$L72))</f>
        <v/>
      </c>
      <c r="O72" s="84" t="str">
        <f aca="false">IF($AJ72="","",IF(INDEX(Securities!$O$6:$O$105,$AJ72)="","",INDEX(Securities!$O$6:$O$105,$AJ72)))</f>
        <v/>
      </c>
      <c r="P72" s="79" t="str">
        <f aca="false">IF($AJ72="","",INDEX(Securities!$N$6:$N$105,$AJ72)&amp;"")</f>
        <v/>
      </c>
      <c r="Q72" s="82"/>
      <c r="R72" s="85" t="str">
        <f aca="false">IF($C72="","",IF($Q72&lt;&gt;"",$Q72,IF($P72="At cost",IF($M72="","",$M72),IF(OR($O72="",$L72=""),"",$L72*$O72))))</f>
        <v/>
      </c>
      <c r="S72" s="85" t="str">
        <f aca="false">IF(OR(NOT(ISNUMBER($R72)),$M72=""),"",$R72-$M72)</f>
        <v/>
      </c>
      <c r="T72" s="86" t="str">
        <f aca="false">IF(OR($S72="",N($M72)=0),"",$S72/$M72)</f>
        <v/>
      </c>
      <c r="U72" s="82"/>
      <c r="V72" s="82"/>
      <c r="W72" s="87"/>
      <c r="X72" s="79" t="str">
        <f aca="false">IF($AJ72="","",INDEX(Securities!$L$6:$L$105,$AJ72)&amp;"")</f>
        <v/>
      </c>
      <c r="Y72" s="87"/>
      <c r="Z72" s="87"/>
      <c r="AA72" s="86" t="str">
        <f aca="false">IF(OR($W72="",$Z72=""),"",$W72-$Z72)</f>
        <v/>
      </c>
      <c r="AB72" s="79" t="str">
        <f aca="false">IF($C72="","",IF($P72="At cost","At cost",IF(NOT(ISNUMBER($J72)),"No date",IF(ValDate-$J72&lt;365,"Absolute",IF($W72="","XIRR missing","XIRR")))))</f>
        <v/>
      </c>
      <c r="AC72" s="86" t="str">
        <f aca="false">IF(NOT(ISNUMBER($R72)),"",IF(SUM($R$6:$R$205)=0,"",$R72/SUM($R$6:$R$205)))</f>
        <v/>
      </c>
      <c r="AD72" s="82"/>
      <c r="AE72" s="80"/>
      <c r="AF72" s="78"/>
      <c r="AG72" s="88" t="str">
        <f aca="false">IF($C72="","",IF(COUNTIFS('Tax Lots'!$B$6:$B$205,$B72,'Tax Lots'!$C$6:$C$205,$C72)=0,"",SUMIFS('Tax Lots'!$P$6:$P$205,'Tax Lots'!$B$6:$B$205,$B72,'Tax Lots'!$C$6:$C$205,$C72)))</f>
        <v/>
      </c>
      <c r="AH72" s="79" t="str">
        <f aca="false">IF($A72&amp;$B72&amp;$C72="","",IF($A72="","Missing ID",IF(COUNTIF($A$6:$A$205,$A72)&gt;1,"Duplicate ID",IF($AI72="","Unknown account",IF($AJ72="","Unknown security",IF(COUNTIFS($B$6:$B$205,$B72,$C$6:$C$205,$C72)&gt;1,"Same security twice in one account",IF(AND(ISNUMBER($J72),ISNUMBER($K72),N($K72)&lt;N($J72)),"Last date before first",IF(NOT(ISNUMBER($R72)),"No market value",IF(OR(N($J72)&gt;ValDate,N($K72)&gt;ValDate),"Date after valuation",IF(AND(ISNUMBER($AG72),ABS(N($L72)-N($AG72))&gt;0.001),"Lot quantity differs",IF(AND(ISNUMBER($AG72),ABS(N($M72)-SUMIFS('Tax Lots'!$Q$6:$Q$205,'Tax Lots'!$B$6:$B$205,$B72,'Tax Lots'!$C$6:$C$205,$C72))&gt;1),"Lot cost differs",IF(AND(ISNUMBER($AG72),ABS(N($V72)-SUMIFS('Tax Lots'!$AA$6:$AA$205,'Tax Lots'!$B$6:$B$205,$B72,'Tax Lots'!$C$6:$C$205,$C72))&gt;1),"Lot realised gain differs","OK"))))))))))))</f>
        <v/>
      </c>
      <c r="AI72" s="89" t="str">
        <f aca="false">IF($B72="","",IFERROR(MATCH($B72,Accounts!$A$6:$A$55,0),""))</f>
        <v/>
      </c>
      <c r="AJ72" s="89" t="str">
        <f aca="false">IF($C72="","",IFERROR(MATCH($C72,Securities!$A$6:$A$105,0),""))</f>
        <v/>
      </c>
      <c r="AK72" s="89" t="str">
        <f aca="false">IF($AI72="","",INDEX(Accounts!$B$6:$B$55,$AI72)&amp;"")</f>
        <v/>
      </c>
      <c r="AL72" s="89" t="str">
        <f aca="false">IF(OR($C72="",$I72="",NOT(ISNUMBER($R72))),"",$I72&amp;"|"&amp;(SUMPRODUCT(($I$6:$I$205=$I72)*ISNUMBER($R$6:$R$205)*($R$6:$R$205&gt;$R72))+SUMPRODUCT(($I$6:$I72=$I72)*ISNUMBER($R$6:$R72)*($R$6:$R72=$R72))))</f>
        <v/>
      </c>
      <c r="AM72" s="89" t="n">
        <f aca="false">IF(AND(ISNUMBER($R72),$W72&lt;&gt;"",$Z72&lt;&gt;"",$AB72="XIRR"),$R72*$W72,0)</f>
        <v>0</v>
      </c>
      <c r="AN72" s="89" t="n">
        <f aca="false">IF(AND(ISNUMBER($R72),$W72&lt;&gt;"",$Z72&lt;&gt;"",$AB72="XIRR"),$R72,0)</f>
        <v>0</v>
      </c>
      <c r="AO72" s="89" t="n">
        <f aca="false">IF(AND(ISNUMBER($R72),$W72&lt;&gt;"",$Z72&lt;&gt;"",$AB72="XIRR"),$R72*$Z72,0)</f>
        <v>0</v>
      </c>
      <c r="AP72" s="89" t="n">
        <f aca="false">IF(AND(ISNUMBER($M72),$Y72&lt;&gt;"",ISNUMBER($T72)),$M72*$Y72,0)</f>
        <v>0</v>
      </c>
      <c r="AQ72" s="89" t="n">
        <f aca="false">IF(AND(ISNUMBER($M72),$Y72&lt;&gt;"",ISNUMBER($T72)),$M72,0)</f>
        <v>0</v>
      </c>
    </row>
    <row r="73" customFormat="false" ht="15" hidden="false" customHeight="false" outlineLevel="0" collapsed="false">
      <c r="A73" s="77"/>
      <c r="B73" s="78"/>
      <c r="C73" s="78"/>
      <c r="D73" s="79" t="str">
        <f aca="false">IF($AI73="","",INDEX(Accounts!$C$6:$C$55,$AI73)&amp;"")</f>
        <v/>
      </c>
      <c r="E73" s="79" t="str">
        <f aca="false">IF($AI73="","",INDEX(Accounts!$F$6:$F$55,$AI73)&amp;"")</f>
        <v/>
      </c>
      <c r="F73" s="79" t="str">
        <f aca="false">IF($AJ73="","",INDEX(Securities!$B$6:$B$105,$AJ73)&amp;"")</f>
        <v/>
      </c>
      <c r="G73" s="79" t="str">
        <f aca="false">IF($AJ73="","",INDEX(Securities!$F$6:$F$105,$AJ73)&amp;"")</f>
        <v/>
      </c>
      <c r="H73" s="79" t="str">
        <f aca="false">IF($AJ73="","",INDEX(Securities!$E$6:$E$105,$AJ73)&amp;"")</f>
        <v/>
      </c>
      <c r="I73" s="79" t="str">
        <f aca="false">IF($AJ73="","",INDEX(Securities!$H$6:$H$105,$AJ73)&amp;"")</f>
        <v/>
      </c>
      <c r="J73" s="80"/>
      <c r="K73" s="80"/>
      <c r="L73" s="81"/>
      <c r="M73" s="82"/>
      <c r="N73" s="83" t="str">
        <f aca="false">IF(OR($L73="",$M73=""),"",IF(N($L73)=0,"",$M73/$L73))</f>
        <v/>
      </c>
      <c r="O73" s="84" t="str">
        <f aca="false">IF($AJ73="","",IF(INDEX(Securities!$O$6:$O$105,$AJ73)="","",INDEX(Securities!$O$6:$O$105,$AJ73)))</f>
        <v/>
      </c>
      <c r="P73" s="79" t="str">
        <f aca="false">IF($AJ73="","",INDEX(Securities!$N$6:$N$105,$AJ73)&amp;"")</f>
        <v/>
      </c>
      <c r="Q73" s="82"/>
      <c r="R73" s="85" t="str">
        <f aca="false">IF($C73="","",IF($Q73&lt;&gt;"",$Q73,IF($P73="At cost",IF($M73="","",$M73),IF(OR($O73="",$L73=""),"",$L73*$O73))))</f>
        <v/>
      </c>
      <c r="S73" s="85" t="str">
        <f aca="false">IF(OR(NOT(ISNUMBER($R73)),$M73=""),"",$R73-$M73)</f>
        <v/>
      </c>
      <c r="T73" s="86" t="str">
        <f aca="false">IF(OR($S73="",N($M73)=0),"",$S73/$M73)</f>
        <v/>
      </c>
      <c r="U73" s="82"/>
      <c r="V73" s="82"/>
      <c r="W73" s="87"/>
      <c r="X73" s="79" t="str">
        <f aca="false">IF($AJ73="","",INDEX(Securities!$L$6:$L$105,$AJ73)&amp;"")</f>
        <v/>
      </c>
      <c r="Y73" s="87"/>
      <c r="Z73" s="87"/>
      <c r="AA73" s="86" t="str">
        <f aca="false">IF(OR($W73="",$Z73=""),"",$W73-$Z73)</f>
        <v/>
      </c>
      <c r="AB73" s="79" t="str">
        <f aca="false">IF($C73="","",IF($P73="At cost","At cost",IF(NOT(ISNUMBER($J73)),"No date",IF(ValDate-$J73&lt;365,"Absolute",IF($W73="","XIRR missing","XIRR")))))</f>
        <v/>
      </c>
      <c r="AC73" s="86" t="str">
        <f aca="false">IF(NOT(ISNUMBER($R73)),"",IF(SUM($R$6:$R$205)=0,"",$R73/SUM($R$6:$R$205)))</f>
        <v/>
      </c>
      <c r="AD73" s="82"/>
      <c r="AE73" s="80"/>
      <c r="AF73" s="78"/>
      <c r="AG73" s="88" t="str">
        <f aca="false">IF($C73="","",IF(COUNTIFS('Tax Lots'!$B$6:$B$205,$B73,'Tax Lots'!$C$6:$C$205,$C73)=0,"",SUMIFS('Tax Lots'!$P$6:$P$205,'Tax Lots'!$B$6:$B$205,$B73,'Tax Lots'!$C$6:$C$205,$C73)))</f>
        <v/>
      </c>
      <c r="AH73" s="79" t="str">
        <f aca="false">IF($A73&amp;$B73&amp;$C73="","",IF($A73="","Missing ID",IF(COUNTIF($A$6:$A$205,$A73)&gt;1,"Duplicate ID",IF($AI73="","Unknown account",IF($AJ73="","Unknown security",IF(COUNTIFS($B$6:$B$205,$B73,$C$6:$C$205,$C73)&gt;1,"Same security twice in one account",IF(AND(ISNUMBER($J73),ISNUMBER($K73),N($K73)&lt;N($J73)),"Last date before first",IF(NOT(ISNUMBER($R73)),"No market value",IF(OR(N($J73)&gt;ValDate,N($K73)&gt;ValDate),"Date after valuation",IF(AND(ISNUMBER($AG73),ABS(N($L73)-N($AG73))&gt;0.001),"Lot quantity differs",IF(AND(ISNUMBER($AG73),ABS(N($M73)-SUMIFS('Tax Lots'!$Q$6:$Q$205,'Tax Lots'!$B$6:$B$205,$B73,'Tax Lots'!$C$6:$C$205,$C73))&gt;1),"Lot cost differs",IF(AND(ISNUMBER($AG73),ABS(N($V73)-SUMIFS('Tax Lots'!$AA$6:$AA$205,'Tax Lots'!$B$6:$B$205,$B73,'Tax Lots'!$C$6:$C$205,$C73))&gt;1),"Lot realised gain differs","OK"))))))))))))</f>
        <v/>
      </c>
      <c r="AI73" s="89" t="str">
        <f aca="false">IF($B73="","",IFERROR(MATCH($B73,Accounts!$A$6:$A$55,0),""))</f>
        <v/>
      </c>
      <c r="AJ73" s="89" t="str">
        <f aca="false">IF($C73="","",IFERROR(MATCH($C73,Securities!$A$6:$A$105,0),""))</f>
        <v/>
      </c>
      <c r="AK73" s="89" t="str">
        <f aca="false">IF($AI73="","",INDEX(Accounts!$B$6:$B$55,$AI73)&amp;"")</f>
        <v/>
      </c>
      <c r="AL73" s="89" t="str">
        <f aca="false">IF(OR($C73="",$I73="",NOT(ISNUMBER($R73))),"",$I73&amp;"|"&amp;(SUMPRODUCT(($I$6:$I$205=$I73)*ISNUMBER($R$6:$R$205)*($R$6:$R$205&gt;$R73))+SUMPRODUCT(($I$6:$I73=$I73)*ISNUMBER($R$6:$R73)*($R$6:$R73=$R73))))</f>
        <v/>
      </c>
      <c r="AM73" s="89" t="n">
        <f aca="false">IF(AND(ISNUMBER($R73),$W73&lt;&gt;"",$Z73&lt;&gt;"",$AB73="XIRR"),$R73*$W73,0)</f>
        <v>0</v>
      </c>
      <c r="AN73" s="89" t="n">
        <f aca="false">IF(AND(ISNUMBER($R73),$W73&lt;&gt;"",$Z73&lt;&gt;"",$AB73="XIRR"),$R73,0)</f>
        <v>0</v>
      </c>
      <c r="AO73" s="89" t="n">
        <f aca="false">IF(AND(ISNUMBER($R73),$W73&lt;&gt;"",$Z73&lt;&gt;"",$AB73="XIRR"),$R73*$Z73,0)</f>
        <v>0</v>
      </c>
      <c r="AP73" s="89" t="n">
        <f aca="false">IF(AND(ISNUMBER($M73),$Y73&lt;&gt;"",ISNUMBER($T73)),$M73*$Y73,0)</f>
        <v>0</v>
      </c>
      <c r="AQ73" s="89" t="n">
        <f aca="false">IF(AND(ISNUMBER($M73),$Y73&lt;&gt;"",ISNUMBER($T73)),$M73,0)</f>
        <v>0</v>
      </c>
    </row>
    <row r="74" customFormat="false" ht="15" hidden="false" customHeight="false" outlineLevel="0" collapsed="false">
      <c r="A74" s="77"/>
      <c r="B74" s="78"/>
      <c r="C74" s="78"/>
      <c r="D74" s="79" t="str">
        <f aca="false">IF($AI74="","",INDEX(Accounts!$C$6:$C$55,$AI74)&amp;"")</f>
        <v/>
      </c>
      <c r="E74" s="79" t="str">
        <f aca="false">IF($AI74="","",INDEX(Accounts!$F$6:$F$55,$AI74)&amp;"")</f>
        <v/>
      </c>
      <c r="F74" s="79" t="str">
        <f aca="false">IF($AJ74="","",INDEX(Securities!$B$6:$B$105,$AJ74)&amp;"")</f>
        <v/>
      </c>
      <c r="G74" s="79" t="str">
        <f aca="false">IF($AJ74="","",INDEX(Securities!$F$6:$F$105,$AJ74)&amp;"")</f>
        <v/>
      </c>
      <c r="H74" s="79" t="str">
        <f aca="false">IF($AJ74="","",INDEX(Securities!$E$6:$E$105,$AJ74)&amp;"")</f>
        <v/>
      </c>
      <c r="I74" s="79" t="str">
        <f aca="false">IF($AJ74="","",INDEX(Securities!$H$6:$H$105,$AJ74)&amp;"")</f>
        <v/>
      </c>
      <c r="J74" s="80"/>
      <c r="K74" s="80"/>
      <c r="L74" s="81"/>
      <c r="M74" s="82"/>
      <c r="N74" s="83" t="str">
        <f aca="false">IF(OR($L74="",$M74=""),"",IF(N($L74)=0,"",$M74/$L74))</f>
        <v/>
      </c>
      <c r="O74" s="84" t="str">
        <f aca="false">IF($AJ74="","",IF(INDEX(Securities!$O$6:$O$105,$AJ74)="","",INDEX(Securities!$O$6:$O$105,$AJ74)))</f>
        <v/>
      </c>
      <c r="P74" s="79" t="str">
        <f aca="false">IF($AJ74="","",INDEX(Securities!$N$6:$N$105,$AJ74)&amp;"")</f>
        <v/>
      </c>
      <c r="Q74" s="82"/>
      <c r="R74" s="85" t="str">
        <f aca="false">IF($C74="","",IF($Q74&lt;&gt;"",$Q74,IF($P74="At cost",IF($M74="","",$M74),IF(OR($O74="",$L74=""),"",$L74*$O74))))</f>
        <v/>
      </c>
      <c r="S74" s="85" t="str">
        <f aca="false">IF(OR(NOT(ISNUMBER($R74)),$M74=""),"",$R74-$M74)</f>
        <v/>
      </c>
      <c r="T74" s="86" t="str">
        <f aca="false">IF(OR($S74="",N($M74)=0),"",$S74/$M74)</f>
        <v/>
      </c>
      <c r="U74" s="82"/>
      <c r="V74" s="82"/>
      <c r="W74" s="87"/>
      <c r="X74" s="79" t="str">
        <f aca="false">IF($AJ74="","",INDEX(Securities!$L$6:$L$105,$AJ74)&amp;"")</f>
        <v/>
      </c>
      <c r="Y74" s="87"/>
      <c r="Z74" s="87"/>
      <c r="AA74" s="86" t="str">
        <f aca="false">IF(OR($W74="",$Z74=""),"",$W74-$Z74)</f>
        <v/>
      </c>
      <c r="AB74" s="79" t="str">
        <f aca="false">IF($C74="","",IF($P74="At cost","At cost",IF(NOT(ISNUMBER($J74)),"No date",IF(ValDate-$J74&lt;365,"Absolute",IF($W74="","XIRR missing","XIRR")))))</f>
        <v/>
      </c>
      <c r="AC74" s="86" t="str">
        <f aca="false">IF(NOT(ISNUMBER($R74)),"",IF(SUM($R$6:$R$205)=0,"",$R74/SUM($R$6:$R$205)))</f>
        <v/>
      </c>
      <c r="AD74" s="82"/>
      <c r="AE74" s="80"/>
      <c r="AF74" s="78"/>
      <c r="AG74" s="88" t="str">
        <f aca="false">IF($C74="","",IF(COUNTIFS('Tax Lots'!$B$6:$B$205,$B74,'Tax Lots'!$C$6:$C$205,$C74)=0,"",SUMIFS('Tax Lots'!$P$6:$P$205,'Tax Lots'!$B$6:$B$205,$B74,'Tax Lots'!$C$6:$C$205,$C74)))</f>
        <v/>
      </c>
      <c r="AH74" s="79" t="str">
        <f aca="false">IF($A74&amp;$B74&amp;$C74="","",IF($A74="","Missing ID",IF(COUNTIF($A$6:$A$205,$A74)&gt;1,"Duplicate ID",IF($AI74="","Unknown account",IF($AJ74="","Unknown security",IF(COUNTIFS($B$6:$B$205,$B74,$C$6:$C$205,$C74)&gt;1,"Same security twice in one account",IF(AND(ISNUMBER($J74),ISNUMBER($K74),N($K74)&lt;N($J74)),"Last date before first",IF(NOT(ISNUMBER($R74)),"No market value",IF(OR(N($J74)&gt;ValDate,N($K74)&gt;ValDate),"Date after valuation",IF(AND(ISNUMBER($AG74),ABS(N($L74)-N($AG74))&gt;0.001),"Lot quantity differs",IF(AND(ISNUMBER($AG74),ABS(N($M74)-SUMIFS('Tax Lots'!$Q$6:$Q$205,'Tax Lots'!$B$6:$B$205,$B74,'Tax Lots'!$C$6:$C$205,$C74))&gt;1),"Lot cost differs",IF(AND(ISNUMBER($AG74),ABS(N($V74)-SUMIFS('Tax Lots'!$AA$6:$AA$205,'Tax Lots'!$B$6:$B$205,$B74,'Tax Lots'!$C$6:$C$205,$C74))&gt;1),"Lot realised gain differs","OK"))))))))))))</f>
        <v/>
      </c>
      <c r="AI74" s="89" t="str">
        <f aca="false">IF($B74="","",IFERROR(MATCH($B74,Accounts!$A$6:$A$55,0),""))</f>
        <v/>
      </c>
      <c r="AJ74" s="89" t="str">
        <f aca="false">IF($C74="","",IFERROR(MATCH($C74,Securities!$A$6:$A$105,0),""))</f>
        <v/>
      </c>
      <c r="AK74" s="89" t="str">
        <f aca="false">IF($AI74="","",INDEX(Accounts!$B$6:$B$55,$AI74)&amp;"")</f>
        <v/>
      </c>
      <c r="AL74" s="89" t="str">
        <f aca="false">IF(OR($C74="",$I74="",NOT(ISNUMBER($R74))),"",$I74&amp;"|"&amp;(SUMPRODUCT(($I$6:$I$205=$I74)*ISNUMBER($R$6:$R$205)*($R$6:$R$205&gt;$R74))+SUMPRODUCT(($I$6:$I74=$I74)*ISNUMBER($R$6:$R74)*($R$6:$R74=$R74))))</f>
        <v/>
      </c>
      <c r="AM74" s="89" t="n">
        <f aca="false">IF(AND(ISNUMBER($R74),$W74&lt;&gt;"",$Z74&lt;&gt;"",$AB74="XIRR"),$R74*$W74,0)</f>
        <v>0</v>
      </c>
      <c r="AN74" s="89" t="n">
        <f aca="false">IF(AND(ISNUMBER($R74),$W74&lt;&gt;"",$Z74&lt;&gt;"",$AB74="XIRR"),$R74,0)</f>
        <v>0</v>
      </c>
      <c r="AO74" s="89" t="n">
        <f aca="false">IF(AND(ISNUMBER($R74),$W74&lt;&gt;"",$Z74&lt;&gt;"",$AB74="XIRR"),$R74*$Z74,0)</f>
        <v>0</v>
      </c>
      <c r="AP74" s="89" t="n">
        <f aca="false">IF(AND(ISNUMBER($M74),$Y74&lt;&gt;"",ISNUMBER($T74)),$M74*$Y74,0)</f>
        <v>0</v>
      </c>
      <c r="AQ74" s="89" t="n">
        <f aca="false">IF(AND(ISNUMBER($M74),$Y74&lt;&gt;"",ISNUMBER($T74)),$M74,0)</f>
        <v>0</v>
      </c>
    </row>
    <row r="75" customFormat="false" ht="15" hidden="false" customHeight="false" outlineLevel="0" collapsed="false">
      <c r="A75" s="77"/>
      <c r="B75" s="78"/>
      <c r="C75" s="78"/>
      <c r="D75" s="79" t="str">
        <f aca="false">IF($AI75="","",INDEX(Accounts!$C$6:$C$55,$AI75)&amp;"")</f>
        <v/>
      </c>
      <c r="E75" s="79" t="str">
        <f aca="false">IF($AI75="","",INDEX(Accounts!$F$6:$F$55,$AI75)&amp;"")</f>
        <v/>
      </c>
      <c r="F75" s="79" t="str">
        <f aca="false">IF($AJ75="","",INDEX(Securities!$B$6:$B$105,$AJ75)&amp;"")</f>
        <v/>
      </c>
      <c r="G75" s="79" t="str">
        <f aca="false">IF($AJ75="","",INDEX(Securities!$F$6:$F$105,$AJ75)&amp;"")</f>
        <v/>
      </c>
      <c r="H75" s="79" t="str">
        <f aca="false">IF($AJ75="","",INDEX(Securities!$E$6:$E$105,$AJ75)&amp;"")</f>
        <v/>
      </c>
      <c r="I75" s="79" t="str">
        <f aca="false">IF($AJ75="","",INDEX(Securities!$H$6:$H$105,$AJ75)&amp;"")</f>
        <v/>
      </c>
      <c r="J75" s="80"/>
      <c r="K75" s="80"/>
      <c r="L75" s="81"/>
      <c r="M75" s="82"/>
      <c r="N75" s="83" t="str">
        <f aca="false">IF(OR($L75="",$M75=""),"",IF(N($L75)=0,"",$M75/$L75))</f>
        <v/>
      </c>
      <c r="O75" s="84" t="str">
        <f aca="false">IF($AJ75="","",IF(INDEX(Securities!$O$6:$O$105,$AJ75)="","",INDEX(Securities!$O$6:$O$105,$AJ75)))</f>
        <v/>
      </c>
      <c r="P75" s="79" t="str">
        <f aca="false">IF($AJ75="","",INDEX(Securities!$N$6:$N$105,$AJ75)&amp;"")</f>
        <v/>
      </c>
      <c r="Q75" s="82"/>
      <c r="R75" s="85" t="str">
        <f aca="false">IF($C75="","",IF($Q75&lt;&gt;"",$Q75,IF($P75="At cost",IF($M75="","",$M75),IF(OR($O75="",$L75=""),"",$L75*$O75))))</f>
        <v/>
      </c>
      <c r="S75" s="85" t="str">
        <f aca="false">IF(OR(NOT(ISNUMBER($R75)),$M75=""),"",$R75-$M75)</f>
        <v/>
      </c>
      <c r="T75" s="86" t="str">
        <f aca="false">IF(OR($S75="",N($M75)=0),"",$S75/$M75)</f>
        <v/>
      </c>
      <c r="U75" s="82"/>
      <c r="V75" s="82"/>
      <c r="W75" s="87"/>
      <c r="X75" s="79" t="str">
        <f aca="false">IF($AJ75="","",INDEX(Securities!$L$6:$L$105,$AJ75)&amp;"")</f>
        <v/>
      </c>
      <c r="Y75" s="87"/>
      <c r="Z75" s="87"/>
      <c r="AA75" s="86" t="str">
        <f aca="false">IF(OR($W75="",$Z75=""),"",$W75-$Z75)</f>
        <v/>
      </c>
      <c r="AB75" s="79" t="str">
        <f aca="false">IF($C75="","",IF($P75="At cost","At cost",IF(NOT(ISNUMBER($J75)),"No date",IF(ValDate-$J75&lt;365,"Absolute",IF($W75="","XIRR missing","XIRR")))))</f>
        <v/>
      </c>
      <c r="AC75" s="86" t="str">
        <f aca="false">IF(NOT(ISNUMBER($R75)),"",IF(SUM($R$6:$R$205)=0,"",$R75/SUM($R$6:$R$205)))</f>
        <v/>
      </c>
      <c r="AD75" s="82"/>
      <c r="AE75" s="80"/>
      <c r="AF75" s="78"/>
      <c r="AG75" s="88" t="str">
        <f aca="false">IF($C75="","",IF(COUNTIFS('Tax Lots'!$B$6:$B$205,$B75,'Tax Lots'!$C$6:$C$205,$C75)=0,"",SUMIFS('Tax Lots'!$P$6:$P$205,'Tax Lots'!$B$6:$B$205,$B75,'Tax Lots'!$C$6:$C$205,$C75)))</f>
        <v/>
      </c>
      <c r="AH75" s="79" t="str">
        <f aca="false">IF($A75&amp;$B75&amp;$C75="","",IF($A75="","Missing ID",IF(COUNTIF($A$6:$A$205,$A75)&gt;1,"Duplicate ID",IF($AI75="","Unknown account",IF($AJ75="","Unknown security",IF(COUNTIFS($B$6:$B$205,$B75,$C$6:$C$205,$C75)&gt;1,"Same security twice in one account",IF(AND(ISNUMBER($J75),ISNUMBER($K75),N($K75)&lt;N($J75)),"Last date before first",IF(NOT(ISNUMBER($R75)),"No market value",IF(OR(N($J75)&gt;ValDate,N($K75)&gt;ValDate),"Date after valuation",IF(AND(ISNUMBER($AG75),ABS(N($L75)-N($AG75))&gt;0.001),"Lot quantity differs",IF(AND(ISNUMBER($AG75),ABS(N($M75)-SUMIFS('Tax Lots'!$Q$6:$Q$205,'Tax Lots'!$B$6:$B$205,$B75,'Tax Lots'!$C$6:$C$205,$C75))&gt;1),"Lot cost differs",IF(AND(ISNUMBER($AG75),ABS(N($V75)-SUMIFS('Tax Lots'!$AA$6:$AA$205,'Tax Lots'!$B$6:$B$205,$B75,'Tax Lots'!$C$6:$C$205,$C75))&gt;1),"Lot realised gain differs","OK"))))))))))))</f>
        <v/>
      </c>
      <c r="AI75" s="89" t="str">
        <f aca="false">IF($B75="","",IFERROR(MATCH($B75,Accounts!$A$6:$A$55,0),""))</f>
        <v/>
      </c>
      <c r="AJ75" s="89" t="str">
        <f aca="false">IF($C75="","",IFERROR(MATCH($C75,Securities!$A$6:$A$105,0),""))</f>
        <v/>
      </c>
      <c r="AK75" s="89" t="str">
        <f aca="false">IF($AI75="","",INDEX(Accounts!$B$6:$B$55,$AI75)&amp;"")</f>
        <v/>
      </c>
      <c r="AL75" s="89" t="str">
        <f aca="false">IF(OR($C75="",$I75="",NOT(ISNUMBER($R75))),"",$I75&amp;"|"&amp;(SUMPRODUCT(($I$6:$I$205=$I75)*ISNUMBER($R$6:$R$205)*($R$6:$R$205&gt;$R75))+SUMPRODUCT(($I$6:$I75=$I75)*ISNUMBER($R$6:$R75)*($R$6:$R75=$R75))))</f>
        <v/>
      </c>
      <c r="AM75" s="89" t="n">
        <f aca="false">IF(AND(ISNUMBER($R75),$W75&lt;&gt;"",$Z75&lt;&gt;"",$AB75="XIRR"),$R75*$W75,0)</f>
        <v>0</v>
      </c>
      <c r="AN75" s="89" t="n">
        <f aca="false">IF(AND(ISNUMBER($R75),$W75&lt;&gt;"",$Z75&lt;&gt;"",$AB75="XIRR"),$R75,0)</f>
        <v>0</v>
      </c>
      <c r="AO75" s="89" t="n">
        <f aca="false">IF(AND(ISNUMBER($R75),$W75&lt;&gt;"",$Z75&lt;&gt;"",$AB75="XIRR"),$R75*$Z75,0)</f>
        <v>0</v>
      </c>
      <c r="AP75" s="89" t="n">
        <f aca="false">IF(AND(ISNUMBER($M75),$Y75&lt;&gt;"",ISNUMBER($T75)),$M75*$Y75,0)</f>
        <v>0</v>
      </c>
      <c r="AQ75" s="89" t="n">
        <f aca="false">IF(AND(ISNUMBER($M75),$Y75&lt;&gt;"",ISNUMBER($T75)),$M75,0)</f>
        <v>0</v>
      </c>
    </row>
    <row r="76" customFormat="false" ht="15" hidden="false" customHeight="false" outlineLevel="0" collapsed="false">
      <c r="A76" s="77"/>
      <c r="B76" s="78"/>
      <c r="C76" s="78"/>
      <c r="D76" s="79" t="str">
        <f aca="false">IF($AI76="","",INDEX(Accounts!$C$6:$C$55,$AI76)&amp;"")</f>
        <v/>
      </c>
      <c r="E76" s="79" t="str">
        <f aca="false">IF($AI76="","",INDEX(Accounts!$F$6:$F$55,$AI76)&amp;"")</f>
        <v/>
      </c>
      <c r="F76" s="79" t="str">
        <f aca="false">IF($AJ76="","",INDEX(Securities!$B$6:$B$105,$AJ76)&amp;"")</f>
        <v/>
      </c>
      <c r="G76" s="79" t="str">
        <f aca="false">IF($AJ76="","",INDEX(Securities!$F$6:$F$105,$AJ76)&amp;"")</f>
        <v/>
      </c>
      <c r="H76" s="79" t="str">
        <f aca="false">IF($AJ76="","",INDEX(Securities!$E$6:$E$105,$AJ76)&amp;"")</f>
        <v/>
      </c>
      <c r="I76" s="79" t="str">
        <f aca="false">IF($AJ76="","",INDEX(Securities!$H$6:$H$105,$AJ76)&amp;"")</f>
        <v/>
      </c>
      <c r="J76" s="80"/>
      <c r="K76" s="80"/>
      <c r="L76" s="81"/>
      <c r="M76" s="82"/>
      <c r="N76" s="83" t="str">
        <f aca="false">IF(OR($L76="",$M76=""),"",IF(N($L76)=0,"",$M76/$L76))</f>
        <v/>
      </c>
      <c r="O76" s="84" t="str">
        <f aca="false">IF($AJ76="","",IF(INDEX(Securities!$O$6:$O$105,$AJ76)="","",INDEX(Securities!$O$6:$O$105,$AJ76)))</f>
        <v/>
      </c>
      <c r="P76" s="79" t="str">
        <f aca="false">IF($AJ76="","",INDEX(Securities!$N$6:$N$105,$AJ76)&amp;"")</f>
        <v/>
      </c>
      <c r="Q76" s="82"/>
      <c r="R76" s="85" t="str">
        <f aca="false">IF($C76="","",IF($Q76&lt;&gt;"",$Q76,IF($P76="At cost",IF($M76="","",$M76),IF(OR($O76="",$L76=""),"",$L76*$O76))))</f>
        <v/>
      </c>
      <c r="S76" s="85" t="str">
        <f aca="false">IF(OR(NOT(ISNUMBER($R76)),$M76=""),"",$R76-$M76)</f>
        <v/>
      </c>
      <c r="T76" s="86" t="str">
        <f aca="false">IF(OR($S76="",N($M76)=0),"",$S76/$M76)</f>
        <v/>
      </c>
      <c r="U76" s="82"/>
      <c r="V76" s="82"/>
      <c r="W76" s="87"/>
      <c r="X76" s="79" t="str">
        <f aca="false">IF($AJ76="","",INDEX(Securities!$L$6:$L$105,$AJ76)&amp;"")</f>
        <v/>
      </c>
      <c r="Y76" s="87"/>
      <c r="Z76" s="87"/>
      <c r="AA76" s="86" t="str">
        <f aca="false">IF(OR($W76="",$Z76=""),"",$W76-$Z76)</f>
        <v/>
      </c>
      <c r="AB76" s="79" t="str">
        <f aca="false">IF($C76="","",IF($P76="At cost","At cost",IF(NOT(ISNUMBER($J76)),"No date",IF(ValDate-$J76&lt;365,"Absolute",IF($W76="","XIRR missing","XIRR")))))</f>
        <v/>
      </c>
      <c r="AC76" s="86" t="str">
        <f aca="false">IF(NOT(ISNUMBER($R76)),"",IF(SUM($R$6:$R$205)=0,"",$R76/SUM($R$6:$R$205)))</f>
        <v/>
      </c>
      <c r="AD76" s="82"/>
      <c r="AE76" s="80"/>
      <c r="AF76" s="78"/>
      <c r="AG76" s="88" t="str">
        <f aca="false">IF($C76="","",IF(COUNTIFS('Tax Lots'!$B$6:$B$205,$B76,'Tax Lots'!$C$6:$C$205,$C76)=0,"",SUMIFS('Tax Lots'!$P$6:$P$205,'Tax Lots'!$B$6:$B$205,$B76,'Tax Lots'!$C$6:$C$205,$C76)))</f>
        <v/>
      </c>
      <c r="AH76" s="79" t="str">
        <f aca="false">IF($A76&amp;$B76&amp;$C76="","",IF($A76="","Missing ID",IF(COUNTIF($A$6:$A$205,$A76)&gt;1,"Duplicate ID",IF($AI76="","Unknown account",IF($AJ76="","Unknown security",IF(COUNTIFS($B$6:$B$205,$B76,$C$6:$C$205,$C76)&gt;1,"Same security twice in one account",IF(AND(ISNUMBER($J76),ISNUMBER($K76),N($K76)&lt;N($J76)),"Last date before first",IF(NOT(ISNUMBER($R76)),"No market value",IF(OR(N($J76)&gt;ValDate,N($K76)&gt;ValDate),"Date after valuation",IF(AND(ISNUMBER($AG76),ABS(N($L76)-N($AG76))&gt;0.001),"Lot quantity differs",IF(AND(ISNUMBER($AG76),ABS(N($M76)-SUMIFS('Tax Lots'!$Q$6:$Q$205,'Tax Lots'!$B$6:$B$205,$B76,'Tax Lots'!$C$6:$C$205,$C76))&gt;1),"Lot cost differs",IF(AND(ISNUMBER($AG76),ABS(N($V76)-SUMIFS('Tax Lots'!$AA$6:$AA$205,'Tax Lots'!$B$6:$B$205,$B76,'Tax Lots'!$C$6:$C$205,$C76))&gt;1),"Lot realised gain differs","OK"))))))))))))</f>
        <v/>
      </c>
      <c r="AI76" s="89" t="str">
        <f aca="false">IF($B76="","",IFERROR(MATCH($B76,Accounts!$A$6:$A$55,0),""))</f>
        <v/>
      </c>
      <c r="AJ76" s="89" t="str">
        <f aca="false">IF($C76="","",IFERROR(MATCH($C76,Securities!$A$6:$A$105,0),""))</f>
        <v/>
      </c>
      <c r="AK76" s="89" t="str">
        <f aca="false">IF($AI76="","",INDEX(Accounts!$B$6:$B$55,$AI76)&amp;"")</f>
        <v/>
      </c>
      <c r="AL76" s="89" t="str">
        <f aca="false">IF(OR($C76="",$I76="",NOT(ISNUMBER($R76))),"",$I76&amp;"|"&amp;(SUMPRODUCT(($I$6:$I$205=$I76)*ISNUMBER($R$6:$R$205)*($R$6:$R$205&gt;$R76))+SUMPRODUCT(($I$6:$I76=$I76)*ISNUMBER($R$6:$R76)*($R$6:$R76=$R76))))</f>
        <v/>
      </c>
      <c r="AM76" s="89" t="n">
        <f aca="false">IF(AND(ISNUMBER($R76),$W76&lt;&gt;"",$Z76&lt;&gt;"",$AB76="XIRR"),$R76*$W76,0)</f>
        <v>0</v>
      </c>
      <c r="AN76" s="89" t="n">
        <f aca="false">IF(AND(ISNUMBER($R76),$W76&lt;&gt;"",$Z76&lt;&gt;"",$AB76="XIRR"),$R76,0)</f>
        <v>0</v>
      </c>
      <c r="AO76" s="89" t="n">
        <f aca="false">IF(AND(ISNUMBER($R76),$W76&lt;&gt;"",$Z76&lt;&gt;"",$AB76="XIRR"),$R76*$Z76,0)</f>
        <v>0</v>
      </c>
      <c r="AP76" s="89" t="n">
        <f aca="false">IF(AND(ISNUMBER($M76),$Y76&lt;&gt;"",ISNUMBER($T76)),$M76*$Y76,0)</f>
        <v>0</v>
      </c>
      <c r="AQ76" s="89" t="n">
        <f aca="false">IF(AND(ISNUMBER($M76),$Y76&lt;&gt;"",ISNUMBER($T76)),$M76,0)</f>
        <v>0</v>
      </c>
    </row>
    <row r="77" customFormat="false" ht="15" hidden="false" customHeight="false" outlineLevel="0" collapsed="false">
      <c r="A77" s="77"/>
      <c r="B77" s="78"/>
      <c r="C77" s="78"/>
      <c r="D77" s="79" t="str">
        <f aca="false">IF($AI77="","",INDEX(Accounts!$C$6:$C$55,$AI77)&amp;"")</f>
        <v/>
      </c>
      <c r="E77" s="79" t="str">
        <f aca="false">IF($AI77="","",INDEX(Accounts!$F$6:$F$55,$AI77)&amp;"")</f>
        <v/>
      </c>
      <c r="F77" s="79" t="str">
        <f aca="false">IF($AJ77="","",INDEX(Securities!$B$6:$B$105,$AJ77)&amp;"")</f>
        <v/>
      </c>
      <c r="G77" s="79" t="str">
        <f aca="false">IF($AJ77="","",INDEX(Securities!$F$6:$F$105,$AJ77)&amp;"")</f>
        <v/>
      </c>
      <c r="H77" s="79" t="str">
        <f aca="false">IF($AJ77="","",INDEX(Securities!$E$6:$E$105,$AJ77)&amp;"")</f>
        <v/>
      </c>
      <c r="I77" s="79" t="str">
        <f aca="false">IF($AJ77="","",INDEX(Securities!$H$6:$H$105,$AJ77)&amp;"")</f>
        <v/>
      </c>
      <c r="J77" s="80"/>
      <c r="K77" s="80"/>
      <c r="L77" s="81"/>
      <c r="M77" s="82"/>
      <c r="N77" s="83" t="str">
        <f aca="false">IF(OR($L77="",$M77=""),"",IF(N($L77)=0,"",$M77/$L77))</f>
        <v/>
      </c>
      <c r="O77" s="84" t="str">
        <f aca="false">IF($AJ77="","",IF(INDEX(Securities!$O$6:$O$105,$AJ77)="","",INDEX(Securities!$O$6:$O$105,$AJ77)))</f>
        <v/>
      </c>
      <c r="P77" s="79" t="str">
        <f aca="false">IF($AJ77="","",INDEX(Securities!$N$6:$N$105,$AJ77)&amp;"")</f>
        <v/>
      </c>
      <c r="Q77" s="82"/>
      <c r="R77" s="85" t="str">
        <f aca="false">IF($C77="","",IF($Q77&lt;&gt;"",$Q77,IF($P77="At cost",IF($M77="","",$M77),IF(OR($O77="",$L77=""),"",$L77*$O77))))</f>
        <v/>
      </c>
      <c r="S77" s="85" t="str">
        <f aca="false">IF(OR(NOT(ISNUMBER($R77)),$M77=""),"",$R77-$M77)</f>
        <v/>
      </c>
      <c r="T77" s="86" t="str">
        <f aca="false">IF(OR($S77="",N($M77)=0),"",$S77/$M77)</f>
        <v/>
      </c>
      <c r="U77" s="82"/>
      <c r="V77" s="82"/>
      <c r="W77" s="87"/>
      <c r="X77" s="79" t="str">
        <f aca="false">IF($AJ77="","",INDEX(Securities!$L$6:$L$105,$AJ77)&amp;"")</f>
        <v/>
      </c>
      <c r="Y77" s="87"/>
      <c r="Z77" s="87"/>
      <c r="AA77" s="86" t="str">
        <f aca="false">IF(OR($W77="",$Z77=""),"",$W77-$Z77)</f>
        <v/>
      </c>
      <c r="AB77" s="79" t="str">
        <f aca="false">IF($C77="","",IF($P77="At cost","At cost",IF(NOT(ISNUMBER($J77)),"No date",IF(ValDate-$J77&lt;365,"Absolute",IF($W77="","XIRR missing","XIRR")))))</f>
        <v/>
      </c>
      <c r="AC77" s="86" t="str">
        <f aca="false">IF(NOT(ISNUMBER($R77)),"",IF(SUM($R$6:$R$205)=0,"",$R77/SUM($R$6:$R$205)))</f>
        <v/>
      </c>
      <c r="AD77" s="82"/>
      <c r="AE77" s="80"/>
      <c r="AF77" s="78"/>
      <c r="AG77" s="88" t="str">
        <f aca="false">IF($C77="","",IF(COUNTIFS('Tax Lots'!$B$6:$B$205,$B77,'Tax Lots'!$C$6:$C$205,$C77)=0,"",SUMIFS('Tax Lots'!$P$6:$P$205,'Tax Lots'!$B$6:$B$205,$B77,'Tax Lots'!$C$6:$C$205,$C77)))</f>
        <v/>
      </c>
      <c r="AH77" s="79" t="str">
        <f aca="false">IF($A77&amp;$B77&amp;$C77="","",IF($A77="","Missing ID",IF(COUNTIF($A$6:$A$205,$A77)&gt;1,"Duplicate ID",IF($AI77="","Unknown account",IF($AJ77="","Unknown security",IF(COUNTIFS($B$6:$B$205,$B77,$C$6:$C$205,$C77)&gt;1,"Same security twice in one account",IF(AND(ISNUMBER($J77),ISNUMBER($K77),N($K77)&lt;N($J77)),"Last date before first",IF(NOT(ISNUMBER($R77)),"No market value",IF(OR(N($J77)&gt;ValDate,N($K77)&gt;ValDate),"Date after valuation",IF(AND(ISNUMBER($AG77),ABS(N($L77)-N($AG77))&gt;0.001),"Lot quantity differs",IF(AND(ISNUMBER($AG77),ABS(N($M77)-SUMIFS('Tax Lots'!$Q$6:$Q$205,'Tax Lots'!$B$6:$B$205,$B77,'Tax Lots'!$C$6:$C$205,$C77))&gt;1),"Lot cost differs",IF(AND(ISNUMBER($AG77),ABS(N($V77)-SUMIFS('Tax Lots'!$AA$6:$AA$205,'Tax Lots'!$B$6:$B$205,$B77,'Tax Lots'!$C$6:$C$205,$C77))&gt;1),"Lot realised gain differs","OK"))))))))))))</f>
        <v/>
      </c>
      <c r="AI77" s="89" t="str">
        <f aca="false">IF($B77="","",IFERROR(MATCH($B77,Accounts!$A$6:$A$55,0),""))</f>
        <v/>
      </c>
      <c r="AJ77" s="89" t="str">
        <f aca="false">IF($C77="","",IFERROR(MATCH($C77,Securities!$A$6:$A$105,0),""))</f>
        <v/>
      </c>
      <c r="AK77" s="89" t="str">
        <f aca="false">IF($AI77="","",INDEX(Accounts!$B$6:$B$55,$AI77)&amp;"")</f>
        <v/>
      </c>
      <c r="AL77" s="89" t="str">
        <f aca="false">IF(OR($C77="",$I77="",NOT(ISNUMBER($R77))),"",$I77&amp;"|"&amp;(SUMPRODUCT(($I$6:$I$205=$I77)*ISNUMBER($R$6:$R$205)*($R$6:$R$205&gt;$R77))+SUMPRODUCT(($I$6:$I77=$I77)*ISNUMBER($R$6:$R77)*($R$6:$R77=$R77))))</f>
        <v/>
      </c>
      <c r="AM77" s="89" t="n">
        <f aca="false">IF(AND(ISNUMBER($R77),$W77&lt;&gt;"",$Z77&lt;&gt;"",$AB77="XIRR"),$R77*$W77,0)</f>
        <v>0</v>
      </c>
      <c r="AN77" s="89" t="n">
        <f aca="false">IF(AND(ISNUMBER($R77),$W77&lt;&gt;"",$Z77&lt;&gt;"",$AB77="XIRR"),$R77,0)</f>
        <v>0</v>
      </c>
      <c r="AO77" s="89" t="n">
        <f aca="false">IF(AND(ISNUMBER($R77),$W77&lt;&gt;"",$Z77&lt;&gt;"",$AB77="XIRR"),$R77*$Z77,0)</f>
        <v>0</v>
      </c>
      <c r="AP77" s="89" t="n">
        <f aca="false">IF(AND(ISNUMBER($M77),$Y77&lt;&gt;"",ISNUMBER($T77)),$M77*$Y77,0)</f>
        <v>0</v>
      </c>
      <c r="AQ77" s="89" t="n">
        <f aca="false">IF(AND(ISNUMBER($M77),$Y77&lt;&gt;"",ISNUMBER($T77)),$M77,0)</f>
        <v>0</v>
      </c>
    </row>
    <row r="78" customFormat="false" ht="15" hidden="false" customHeight="false" outlineLevel="0" collapsed="false">
      <c r="A78" s="77"/>
      <c r="B78" s="78"/>
      <c r="C78" s="78"/>
      <c r="D78" s="79" t="str">
        <f aca="false">IF($AI78="","",INDEX(Accounts!$C$6:$C$55,$AI78)&amp;"")</f>
        <v/>
      </c>
      <c r="E78" s="79" t="str">
        <f aca="false">IF($AI78="","",INDEX(Accounts!$F$6:$F$55,$AI78)&amp;"")</f>
        <v/>
      </c>
      <c r="F78" s="79" t="str">
        <f aca="false">IF($AJ78="","",INDEX(Securities!$B$6:$B$105,$AJ78)&amp;"")</f>
        <v/>
      </c>
      <c r="G78" s="79" t="str">
        <f aca="false">IF($AJ78="","",INDEX(Securities!$F$6:$F$105,$AJ78)&amp;"")</f>
        <v/>
      </c>
      <c r="H78" s="79" t="str">
        <f aca="false">IF($AJ78="","",INDEX(Securities!$E$6:$E$105,$AJ78)&amp;"")</f>
        <v/>
      </c>
      <c r="I78" s="79" t="str">
        <f aca="false">IF($AJ78="","",INDEX(Securities!$H$6:$H$105,$AJ78)&amp;"")</f>
        <v/>
      </c>
      <c r="J78" s="80"/>
      <c r="K78" s="80"/>
      <c r="L78" s="81"/>
      <c r="M78" s="82"/>
      <c r="N78" s="83" t="str">
        <f aca="false">IF(OR($L78="",$M78=""),"",IF(N($L78)=0,"",$M78/$L78))</f>
        <v/>
      </c>
      <c r="O78" s="84" t="str">
        <f aca="false">IF($AJ78="","",IF(INDEX(Securities!$O$6:$O$105,$AJ78)="","",INDEX(Securities!$O$6:$O$105,$AJ78)))</f>
        <v/>
      </c>
      <c r="P78" s="79" t="str">
        <f aca="false">IF($AJ78="","",INDEX(Securities!$N$6:$N$105,$AJ78)&amp;"")</f>
        <v/>
      </c>
      <c r="Q78" s="82"/>
      <c r="R78" s="85" t="str">
        <f aca="false">IF($C78="","",IF($Q78&lt;&gt;"",$Q78,IF($P78="At cost",IF($M78="","",$M78),IF(OR($O78="",$L78=""),"",$L78*$O78))))</f>
        <v/>
      </c>
      <c r="S78" s="85" t="str">
        <f aca="false">IF(OR(NOT(ISNUMBER($R78)),$M78=""),"",$R78-$M78)</f>
        <v/>
      </c>
      <c r="T78" s="86" t="str">
        <f aca="false">IF(OR($S78="",N($M78)=0),"",$S78/$M78)</f>
        <v/>
      </c>
      <c r="U78" s="82"/>
      <c r="V78" s="82"/>
      <c r="W78" s="87"/>
      <c r="X78" s="79" t="str">
        <f aca="false">IF($AJ78="","",INDEX(Securities!$L$6:$L$105,$AJ78)&amp;"")</f>
        <v/>
      </c>
      <c r="Y78" s="87"/>
      <c r="Z78" s="87"/>
      <c r="AA78" s="86" t="str">
        <f aca="false">IF(OR($W78="",$Z78=""),"",$W78-$Z78)</f>
        <v/>
      </c>
      <c r="AB78" s="79" t="str">
        <f aca="false">IF($C78="","",IF($P78="At cost","At cost",IF(NOT(ISNUMBER($J78)),"No date",IF(ValDate-$J78&lt;365,"Absolute",IF($W78="","XIRR missing","XIRR")))))</f>
        <v/>
      </c>
      <c r="AC78" s="86" t="str">
        <f aca="false">IF(NOT(ISNUMBER($R78)),"",IF(SUM($R$6:$R$205)=0,"",$R78/SUM($R$6:$R$205)))</f>
        <v/>
      </c>
      <c r="AD78" s="82"/>
      <c r="AE78" s="80"/>
      <c r="AF78" s="78"/>
      <c r="AG78" s="88" t="str">
        <f aca="false">IF($C78="","",IF(COUNTIFS('Tax Lots'!$B$6:$B$205,$B78,'Tax Lots'!$C$6:$C$205,$C78)=0,"",SUMIFS('Tax Lots'!$P$6:$P$205,'Tax Lots'!$B$6:$B$205,$B78,'Tax Lots'!$C$6:$C$205,$C78)))</f>
        <v/>
      </c>
      <c r="AH78" s="79" t="str">
        <f aca="false">IF($A78&amp;$B78&amp;$C78="","",IF($A78="","Missing ID",IF(COUNTIF($A$6:$A$205,$A78)&gt;1,"Duplicate ID",IF($AI78="","Unknown account",IF($AJ78="","Unknown security",IF(COUNTIFS($B$6:$B$205,$B78,$C$6:$C$205,$C78)&gt;1,"Same security twice in one account",IF(AND(ISNUMBER($J78),ISNUMBER($K78),N($K78)&lt;N($J78)),"Last date before first",IF(NOT(ISNUMBER($R78)),"No market value",IF(OR(N($J78)&gt;ValDate,N($K78)&gt;ValDate),"Date after valuation",IF(AND(ISNUMBER($AG78),ABS(N($L78)-N($AG78))&gt;0.001),"Lot quantity differs",IF(AND(ISNUMBER($AG78),ABS(N($M78)-SUMIFS('Tax Lots'!$Q$6:$Q$205,'Tax Lots'!$B$6:$B$205,$B78,'Tax Lots'!$C$6:$C$205,$C78))&gt;1),"Lot cost differs",IF(AND(ISNUMBER($AG78),ABS(N($V78)-SUMIFS('Tax Lots'!$AA$6:$AA$205,'Tax Lots'!$B$6:$B$205,$B78,'Tax Lots'!$C$6:$C$205,$C78))&gt;1),"Lot realised gain differs","OK"))))))))))))</f>
        <v/>
      </c>
      <c r="AI78" s="89" t="str">
        <f aca="false">IF($B78="","",IFERROR(MATCH($B78,Accounts!$A$6:$A$55,0),""))</f>
        <v/>
      </c>
      <c r="AJ78" s="89" t="str">
        <f aca="false">IF($C78="","",IFERROR(MATCH($C78,Securities!$A$6:$A$105,0),""))</f>
        <v/>
      </c>
      <c r="AK78" s="89" t="str">
        <f aca="false">IF($AI78="","",INDEX(Accounts!$B$6:$B$55,$AI78)&amp;"")</f>
        <v/>
      </c>
      <c r="AL78" s="89" t="str">
        <f aca="false">IF(OR($C78="",$I78="",NOT(ISNUMBER($R78))),"",$I78&amp;"|"&amp;(SUMPRODUCT(($I$6:$I$205=$I78)*ISNUMBER($R$6:$R$205)*($R$6:$R$205&gt;$R78))+SUMPRODUCT(($I$6:$I78=$I78)*ISNUMBER($R$6:$R78)*($R$6:$R78=$R78))))</f>
        <v/>
      </c>
      <c r="AM78" s="89" t="n">
        <f aca="false">IF(AND(ISNUMBER($R78),$W78&lt;&gt;"",$Z78&lt;&gt;"",$AB78="XIRR"),$R78*$W78,0)</f>
        <v>0</v>
      </c>
      <c r="AN78" s="89" t="n">
        <f aca="false">IF(AND(ISNUMBER($R78),$W78&lt;&gt;"",$Z78&lt;&gt;"",$AB78="XIRR"),$R78,0)</f>
        <v>0</v>
      </c>
      <c r="AO78" s="89" t="n">
        <f aca="false">IF(AND(ISNUMBER($R78),$W78&lt;&gt;"",$Z78&lt;&gt;"",$AB78="XIRR"),$R78*$Z78,0)</f>
        <v>0</v>
      </c>
      <c r="AP78" s="89" t="n">
        <f aca="false">IF(AND(ISNUMBER($M78),$Y78&lt;&gt;"",ISNUMBER($T78)),$M78*$Y78,0)</f>
        <v>0</v>
      </c>
      <c r="AQ78" s="89" t="n">
        <f aca="false">IF(AND(ISNUMBER($M78),$Y78&lt;&gt;"",ISNUMBER($T78)),$M78,0)</f>
        <v>0</v>
      </c>
    </row>
    <row r="79" customFormat="false" ht="15" hidden="false" customHeight="false" outlineLevel="0" collapsed="false">
      <c r="A79" s="77"/>
      <c r="B79" s="78"/>
      <c r="C79" s="78"/>
      <c r="D79" s="79" t="str">
        <f aca="false">IF($AI79="","",INDEX(Accounts!$C$6:$C$55,$AI79)&amp;"")</f>
        <v/>
      </c>
      <c r="E79" s="79" t="str">
        <f aca="false">IF($AI79="","",INDEX(Accounts!$F$6:$F$55,$AI79)&amp;"")</f>
        <v/>
      </c>
      <c r="F79" s="79" t="str">
        <f aca="false">IF($AJ79="","",INDEX(Securities!$B$6:$B$105,$AJ79)&amp;"")</f>
        <v/>
      </c>
      <c r="G79" s="79" t="str">
        <f aca="false">IF($AJ79="","",INDEX(Securities!$F$6:$F$105,$AJ79)&amp;"")</f>
        <v/>
      </c>
      <c r="H79" s="79" t="str">
        <f aca="false">IF($AJ79="","",INDEX(Securities!$E$6:$E$105,$AJ79)&amp;"")</f>
        <v/>
      </c>
      <c r="I79" s="79" t="str">
        <f aca="false">IF($AJ79="","",INDEX(Securities!$H$6:$H$105,$AJ79)&amp;"")</f>
        <v/>
      </c>
      <c r="J79" s="80"/>
      <c r="K79" s="80"/>
      <c r="L79" s="81"/>
      <c r="M79" s="82"/>
      <c r="N79" s="83" t="str">
        <f aca="false">IF(OR($L79="",$M79=""),"",IF(N($L79)=0,"",$M79/$L79))</f>
        <v/>
      </c>
      <c r="O79" s="84" t="str">
        <f aca="false">IF($AJ79="","",IF(INDEX(Securities!$O$6:$O$105,$AJ79)="","",INDEX(Securities!$O$6:$O$105,$AJ79)))</f>
        <v/>
      </c>
      <c r="P79" s="79" t="str">
        <f aca="false">IF($AJ79="","",INDEX(Securities!$N$6:$N$105,$AJ79)&amp;"")</f>
        <v/>
      </c>
      <c r="Q79" s="82"/>
      <c r="R79" s="85" t="str">
        <f aca="false">IF($C79="","",IF($Q79&lt;&gt;"",$Q79,IF($P79="At cost",IF($M79="","",$M79),IF(OR($O79="",$L79=""),"",$L79*$O79))))</f>
        <v/>
      </c>
      <c r="S79" s="85" t="str">
        <f aca="false">IF(OR(NOT(ISNUMBER($R79)),$M79=""),"",$R79-$M79)</f>
        <v/>
      </c>
      <c r="T79" s="86" t="str">
        <f aca="false">IF(OR($S79="",N($M79)=0),"",$S79/$M79)</f>
        <v/>
      </c>
      <c r="U79" s="82"/>
      <c r="V79" s="82"/>
      <c r="W79" s="87"/>
      <c r="X79" s="79" t="str">
        <f aca="false">IF($AJ79="","",INDEX(Securities!$L$6:$L$105,$AJ79)&amp;"")</f>
        <v/>
      </c>
      <c r="Y79" s="87"/>
      <c r="Z79" s="87"/>
      <c r="AA79" s="86" t="str">
        <f aca="false">IF(OR($W79="",$Z79=""),"",$W79-$Z79)</f>
        <v/>
      </c>
      <c r="AB79" s="79" t="str">
        <f aca="false">IF($C79="","",IF($P79="At cost","At cost",IF(NOT(ISNUMBER($J79)),"No date",IF(ValDate-$J79&lt;365,"Absolute",IF($W79="","XIRR missing","XIRR")))))</f>
        <v/>
      </c>
      <c r="AC79" s="86" t="str">
        <f aca="false">IF(NOT(ISNUMBER($R79)),"",IF(SUM($R$6:$R$205)=0,"",$R79/SUM($R$6:$R$205)))</f>
        <v/>
      </c>
      <c r="AD79" s="82"/>
      <c r="AE79" s="80"/>
      <c r="AF79" s="78"/>
      <c r="AG79" s="88" t="str">
        <f aca="false">IF($C79="","",IF(COUNTIFS('Tax Lots'!$B$6:$B$205,$B79,'Tax Lots'!$C$6:$C$205,$C79)=0,"",SUMIFS('Tax Lots'!$P$6:$P$205,'Tax Lots'!$B$6:$B$205,$B79,'Tax Lots'!$C$6:$C$205,$C79)))</f>
        <v/>
      </c>
      <c r="AH79" s="79" t="str">
        <f aca="false">IF($A79&amp;$B79&amp;$C79="","",IF($A79="","Missing ID",IF(COUNTIF($A$6:$A$205,$A79)&gt;1,"Duplicate ID",IF($AI79="","Unknown account",IF($AJ79="","Unknown security",IF(COUNTIFS($B$6:$B$205,$B79,$C$6:$C$205,$C79)&gt;1,"Same security twice in one account",IF(AND(ISNUMBER($J79),ISNUMBER($K79),N($K79)&lt;N($J79)),"Last date before first",IF(NOT(ISNUMBER($R79)),"No market value",IF(OR(N($J79)&gt;ValDate,N($K79)&gt;ValDate),"Date after valuation",IF(AND(ISNUMBER($AG79),ABS(N($L79)-N($AG79))&gt;0.001),"Lot quantity differs",IF(AND(ISNUMBER($AG79),ABS(N($M79)-SUMIFS('Tax Lots'!$Q$6:$Q$205,'Tax Lots'!$B$6:$B$205,$B79,'Tax Lots'!$C$6:$C$205,$C79))&gt;1),"Lot cost differs",IF(AND(ISNUMBER($AG79),ABS(N($V79)-SUMIFS('Tax Lots'!$AA$6:$AA$205,'Tax Lots'!$B$6:$B$205,$B79,'Tax Lots'!$C$6:$C$205,$C79))&gt;1),"Lot realised gain differs","OK"))))))))))))</f>
        <v/>
      </c>
      <c r="AI79" s="89" t="str">
        <f aca="false">IF($B79="","",IFERROR(MATCH($B79,Accounts!$A$6:$A$55,0),""))</f>
        <v/>
      </c>
      <c r="AJ79" s="89" t="str">
        <f aca="false">IF($C79="","",IFERROR(MATCH($C79,Securities!$A$6:$A$105,0),""))</f>
        <v/>
      </c>
      <c r="AK79" s="89" t="str">
        <f aca="false">IF($AI79="","",INDEX(Accounts!$B$6:$B$55,$AI79)&amp;"")</f>
        <v/>
      </c>
      <c r="AL79" s="89" t="str">
        <f aca="false">IF(OR($C79="",$I79="",NOT(ISNUMBER($R79))),"",$I79&amp;"|"&amp;(SUMPRODUCT(($I$6:$I$205=$I79)*ISNUMBER($R$6:$R$205)*($R$6:$R$205&gt;$R79))+SUMPRODUCT(($I$6:$I79=$I79)*ISNUMBER($R$6:$R79)*($R$6:$R79=$R79))))</f>
        <v/>
      </c>
      <c r="AM79" s="89" t="n">
        <f aca="false">IF(AND(ISNUMBER($R79),$W79&lt;&gt;"",$Z79&lt;&gt;"",$AB79="XIRR"),$R79*$W79,0)</f>
        <v>0</v>
      </c>
      <c r="AN79" s="89" t="n">
        <f aca="false">IF(AND(ISNUMBER($R79),$W79&lt;&gt;"",$Z79&lt;&gt;"",$AB79="XIRR"),$R79,0)</f>
        <v>0</v>
      </c>
      <c r="AO79" s="89" t="n">
        <f aca="false">IF(AND(ISNUMBER($R79),$W79&lt;&gt;"",$Z79&lt;&gt;"",$AB79="XIRR"),$R79*$Z79,0)</f>
        <v>0</v>
      </c>
      <c r="AP79" s="89" t="n">
        <f aca="false">IF(AND(ISNUMBER($M79),$Y79&lt;&gt;"",ISNUMBER($T79)),$M79*$Y79,0)</f>
        <v>0</v>
      </c>
      <c r="AQ79" s="89" t="n">
        <f aca="false">IF(AND(ISNUMBER($M79),$Y79&lt;&gt;"",ISNUMBER($T79)),$M79,0)</f>
        <v>0</v>
      </c>
    </row>
    <row r="80" customFormat="false" ht="15" hidden="false" customHeight="false" outlineLevel="0" collapsed="false">
      <c r="A80" s="77"/>
      <c r="B80" s="78"/>
      <c r="C80" s="78"/>
      <c r="D80" s="79" t="str">
        <f aca="false">IF($AI80="","",INDEX(Accounts!$C$6:$C$55,$AI80)&amp;"")</f>
        <v/>
      </c>
      <c r="E80" s="79" t="str">
        <f aca="false">IF($AI80="","",INDEX(Accounts!$F$6:$F$55,$AI80)&amp;"")</f>
        <v/>
      </c>
      <c r="F80" s="79" t="str">
        <f aca="false">IF($AJ80="","",INDEX(Securities!$B$6:$B$105,$AJ80)&amp;"")</f>
        <v/>
      </c>
      <c r="G80" s="79" t="str">
        <f aca="false">IF($AJ80="","",INDEX(Securities!$F$6:$F$105,$AJ80)&amp;"")</f>
        <v/>
      </c>
      <c r="H80" s="79" t="str">
        <f aca="false">IF($AJ80="","",INDEX(Securities!$E$6:$E$105,$AJ80)&amp;"")</f>
        <v/>
      </c>
      <c r="I80" s="79" t="str">
        <f aca="false">IF($AJ80="","",INDEX(Securities!$H$6:$H$105,$AJ80)&amp;"")</f>
        <v/>
      </c>
      <c r="J80" s="80"/>
      <c r="K80" s="80"/>
      <c r="L80" s="81"/>
      <c r="M80" s="82"/>
      <c r="N80" s="83" t="str">
        <f aca="false">IF(OR($L80="",$M80=""),"",IF(N($L80)=0,"",$M80/$L80))</f>
        <v/>
      </c>
      <c r="O80" s="84" t="str">
        <f aca="false">IF($AJ80="","",IF(INDEX(Securities!$O$6:$O$105,$AJ80)="","",INDEX(Securities!$O$6:$O$105,$AJ80)))</f>
        <v/>
      </c>
      <c r="P80" s="79" t="str">
        <f aca="false">IF($AJ80="","",INDEX(Securities!$N$6:$N$105,$AJ80)&amp;"")</f>
        <v/>
      </c>
      <c r="Q80" s="82"/>
      <c r="R80" s="85" t="str">
        <f aca="false">IF($C80="","",IF($Q80&lt;&gt;"",$Q80,IF($P80="At cost",IF($M80="","",$M80),IF(OR($O80="",$L80=""),"",$L80*$O80))))</f>
        <v/>
      </c>
      <c r="S80" s="85" t="str">
        <f aca="false">IF(OR(NOT(ISNUMBER($R80)),$M80=""),"",$R80-$M80)</f>
        <v/>
      </c>
      <c r="T80" s="86" t="str">
        <f aca="false">IF(OR($S80="",N($M80)=0),"",$S80/$M80)</f>
        <v/>
      </c>
      <c r="U80" s="82"/>
      <c r="V80" s="82"/>
      <c r="W80" s="87"/>
      <c r="X80" s="79" t="str">
        <f aca="false">IF($AJ80="","",INDEX(Securities!$L$6:$L$105,$AJ80)&amp;"")</f>
        <v/>
      </c>
      <c r="Y80" s="87"/>
      <c r="Z80" s="87"/>
      <c r="AA80" s="86" t="str">
        <f aca="false">IF(OR($W80="",$Z80=""),"",$W80-$Z80)</f>
        <v/>
      </c>
      <c r="AB80" s="79" t="str">
        <f aca="false">IF($C80="","",IF($P80="At cost","At cost",IF(NOT(ISNUMBER($J80)),"No date",IF(ValDate-$J80&lt;365,"Absolute",IF($W80="","XIRR missing","XIRR")))))</f>
        <v/>
      </c>
      <c r="AC80" s="86" t="str">
        <f aca="false">IF(NOT(ISNUMBER($R80)),"",IF(SUM($R$6:$R$205)=0,"",$R80/SUM($R$6:$R$205)))</f>
        <v/>
      </c>
      <c r="AD80" s="82"/>
      <c r="AE80" s="80"/>
      <c r="AF80" s="78"/>
      <c r="AG80" s="88" t="str">
        <f aca="false">IF($C80="","",IF(COUNTIFS('Tax Lots'!$B$6:$B$205,$B80,'Tax Lots'!$C$6:$C$205,$C80)=0,"",SUMIFS('Tax Lots'!$P$6:$P$205,'Tax Lots'!$B$6:$B$205,$B80,'Tax Lots'!$C$6:$C$205,$C80)))</f>
        <v/>
      </c>
      <c r="AH80" s="79" t="str">
        <f aca="false">IF($A80&amp;$B80&amp;$C80="","",IF($A80="","Missing ID",IF(COUNTIF($A$6:$A$205,$A80)&gt;1,"Duplicate ID",IF($AI80="","Unknown account",IF($AJ80="","Unknown security",IF(COUNTIFS($B$6:$B$205,$B80,$C$6:$C$205,$C80)&gt;1,"Same security twice in one account",IF(AND(ISNUMBER($J80),ISNUMBER($K80),N($K80)&lt;N($J80)),"Last date before first",IF(NOT(ISNUMBER($R80)),"No market value",IF(OR(N($J80)&gt;ValDate,N($K80)&gt;ValDate),"Date after valuation",IF(AND(ISNUMBER($AG80),ABS(N($L80)-N($AG80))&gt;0.001),"Lot quantity differs",IF(AND(ISNUMBER($AG80),ABS(N($M80)-SUMIFS('Tax Lots'!$Q$6:$Q$205,'Tax Lots'!$B$6:$B$205,$B80,'Tax Lots'!$C$6:$C$205,$C80))&gt;1),"Lot cost differs",IF(AND(ISNUMBER($AG80),ABS(N($V80)-SUMIFS('Tax Lots'!$AA$6:$AA$205,'Tax Lots'!$B$6:$B$205,$B80,'Tax Lots'!$C$6:$C$205,$C80))&gt;1),"Lot realised gain differs","OK"))))))))))))</f>
        <v/>
      </c>
      <c r="AI80" s="89" t="str">
        <f aca="false">IF($B80="","",IFERROR(MATCH($B80,Accounts!$A$6:$A$55,0),""))</f>
        <v/>
      </c>
      <c r="AJ80" s="89" t="str">
        <f aca="false">IF($C80="","",IFERROR(MATCH($C80,Securities!$A$6:$A$105,0),""))</f>
        <v/>
      </c>
      <c r="AK80" s="89" t="str">
        <f aca="false">IF($AI80="","",INDEX(Accounts!$B$6:$B$55,$AI80)&amp;"")</f>
        <v/>
      </c>
      <c r="AL80" s="89" t="str">
        <f aca="false">IF(OR($C80="",$I80="",NOT(ISNUMBER($R80))),"",$I80&amp;"|"&amp;(SUMPRODUCT(($I$6:$I$205=$I80)*ISNUMBER($R$6:$R$205)*($R$6:$R$205&gt;$R80))+SUMPRODUCT(($I$6:$I80=$I80)*ISNUMBER($R$6:$R80)*($R$6:$R80=$R80))))</f>
        <v/>
      </c>
      <c r="AM80" s="89" t="n">
        <f aca="false">IF(AND(ISNUMBER($R80),$W80&lt;&gt;"",$Z80&lt;&gt;"",$AB80="XIRR"),$R80*$W80,0)</f>
        <v>0</v>
      </c>
      <c r="AN80" s="89" t="n">
        <f aca="false">IF(AND(ISNUMBER($R80),$W80&lt;&gt;"",$Z80&lt;&gt;"",$AB80="XIRR"),$R80,0)</f>
        <v>0</v>
      </c>
      <c r="AO80" s="89" t="n">
        <f aca="false">IF(AND(ISNUMBER($R80),$W80&lt;&gt;"",$Z80&lt;&gt;"",$AB80="XIRR"),$R80*$Z80,0)</f>
        <v>0</v>
      </c>
      <c r="AP80" s="89" t="n">
        <f aca="false">IF(AND(ISNUMBER($M80),$Y80&lt;&gt;"",ISNUMBER($T80)),$M80*$Y80,0)</f>
        <v>0</v>
      </c>
      <c r="AQ80" s="89" t="n">
        <f aca="false">IF(AND(ISNUMBER($M80),$Y80&lt;&gt;"",ISNUMBER($T80)),$M80,0)</f>
        <v>0</v>
      </c>
    </row>
    <row r="81" customFormat="false" ht="15" hidden="false" customHeight="false" outlineLevel="0" collapsed="false">
      <c r="A81" s="77"/>
      <c r="B81" s="78"/>
      <c r="C81" s="78"/>
      <c r="D81" s="79" t="str">
        <f aca="false">IF($AI81="","",INDEX(Accounts!$C$6:$C$55,$AI81)&amp;"")</f>
        <v/>
      </c>
      <c r="E81" s="79" t="str">
        <f aca="false">IF($AI81="","",INDEX(Accounts!$F$6:$F$55,$AI81)&amp;"")</f>
        <v/>
      </c>
      <c r="F81" s="79" t="str">
        <f aca="false">IF($AJ81="","",INDEX(Securities!$B$6:$B$105,$AJ81)&amp;"")</f>
        <v/>
      </c>
      <c r="G81" s="79" t="str">
        <f aca="false">IF($AJ81="","",INDEX(Securities!$F$6:$F$105,$AJ81)&amp;"")</f>
        <v/>
      </c>
      <c r="H81" s="79" t="str">
        <f aca="false">IF($AJ81="","",INDEX(Securities!$E$6:$E$105,$AJ81)&amp;"")</f>
        <v/>
      </c>
      <c r="I81" s="79" t="str">
        <f aca="false">IF($AJ81="","",INDEX(Securities!$H$6:$H$105,$AJ81)&amp;"")</f>
        <v/>
      </c>
      <c r="J81" s="80"/>
      <c r="K81" s="80"/>
      <c r="L81" s="81"/>
      <c r="M81" s="82"/>
      <c r="N81" s="83" t="str">
        <f aca="false">IF(OR($L81="",$M81=""),"",IF(N($L81)=0,"",$M81/$L81))</f>
        <v/>
      </c>
      <c r="O81" s="84" t="str">
        <f aca="false">IF($AJ81="","",IF(INDEX(Securities!$O$6:$O$105,$AJ81)="","",INDEX(Securities!$O$6:$O$105,$AJ81)))</f>
        <v/>
      </c>
      <c r="P81" s="79" t="str">
        <f aca="false">IF($AJ81="","",INDEX(Securities!$N$6:$N$105,$AJ81)&amp;"")</f>
        <v/>
      </c>
      <c r="Q81" s="82"/>
      <c r="R81" s="85" t="str">
        <f aca="false">IF($C81="","",IF($Q81&lt;&gt;"",$Q81,IF($P81="At cost",IF($M81="","",$M81),IF(OR($O81="",$L81=""),"",$L81*$O81))))</f>
        <v/>
      </c>
      <c r="S81" s="85" t="str">
        <f aca="false">IF(OR(NOT(ISNUMBER($R81)),$M81=""),"",$R81-$M81)</f>
        <v/>
      </c>
      <c r="T81" s="86" t="str">
        <f aca="false">IF(OR($S81="",N($M81)=0),"",$S81/$M81)</f>
        <v/>
      </c>
      <c r="U81" s="82"/>
      <c r="V81" s="82"/>
      <c r="W81" s="87"/>
      <c r="X81" s="79" t="str">
        <f aca="false">IF($AJ81="","",INDEX(Securities!$L$6:$L$105,$AJ81)&amp;"")</f>
        <v/>
      </c>
      <c r="Y81" s="87"/>
      <c r="Z81" s="87"/>
      <c r="AA81" s="86" t="str">
        <f aca="false">IF(OR($W81="",$Z81=""),"",$W81-$Z81)</f>
        <v/>
      </c>
      <c r="AB81" s="79" t="str">
        <f aca="false">IF($C81="","",IF($P81="At cost","At cost",IF(NOT(ISNUMBER($J81)),"No date",IF(ValDate-$J81&lt;365,"Absolute",IF($W81="","XIRR missing","XIRR")))))</f>
        <v/>
      </c>
      <c r="AC81" s="86" t="str">
        <f aca="false">IF(NOT(ISNUMBER($R81)),"",IF(SUM($R$6:$R$205)=0,"",$R81/SUM($R$6:$R$205)))</f>
        <v/>
      </c>
      <c r="AD81" s="82"/>
      <c r="AE81" s="80"/>
      <c r="AF81" s="78"/>
      <c r="AG81" s="88" t="str">
        <f aca="false">IF($C81="","",IF(COUNTIFS('Tax Lots'!$B$6:$B$205,$B81,'Tax Lots'!$C$6:$C$205,$C81)=0,"",SUMIFS('Tax Lots'!$P$6:$P$205,'Tax Lots'!$B$6:$B$205,$B81,'Tax Lots'!$C$6:$C$205,$C81)))</f>
        <v/>
      </c>
      <c r="AH81" s="79" t="str">
        <f aca="false">IF($A81&amp;$B81&amp;$C81="","",IF($A81="","Missing ID",IF(COUNTIF($A$6:$A$205,$A81)&gt;1,"Duplicate ID",IF($AI81="","Unknown account",IF($AJ81="","Unknown security",IF(COUNTIFS($B$6:$B$205,$B81,$C$6:$C$205,$C81)&gt;1,"Same security twice in one account",IF(AND(ISNUMBER($J81),ISNUMBER($K81),N($K81)&lt;N($J81)),"Last date before first",IF(NOT(ISNUMBER($R81)),"No market value",IF(OR(N($J81)&gt;ValDate,N($K81)&gt;ValDate),"Date after valuation",IF(AND(ISNUMBER($AG81),ABS(N($L81)-N($AG81))&gt;0.001),"Lot quantity differs",IF(AND(ISNUMBER($AG81),ABS(N($M81)-SUMIFS('Tax Lots'!$Q$6:$Q$205,'Tax Lots'!$B$6:$B$205,$B81,'Tax Lots'!$C$6:$C$205,$C81))&gt;1),"Lot cost differs",IF(AND(ISNUMBER($AG81),ABS(N($V81)-SUMIFS('Tax Lots'!$AA$6:$AA$205,'Tax Lots'!$B$6:$B$205,$B81,'Tax Lots'!$C$6:$C$205,$C81))&gt;1),"Lot realised gain differs","OK"))))))))))))</f>
        <v/>
      </c>
      <c r="AI81" s="89" t="str">
        <f aca="false">IF($B81="","",IFERROR(MATCH($B81,Accounts!$A$6:$A$55,0),""))</f>
        <v/>
      </c>
      <c r="AJ81" s="89" t="str">
        <f aca="false">IF($C81="","",IFERROR(MATCH($C81,Securities!$A$6:$A$105,0),""))</f>
        <v/>
      </c>
      <c r="AK81" s="89" t="str">
        <f aca="false">IF($AI81="","",INDEX(Accounts!$B$6:$B$55,$AI81)&amp;"")</f>
        <v/>
      </c>
      <c r="AL81" s="89" t="str">
        <f aca="false">IF(OR($C81="",$I81="",NOT(ISNUMBER($R81))),"",$I81&amp;"|"&amp;(SUMPRODUCT(($I$6:$I$205=$I81)*ISNUMBER($R$6:$R$205)*($R$6:$R$205&gt;$R81))+SUMPRODUCT(($I$6:$I81=$I81)*ISNUMBER($R$6:$R81)*($R$6:$R81=$R81))))</f>
        <v/>
      </c>
      <c r="AM81" s="89" t="n">
        <f aca="false">IF(AND(ISNUMBER($R81),$W81&lt;&gt;"",$Z81&lt;&gt;"",$AB81="XIRR"),$R81*$W81,0)</f>
        <v>0</v>
      </c>
      <c r="AN81" s="89" t="n">
        <f aca="false">IF(AND(ISNUMBER($R81),$W81&lt;&gt;"",$Z81&lt;&gt;"",$AB81="XIRR"),$R81,0)</f>
        <v>0</v>
      </c>
      <c r="AO81" s="89" t="n">
        <f aca="false">IF(AND(ISNUMBER($R81),$W81&lt;&gt;"",$Z81&lt;&gt;"",$AB81="XIRR"),$R81*$Z81,0)</f>
        <v>0</v>
      </c>
      <c r="AP81" s="89" t="n">
        <f aca="false">IF(AND(ISNUMBER($M81),$Y81&lt;&gt;"",ISNUMBER($T81)),$M81*$Y81,0)</f>
        <v>0</v>
      </c>
      <c r="AQ81" s="89" t="n">
        <f aca="false">IF(AND(ISNUMBER($M81),$Y81&lt;&gt;"",ISNUMBER($T81)),$M81,0)</f>
        <v>0</v>
      </c>
    </row>
    <row r="82" customFormat="false" ht="15" hidden="false" customHeight="false" outlineLevel="0" collapsed="false">
      <c r="A82" s="77"/>
      <c r="B82" s="78"/>
      <c r="C82" s="78"/>
      <c r="D82" s="79" t="str">
        <f aca="false">IF($AI82="","",INDEX(Accounts!$C$6:$C$55,$AI82)&amp;"")</f>
        <v/>
      </c>
      <c r="E82" s="79" t="str">
        <f aca="false">IF($AI82="","",INDEX(Accounts!$F$6:$F$55,$AI82)&amp;"")</f>
        <v/>
      </c>
      <c r="F82" s="79" t="str">
        <f aca="false">IF($AJ82="","",INDEX(Securities!$B$6:$B$105,$AJ82)&amp;"")</f>
        <v/>
      </c>
      <c r="G82" s="79" t="str">
        <f aca="false">IF($AJ82="","",INDEX(Securities!$F$6:$F$105,$AJ82)&amp;"")</f>
        <v/>
      </c>
      <c r="H82" s="79" t="str">
        <f aca="false">IF($AJ82="","",INDEX(Securities!$E$6:$E$105,$AJ82)&amp;"")</f>
        <v/>
      </c>
      <c r="I82" s="79" t="str">
        <f aca="false">IF($AJ82="","",INDEX(Securities!$H$6:$H$105,$AJ82)&amp;"")</f>
        <v/>
      </c>
      <c r="J82" s="80"/>
      <c r="K82" s="80"/>
      <c r="L82" s="81"/>
      <c r="M82" s="82"/>
      <c r="N82" s="83" t="str">
        <f aca="false">IF(OR($L82="",$M82=""),"",IF(N($L82)=0,"",$M82/$L82))</f>
        <v/>
      </c>
      <c r="O82" s="84" t="str">
        <f aca="false">IF($AJ82="","",IF(INDEX(Securities!$O$6:$O$105,$AJ82)="","",INDEX(Securities!$O$6:$O$105,$AJ82)))</f>
        <v/>
      </c>
      <c r="P82" s="79" t="str">
        <f aca="false">IF($AJ82="","",INDEX(Securities!$N$6:$N$105,$AJ82)&amp;"")</f>
        <v/>
      </c>
      <c r="Q82" s="82"/>
      <c r="R82" s="85" t="str">
        <f aca="false">IF($C82="","",IF($Q82&lt;&gt;"",$Q82,IF($P82="At cost",IF($M82="","",$M82),IF(OR($O82="",$L82=""),"",$L82*$O82))))</f>
        <v/>
      </c>
      <c r="S82" s="85" t="str">
        <f aca="false">IF(OR(NOT(ISNUMBER($R82)),$M82=""),"",$R82-$M82)</f>
        <v/>
      </c>
      <c r="T82" s="86" t="str">
        <f aca="false">IF(OR($S82="",N($M82)=0),"",$S82/$M82)</f>
        <v/>
      </c>
      <c r="U82" s="82"/>
      <c r="V82" s="82"/>
      <c r="W82" s="87"/>
      <c r="X82" s="79" t="str">
        <f aca="false">IF($AJ82="","",INDEX(Securities!$L$6:$L$105,$AJ82)&amp;"")</f>
        <v/>
      </c>
      <c r="Y82" s="87"/>
      <c r="Z82" s="87"/>
      <c r="AA82" s="86" t="str">
        <f aca="false">IF(OR($W82="",$Z82=""),"",$W82-$Z82)</f>
        <v/>
      </c>
      <c r="AB82" s="79" t="str">
        <f aca="false">IF($C82="","",IF($P82="At cost","At cost",IF(NOT(ISNUMBER($J82)),"No date",IF(ValDate-$J82&lt;365,"Absolute",IF($W82="","XIRR missing","XIRR")))))</f>
        <v/>
      </c>
      <c r="AC82" s="86" t="str">
        <f aca="false">IF(NOT(ISNUMBER($R82)),"",IF(SUM($R$6:$R$205)=0,"",$R82/SUM($R$6:$R$205)))</f>
        <v/>
      </c>
      <c r="AD82" s="82"/>
      <c r="AE82" s="80"/>
      <c r="AF82" s="78"/>
      <c r="AG82" s="88" t="str">
        <f aca="false">IF($C82="","",IF(COUNTIFS('Tax Lots'!$B$6:$B$205,$B82,'Tax Lots'!$C$6:$C$205,$C82)=0,"",SUMIFS('Tax Lots'!$P$6:$P$205,'Tax Lots'!$B$6:$B$205,$B82,'Tax Lots'!$C$6:$C$205,$C82)))</f>
        <v/>
      </c>
      <c r="AH82" s="79" t="str">
        <f aca="false">IF($A82&amp;$B82&amp;$C82="","",IF($A82="","Missing ID",IF(COUNTIF($A$6:$A$205,$A82)&gt;1,"Duplicate ID",IF($AI82="","Unknown account",IF($AJ82="","Unknown security",IF(COUNTIFS($B$6:$B$205,$B82,$C$6:$C$205,$C82)&gt;1,"Same security twice in one account",IF(AND(ISNUMBER($J82),ISNUMBER($K82),N($K82)&lt;N($J82)),"Last date before first",IF(NOT(ISNUMBER($R82)),"No market value",IF(OR(N($J82)&gt;ValDate,N($K82)&gt;ValDate),"Date after valuation",IF(AND(ISNUMBER($AG82),ABS(N($L82)-N($AG82))&gt;0.001),"Lot quantity differs",IF(AND(ISNUMBER($AG82),ABS(N($M82)-SUMIFS('Tax Lots'!$Q$6:$Q$205,'Tax Lots'!$B$6:$B$205,$B82,'Tax Lots'!$C$6:$C$205,$C82))&gt;1),"Lot cost differs",IF(AND(ISNUMBER($AG82),ABS(N($V82)-SUMIFS('Tax Lots'!$AA$6:$AA$205,'Tax Lots'!$B$6:$B$205,$B82,'Tax Lots'!$C$6:$C$205,$C82))&gt;1),"Lot realised gain differs","OK"))))))))))))</f>
        <v/>
      </c>
      <c r="AI82" s="89" t="str">
        <f aca="false">IF($B82="","",IFERROR(MATCH($B82,Accounts!$A$6:$A$55,0),""))</f>
        <v/>
      </c>
      <c r="AJ82" s="89" t="str">
        <f aca="false">IF($C82="","",IFERROR(MATCH($C82,Securities!$A$6:$A$105,0),""))</f>
        <v/>
      </c>
      <c r="AK82" s="89" t="str">
        <f aca="false">IF($AI82="","",INDEX(Accounts!$B$6:$B$55,$AI82)&amp;"")</f>
        <v/>
      </c>
      <c r="AL82" s="89" t="str">
        <f aca="false">IF(OR($C82="",$I82="",NOT(ISNUMBER($R82))),"",$I82&amp;"|"&amp;(SUMPRODUCT(($I$6:$I$205=$I82)*ISNUMBER($R$6:$R$205)*($R$6:$R$205&gt;$R82))+SUMPRODUCT(($I$6:$I82=$I82)*ISNUMBER($R$6:$R82)*($R$6:$R82=$R82))))</f>
        <v/>
      </c>
      <c r="AM82" s="89" t="n">
        <f aca="false">IF(AND(ISNUMBER($R82),$W82&lt;&gt;"",$Z82&lt;&gt;"",$AB82="XIRR"),$R82*$W82,0)</f>
        <v>0</v>
      </c>
      <c r="AN82" s="89" t="n">
        <f aca="false">IF(AND(ISNUMBER($R82),$W82&lt;&gt;"",$Z82&lt;&gt;"",$AB82="XIRR"),$R82,0)</f>
        <v>0</v>
      </c>
      <c r="AO82" s="89" t="n">
        <f aca="false">IF(AND(ISNUMBER($R82),$W82&lt;&gt;"",$Z82&lt;&gt;"",$AB82="XIRR"),$R82*$Z82,0)</f>
        <v>0</v>
      </c>
      <c r="AP82" s="89" t="n">
        <f aca="false">IF(AND(ISNUMBER($M82),$Y82&lt;&gt;"",ISNUMBER($T82)),$M82*$Y82,0)</f>
        <v>0</v>
      </c>
      <c r="AQ82" s="89" t="n">
        <f aca="false">IF(AND(ISNUMBER($M82),$Y82&lt;&gt;"",ISNUMBER($T82)),$M82,0)</f>
        <v>0</v>
      </c>
    </row>
    <row r="83" customFormat="false" ht="15" hidden="false" customHeight="false" outlineLevel="0" collapsed="false">
      <c r="A83" s="77"/>
      <c r="B83" s="78"/>
      <c r="C83" s="78"/>
      <c r="D83" s="79" t="str">
        <f aca="false">IF($AI83="","",INDEX(Accounts!$C$6:$C$55,$AI83)&amp;"")</f>
        <v/>
      </c>
      <c r="E83" s="79" t="str">
        <f aca="false">IF($AI83="","",INDEX(Accounts!$F$6:$F$55,$AI83)&amp;"")</f>
        <v/>
      </c>
      <c r="F83" s="79" t="str">
        <f aca="false">IF($AJ83="","",INDEX(Securities!$B$6:$B$105,$AJ83)&amp;"")</f>
        <v/>
      </c>
      <c r="G83" s="79" t="str">
        <f aca="false">IF($AJ83="","",INDEX(Securities!$F$6:$F$105,$AJ83)&amp;"")</f>
        <v/>
      </c>
      <c r="H83" s="79" t="str">
        <f aca="false">IF($AJ83="","",INDEX(Securities!$E$6:$E$105,$AJ83)&amp;"")</f>
        <v/>
      </c>
      <c r="I83" s="79" t="str">
        <f aca="false">IF($AJ83="","",INDEX(Securities!$H$6:$H$105,$AJ83)&amp;"")</f>
        <v/>
      </c>
      <c r="J83" s="80"/>
      <c r="K83" s="80"/>
      <c r="L83" s="81"/>
      <c r="M83" s="82"/>
      <c r="N83" s="83" t="str">
        <f aca="false">IF(OR($L83="",$M83=""),"",IF(N($L83)=0,"",$M83/$L83))</f>
        <v/>
      </c>
      <c r="O83" s="84" t="str">
        <f aca="false">IF($AJ83="","",IF(INDEX(Securities!$O$6:$O$105,$AJ83)="","",INDEX(Securities!$O$6:$O$105,$AJ83)))</f>
        <v/>
      </c>
      <c r="P83" s="79" t="str">
        <f aca="false">IF($AJ83="","",INDEX(Securities!$N$6:$N$105,$AJ83)&amp;"")</f>
        <v/>
      </c>
      <c r="Q83" s="82"/>
      <c r="R83" s="85" t="str">
        <f aca="false">IF($C83="","",IF($Q83&lt;&gt;"",$Q83,IF($P83="At cost",IF($M83="","",$M83),IF(OR($O83="",$L83=""),"",$L83*$O83))))</f>
        <v/>
      </c>
      <c r="S83" s="85" t="str">
        <f aca="false">IF(OR(NOT(ISNUMBER($R83)),$M83=""),"",$R83-$M83)</f>
        <v/>
      </c>
      <c r="T83" s="86" t="str">
        <f aca="false">IF(OR($S83="",N($M83)=0),"",$S83/$M83)</f>
        <v/>
      </c>
      <c r="U83" s="82"/>
      <c r="V83" s="82"/>
      <c r="W83" s="87"/>
      <c r="X83" s="79" t="str">
        <f aca="false">IF($AJ83="","",INDEX(Securities!$L$6:$L$105,$AJ83)&amp;"")</f>
        <v/>
      </c>
      <c r="Y83" s="87"/>
      <c r="Z83" s="87"/>
      <c r="AA83" s="86" t="str">
        <f aca="false">IF(OR($W83="",$Z83=""),"",$W83-$Z83)</f>
        <v/>
      </c>
      <c r="AB83" s="79" t="str">
        <f aca="false">IF($C83="","",IF($P83="At cost","At cost",IF(NOT(ISNUMBER($J83)),"No date",IF(ValDate-$J83&lt;365,"Absolute",IF($W83="","XIRR missing","XIRR")))))</f>
        <v/>
      </c>
      <c r="AC83" s="86" t="str">
        <f aca="false">IF(NOT(ISNUMBER($R83)),"",IF(SUM($R$6:$R$205)=0,"",$R83/SUM($R$6:$R$205)))</f>
        <v/>
      </c>
      <c r="AD83" s="82"/>
      <c r="AE83" s="80"/>
      <c r="AF83" s="78"/>
      <c r="AG83" s="88" t="str">
        <f aca="false">IF($C83="","",IF(COUNTIFS('Tax Lots'!$B$6:$B$205,$B83,'Tax Lots'!$C$6:$C$205,$C83)=0,"",SUMIFS('Tax Lots'!$P$6:$P$205,'Tax Lots'!$B$6:$B$205,$B83,'Tax Lots'!$C$6:$C$205,$C83)))</f>
        <v/>
      </c>
      <c r="AH83" s="79" t="str">
        <f aca="false">IF($A83&amp;$B83&amp;$C83="","",IF($A83="","Missing ID",IF(COUNTIF($A$6:$A$205,$A83)&gt;1,"Duplicate ID",IF($AI83="","Unknown account",IF($AJ83="","Unknown security",IF(COUNTIFS($B$6:$B$205,$B83,$C$6:$C$205,$C83)&gt;1,"Same security twice in one account",IF(AND(ISNUMBER($J83),ISNUMBER($K83),N($K83)&lt;N($J83)),"Last date before first",IF(NOT(ISNUMBER($R83)),"No market value",IF(OR(N($J83)&gt;ValDate,N($K83)&gt;ValDate),"Date after valuation",IF(AND(ISNUMBER($AG83),ABS(N($L83)-N($AG83))&gt;0.001),"Lot quantity differs",IF(AND(ISNUMBER($AG83),ABS(N($M83)-SUMIFS('Tax Lots'!$Q$6:$Q$205,'Tax Lots'!$B$6:$B$205,$B83,'Tax Lots'!$C$6:$C$205,$C83))&gt;1),"Lot cost differs",IF(AND(ISNUMBER($AG83),ABS(N($V83)-SUMIFS('Tax Lots'!$AA$6:$AA$205,'Tax Lots'!$B$6:$B$205,$B83,'Tax Lots'!$C$6:$C$205,$C83))&gt;1),"Lot realised gain differs","OK"))))))))))))</f>
        <v/>
      </c>
      <c r="AI83" s="89" t="str">
        <f aca="false">IF($B83="","",IFERROR(MATCH($B83,Accounts!$A$6:$A$55,0),""))</f>
        <v/>
      </c>
      <c r="AJ83" s="89" t="str">
        <f aca="false">IF($C83="","",IFERROR(MATCH($C83,Securities!$A$6:$A$105,0),""))</f>
        <v/>
      </c>
      <c r="AK83" s="89" t="str">
        <f aca="false">IF($AI83="","",INDEX(Accounts!$B$6:$B$55,$AI83)&amp;"")</f>
        <v/>
      </c>
      <c r="AL83" s="89" t="str">
        <f aca="false">IF(OR($C83="",$I83="",NOT(ISNUMBER($R83))),"",$I83&amp;"|"&amp;(SUMPRODUCT(($I$6:$I$205=$I83)*ISNUMBER($R$6:$R$205)*($R$6:$R$205&gt;$R83))+SUMPRODUCT(($I$6:$I83=$I83)*ISNUMBER($R$6:$R83)*($R$6:$R83=$R83))))</f>
        <v/>
      </c>
      <c r="AM83" s="89" t="n">
        <f aca="false">IF(AND(ISNUMBER($R83),$W83&lt;&gt;"",$Z83&lt;&gt;"",$AB83="XIRR"),$R83*$W83,0)</f>
        <v>0</v>
      </c>
      <c r="AN83" s="89" t="n">
        <f aca="false">IF(AND(ISNUMBER($R83),$W83&lt;&gt;"",$Z83&lt;&gt;"",$AB83="XIRR"),$R83,0)</f>
        <v>0</v>
      </c>
      <c r="AO83" s="89" t="n">
        <f aca="false">IF(AND(ISNUMBER($R83),$W83&lt;&gt;"",$Z83&lt;&gt;"",$AB83="XIRR"),$R83*$Z83,0)</f>
        <v>0</v>
      </c>
      <c r="AP83" s="89" t="n">
        <f aca="false">IF(AND(ISNUMBER($M83),$Y83&lt;&gt;"",ISNUMBER($T83)),$M83*$Y83,0)</f>
        <v>0</v>
      </c>
      <c r="AQ83" s="89" t="n">
        <f aca="false">IF(AND(ISNUMBER($M83),$Y83&lt;&gt;"",ISNUMBER($T83)),$M83,0)</f>
        <v>0</v>
      </c>
    </row>
    <row r="84" customFormat="false" ht="15" hidden="false" customHeight="false" outlineLevel="0" collapsed="false">
      <c r="A84" s="77"/>
      <c r="B84" s="78"/>
      <c r="C84" s="78"/>
      <c r="D84" s="79" t="str">
        <f aca="false">IF($AI84="","",INDEX(Accounts!$C$6:$C$55,$AI84)&amp;"")</f>
        <v/>
      </c>
      <c r="E84" s="79" t="str">
        <f aca="false">IF($AI84="","",INDEX(Accounts!$F$6:$F$55,$AI84)&amp;"")</f>
        <v/>
      </c>
      <c r="F84" s="79" t="str">
        <f aca="false">IF($AJ84="","",INDEX(Securities!$B$6:$B$105,$AJ84)&amp;"")</f>
        <v/>
      </c>
      <c r="G84" s="79" t="str">
        <f aca="false">IF($AJ84="","",INDEX(Securities!$F$6:$F$105,$AJ84)&amp;"")</f>
        <v/>
      </c>
      <c r="H84" s="79" t="str">
        <f aca="false">IF($AJ84="","",INDEX(Securities!$E$6:$E$105,$AJ84)&amp;"")</f>
        <v/>
      </c>
      <c r="I84" s="79" t="str">
        <f aca="false">IF($AJ84="","",INDEX(Securities!$H$6:$H$105,$AJ84)&amp;"")</f>
        <v/>
      </c>
      <c r="J84" s="80"/>
      <c r="K84" s="80"/>
      <c r="L84" s="81"/>
      <c r="M84" s="82"/>
      <c r="N84" s="83" t="str">
        <f aca="false">IF(OR($L84="",$M84=""),"",IF(N($L84)=0,"",$M84/$L84))</f>
        <v/>
      </c>
      <c r="O84" s="84" t="str">
        <f aca="false">IF($AJ84="","",IF(INDEX(Securities!$O$6:$O$105,$AJ84)="","",INDEX(Securities!$O$6:$O$105,$AJ84)))</f>
        <v/>
      </c>
      <c r="P84" s="79" t="str">
        <f aca="false">IF($AJ84="","",INDEX(Securities!$N$6:$N$105,$AJ84)&amp;"")</f>
        <v/>
      </c>
      <c r="Q84" s="82"/>
      <c r="R84" s="85" t="str">
        <f aca="false">IF($C84="","",IF($Q84&lt;&gt;"",$Q84,IF($P84="At cost",IF($M84="","",$M84),IF(OR($O84="",$L84=""),"",$L84*$O84))))</f>
        <v/>
      </c>
      <c r="S84" s="85" t="str">
        <f aca="false">IF(OR(NOT(ISNUMBER($R84)),$M84=""),"",$R84-$M84)</f>
        <v/>
      </c>
      <c r="T84" s="86" t="str">
        <f aca="false">IF(OR($S84="",N($M84)=0),"",$S84/$M84)</f>
        <v/>
      </c>
      <c r="U84" s="82"/>
      <c r="V84" s="82"/>
      <c r="W84" s="87"/>
      <c r="X84" s="79" t="str">
        <f aca="false">IF($AJ84="","",INDEX(Securities!$L$6:$L$105,$AJ84)&amp;"")</f>
        <v/>
      </c>
      <c r="Y84" s="87"/>
      <c r="Z84" s="87"/>
      <c r="AA84" s="86" t="str">
        <f aca="false">IF(OR($W84="",$Z84=""),"",$W84-$Z84)</f>
        <v/>
      </c>
      <c r="AB84" s="79" t="str">
        <f aca="false">IF($C84="","",IF($P84="At cost","At cost",IF(NOT(ISNUMBER($J84)),"No date",IF(ValDate-$J84&lt;365,"Absolute",IF($W84="","XIRR missing","XIRR")))))</f>
        <v/>
      </c>
      <c r="AC84" s="86" t="str">
        <f aca="false">IF(NOT(ISNUMBER($R84)),"",IF(SUM($R$6:$R$205)=0,"",$R84/SUM($R$6:$R$205)))</f>
        <v/>
      </c>
      <c r="AD84" s="82"/>
      <c r="AE84" s="80"/>
      <c r="AF84" s="78"/>
      <c r="AG84" s="88" t="str">
        <f aca="false">IF($C84="","",IF(COUNTIFS('Tax Lots'!$B$6:$B$205,$B84,'Tax Lots'!$C$6:$C$205,$C84)=0,"",SUMIFS('Tax Lots'!$P$6:$P$205,'Tax Lots'!$B$6:$B$205,$B84,'Tax Lots'!$C$6:$C$205,$C84)))</f>
        <v/>
      </c>
      <c r="AH84" s="79" t="str">
        <f aca="false">IF($A84&amp;$B84&amp;$C84="","",IF($A84="","Missing ID",IF(COUNTIF($A$6:$A$205,$A84)&gt;1,"Duplicate ID",IF($AI84="","Unknown account",IF($AJ84="","Unknown security",IF(COUNTIFS($B$6:$B$205,$B84,$C$6:$C$205,$C84)&gt;1,"Same security twice in one account",IF(AND(ISNUMBER($J84),ISNUMBER($K84),N($K84)&lt;N($J84)),"Last date before first",IF(NOT(ISNUMBER($R84)),"No market value",IF(OR(N($J84)&gt;ValDate,N($K84)&gt;ValDate),"Date after valuation",IF(AND(ISNUMBER($AG84),ABS(N($L84)-N($AG84))&gt;0.001),"Lot quantity differs",IF(AND(ISNUMBER($AG84),ABS(N($M84)-SUMIFS('Tax Lots'!$Q$6:$Q$205,'Tax Lots'!$B$6:$B$205,$B84,'Tax Lots'!$C$6:$C$205,$C84))&gt;1),"Lot cost differs",IF(AND(ISNUMBER($AG84),ABS(N($V84)-SUMIFS('Tax Lots'!$AA$6:$AA$205,'Tax Lots'!$B$6:$B$205,$B84,'Tax Lots'!$C$6:$C$205,$C84))&gt;1),"Lot realised gain differs","OK"))))))))))))</f>
        <v/>
      </c>
      <c r="AI84" s="89" t="str">
        <f aca="false">IF($B84="","",IFERROR(MATCH($B84,Accounts!$A$6:$A$55,0),""))</f>
        <v/>
      </c>
      <c r="AJ84" s="89" t="str">
        <f aca="false">IF($C84="","",IFERROR(MATCH($C84,Securities!$A$6:$A$105,0),""))</f>
        <v/>
      </c>
      <c r="AK84" s="89" t="str">
        <f aca="false">IF($AI84="","",INDEX(Accounts!$B$6:$B$55,$AI84)&amp;"")</f>
        <v/>
      </c>
      <c r="AL84" s="89" t="str">
        <f aca="false">IF(OR($C84="",$I84="",NOT(ISNUMBER($R84))),"",$I84&amp;"|"&amp;(SUMPRODUCT(($I$6:$I$205=$I84)*ISNUMBER($R$6:$R$205)*($R$6:$R$205&gt;$R84))+SUMPRODUCT(($I$6:$I84=$I84)*ISNUMBER($R$6:$R84)*($R$6:$R84=$R84))))</f>
        <v/>
      </c>
      <c r="AM84" s="89" t="n">
        <f aca="false">IF(AND(ISNUMBER($R84),$W84&lt;&gt;"",$Z84&lt;&gt;"",$AB84="XIRR"),$R84*$W84,0)</f>
        <v>0</v>
      </c>
      <c r="AN84" s="89" t="n">
        <f aca="false">IF(AND(ISNUMBER($R84),$W84&lt;&gt;"",$Z84&lt;&gt;"",$AB84="XIRR"),$R84,0)</f>
        <v>0</v>
      </c>
      <c r="AO84" s="89" t="n">
        <f aca="false">IF(AND(ISNUMBER($R84),$W84&lt;&gt;"",$Z84&lt;&gt;"",$AB84="XIRR"),$R84*$Z84,0)</f>
        <v>0</v>
      </c>
      <c r="AP84" s="89" t="n">
        <f aca="false">IF(AND(ISNUMBER($M84),$Y84&lt;&gt;"",ISNUMBER($T84)),$M84*$Y84,0)</f>
        <v>0</v>
      </c>
      <c r="AQ84" s="89" t="n">
        <f aca="false">IF(AND(ISNUMBER($M84),$Y84&lt;&gt;"",ISNUMBER($T84)),$M84,0)</f>
        <v>0</v>
      </c>
    </row>
    <row r="85" customFormat="false" ht="15" hidden="false" customHeight="false" outlineLevel="0" collapsed="false">
      <c r="A85" s="77"/>
      <c r="B85" s="78"/>
      <c r="C85" s="78"/>
      <c r="D85" s="79" t="str">
        <f aca="false">IF($AI85="","",INDEX(Accounts!$C$6:$C$55,$AI85)&amp;"")</f>
        <v/>
      </c>
      <c r="E85" s="79" t="str">
        <f aca="false">IF($AI85="","",INDEX(Accounts!$F$6:$F$55,$AI85)&amp;"")</f>
        <v/>
      </c>
      <c r="F85" s="79" t="str">
        <f aca="false">IF($AJ85="","",INDEX(Securities!$B$6:$B$105,$AJ85)&amp;"")</f>
        <v/>
      </c>
      <c r="G85" s="79" t="str">
        <f aca="false">IF($AJ85="","",INDEX(Securities!$F$6:$F$105,$AJ85)&amp;"")</f>
        <v/>
      </c>
      <c r="H85" s="79" t="str">
        <f aca="false">IF($AJ85="","",INDEX(Securities!$E$6:$E$105,$AJ85)&amp;"")</f>
        <v/>
      </c>
      <c r="I85" s="79" t="str">
        <f aca="false">IF($AJ85="","",INDEX(Securities!$H$6:$H$105,$AJ85)&amp;"")</f>
        <v/>
      </c>
      <c r="J85" s="80"/>
      <c r="K85" s="80"/>
      <c r="L85" s="81"/>
      <c r="M85" s="82"/>
      <c r="N85" s="83" t="str">
        <f aca="false">IF(OR($L85="",$M85=""),"",IF(N($L85)=0,"",$M85/$L85))</f>
        <v/>
      </c>
      <c r="O85" s="84" t="str">
        <f aca="false">IF($AJ85="","",IF(INDEX(Securities!$O$6:$O$105,$AJ85)="","",INDEX(Securities!$O$6:$O$105,$AJ85)))</f>
        <v/>
      </c>
      <c r="P85" s="79" t="str">
        <f aca="false">IF($AJ85="","",INDEX(Securities!$N$6:$N$105,$AJ85)&amp;"")</f>
        <v/>
      </c>
      <c r="Q85" s="82"/>
      <c r="R85" s="85" t="str">
        <f aca="false">IF($C85="","",IF($Q85&lt;&gt;"",$Q85,IF($P85="At cost",IF($M85="","",$M85),IF(OR($O85="",$L85=""),"",$L85*$O85))))</f>
        <v/>
      </c>
      <c r="S85" s="85" t="str">
        <f aca="false">IF(OR(NOT(ISNUMBER($R85)),$M85=""),"",$R85-$M85)</f>
        <v/>
      </c>
      <c r="T85" s="86" t="str">
        <f aca="false">IF(OR($S85="",N($M85)=0),"",$S85/$M85)</f>
        <v/>
      </c>
      <c r="U85" s="82"/>
      <c r="V85" s="82"/>
      <c r="W85" s="87"/>
      <c r="X85" s="79" t="str">
        <f aca="false">IF($AJ85="","",INDEX(Securities!$L$6:$L$105,$AJ85)&amp;"")</f>
        <v/>
      </c>
      <c r="Y85" s="87"/>
      <c r="Z85" s="87"/>
      <c r="AA85" s="86" t="str">
        <f aca="false">IF(OR($W85="",$Z85=""),"",$W85-$Z85)</f>
        <v/>
      </c>
      <c r="AB85" s="79" t="str">
        <f aca="false">IF($C85="","",IF($P85="At cost","At cost",IF(NOT(ISNUMBER($J85)),"No date",IF(ValDate-$J85&lt;365,"Absolute",IF($W85="","XIRR missing","XIRR")))))</f>
        <v/>
      </c>
      <c r="AC85" s="86" t="str">
        <f aca="false">IF(NOT(ISNUMBER($R85)),"",IF(SUM($R$6:$R$205)=0,"",$R85/SUM($R$6:$R$205)))</f>
        <v/>
      </c>
      <c r="AD85" s="82"/>
      <c r="AE85" s="80"/>
      <c r="AF85" s="78"/>
      <c r="AG85" s="88" t="str">
        <f aca="false">IF($C85="","",IF(COUNTIFS('Tax Lots'!$B$6:$B$205,$B85,'Tax Lots'!$C$6:$C$205,$C85)=0,"",SUMIFS('Tax Lots'!$P$6:$P$205,'Tax Lots'!$B$6:$B$205,$B85,'Tax Lots'!$C$6:$C$205,$C85)))</f>
        <v/>
      </c>
      <c r="AH85" s="79" t="str">
        <f aca="false">IF($A85&amp;$B85&amp;$C85="","",IF($A85="","Missing ID",IF(COUNTIF($A$6:$A$205,$A85)&gt;1,"Duplicate ID",IF($AI85="","Unknown account",IF($AJ85="","Unknown security",IF(COUNTIFS($B$6:$B$205,$B85,$C$6:$C$205,$C85)&gt;1,"Same security twice in one account",IF(AND(ISNUMBER($J85),ISNUMBER($K85),N($K85)&lt;N($J85)),"Last date before first",IF(NOT(ISNUMBER($R85)),"No market value",IF(OR(N($J85)&gt;ValDate,N($K85)&gt;ValDate),"Date after valuation",IF(AND(ISNUMBER($AG85),ABS(N($L85)-N($AG85))&gt;0.001),"Lot quantity differs",IF(AND(ISNUMBER($AG85),ABS(N($M85)-SUMIFS('Tax Lots'!$Q$6:$Q$205,'Tax Lots'!$B$6:$B$205,$B85,'Tax Lots'!$C$6:$C$205,$C85))&gt;1),"Lot cost differs",IF(AND(ISNUMBER($AG85),ABS(N($V85)-SUMIFS('Tax Lots'!$AA$6:$AA$205,'Tax Lots'!$B$6:$B$205,$B85,'Tax Lots'!$C$6:$C$205,$C85))&gt;1),"Lot realised gain differs","OK"))))))))))))</f>
        <v/>
      </c>
      <c r="AI85" s="89" t="str">
        <f aca="false">IF($B85="","",IFERROR(MATCH($B85,Accounts!$A$6:$A$55,0),""))</f>
        <v/>
      </c>
      <c r="AJ85" s="89" t="str">
        <f aca="false">IF($C85="","",IFERROR(MATCH($C85,Securities!$A$6:$A$105,0),""))</f>
        <v/>
      </c>
      <c r="AK85" s="89" t="str">
        <f aca="false">IF($AI85="","",INDEX(Accounts!$B$6:$B$55,$AI85)&amp;"")</f>
        <v/>
      </c>
      <c r="AL85" s="89" t="str">
        <f aca="false">IF(OR($C85="",$I85="",NOT(ISNUMBER($R85))),"",$I85&amp;"|"&amp;(SUMPRODUCT(($I$6:$I$205=$I85)*ISNUMBER($R$6:$R$205)*($R$6:$R$205&gt;$R85))+SUMPRODUCT(($I$6:$I85=$I85)*ISNUMBER($R$6:$R85)*($R$6:$R85=$R85))))</f>
        <v/>
      </c>
      <c r="AM85" s="89" t="n">
        <f aca="false">IF(AND(ISNUMBER($R85),$W85&lt;&gt;"",$Z85&lt;&gt;"",$AB85="XIRR"),$R85*$W85,0)</f>
        <v>0</v>
      </c>
      <c r="AN85" s="89" t="n">
        <f aca="false">IF(AND(ISNUMBER($R85),$W85&lt;&gt;"",$Z85&lt;&gt;"",$AB85="XIRR"),$R85,0)</f>
        <v>0</v>
      </c>
      <c r="AO85" s="89" t="n">
        <f aca="false">IF(AND(ISNUMBER($R85),$W85&lt;&gt;"",$Z85&lt;&gt;"",$AB85="XIRR"),$R85*$Z85,0)</f>
        <v>0</v>
      </c>
      <c r="AP85" s="89" t="n">
        <f aca="false">IF(AND(ISNUMBER($M85),$Y85&lt;&gt;"",ISNUMBER($T85)),$M85*$Y85,0)</f>
        <v>0</v>
      </c>
      <c r="AQ85" s="89" t="n">
        <f aca="false">IF(AND(ISNUMBER($M85),$Y85&lt;&gt;"",ISNUMBER($T85)),$M85,0)</f>
        <v>0</v>
      </c>
    </row>
    <row r="86" customFormat="false" ht="15" hidden="false" customHeight="false" outlineLevel="0" collapsed="false">
      <c r="A86" s="77"/>
      <c r="B86" s="78"/>
      <c r="C86" s="78"/>
      <c r="D86" s="79" t="str">
        <f aca="false">IF($AI86="","",INDEX(Accounts!$C$6:$C$55,$AI86)&amp;"")</f>
        <v/>
      </c>
      <c r="E86" s="79" t="str">
        <f aca="false">IF($AI86="","",INDEX(Accounts!$F$6:$F$55,$AI86)&amp;"")</f>
        <v/>
      </c>
      <c r="F86" s="79" t="str">
        <f aca="false">IF($AJ86="","",INDEX(Securities!$B$6:$B$105,$AJ86)&amp;"")</f>
        <v/>
      </c>
      <c r="G86" s="79" t="str">
        <f aca="false">IF($AJ86="","",INDEX(Securities!$F$6:$F$105,$AJ86)&amp;"")</f>
        <v/>
      </c>
      <c r="H86" s="79" t="str">
        <f aca="false">IF($AJ86="","",INDEX(Securities!$E$6:$E$105,$AJ86)&amp;"")</f>
        <v/>
      </c>
      <c r="I86" s="79" t="str">
        <f aca="false">IF($AJ86="","",INDEX(Securities!$H$6:$H$105,$AJ86)&amp;"")</f>
        <v/>
      </c>
      <c r="J86" s="80"/>
      <c r="K86" s="80"/>
      <c r="L86" s="81"/>
      <c r="M86" s="82"/>
      <c r="N86" s="83" t="str">
        <f aca="false">IF(OR($L86="",$M86=""),"",IF(N($L86)=0,"",$M86/$L86))</f>
        <v/>
      </c>
      <c r="O86" s="84" t="str">
        <f aca="false">IF($AJ86="","",IF(INDEX(Securities!$O$6:$O$105,$AJ86)="","",INDEX(Securities!$O$6:$O$105,$AJ86)))</f>
        <v/>
      </c>
      <c r="P86" s="79" t="str">
        <f aca="false">IF($AJ86="","",INDEX(Securities!$N$6:$N$105,$AJ86)&amp;"")</f>
        <v/>
      </c>
      <c r="Q86" s="82"/>
      <c r="R86" s="85" t="str">
        <f aca="false">IF($C86="","",IF($Q86&lt;&gt;"",$Q86,IF($P86="At cost",IF($M86="","",$M86),IF(OR($O86="",$L86=""),"",$L86*$O86))))</f>
        <v/>
      </c>
      <c r="S86" s="85" t="str">
        <f aca="false">IF(OR(NOT(ISNUMBER($R86)),$M86=""),"",$R86-$M86)</f>
        <v/>
      </c>
      <c r="T86" s="86" t="str">
        <f aca="false">IF(OR($S86="",N($M86)=0),"",$S86/$M86)</f>
        <v/>
      </c>
      <c r="U86" s="82"/>
      <c r="V86" s="82"/>
      <c r="W86" s="87"/>
      <c r="X86" s="79" t="str">
        <f aca="false">IF($AJ86="","",INDEX(Securities!$L$6:$L$105,$AJ86)&amp;"")</f>
        <v/>
      </c>
      <c r="Y86" s="87"/>
      <c r="Z86" s="87"/>
      <c r="AA86" s="86" t="str">
        <f aca="false">IF(OR($W86="",$Z86=""),"",$W86-$Z86)</f>
        <v/>
      </c>
      <c r="AB86" s="79" t="str">
        <f aca="false">IF($C86="","",IF($P86="At cost","At cost",IF(NOT(ISNUMBER($J86)),"No date",IF(ValDate-$J86&lt;365,"Absolute",IF($W86="","XIRR missing","XIRR")))))</f>
        <v/>
      </c>
      <c r="AC86" s="86" t="str">
        <f aca="false">IF(NOT(ISNUMBER($R86)),"",IF(SUM($R$6:$R$205)=0,"",$R86/SUM($R$6:$R$205)))</f>
        <v/>
      </c>
      <c r="AD86" s="82"/>
      <c r="AE86" s="80"/>
      <c r="AF86" s="78"/>
      <c r="AG86" s="88" t="str">
        <f aca="false">IF($C86="","",IF(COUNTIFS('Tax Lots'!$B$6:$B$205,$B86,'Tax Lots'!$C$6:$C$205,$C86)=0,"",SUMIFS('Tax Lots'!$P$6:$P$205,'Tax Lots'!$B$6:$B$205,$B86,'Tax Lots'!$C$6:$C$205,$C86)))</f>
        <v/>
      </c>
      <c r="AH86" s="79" t="str">
        <f aca="false">IF($A86&amp;$B86&amp;$C86="","",IF($A86="","Missing ID",IF(COUNTIF($A$6:$A$205,$A86)&gt;1,"Duplicate ID",IF($AI86="","Unknown account",IF($AJ86="","Unknown security",IF(COUNTIFS($B$6:$B$205,$B86,$C$6:$C$205,$C86)&gt;1,"Same security twice in one account",IF(AND(ISNUMBER($J86),ISNUMBER($K86),N($K86)&lt;N($J86)),"Last date before first",IF(NOT(ISNUMBER($R86)),"No market value",IF(OR(N($J86)&gt;ValDate,N($K86)&gt;ValDate),"Date after valuation",IF(AND(ISNUMBER($AG86),ABS(N($L86)-N($AG86))&gt;0.001),"Lot quantity differs",IF(AND(ISNUMBER($AG86),ABS(N($M86)-SUMIFS('Tax Lots'!$Q$6:$Q$205,'Tax Lots'!$B$6:$B$205,$B86,'Tax Lots'!$C$6:$C$205,$C86))&gt;1),"Lot cost differs",IF(AND(ISNUMBER($AG86),ABS(N($V86)-SUMIFS('Tax Lots'!$AA$6:$AA$205,'Tax Lots'!$B$6:$B$205,$B86,'Tax Lots'!$C$6:$C$205,$C86))&gt;1),"Lot realised gain differs","OK"))))))))))))</f>
        <v/>
      </c>
      <c r="AI86" s="89" t="str">
        <f aca="false">IF($B86="","",IFERROR(MATCH($B86,Accounts!$A$6:$A$55,0),""))</f>
        <v/>
      </c>
      <c r="AJ86" s="89" t="str">
        <f aca="false">IF($C86="","",IFERROR(MATCH($C86,Securities!$A$6:$A$105,0),""))</f>
        <v/>
      </c>
      <c r="AK86" s="89" t="str">
        <f aca="false">IF($AI86="","",INDEX(Accounts!$B$6:$B$55,$AI86)&amp;"")</f>
        <v/>
      </c>
      <c r="AL86" s="89" t="str">
        <f aca="false">IF(OR($C86="",$I86="",NOT(ISNUMBER($R86))),"",$I86&amp;"|"&amp;(SUMPRODUCT(($I$6:$I$205=$I86)*ISNUMBER($R$6:$R$205)*($R$6:$R$205&gt;$R86))+SUMPRODUCT(($I$6:$I86=$I86)*ISNUMBER($R$6:$R86)*($R$6:$R86=$R86))))</f>
        <v/>
      </c>
      <c r="AM86" s="89" t="n">
        <f aca="false">IF(AND(ISNUMBER($R86),$W86&lt;&gt;"",$Z86&lt;&gt;"",$AB86="XIRR"),$R86*$W86,0)</f>
        <v>0</v>
      </c>
      <c r="AN86" s="89" t="n">
        <f aca="false">IF(AND(ISNUMBER($R86),$W86&lt;&gt;"",$Z86&lt;&gt;"",$AB86="XIRR"),$R86,0)</f>
        <v>0</v>
      </c>
      <c r="AO86" s="89" t="n">
        <f aca="false">IF(AND(ISNUMBER($R86),$W86&lt;&gt;"",$Z86&lt;&gt;"",$AB86="XIRR"),$R86*$Z86,0)</f>
        <v>0</v>
      </c>
      <c r="AP86" s="89" t="n">
        <f aca="false">IF(AND(ISNUMBER($M86),$Y86&lt;&gt;"",ISNUMBER($T86)),$M86*$Y86,0)</f>
        <v>0</v>
      </c>
      <c r="AQ86" s="89" t="n">
        <f aca="false">IF(AND(ISNUMBER($M86),$Y86&lt;&gt;"",ISNUMBER($T86)),$M86,0)</f>
        <v>0</v>
      </c>
    </row>
    <row r="87" customFormat="false" ht="15" hidden="false" customHeight="false" outlineLevel="0" collapsed="false">
      <c r="A87" s="77"/>
      <c r="B87" s="78"/>
      <c r="C87" s="78"/>
      <c r="D87" s="79" t="str">
        <f aca="false">IF($AI87="","",INDEX(Accounts!$C$6:$C$55,$AI87)&amp;"")</f>
        <v/>
      </c>
      <c r="E87" s="79" t="str">
        <f aca="false">IF($AI87="","",INDEX(Accounts!$F$6:$F$55,$AI87)&amp;"")</f>
        <v/>
      </c>
      <c r="F87" s="79" t="str">
        <f aca="false">IF($AJ87="","",INDEX(Securities!$B$6:$B$105,$AJ87)&amp;"")</f>
        <v/>
      </c>
      <c r="G87" s="79" t="str">
        <f aca="false">IF($AJ87="","",INDEX(Securities!$F$6:$F$105,$AJ87)&amp;"")</f>
        <v/>
      </c>
      <c r="H87" s="79" t="str">
        <f aca="false">IF($AJ87="","",INDEX(Securities!$E$6:$E$105,$AJ87)&amp;"")</f>
        <v/>
      </c>
      <c r="I87" s="79" t="str">
        <f aca="false">IF($AJ87="","",INDEX(Securities!$H$6:$H$105,$AJ87)&amp;"")</f>
        <v/>
      </c>
      <c r="J87" s="80"/>
      <c r="K87" s="80"/>
      <c r="L87" s="81"/>
      <c r="M87" s="82"/>
      <c r="N87" s="83" t="str">
        <f aca="false">IF(OR($L87="",$M87=""),"",IF(N($L87)=0,"",$M87/$L87))</f>
        <v/>
      </c>
      <c r="O87" s="84" t="str">
        <f aca="false">IF($AJ87="","",IF(INDEX(Securities!$O$6:$O$105,$AJ87)="","",INDEX(Securities!$O$6:$O$105,$AJ87)))</f>
        <v/>
      </c>
      <c r="P87" s="79" t="str">
        <f aca="false">IF($AJ87="","",INDEX(Securities!$N$6:$N$105,$AJ87)&amp;"")</f>
        <v/>
      </c>
      <c r="Q87" s="82"/>
      <c r="R87" s="85" t="str">
        <f aca="false">IF($C87="","",IF($Q87&lt;&gt;"",$Q87,IF($P87="At cost",IF($M87="","",$M87),IF(OR($O87="",$L87=""),"",$L87*$O87))))</f>
        <v/>
      </c>
      <c r="S87" s="85" t="str">
        <f aca="false">IF(OR(NOT(ISNUMBER($R87)),$M87=""),"",$R87-$M87)</f>
        <v/>
      </c>
      <c r="T87" s="86" t="str">
        <f aca="false">IF(OR($S87="",N($M87)=0),"",$S87/$M87)</f>
        <v/>
      </c>
      <c r="U87" s="82"/>
      <c r="V87" s="82"/>
      <c r="W87" s="87"/>
      <c r="X87" s="79" t="str">
        <f aca="false">IF($AJ87="","",INDEX(Securities!$L$6:$L$105,$AJ87)&amp;"")</f>
        <v/>
      </c>
      <c r="Y87" s="87"/>
      <c r="Z87" s="87"/>
      <c r="AA87" s="86" t="str">
        <f aca="false">IF(OR($W87="",$Z87=""),"",$W87-$Z87)</f>
        <v/>
      </c>
      <c r="AB87" s="79" t="str">
        <f aca="false">IF($C87="","",IF($P87="At cost","At cost",IF(NOT(ISNUMBER($J87)),"No date",IF(ValDate-$J87&lt;365,"Absolute",IF($W87="","XIRR missing","XIRR")))))</f>
        <v/>
      </c>
      <c r="AC87" s="86" t="str">
        <f aca="false">IF(NOT(ISNUMBER($R87)),"",IF(SUM($R$6:$R$205)=0,"",$R87/SUM($R$6:$R$205)))</f>
        <v/>
      </c>
      <c r="AD87" s="82"/>
      <c r="AE87" s="80"/>
      <c r="AF87" s="78"/>
      <c r="AG87" s="88" t="str">
        <f aca="false">IF($C87="","",IF(COUNTIFS('Tax Lots'!$B$6:$B$205,$B87,'Tax Lots'!$C$6:$C$205,$C87)=0,"",SUMIFS('Tax Lots'!$P$6:$P$205,'Tax Lots'!$B$6:$B$205,$B87,'Tax Lots'!$C$6:$C$205,$C87)))</f>
        <v/>
      </c>
      <c r="AH87" s="79" t="str">
        <f aca="false">IF($A87&amp;$B87&amp;$C87="","",IF($A87="","Missing ID",IF(COUNTIF($A$6:$A$205,$A87)&gt;1,"Duplicate ID",IF($AI87="","Unknown account",IF($AJ87="","Unknown security",IF(COUNTIFS($B$6:$B$205,$B87,$C$6:$C$205,$C87)&gt;1,"Same security twice in one account",IF(AND(ISNUMBER($J87),ISNUMBER($K87),N($K87)&lt;N($J87)),"Last date before first",IF(NOT(ISNUMBER($R87)),"No market value",IF(OR(N($J87)&gt;ValDate,N($K87)&gt;ValDate),"Date after valuation",IF(AND(ISNUMBER($AG87),ABS(N($L87)-N($AG87))&gt;0.001),"Lot quantity differs",IF(AND(ISNUMBER($AG87),ABS(N($M87)-SUMIFS('Tax Lots'!$Q$6:$Q$205,'Tax Lots'!$B$6:$B$205,$B87,'Tax Lots'!$C$6:$C$205,$C87))&gt;1),"Lot cost differs",IF(AND(ISNUMBER($AG87),ABS(N($V87)-SUMIFS('Tax Lots'!$AA$6:$AA$205,'Tax Lots'!$B$6:$B$205,$B87,'Tax Lots'!$C$6:$C$205,$C87))&gt;1),"Lot realised gain differs","OK"))))))))))))</f>
        <v/>
      </c>
      <c r="AI87" s="89" t="str">
        <f aca="false">IF($B87="","",IFERROR(MATCH($B87,Accounts!$A$6:$A$55,0),""))</f>
        <v/>
      </c>
      <c r="AJ87" s="89" t="str">
        <f aca="false">IF($C87="","",IFERROR(MATCH($C87,Securities!$A$6:$A$105,0),""))</f>
        <v/>
      </c>
      <c r="AK87" s="89" t="str">
        <f aca="false">IF($AI87="","",INDEX(Accounts!$B$6:$B$55,$AI87)&amp;"")</f>
        <v/>
      </c>
      <c r="AL87" s="89" t="str">
        <f aca="false">IF(OR($C87="",$I87="",NOT(ISNUMBER($R87))),"",$I87&amp;"|"&amp;(SUMPRODUCT(($I$6:$I$205=$I87)*ISNUMBER($R$6:$R$205)*($R$6:$R$205&gt;$R87))+SUMPRODUCT(($I$6:$I87=$I87)*ISNUMBER($R$6:$R87)*($R$6:$R87=$R87))))</f>
        <v/>
      </c>
      <c r="AM87" s="89" t="n">
        <f aca="false">IF(AND(ISNUMBER($R87),$W87&lt;&gt;"",$Z87&lt;&gt;"",$AB87="XIRR"),$R87*$W87,0)</f>
        <v>0</v>
      </c>
      <c r="AN87" s="89" t="n">
        <f aca="false">IF(AND(ISNUMBER($R87),$W87&lt;&gt;"",$Z87&lt;&gt;"",$AB87="XIRR"),$R87,0)</f>
        <v>0</v>
      </c>
      <c r="AO87" s="89" t="n">
        <f aca="false">IF(AND(ISNUMBER($R87),$W87&lt;&gt;"",$Z87&lt;&gt;"",$AB87="XIRR"),$R87*$Z87,0)</f>
        <v>0</v>
      </c>
      <c r="AP87" s="89" t="n">
        <f aca="false">IF(AND(ISNUMBER($M87),$Y87&lt;&gt;"",ISNUMBER($T87)),$M87*$Y87,0)</f>
        <v>0</v>
      </c>
      <c r="AQ87" s="89" t="n">
        <f aca="false">IF(AND(ISNUMBER($M87),$Y87&lt;&gt;"",ISNUMBER($T87)),$M87,0)</f>
        <v>0</v>
      </c>
    </row>
    <row r="88" customFormat="false" ht="15" hidden="false" customHeight="false" outlineLevel="0" collapsed="false">
      <c r="A88" s="77"/>
      <c r="B88" s="78"/>
      <c r="C88" s="78"/>
      <c r="D88" s="79" t="str">
        <f aca="false">IF($AI88="","",INDEX(Accounts!$C$6:$C$55,$AI88)&amp;"")</f>
        <v/>
      </c>
      <c r="E88" s="79" t="str">
        <f aca="false">IF($AI88="","",INDEX(Accounts!$F$6:$F$55,$AI88)&amp;"")</f>
        <v/>
      </c>
      <c r="F88" s="79" t="str">
        <f aca="false">IF($AJ88="","",INDEX(Securities!$B$6:$B$105,$AJ88)&amp;"")</f>
        <v/>
      </c>
      <c r="G88" s="79" t="str">
        <f aca="false">IF($AJ88="","",INDEX(Securities!$F$6:$F$105,$AJ88)&amp;"")</f>
        <v/>
      </c>
      <c r="H88" s="79" t="str">
        <f aca="false">IF($AJ88="","",INDEX(Securities!$E$6:$E$105,$AJ88)&amp;"")</f>
        <v/>
      </c>
      <c r="I88" s="79" t="str">
        <f aca="false">IF($AJ88="","",INDEX(Securities!$H$6:$H$105,$AJ88)&amp;"")</f>
        <v/>
      </c>
      <c r="J88" s="80"/>
      <c r="K88" s="80"/>
      <c r="L88" s="81"/>
      <c r="M88" s="82"/>
      <c r="N88" s="83" t="str">
        <f aca="false">IF(OR($L88="",$M88=""),"",IF(N($L88)=0,"",$M88/$L88))</f>
        <v/>
      </c>
      <c r="O88" s="84" t="str">
        <f aca="false">IF($AJ88="","",IF(INDEX(Securities!$O$6:$O$105,$AJ88)="","",INDEX(Securities!$O$6:$O$105,$AJ88)))</f>
        <v/>
      </c>
      <c r="P88" s="79" t="str">
        <f aca="false">IF($AJ88="","",INDEX(Securities!$N$6:$N$105,$AJ88)&amp;"")</f>
        <v/>
      </c>
      <c r="Q88" s="82"/>
      <c r="R88" s="85" t="str">
        <f aca="false">IF($C88="","",IF($Q88&lt;&gt;"",$Q88,IF($P88="At cost",IF($M88="","",$M88),IF(OR($O88="",$L88=""),"",$L88*$O88))))</f>
        <v/>
      </c>
      <c r="S88" s="85" t="str">
        <f aca="false">IF(OR(NOT(ISNUMBER($R88)),$M88=""),"",$R88-$M88)</f>
        <v/>
      </c>
      <c r="T88" s="86" t="str">
        <f aca="false">IF(OR($S88="",N($M88)=0),"",$S88/$M88)</f>
        <v/>
      </c>
      <c r="U88" s="82"/>
      <c r="V88" s="82"/>
      <c r="W88" s="87"/>
      <c r="X88" s="79" t="str">
        <f aca="false">IF($AJ88="","",INDEX(Securities!$L$6:$L$105,$AJ88)&amp;"")</f>
        <v/>
      </c>
      <c r="Y88" s="87"/>
      <c r="Z88" s="87"/>
      <c r="AA88" s="86" t="str">
        <f aca="false">IF(OR($W88="",$Z88=""),"",$W88-$Z88)</f>
        <v/>
      </c>
      <c r="AB88" s="79" t="str">
        <f aca="false">IF($C88="","",IF($P88="At cost","At cost",IF(NOT(ISNUMBER($J88)),"No date",IF(ValDate-$J88&lt;365,"Absolute",IF($W88="","XIRR missing","XIRR")))))</f>
        <v/>
      </c>
      <c r="AC88" s="86" t="str">
        <f aca="false">IF(NOT(ISNUMBER($R88)),"",IF(SUM($R$6:$R$205)=0,"",$R88/SUM($R$6:$R$205)))</f>
        <v/>
      </c>
      <c r="AD88" s="82"/>
      <c r="AE88" s="80"/>
      <c r="AF88" s="78"/>
      <c r="AG88" s="88" t="str">
        <f aca="false">IF($C88="","",IF(COUNTIFS('Tax Lots'!$B$6:$B$205,$B88,'Tax Lots'!$C$6:$C$205,$C88)=0,"",SUMIFS('Tax Lots'!$P$6:$P$205,'Tax Lots'!$B$6:$B$205,$B88,'Tax Lots'!$C$6:$C$205,$C88)))</f>
        <v/>
      </c>
      <c r="AH88" s="79" t="str">
        <f aca="false">IF($A88&amp;$B88&amp;$C88="","",IF($A88="","Missing ID",IF(COUNTIF($A$6:$A$205,$A88)&gt;1,"Duplicate ID",IF($AI88="","Unknown account",IF($AJ88="","Unknown security",IF(COUNTIFS($B$6:$B$205,$B88,$C$6:$C$205,$C88)&gt;1,"Same security twice in one account",IF(AND(ISNUMBER($J88),ISNUMBER($K88),N($K88)&lt;N($J88)),"Last date before first",IF(NOT(ISNUMBER($R88)),"No market value",IF(OR(N($J88)&gt;ValDate,N($K88)&gt;ValDate),"Date after valuation",IF(AND(ISNUMBER($AG88),ABS(N($L88)-N($AG88))&gt;0.001),"Lot quantity differs",IF(AND(ISNUMBER($AG88),ABS(N($M88)-SUMIFS('Tax Lots'!$Q$6:$Q$205,'Tax Lots'!$B$6:$B$205,$B88,'Tax Lots'!$C$6:$C$205,$C88))&gt;1),"Lot cost differs",IF(AND(ISNUMBER($AG88),ABS(N($V88)-SUMIFS('Tax Lots'!$AA$6:$AA$205,'Tax Lots'!$B$6:$B$205,$B88,'Tax Lots'!$C$6:$C$205,$C88))&gt;1),"Lot realised gain differs","OK"))))))))))))</f>
        <v/>
      </c>
      <c r="AI88" s="89" t="str">
        <f aca="false">IF($B88="","",IFERROR(MATCH($B88,Accounts!$A$6:$A$55,0),""))</f>
        <v/>
      </c>
      <c r="AJ88" s="89" t="str">
        <f aca="false">IF($C88="","",IFERROR(MATCH($C88,Securities!$A$6:$A$105,0),""))</f>
        <v/>
      </c>
      <c r="AK88" s="89" t="str">
        <f aca="false">IF($AI88="","",INDEX(Accounts!$B$6:$B$55,$AI88)&amp;"")</f>
        <v/>
      </c>
      <c r="AL88" s="89" t="str">
        <f aca="false">IF(OR($C88="",$I88="",NOT(ISNUMBER($R88))),"",$I88&amp;"|"&amp;(SUMPRODUCT(($I$6:$I$205=$I88)*ISNUMBER($R$6:$R$205)*($R$6:$R$205&gt;$R88))+SUMPRODUCT(($I$6:$I88=$I88)*ISNUMBER($R$6:$R88)*($R$6:$R88=$R88))))</f>
        <v/>
      </c>
      <c r="AM88" s="89" t="n">
        <f aca="false">IF(AND(ISNUMBER($R88),$W88&lt;&gt;"",$Z88&lt;&gt;"",$AB88="XIRR"),$R88*$W88,0)</f>
        <v>0</v>
      </c>
      <c r="AN88" s="89" t="n">
        <f aca="false">IF(AND(ISNUMBER($R88),$W88&lt;&gt;"",$Z88&lt;&gt;"",$AB88="XIRR"),$R88,0)</f>
        <v>0</v>
      </c>
      <c r="AO88" s="89" t="n">
        <f aca="false">IF(AND(ISNUMBER($R88),$W88&lt;&gt;"",$Z88&lt;&gt;"",$AB88="XIRR"),$R88*$Z88,0)</f>
        <v>0</v>
      </c>
      <c r="AP88" s="89" t="n">
        <f aca="false">IF(AND(ISNUMBER($M88),$Y88&lt;&gt;"",ISNUMBER($T88)),$M88*$Y88,0)</f>
        <v>0</v>
      </c>
      <c r="AQ88" s="89" t="n">
        <f aca="false">IF(AND(ISNUMBER($M88),$Y88&lt;&gt;"",ISNUMBER($T88)),$M88,0)</f>
        <v>0</v>
      </c>
    </row>
    <row r="89" customFormat="false" ht="15" hidden="false" customHeight="false" outlineLevel="0" collapsed="false">
      <c r="A89" s="77"/>
      <c r="B89" s="78"/>
      <c r="C89" s="78"/>
      <c r="D89" s="79" t="str">
        <f aca="false">IF($AI89="","",INDEX(Accounts!$C$6:$C$55,$AI89)&amp;"")</f>
        <v/>
      </c>
      <c r="E89" s="79" t="str">
        <f aca="false">IF($AI89="","",INDEX(Accounts!$F$6:$F$55,$AI89)&amp;"")</f>
        <v/>
      </c>
      <c r="F89" s="79" t="str">
        <f aca="false">IF($AJ89="","",INDEX(Securities!$B$6:$B$105,$AJ89)&amp;"")</f>
        <v/>
      </c>
      <c r="G89" s="79" t="str">
        <f aca="false">IF($AJ89="","",INDEX(Securities!$F$6:$F$105,$AJ89)&amp;"")</f>
        <v/>
      </c>
      <c r="H89" s="79" t="str">
        <f aca="false">IF($AJ89="","",INDEX(Securities!$E$6:$E$105,$AJ89)&amp;"")</f>
        <v/>
      </c>
      <c r="I89" s="79" t="str">
        <f aca="false">IF($AJ89="","",INDEX(Securities!$H$6:$H$105,$AJ89)&amp;"")</f>
        <v/>
      </c>
      <c r="J89" s="80"/>
      <c r="K89" s="80"/>
      <c r="L89" s="81"/>
      <c r="M89" s="82"/>
      <c r="N89" s="83" t="str">
        <f aca="false">IF(OR($L89="",$M89=""),"",IF(N($L89)=0,"",$M89/$L89))</f>
        <v/>
      </c>
      <c r="O89" s="84" t="str">
        <f aca="false">IF($AJ89="","",IF(INDEX(Securities!$O$6:$O$105,$AJ89)="","",INDEX(Securities!$O$6:$O$105,$AJ89)))</f>
        <v/>
      </c>
      <c r="P89" s="79" t="str">
        <f aca="false">IF($AJ89="","",INDEX(Securities!$N$6:$N$105,$AJ89)&amp;"")</f>
        <v/>
      </c>
      <c r="Q89" s="82"/>
      <c r="R89" s="85" t="str">
        <f aca="false">IF($C89="","",IF($Q89&lt;&gt;"",$Q89,IF($P89="At cost",IF($M89="","",$M89),IF(OR($O89="",$L89=""),"",$L89*$O89))))</f>
        <v/>
      </c>
      <c r="S89" s="85" t="str">
        <f aca="false">IF(OR(NOT(ISNUMBER($R89)),$M89=""),"",$R89-$M89)</f>
        <v/>
      </c>
      <c r="T89" s="86" t="str">
        <f aca="false">IF(OR($S89="",N($M89)=0),"",$S89/$M89)</f>
        <v/>
      </c>
      <c r="U89" s="82"/>
      <c r="V89" s="82"/>
      <c r="W89" s="87"/>
      <c r="X89" s="79" t="str">
        <f aca="false">IF($AJ89="","",INDEX(Securities!$L$6:$L$105,$AJ89)&amp;"")</f>
        <v/>
      </c>
      <c r="Y89" s="87"/>
      <c r="Z89" s="87"/>
      <c r="AA89" s="86" t="str">
        <f aca="false">IF(OR($W89="",$Z89=""),"",$W89-$Z89)</f>
        <v/>
      </c>
      <c r="AB89" s="79" t="str">
        <f aca="false">IF($C89="","",IF($P89="At cost","At cost",IF(NOT(ISNUMBER($J89)),"No date",IF(ValDate-$J89&lt;365,"Absolute",IF($W89="","XIRR missing","XIRR")))))</f>
        <v/>
      </c>
      <c r="AC89" s="86" t="str">
        <f aca="false">IF(NOT(ISNUMBER($R89)),"",IF(SUM($R$6:$R$205)=0,"",$R89/SUM($R$6:$R$205)))</f>
        <v/>
      </c>
      <c r="AD89" s="82"/>
      <c r="AE89" s="80"/>
      <c r="AF89" s="78"/>
      <c r="AG89" s="88" t="str">
        <f aca="false">IF($C89="","",IF(COUNTIFS('Tax Lots'!$B$6:$B$205,$B89,'Tax Lots'!$C$6:$C$205,$C89)=0,"",SUMIFS('Tax Lots'!$P$6:$P$205,'Tax Lots'!$B$6:$B$205,$B89,'Tax Lots'!$C$6:$C$205,$C89)))</f>
        <v/>
      </c>
      <c r="AH89" s="79" t="str">
        <f aca="false">IF($A89&amp;$B89&amp;$C89="","",IF($A89="","Missing ID",IF(COUNTIF($A$6:$A$205,$A89)&gt;1,"Duplicate ID",IF($AI89="","Unknown account",IF($AJ89="","Unknown security",IF(COUNTIFS($B$6:$B$205,$B89,$C$6:$C$205,$C89)&gt;1,"Same security twice in one account",IF(AND(ISNUMBER($J89),ISNUMBER($K89),N($K89)&lt;N($J89)),"Last date before first",IF(NOT(ISNUMBER($R89)),"No market value",IF(OR(N($J89)&gt;ValDate,N($K89)&gt;ValDate),"Date after valuation",IF(AND(ISNUMBER($AG89),ABS(N($L89)-N($AG89))&gt;0.001),"Lot quantity differs",IF(AND(ISNUMBER($AG89),ABS(N($M89)-SUMIFS('Tax Lots'!$Q$6:$Q$205,'Tax Lots'!$B$6:$B$205,$B89,'Tax Lots'!$C$6:$C$205,$C89))&gt;1),"Lot cost differs",IF(AND(ISNUMBER($AG89),ABS(N($V89)-SUMIFS('Tax Lots'!$AA$6:$AA$205,'Tax Lots'!$B$6:$B$205,$B89,'Tax Lots'!$C$6:$C$205,$C89))&gt;1),"Lot realised gain differs","OK"))))))))))))</f>
        <v/>
      </c>
      <c r="AI89" s="89" t="str">
        <f aca="false">IF($B89="","",IFERROR(MATCH($B89,Accounts!$A$6:$A$55,0),""))</f>
        <v/>
      </c>
      <c r="AJ89" s="89" t="str">
        <f aca="false">IF($C89="","",IFERROR(MATCH($C89,Securities!$A$6:$A$105,0),""))</f>
        <v/>
      </c>
      <c r="AK89" s="89" t="str">
        <f aca="false">IF($AI89="","",INDEX(Accounts!$B$6:$B$55,$AI89)&amp;"")</f>
        <v/>
      </c>
      <c r="AL89" s="89" t="str">
        <f aca="false">IF(OR($C89="",$I89="",NOT(ISNUMBER($R89))),"",$I89&amp;"|"&amp;(SUMPRODUCT(($I$6:$I$205=$I89)*ISNUMBER($R$6:$R$205)*($R$6:$R$205&gt;$R89))+SUMPRODUCT(($I$6:$I89=$I89)*ISNUMBER($R$6:$R89)*($R$6:$R89=$R89))))</f>
        <v/>
      </c>
      <c r="AM89" s="89" t="n">
        <f aca="false">IF(AND(ISNUMBER($R89),$W89&lt;&gt;"",$Z89&lt;&gt;"",$AB89="XIRR"),$R89*$W89,0)</f>
        <v>0</v>
      </c>
      <c r="AN89" s="89" t="n">
        <f aca="false">IF(AND(ISNUMBER($R89),$W89&lt;&gt;"",$Z89&lt;&gt;"",$AB89="XIRR"),$R89,0)</f>
        <v>0</v>
      </c>
      <c r="AO89" s="89" t="n">
        <f aca="false">IF(AND(ISNUMBER($R89),$W89&lt;&gt;"",$Z89&lt;&gt;"",$AB89="XIRR"),$R89*$Z89,0)</f>
        <v>0</v>
      </c>
      <c r="AP89" s="89" t="n">
        <f aca="false">IF(AND(ISNUMBER($M89),$Y89&lt;&gt;"",ISNUMBER($T89)),$M89*$Y89,0)</f>
        <v>0</v>
      </c>
      <c r="AQ89" s="89" t="n">
        <f aca="false">IF(AND(ISNUMBER($M89),$Y89&lt;&gt;"",ISNUMBER($T89)),$M89,0)</f>
        <v>0</v>
      </c>
    </row>
    <row r="90" customFormat="false" ht="15" hidden="false" customHeight="false" outlineLevel="0" collapsed="false">
      <c r="A90" s="77"/>
      <c r="B90" s="78"/>
      <c r="C90" s="78"/>
      <c r="D90" s="79" t="str">
        <f aca="false">IF($AI90="","",INDEX(Accounts!$C$6:$C$55,$AI90)&amp;"")</f>
        <v/>
      </c>
      <c r="E90" s="79" t="str">
        <f aca="false">IF($AI90="","",INDEX(Accounts!$F$6:$F$55,$AI90)&amp;"")</f>
        <v/>
      </c>
      <c r="F90" s="79" t="str">
        <f aca="false">IF($AJ90="","",INDEX(Securities!$B$6:$B$105,$AJ90)&amp;"")</f>
        <v/>
      </c>
      <c r="G90" s="79" t="str">
        <f aca="false">IF($AJ90="","",INDEX(Securities!$F$6:$F$105,$AJ90)&amp;"")</f>
        <v/>
      </c>
      <c r="H90" s="79" t="str">
        <f aca="false">IF($AJ90="","",INDEX(Securities!$E$6:$E$105,$AJ90)&amp;"")</f>
        <v/>
      </c>
      <c r="I90" s="79" t="str">
        <f aca="false">IF($AJ90="","",INDEX(Securities!$H$6:$H$105,$AJ90)&amp;"")</f>
        <v/>
      </c>
      <c r="J90" s="80"/>
      <c r="K90" s="80"/>
      <c r="L90" s="81"/>
      <c r="M90" s="82"/>
      <c r="N90" s="83" t="str">
        <f aca="false">IF(OR($L90="",$M90=""),"",IF(N($L90)=0,"",$M90/$L90))</f>
        <v/>
      </c>
      <c r="O90" s="84" t="str">
        <f aca="false">IF($AJ90="","",IF(INDEX(Securities!$O$6:$O$105,$AJ90)="","",INDEX(Securities!$O$6:$O$105,$AJ90)))</f>
        <v/>
      </c>
      <c r="P90" s="79" t="str">
        <f aca="false">IF($AJ90="","",INDEX(Securities!$N$6:$N$105,$AJ90)&amp;"")</f>
        <v/>
      </c>
      <c r="Q90" s="82"/>
      <c r="R90" s="85" t="str">
        <f aca="false">IF($C90="","",IF($Q90&lt;&gt;"",$Q90,IF($P90="At cost",IF($M90="","",$M90),IF(OR($O90="",$L90=""),"",$L90*$O90))))</f>
        <v/>
      </c>
      <c r="S90" s="85" t="str">
        <f aca="false">IF(OR(NOT(ISNUMBER($R90)),$M90=""),"",$R90-$M90)</f>
        <v/>
      </c>
      <c r="T90" s="86" t="str">
        <f aca="false">IF(OR($S90="",N($M90)=0),"",$S90/$M90)</f>
        <v/>
      </c>
      <c r="U90" s="82"/>
      <c r="V90" s="82"/>
      <c r="W90" s="87"/>
      <c r="X90" s="79" t="str">
        <f aca="false">IF($AJ90="","",INDEX(Securities!$L$6:$L$105,$AJ90)&amp;"")</f>
        <v/>
      </c>
      <c r="Y90" s="87"/>
      <c r="Z90" s="87"/>
      <c r="AA90" s="86" t="str">
        <f aca="false">IF(OR($W90="",$Z90=""),"",$W90-$Z90)</f>
        <v/>
      </c>
      <c r="AB90" s="79" t="str">
        <f aca="false">IF($C90="","",IF($P90="At cost","At cost",IF(NOT(ISNUMBER($J90)),"No date",IF(ValDate-$J90&lt;365,"Absolute",IF($W90="","XIRR missing","XIRR")))))</f>
        <v/>
      </c>
      <c r="AC90" s="86" t="str">
        <f aca="false">IF(NOT(ISNUMBER($R90)),"",IF(SUM($R$6:$R$205)=0,"",$R90/SUM($R$6:$R$205)))</f>
        <v/>
      </c>
      <c r="AD90" s="82"/>
      <c r="AE90" s="80"/>
      <c r="AF90" s="78"/>
      <c r="AG90" s="88" t="str">
        <f aca="false">IF($C90="","",IF(COUNTIFS('Tax Lots'!$B$6:$B$205,$B90,'Tax Lots'!$C$6:$C$205,$C90)=0,"",SUMIFS('Tax Lots'!$P$6:$P$205,'Tax Lots'!$B$6:$B$205,$B90,'Tax Lots'!$C$6:$C$205,$C90)))</f>
        <v/>
      </c>
      <c r="AH90" s="79" t="str">
        <f aca="false">IF($A90&amp;$B90&amp;$C90="","",IF($A90="","Missing ID",IF(COUNTIF($A$6:$A$205,$A90)&gt;1,"Duplicate ID",IF($AI90="","Unknown account",IF($AJ90="","Unknown security",IF(COUNTIFS($B$6:$B$205,$B90,$C$6:$C$205,$C90)&gt;1,"Same security twice in one account",IF(AND(ISNUMBER($J90),ISNUMBER($K90),N($K90)&lt;N($J90)),"Last date before first",IF(NOT(ISNUMBER($R90)),"No market value",IF(OR(N($J90)&gt;ValDate,N($K90)&gt;ValDate),"Date after valuation",IF(AND(ISNUMBER($AG90),ABS(N($L90)-N($AG90))&gt;0.001),"Lot quantity differs",IF(AND(ISNUMBER($AG90),ABS(N($M90)-SUMIFS('Tax Lots'!$Q$6:$Q$205,'Tax Lots'!$B$6:$B$205,$B90,'Tax Lots'!$C$6:$C$205,$C90))&gt;1),"Lot cost differs",IF(AND(ISNUMBER($AG90),ABS(N($V90)-SUMIFS('Tax Lots'!$AA$6:$AA$205,'Tax Lots'!$B$6:$B$205,$B90,'Tax Lots'!$C$6:$C$205,$C90))&gt;1),"Lot realised gain differs","OK"))))))))))))</f>
        <v/>
      </c>
      <c r="AI90" s="89" t="str">
        <f aca="false">IF($B90="","",IFERROR(MATCH($B90,Accounts!$A$6:$A$55,0),""))</f>
        <v/>
      </c>
      <c r="AJ90" s="89" t="str">
        <f aca="false">IF($C90="","",IFERROR(MATCH($C90,Securities!$A$6:$A$105,0),""))</f>
        <v/>
      </c>
      <c r="AK90" s="89" t="str">
        <f aca="false">IF($AI90="","",INDEX(Accounts!$B$6:$B$55,$AI90)&amp;"")</f>
        <v/>
      </c>
      <c r="AL90" s="89" t="str">
        <f aca="false">IF(OR($C90="",$I90="",NOT(ISNUMBER($R90))),"",$I90&amp;"|"&amp;(SUMPRODUCT(($I$6:$I$205=$I90)*ISNUMBER($R$6:$R$205)*($R$6:$R$205&gt;$R90))+SUMPRODUCT(($I$6:$I90=$I90)*ISNUMBER($R$6:$R90)*($R$6:$R90=$R90))))</f>
        <v/>
      </c>
      <c r="AM90" s="89" t="n">
        <f aca="false">IF(AND(ISNUMBER($R90),$W90&lt;&gt;"",$Z90&lt;&gt;"",$AB90="XIRR"),$R90*$W90,0)</f>
        <v>0</v>
      </c>
      <c r="AN90" s="89" t="n">
        <f aca="false">IF(AND(ISNUMBER($R90),$W90&lt;&gt;"",$Z90&lt;&gt;"",$AB90="XIRR"),$R90,0)</f>
        <v>0</v>
      </c>
      <c r="AO90" s="89" t="n">
        <f aca="false">IF(AND(ISNUMBER($R90),$W90&lt;&gt;"",$Z90&lt;&gt;"",$AB90="XIRR"),$R90*$Z90,0)</f>
        <v>0</v>
      </c>
      <c r="AP90" s="89" t="n">
        <f aca="false">IF(AND(ISNUMBER($M90),$Y90&lt;&gt;"",ISNUMBER($T90)),$M90*$Y90,0)</f>
        <v>0</v>
      </c>
      <c r="AQ90" s="89" t="n">
        <f aca="false">IF(AND(ISNUMBER($M90),$Y90&lt;&gt;"",ISNUMBER($T90)),$M90,0)</f>
        <v>0</v>
      </c>
    </row>
    <row r="91" customFormat="false" ht="15" hidden="false" customHeight="false" outlineLevel="0" collapsed="false">
      <c r="A91" s="77"/>
      <c r="B91" s="78"/>
      <c r="C91" s="78"/>
      <c r="D91" s="79" t="str">
        <f aca="false">IF($AI91="","",INDEX(Accounts!$C$6:$C$55,$AI91)&amp;"")</f>
        <v/>
      </c>
      <c r="E91" s="79" t="str">
        <f aca="false">IF($AI91="","",INDEX(Accounts!$F$6:$F$55,$AI91)&amp;"")</f>
        <v/>
      </c>
      <c r="F91" s="79" t="str">
        <f aca="false">IF($AJ91="","",INDEX(Securities!$B$6:$B$105,$AJ91)&amp;"")</f>
        <v/>
      </c>
      <c r="G91" s="79" t="str">
        <f aca="false">IF($AJ91="","",INDEX(Securities!$F$6:$F$105,$AJ91)&amp;"")</f>
        <v/>
      </c>
      <c r="H91" s="79" t="str">
        <f aca="false">IF($AJ91="","",INDEX(Securities!$E$6:$E$105,$AJ91)&amp;"")</f>
        <v/>
      </c>
      <c r="I91" s="79" t="str">
        <f aca="false">IF($AJ91="","",INDEX(Securities!$H$6:$H$105,$AJ91)&amp;"")</f>
        <v/>
      </c>
      <c r="J91" s="80"/>
      <c r="K91" s="80"/>
      <c r="L91" s="81"/>
      <c r="M91" s="82"/>
      <c r="N91" s="83" t="str">
        <f aca="false">IF(OR($L91="",$M91=""),"",IF(N($L91)=0,"",$M91/$L91))</f>
        <v/>
      </c>
      <c r="O91" s="84" t="str">
        <f aca="false">IF($AJ91="","",IF(INDEX(Securities!$O$6:$O$105,$AJ91)="","",INDEX(Securities!$O$6:$O$105,$AJ91)))</f>
        <v/>
      </c>
      <c r="P91" s="79" t="str">
        <f aca="false">IF($AJ91="","",INDEX(Securities!$N$6:$N$105,$AJ91)&amp;"")</f>
        <v/>
      </c>
      <c r="Q91" s="82"/>
      <c r="R91" s="85" t="str">
        <f aca="false">IF($C91="","",IF($Q91&lt;&gt;"",$Q91,IF($P91="At cost",IF($M91="","",$M91),IF(OR($O91="",$L91=""),"",$L91*$O91))))</f>
        <v/>
      </c>
      <c r="S91" s="85" t="str">
        <f aca="false">IF(OR(NOT(ISNUMBER($R91)),$M91=""),"",$R91-$M91)</f>
        <v/>
      </c>
      <c r="T91" s="86" t="str">
        <f aca="false">IF(OR($S91="",N($M91)=0),"",$S91/$M91)</f>
        <v/>
      </c>
      <c r="U91" s="82"/>
      <c r="V91" s="82"/>
      <c r="W91" s="87"/>
      <c r="X91" s="79" t="str">
        <f aca="false">IF($AJ91="","",INDEX(Securities!$L$6:$L$105,$AJ91)&amp;"")</f>
        <v/>
      </c>
      <c r="Y91" s="87"/>
      <c r="Z91" s="87"/>
      <c r="AA91" s="86" t="str">
        <f aca="false">IF(OR($W91="",$Z91=""),"",$W91-$Z91)</f>
        <v/>
      </c>
      <c r="AB91" s="79" t="str">
        <f aca="false">IF($C91="","",IF($P91="At cost","At cost",IF(NOT(ISNUMBER($J91)),"No date",IF(ValDate-$J91&lt;365,"Absolute",IF($W91="","XIRR missing","XIRR")))))</f>
        <v/>
      </c>
      <c r="AC91" s="86" t="str">
        <f aca="false">IF(NOT(ISNUMBER($R91)),"",IF(SUM($R$6:$R$205)=0,"",$R91/SUM($R$6:$R$205)))</f>
        <v/>
      </c>
      <c r="AD91" s="82"/>
      <c r="AE91" s="80"/>
      <c r="AF91" s="78"/>
      <c r="AG91" s="88" t="str">
        <f aca="false">IF($C91="","",IF(COUNTIFS('Tax Lots'!$B$6:$B$205,$B91,'Tax Lots'!$C$6:$C$205,$C91)=0,"",SUMIFS('Tax Lots'!$P$6:$P$205,'Tax Lots'!$B$6:$B$205,$B91,'Tax Lots'!$C$6:$C$205,$C91)))</f>
        <v/>
      </c>
      <c r="AH91" s="79" t="str">
        <f aca="false">IF($A91&amp;$B91&amp;$C91="","",IF($A91="","Missing ID",IF(COUNTIF($A$6:$A$205,$A91)&gt;1,"Duplicate ID",IF($AI91="","Unknown account",IF($AJ91="","Unknown security",IF(COUNTIFS($B$6:$B$205,$B91,$C$6:$C$205,$C91)&gt;1,"Same security twice in one account",IF(AND(ISNUMBER($J91),ISNUMBER($K91),N($K91)&lt;N($J91)),"Last date before first",IF(NOT(ISNUMBER($R91)),"No market value",IF(OR(N($J91)&gt;ValDate,N($K91)&gt;ValDate),"Date after valuation",IF(AND(ISNUMBER($AG91),ABS(N($L91)-N($AG91))&gt;0.001),"Lot quantity differs",IF(AND(ISNUMBER($AG91),ABS(N($M91)-SUMIFS('Tax Lots'!$Q$6:$Q$205,'Tax Lots'!$B$6:$B$205,$B91,'Tax Lots'!$C$6:$C$205,$C91))&gt;1),"Lot cost differs",IF(AND(ISNUMBER($AG91),ABS(N($V91)-SUMIFS('Tax Lots'!$AA$6:$AA$205,'Tax Lots'!$B$6:$B$205,$B91,'Tax Lots'!$C$6:$C$205,$C91))&gt;1),"Lot realised gain differs","OK"))))))))))))</f>
        <v/>
      </c>
      <c r="AI91" s="89" t="str">
        <f aca="false">IF($B91="","",IFERROR(MATCH($B91,Accounts!$A$6:$A$55,0),""))</f>
        <v/>
      </c>
      <c r="AJ91" s="89" t="str">
        <f aca="false">IF($C91="","",IFERROR(MATCH($C91,Securities!$A$6:$A$105,0),""))</f>
        <v/>
      </c>
      <c r="AK91" s="89" t="str">
        <f aca="false">IF($AI91="","",INDEX(Accounts!$B$6:$B$55,$AI91)&amp;"")</f>
        <v/>
      </c>
      <c r="AL91" s="89" t="str">
        <f aca="false">IF(OR($C91="",$I91="",NOT(ISNUMBER($R91))),"",$I91&amp;"|"&amp;(SUMPRODUCT(($I$6:$I$205=$I91)*ISNUMBER($R$6:$R$205)*($R$6:$R$205&gt;$R91))+SUMPRODUCT(($I$6:$I91=$I91)*ISNUMBER($R$6:$R91)*($R$6:$R91=$R91))))</f>
        <v/>
      </c>
      <c r="AM91" s="89" t="n">
        <f aca="false">IF(AND(ISNUMBER($R91),$W91&lt;&gt;"",$Z91&lt;&gt;"",$AB91="XIRR"),$R91*$W91,0)</f>
        <v>0</v>
      </c>
      <c r="AN91" s="89" t="n">
        <f aca="false">IF(AND(ISNUMBER($R91),$W91&lt;&gt;"",$Z91&lt;&gt;"",$AB91="XIRR"),$R91,0)</f>
        <v>0</v>
      </c>
      <c r="AO91" s="89" t="n">
        <f aca="false">IF(AND(ISNUMBER($R91),$W91&lt;&gt;"",$Z91&lt;&gt;"",$AB91="XIRR"),$R91*$Z91,0)</f>
        <v>0</v>
      </c>
      <c r="AP91" s="89" t="n">
        <f aca="false">IF(AND(ISNUMBER($M91),$Y91&lt;&gt;"",ISNUMBER($T91)),$M91*$Y91,0)</f>
        <v>0</v>
      </c>
      <c r="AQ91" s="89" t="n">
        <f aca="false">IF(AND(ISNUMBER($M91),$Y91&lt;&gt;"",ISNUMBER($T91)),$M91,0)</f>
        <v>0</v>
      </c>
    </row>
    <row r="92" customFormat="false" ht="15" hidden="false" customHeight="false" outlineLevel="0" collapsed="false">
      <c r="A92" s="77"/>
      <c r="B92" s="78"/>
      <c r="C92" s="78"/>
      <c r="D92" s="79" t="str">
        <f aca="false">IF($AI92="","",INDEX(Accounts!$C$6:$C$55,$AI92)&amp;"")</f>
        <v/>
      </c>
      <c r="E92" s="79" t="str">
        <f aca="false">IF($AI92="","",INDEX(Accounts!$F$6:$F$55,$AI92)&amp;"")</f>
        <v/>
      </c>
      <c r="F92" s="79" t="str">
        <f aca="false">IF($AJ92="","",INDEX(Securities!$B$6:$B$105,$AJ92)&amp;"")</f>
        <v/>
      </c>
      <c r="G92" s="79" t="str">
        <f aca="false">IF($AJ92="","",INDEX(Securities!$F$6:$F$105,$AJ92)&amp;"")</f>
        <v/>
      </c>
      <c r="H92" s="79" t="str">
        <f aca="false">IF($AJ92="","",INDEX(Securities!$E$6:$E$105,$AJ92)&amp;"")</f>
        <v/>
      </c>
      <c r="I92" s="79" t="str">
        <f aca="false">IF($AJ92="","",INDEX(Securities!$H$6:$H$105,$AJ92)&amp;"")</f>
        <v/>
      </c>
      <c r="J92" s="80"/>
      <c r="K92" s="80"/>
      <c r="L92" s="81"/>
      <c r="M92" s="82"/>
      <c r="N92" s="83" t="str">
        <f aca="false">IF(OR($L92="",$M92=""),"",IF(N($L92)=0,"",$M92/$L92))</f>
        <v/>
      </c>
      <c r="O92" s="84" t="str">
        <f aca="false">IF($AJ92="","",IF(INDEX(Securities!$O$6:$O$105,$AJ92)="","",INDEX(Securities!$O$6:$O$105,$AJ92)))</f>
        <v/>
      </c>
      <c r="P92" s="79" t="str">
        <f aca="false">IF($AJ92="","",INDEX(Securities!$N$6:$N$105,$AJ92)&amp;"")</f>
        <v/>
      </c>
      <c r="Q92" s="82"/>
      <c r="R92" s="85" t="str">
        <f aca="false">IF($C92="","",IF($Q92&lt;&gt;"",$Q92,IF($P92="At cost",IF($M92="","",$M92),IF(OR($O92="",$L92=""),"",$L92*$O92))))</f>
        <v/>
      </c>
      <c r="S92" s="85" t="str">
        <f aca="false">IF(OR(NOT(ISNUMBER($R92)),$M92=""),"",$R92-$M92)</f>
        <v/>
      </c>
      <c r="T92" s="86" t="str">
        <f aca="false">IF(OR($S92="",N($M92)=0),"",$S92/$M92)</f>
        <v/>
      </c>
      <c r="U92" s="82"/>
      <c r="V92" s="82"/>
      <c r="W92" s="87"/>
      <c r="X92" s="79" t="str">
        <f aca="false">IF($AJ92="","",INDEX(Securities!$L$6:$L$105,$AJ92)&amp;"")</f>
        <v/>
      </c>
      <c r="Y92" s="87"/>
      <c r="Z92" s="87"/>
      <c r="AA92" s="86" t="str">
        <f aca="false">IF(OR($W92="",$Z92=""),"",$W92-$Z92)</f>
        <v/>
      </c>
      <c r="AB92" s="79" t="str">
        <f aca="false">IF($C92="","",IF($P92="At cost","At cost",IF(NOT(ISNUMBER($J92)),"No date",IF(ValDate-$J92&lt;365,"Absolute",IF($W92="","XIRR missing","XIRR")))))</f>
        <v/>
      </c>
      <c r="AC92" s="86" t="str">
        <f aca="false">IF(NOT(ISNUMBER($R92)),"",IF(SUM($R$6:$R$205)=0,"",$R92/SUM($R$6:$R$205)))</f>
        <v/>
      </c>
      <c r="AD92" s="82"/>
      <c r="AE92" s="80"/>
      <c r="AF92" s="78"/>
      <c r="AG92" s="88" t="str">
        <f aca="false">IF($C92="","",IF(COUNTIFS('Tax Lots'!$B$6:$B$205,$B92,'Tax Lots'!$C$6:$C$205,$C92)=0,"",SUMIFS('Tax Lots'!$P$6:$P$205,'Tax Lots'!$B$6:$B$205,$B92,'Tax Lots'!$C$6:$C$205,$C92)))</f>
        <v/>
      </c>
      <c r="AH92" s="79" t="str">
        <f aca="false">IF($A92&amp;$B92&amp;$C92="","",IF($A92="","Missing ID",IF(COUNTIF($A$6:$A$205,$A92)&gt;1,"Duplicate ID",IF($AI92="","Unknown account",IF($AJ92="","Unknown security",IF(COUNTIFS($B$6:$B$205,$B92,$C$6:$C$205,$C92)&gt;1,"Same security twice in one account",IF(AND(ISNUMBER($J92),ISNUMBER($K92),N($K92)&lt;N($J92)),"Last date before first",IF(NOT(ISNUMBER($R92)),"No market value",IF(OR(N($J92)&gt;ValDate,N($K92)&gt;ValDate),"Date after valuation",IF(AND(ISNUMBER($AG92),ABS(N($L92)-N($AG92))&gt;0.001),"Lot quantity differs",IF(AND(ISNUMBER($AG92),ABS(N($M92)-SUMIFS('Tax Lots'!$Q$6:$Q$205,'Tax Lots'!$B$6:$B$205,$B92,'Tax Lots'!$C$6:$C$205,$C92))&gt;1),"Lot cost differs",IF(AND(ISNUMBER($AG92),ABS(N($V92)-SUMIFS('Tax Lots'!$AA$6:$AA$205,'Tax Lots'!$B$6:$B$205,$B92,'Tax Lots'!$C$6:$C$205,$C92))&gt;1),"Lot realised gain differs","OK"))))))))))))</f>
        <v/>
      </c>
      <c r="AI92" s="89" t="str">
        <f aca="false">IF($B92="","",IFERROR(MATCH($B92,Accounts!$A$6:$A$55,0),""))</f>
        <v/>
      </c>
      <c r="AJ92" s="89" t="str">
        <f aca="false">IF($C92="","",IFERROR(MATCH($C92,Securities!$A$6:$A$105,0),""))</f>
        <v/>
      </c>
      <c r="AK92" s="89" t="str">
        <f aca="false">IF($AI92="","",INDEX(Accounts!$B$6:$B$55,$AI92)&amp;"")</f>
        <v/>
      </c>
      <c r="AL92" s="89" t="str">
        <f aca="false">IF(OR($C92="",$I92="",NOT(ISNUMBER($R92))),"",$I92&amp;"|"&amp;(SUMPRODUCT(($I$6:$I$205=$I92)*ISNUMBER($R$6:$R$205)*($R$6:$R$205&gt;$R92))+SUMPRODUCT(($I$6:$I92=$I92)*ISNUMBER($R$6:$R92)*($R$6:$R92=$R92))))</f>
        <v/>
      </c>
      <c r="AM92" s="89" t="n">
        <f aca="false">IF(AND(ISNUMBER($R92),$W92&lt;&gt;"",$Z92&lt;&gt;"",$AB92="XIRR"),$R92*$W92,0)</f>
        <v>0</v>
      </c>
      <c r="AN92" s="89" t="n">
        <f aca="false">IF(AND(ISNUMBER($R92),$W92&lt;&gt;"",$Z92&lt;&gt;"",$AB92="XIRR"),$R92,0)</f>
        <v>0</v>
      </c>
      <c r="AO92" s="89" t="n">
        <f aca="false">IF(AND(ISNUMBER($R92),$W92&lt;&gt;"",$Z92&lt;&gt;"",$AB92="XIRR"),$R92*$Z92,0)</f>
        <v>0</v>
      </c>
      <c r="AP92" s="89" t="n">
        <f aca="false">IF(AND(ISNUMBER($M92),$Y92&lt;&gt;"",ISNUMBER($T92)),$M92*$Y92,0)</f>
        <v>0</v>
      </c>
      <c r="AQ92" s="89" t="n">
        <f aca="false">IF(AND(ISNUMBER($M92),$Y92&lt;&gt;"",ISNUMBER($T92)),$M92,0)</f>
        <v>0</v>
      </c>
    </row>
    <row r="93" customFormat="false" ht="15" hidden="false" customHeight="false" outlineLevel="0" collapsed="false">
      <c r="A93" s="77"/>
      <c r="B93" s="78"/>
      <c r="C93" s="78"/>
      <c r="D93" s="79" t="str">
        <f aca="false">IF($AI93="","",INDEX(Accounts!$C$6:$C$55,$AI93)&amp;"")</f>
        <v/>
      </c>
      <c r="E93" s="79" t="str">
        <f aca="false">IF($AI93="","",INDEX(Accounts!$F$6:$F$55,$AI93)&amp;"")</f>
        <v/>
      </c>
      <c r="F93" s="79" t="str">
        <f aca="false">IF($AJ93="","",INDEX(Securities!$B$6:$B$105,$AJ93)&amp;"")</f>
        <v/>
      </c>
      <c r="G93" s="79" t="str">
        <f aca="false">IF($AJ93="","",INDEX(Securities!$F$6:$F$105,$AJ93)&amp;"")</f>
        <v/>
      </c>
      <c r="H93" s="79" t="str">
        <f aca="false">IF($AJ93="","",INDEX(Securities!$E$6:$E$105,$AJ93)&amp;"")</f>
        <v/>
      </c>
      <c r="I93" s="79" t="str">
        <f aca="false">IF($AJ93="","",INDEX(Securities!$H$6:$H$105,$AJ93)&amp;"")</f>
        <v/>
      </c>
      <c r="J93" s="80"/>
      <c r="K93" s="80"/>
      <c r="L93" s="81"/>
      <c r="M93" s="82"/>
      <c r="N93" s="83" t="str">
        <f aca="false">IF(OR($L93="",$M93=""),"",IF(N($L93)=0,"",$M93/$L93))</f>
        <v/>
      </c>
      <c r="O93" s="84" t="str">
        <f aca="false">IF($AJ93="","",IF(INDEX(Securities!$O$6:$O$105,$AJ93)="","",INDEX(Securities!$O$6:$O$105,$AJ93)))</f>
        <v/>
      </c>
      <c r="P93" s="79" t="str">
        <f aca="false">IF($AJ93="","",INDEX(Securities!$N$6:$N$105,$AJ93)&amp;"")</f>
        <v/>
      </c>
      <c r="Q93" s="82"/>
      <c r="R93" s="85" t="str">
        <f aca="false">IF($C93="","",IF($Q93&lt;&gt;"",$Q93,IF($P93="At cost",IF($M93="","",$M93),IF(OR($O93="",$L93=""),"",$L93*$O93))))</f>
        <v/>
      </c>
      <c r="S93" s="85" t="str">
        <f aca="false">IF(OR(NOT(ISNUMBER($R93)),$M93=""),"",$R93-$M93)</f>
        <v/>
      </c>
      <c r="T93" s="86" t="str">
        <f aca="false">IF(OR($S93="",N($M93)=0),"",$S93/$M93)</f>
        <v/>
      </c>
      <c r="U93" s="82"/>
      <c r="V93" s="82"/>
      <c r="W93" s="87"/>
      <c r="X93" s="79" t="str">
        <f aca="false">IF($AJ93="","",INDEX(Securities!$L$6:$L$105,$AJ93)&amp;"")</f>
        <v/>
      </c>
      <c r="Y93" s="87"/>
      <c r="Z93" s="87"/>
      <c r="AA93" s="86" t="str">
        <f aca="false">IF(OR($W93="",$Z93=""),"",$W93-$Z93)</f>
        <v/>
      </c>
      <c r="AB93" s="79" t="str">
        <f aca="false">IF($C93="","",IF($P93="At cost","At cost",IF(NOT(ISNUMBER($J93)),"No date",IF(ValDate-$J93&lt;365,"Absolute",IF($W93="","XIRR missing","XIRR")))))</f>
        <v/>
      </c>
      <c r="AC93" s="86" t="str">
        <f aca="false">IF(NOT(ISNUMBER($R93)),"",IF(SUM($R$6:$R$205)=0,"",$R93/SUM($R$6:$R$205)))</f>
        <v/>
      </c>
      <c r="AD93" s="82"/>
      <c r="AE93" s="80"/>
      <c r="AF93" s="78"/>
      <c r="AG93" s="88" t="str">
        <f aca="false">IF($C93="","",IF(COUNTIFS('Tax Lots'!$B$6:$B$205,$B93,'Tax Lots'!$C$6:$C$205,$C93)=0,"",SUMIFS('Tax Lots'!$P$6:$P$205,'Tax Lots'!$B$6:$B$205,$B93,'Tax Lots'!$C$6:$C$205,$C93)))</f>
        <v/>
      </c>
      <c r="AH93" s="79" t="str">
        <f aca="false">IF($A93&amp;$B93&amp;$C93="","",IF($A93="","Missing ID",IF(COUNTIF($A$6:$A$205,$A93)&gt;1,"Duplicate ID",IF($AI93="","Unknown account",IF($AJ93="","Unknown security",IF(COUNTIFS($B$6:$B$205,$B93,$C$6:$C$205,$C93)&gt;1,"Same security twice in one account",IF(AND(ISNUMBER($J93),ISNUMBER($K93),N($K93)&lt;N($J93)),"Last date before first",IF(NOT(ISNUMBER($R93)),"No market value",IF(OR(N($J93)&gt;ValDate,N($K93)&gt;ValDate),"Date after valuation",IF(AND(ISNUMBER($AG93),ABS(N($L93)-N($AG93))&gt;0.001),"Lot quantity differs",IF(AND(ISNUMBER($AG93),ABS(N($M93)-SUMIFS('Tax Lots'!$Q$6:$Q$205,'Tax Lots'!$B$6:$B$205,$B93,'Tax Lots'!$C$6:$C$205,$C93))&gt;1),"Lot cost differs",IF(AND(ISNUMBER($AG93),ABS(N($V93)-SUMIFS('Tax Lots'!$AA$6:$AA$205,'Tax Lots'!$B$6:$B$205,$B93,'Tax Lots'!$C$6:$C$205,$C93))&gt;1),"Lot realised gain differs","OK"))))))))))))</f>
        <v/>
      </c>
      <c r="AI93" s="89" t="str">
        <f aca="false">IF($B93="","",IFERROR(MATCH($B93,Accounts!$A$6:$A$55,0),""))</f>
        <v/>
      </c>
      <c r="AJ93" s="89" t="str">
        <f aca="false">IF($C93="","",IFERROR(MATCH($C93,Securities!$A$6:$A$105,0),""))</f>
        <v/>
      </c>
      <c r="AK93" s="89" t="str">
        <f aca="false">IF($AI93="","",INDEX(Accounts!$B$6:$B$55,$AI93)&amp;"")</f>
        <v/>
      </c>
      <c r="AL93" s="89" t="str">
        <f aca="false">IF(OR($C93="",$I93="",NOT(ISNUMBER($R93))),"",$I93&amp;"|"&amp;(SUMPRODUCT(($I$6:$I$205=$I93)*ISNUMBER($R$6:$R$205)*($R$6:$R$205&gt;$R93))+SUMPRODUCT(($I$6:$I93=$I93)*ISNUMBER($R$6:$R93)*($R$6:$R93=$R93))))</f>
        <v/>
      </c>
      <c r="AM93" s="89" t="n">
        <f aca="false">IF(AND(ISNUMBER($R93),$W93&lt;&gt;"",$Z93&lt;&gt;"",$AB93="XIRR"),$R93*$W93,0)</f>
        <v>0</v>
      </c>
      <c r="AN93" s="89" t="n">
        <f aca="false">IF(AND(ISNUMBER($R93),$W93&lt;&gt;"",$Z93&lt;&gt;"",$AB93="XIRR"),$R93,0)</f>
        <v>0</v>
      </c>
      <c r="AO93" s="89" t="n">
        <f aca="false">IF(AND(ISNUMBER($R93),$W93&lt;&gt;"",$Z93&lt;&gt;"",$AB93="XIRR"),$R93*$Z93,0)</f>
        <v>0</v>
      </c>
      <c r="AP93" s="89" t="n">
        <f aca="false">IF(AND(ISNUMBER($M93),$Y93&lt;&gt;"",ISNUMBER($T93)),$M93*$Y93,0)</f>
        <v>0</v>
      </c>
      <c r="AQ93" s="89" t="n">
        <f aca="false">IF(AND(ISNUMBER($M93),$Y93&lt;&gt;"",ISNUMBER($T93)),$M93,0)</f>
        <v>0</v>
      </c>
    </row>
    <row r="94" customFormat="false" ht="15" hidden="false" customHeight="false" outlineLevel="0" collapsed="false">
      <c r="A94" s="77"/>
      <c r="B94" s="78"/>
      <c r="C94" s="78"/>
      <c r="D94" s="79" t="str">
        <f aca="false">IF($AI94="","",INDEX(Accounts!$C$6:$C$55,$AI94)&amp;"")</f>
        <v/>
      </c>
      <c r="E94" s="79" t="str">
        <f aca="false">IF($AI94="","",INDEX(Accounts!$F$6:$F$55,$AI94)&amp;"")</f>
        <v/>
      </c>
      <c r="F94" s="79" t="str">
        <f aca="false">IF($AJ94="","",INDEX(Securities!$B$6:$B$105,$AJ94)&amp;"")</f>
        <v/>
      </c>
      <c r="G94" s="79" t="str">
        <f aca="false">IF($AJ94="","",INDEX(Securities!$F$6:$F$105,$AJ94)&amp;"")</f>
        <v/>
      </c>
      <c r="H94" s="79" t="str">
        <f aca="false">IF($AJ94="","",INDEX(Securities!$E$6:$E$105,$AJ94)&amp;"")</f>
        <v/>
      </c>
      <c r="I94" s="79" t="str">
        <f aca="false">IF($AJ94="","",INDEX(Securities!$H$6:$H$105,$AJ94)&amp;"")</f>
        <v/>
      </c>
      <c r="J94" s="80"/>
      <c r="K94" s="80"/>
      <c r="L94" s="81"/>
      <c r="M94" s="82"/>
      <c r="N94" s="83" t="str">
        <f aca="false">IF(OR($L94="",$M94=""),"",IF(N($L94)=0,"",$M94/$L94))</f>
        <v/>
      </c>
      <c r="O94" s="84" t="str">
        <f aca="false">IF($AJ94="","",IF(INDEX(Securities!$O$6:$O$105,$AJ94)="","",INDEX(Securities!$O$6:$O$105,$AJ94)))</f>
        <v/>
      </c>
      <c r="P94" s="79" t="str">
        <f aca="false">IF($AJ94="","",INDEX(Securities!$N$6:$N$105,$AJ94)&amp;"")</f>
        <v/>
      </c>
      <c r="Q94" s="82"/>
      <c r="R94" s="85" t="str">
        <f aca="false">IF($C94="","",IF($Q94&lt;&gt;"",$Q94,IF($P94="At cost",IF($M94="","",$M94),IF(OR($O94="",$L94=""),"",$L94*$O94))))</f>
        <v/>
      </c>
      <c r="S94" s="85" t="str">
        <f aca="false">IF(OR(NOT(ISNUMBER($R94)),$M94=""),"",$R94-$M94)</f>
        <v/>
      </c>
      <c r="T94" s="86" t="str">
        <f aca="false">IF(OR($S94="",N($M94)=0),"",$S94/$M94)</f>
        <v/>
      </c>
      <c r="U94" s="82"/>
      <c r="V94" s="82"/>
      <c r="W94" s="87"/>
      <c r="X94" s="79" t="str">
        <f aca="false">IF($AJ94="","",INDEX(Securities!$L$6:$L$105,$AJ94)&amp;"")</f>
        <v/>
      </c>
      <c r="Y94" s="87"/>
      <c r="Z94" s="87"/>
      <c r="AA94" s="86" t="str">
        <f aca="false">IF(OR($W94="",$Z94=""),"",$W94-$Z94)</f>
        <v/>
      </c>
      <c r="AB94" s="79" t="str">
        <f aca="false">IF($C94="","",IF($P94="At cost","At cost",IF(NOT(ISNUMBER($J94)),"No date",IF(ValDate-$J94&lt;365,"Absolute",IF($W94="","XIRR missing","XIRR")))))</f>
        <v/>
      </c>
      <c r="AC94" s="86" t="str">
        <f aca="false">IF(NOT(ISNUMBER($R94)),"",IF(SUM($R$6:$R$205)=0,"",$R94/SUM($R$6:$R$205)))</f>
        <v/>
      </c>
      <c r="AD94" s="82"/>
      <c r="AE94" s="80"/>
      <c r="AF94" s="78"/>
      <c r="AG94" s="88" t="str">
        <f aca="false">IF($C94="","",IF(COUNTIFS('Tax Lots'!$B$6:$B$205,$B94,'Tax Lots'!$C$6:$C$205,$C94)=0,"",SUMIFS('Tax Lots'!$P$6:$P$205,'Tax Lots'!$B$6:$B$205,$B94,'Tax Lots'!$C$6:$C$205,$C94)))</f>
        <v/>
      </c>
      <c r="AH94" s="79" t="str">
        <f aca="false">IF($A94&amp;$B94&amp;$C94="","",IF($A94="","Missing ID",IF(COUNTIF($A$6:$A$205,$A94)&gt;1,"Duplicate ID",IF($AI94="","Unknown account",IF($AJ94="","Unknown security",IF(COUNTIFS($B$6:$B$205,$B94,$C$6:$C$205,$C94)&gt;1,"Same security twice in one account",IF(AND(ISNUMBER($J94),ISNUMBER($K94),N($K94)&lt;N($J94)),"Last date before first",IF(NOT(ISNUMBER($R94)),"No market value",IF(OR(N($J94)&gt;ValDate,N($K94)&gt;ValDate),"Date after valuation",IF(AND(ISNUMBER($AG94),ABS(N($L94)-N($AG94))&gt;0.001),"Lot quantity differs",IF(AND(ISNUMBER($AG94),ABS(N($M94)-SUMIFS('Tax Lots'!$Q$6:$Q$205,'Tax Lots'!$B$6:$B$205,$B94,'Tax Lots'!$C$6:$C$205,$C94))&gt;1),"Lot cost differs",IF(AND(ISNUMBER($AG94),ABS(N($V94)-SUMIFS('Tax Lots'!$AA$6:$AA$205,'Tax Lots'!$B$6:$B$205,$B94,'Tax Lots'!$C$6:$C$205,$C94))&gt;1),"Lot realised gain differs","OK"))))))))))))</f>
        <v/>
      </c>
      <c r="AI94" s="89" t="str">
        <f aca="false">IF($B94="","",IFERROR(MATCH($B94,Accounts!$A$6:$A$55,0),""))</f>
        <v/>
      </c>
      <c r="AJ94" s="89" t="str">
        <f aca="false">IF($C94="","",IFERROR(MATCH($C94,Securities!$A$6:$A$105,0),""))</f>
        <v/>
      </c>
      <c r="AK94" s="89" t="str">
        <f aca="false">IF($AI94="","",INDEX(Accounts!$B$6:$B$55,$AI94)&amp;"")</f>
        <v/>
      </c>
      <c r="AL94" s="89" t="str">
        <f aca="false">IF(OR($C94="",$I94="",NOT(ISNUMBER($R94))),"",$I94&amp;"|"&amp;(SUMPRODUCT(($I$6:$I$205=$I94)*ISNUMBER($R$6:$R$205)*($R$6:$R$205&gt;$R94))+SUMPRODUCT(($I$6:$I94=$I94)*ISNUMBER($R$6:$R94)*($R$6:$R94=$R94))))</f>
        <v/>
      </c>
      <c r="AM94" s="89" t="n">
        <f aca="false">IF(AND(ISNUMBER($R94),$W94&lt;&gt;"",$Z94&lt;&gt;"",$AB94="XIRR"),$R94*$W94,0)</f>
        <v>0</v>
      </c>
      <c r="AN94" s="89" t="n">
        <f aca="false">IF(AND(ISNUMBER($R94),$W94&lt;&gt;"",$Z94&lt;&gt;"",$AB94="XIRR"),$R94,0)</f>
        <v>0</v>
      </c>
      <c r="AO94" s="89" t="n">
        <f aca="false">IF(AND(ISNUMBER($R94),$W94&lt;&gt;"",$Z94&lt;&gt;"",$AB94="XIRR"),$R94*$Z94,0)</f>
        <v>0</v>
      </c>
      <c r="AP94" s="89" t="n">
        <f aca="false">IF(AND(ISNUMBER($M94),$Y94&lt;&gt;"",ISNUMBER($T94)),$M94*$Y94,0)</f>
        <v>0</v>
      </c>
      <c r="AQ94" s="89" t="n">
        <f aca="false">IF(AND(ISNUMBER($M94),$Y94&lt;&gt;"",ISNUMBER($T94)),$M94,0)</f>
        <v>0</v>
      </c>
    </row>
    <row r="95" customFormat="false" ht="15" hidden="false" customHeight="false" outlineLevel="0" collapsed="false">
      <c r="A95" s="77"/>
      <c r="B95" s="78"/>
      <c r="C95" s="78"/>
      <c r="D95" s="79" t="str">
        <f aca="false">IF($AI95="","",INDEX(Accounts!$C$6:$C$55,$AI95)&amp;"")</f>
        <v/>
      </c>
      <c r="E95" s="79" t="str">
        <f aca="false">IF($AI95="","",INDEX(Accounts!$F$6:$F$55,$AI95)&amp;"")</f>
        <v/>
      </c>
      <c r="F95" s="79" t="str">
        <f aca="false">IF($AJ95="","",INDEX(Securities!$B$6:$B$105,$AJ95)&amp;"")</f>
        <v/>
      </c>
      <c r="G95" s="79" t="str">
        <f aca="false">IF($AJ95="","",INDEX(Securities!$F$6:$F$105,$AJ95)&amp;"")</f>
        <v/>
      </c>
      <c r="H95" s="79" t="str">
        <f aca="false">IF($AJ95="","",INDEX(Securities!$E$6:$E$105,$AJ95)&amp;"")</f>
        <v/>
      </c>
      <c r="I95" s="79" t="str">
        <f aca="false">IF($AJ95="","",INDEX(Securities!$H$6:$H$105,$AJ95)&amp;"")</f>
        <v/>
      </c>
      <c r="J95" s="80"/>
      <c r="K95" s="80"/>
      <c r="L95" s="81"/>
      <c r="M95" s="82"/>
      <c r="N95" s="83" t="str">
        <f aca="false">IF(OR($L95="",$M95=""),"",IF(N($L95)=0,"",$M95/$L95))</f>
        <v/>
      </c>
      <c r="O95" s="84" t="str">
        <f aca="false">IF($AJ95="","",IF(INDEX(Securities!$O$6:$O$105,$AJ95)="","",INDEX(Securities!$O$6:$O$105,$AJ95)))</f>
        <v/>
      </c>
      <c r="P95" s="79" t="str">
        <f aca="false">IF($AJ95="","",INDEX(Securities!$N$6:$N$105,$AJ95)&amp;"")</f>
        <v/>
      </c>
      <c r="Q95" s="82"/>
      <c r="R95" s="85" t="str">
        <f aca="false">IF($C95="","",IF($Q95&lt;&gt;"",$Q95,IF($P95="At cost",IF($M95="","",$M95),IF(OR($O95="",$L95=""),"",$L95*$O95))))</f>
        <v/>
      </c>
      <c r="S95" s="85" t="str">
        <f aca="false">IF(OR(NOT(ISNUMBER($R95)),$M95=""),"",$R95-$M95)</f>
        <v/>
      </c>
      <c r="T95" s="86" t="str">
        <f aca="false">IF(OR($S95="",N($M95)=0),"",$S95/$M95)</f>
        <v/>
      </c>
      <c r="U95" s="82"/>
      <c r="V95" s="82"/>
      <c r="W95" s="87"/>
      <c r="X95" s="79" t="str">
        <f aca="false">IF($AJ95="","",INDEX(Securities!$L$6:$L$105,$AJ95)&amp;"")</f>
        <v/>
      </c>
      <c r="Y95" s="87"/>
      <c r="Z95" s="87"/>
      <c r="AA95" s="86" t="str">
        <f aca="false">IF(OR($W95="",$Z95=""),"",$W95-$Z95)</f>
        <v/>
      </c>
      <c r="AB95" s="79" t="str">
        <f aca="false">IF($C95="","",IF($P95="At cost","At cost",IF(NOT(ISNUMBER($J95)),"No date",IF(ValDate-$J95&lt;365,"Absolute",IF($W95="","XIRR missing","XIRR")))))</f>
        <v/>
      </c>
      <c r="AC95" s="86" t="str">
        <f aca="false">IF(NOT(ISNUMBER($R95)),"",IF(SUM($R$6:$R$205)=0,"",$R95/SUM($R$6:$R$205)))</f>
        <v/>
      </c>
      <c r="AD95" s="82"/>
      <c r="AE95" s="80"/>
      <c r="AF95" s="78"/>
      <c r="AG95" s="88" t="str">
        <f aca="false">IF($C95="","",IF(COUNTIFS('Tax Lots'!$B$6:$B$205,$B95,'Tax Lots'!$C$6:$C$205,$C95)=0,"",SUMIFS('Tax Lots'!$P$6:$P$205,'Tax Lots'!$B$6:$B$205,$B95,'Tax Lots'!$C$6:$C$205,$C95)))</f>
        <v/>
      </c>
      <c r="AH95" s="79" t="str">
        <f aca="false">IF($A95&amp;$B95&amp;$C95="","",IF($A95="","Missing ID",IF(COUNTIF($A$6:$A$205,$A95)&gt;1,"Duplicate ID",IF($AI95="","Unknown account",IF($AJ95="","Unknown security",IF(COUNTIFS($B$6:$B$205,$B95,$C$6:$C$205,$C95)&gt;1,"Same security twice in one account",IF(AND(ISNUMBER($J95),ISNUMBER($K95),N($K95)&lt;N($J95)),"Last date before first",IF(NOT(ISNUMBER($R95)),"No market value",IF(OR(N($J95)&gt;ValDate,N($K95)&gt;ValDate),"Date after valuation",IF(AND(ISNUMBER($AG95),ABS(N($L95)-N($AG95))&gt;0.001),"Lot quantity differs",IF(AND(ISNUMBER($AG95),ABS(N($M95)-SUMIFS('Tax Lots'!$Q$6:$Q$205,'Tax Lots'!$B$6:$B$205,$B95,'Tax Lots'!$C$6:$C$205,$C95))&gt;1),"Lot cost differs",IF(AND(ISNUMBER($AG95),ABS(N($V95)-SUMIFS('Tax Lots'!$AA$6:$AA$205,'Tax Lots'!$B$6:$B$205,$B95,'Tax Lots'!$C$6:$C$205,$C95))&gt;1),"Lot realised gain differs","OK"))))))))))))</f>
        <v/>
      </c>
      <c r="AI95" s="89" t="str">
        <f aca="false">IF($B95="","",IFERROR(MATCH($B95,Accounts!$A$6:$A$55,0),""))</f>
        <v/>
      </c>
      <c r="AJ95" s="89" t="str">
        <f aca="false">IF($C95="","",IFERROR(MATCH($C95,Securities!$A$6:$A$105,0),""))</f>
        <v/>
      </c>
      <c r="AK95" s="89" t="str">
        <f aca="false">IF($AI95="","",INDEX(Accounts!$B$6:$B$55,$AI95)&amp;"")</f>
        <v/>
      </c>
      <c r="AL95" s="89" t="str">
        <f aca="false">IF(OR($C95="",$I95="",NOT(ISNUMBER($R95))),"",$I95&amp;"|"&amp;(SUMPRODUCT(($I$6:$I$205=$I95)*ISNUMBER($R$6:$R$205)*($R$6:$R$205&gt;$R95))+SUMPRODUCT(($I$6:$I95=$I95)*ISNUMBER($R$6:$R95)*($R$6:$R95=$R95))))</f>
        <v/>
      </c>
      <c r="AM95" s="89" t="n">
        <f aca="false">IF(AND(ISNUMBER($R95),$W95&lt;&gt;"",$Z95&lt;&gt;"",$AB95="XIRR"),$R95*$W95,0)</f>
        <v>0</v>
      </c>
      <c r="AN95" s="89" t="n">
        <f aca="false">IF(AND(ISNUMBER($R95),$W95&lt;&gt;"",$Z95&lt;&gt;"",$AB95="XIRR"),$R95,0)</f>
        <v>0</v>
      </c>
      <c r="AO95" s="89" t="n">
        <f aca="false">IF(AND(ISNUMBER($R95),$W95&lt;&gt;"",$Z95&lt;&gt;"",$AB95="XIRR"),$R95*$Z95,0)</f>
        <v>0</v>
      </c>
      <c r="AP95" s="89" t="n">
        <f aca="false">IF(AND(ISNUMBER($M95),$Y95&lt;&gt;"",ISNUMBER($T95)),$M95*$Y95,0)</f>
        <v>0</v>
      </c>
      <c r="AQ95" s="89" t="n">
        <f aca="false">IF(AND(ISNUMBER($M95),$Y95&lt;&gt;"",ISNUMBER($T95)),$M95,0)</f>
        <v>0</v>
      </c>
    </row>
    <row r="96" customFormat="false" ht="15" hidden="false" customHeight="false" outlineLevel="0" collapsed="false">
      <c r="A96" s="77"/>
      <c r="B96" s="78"/>
      <c r="C96" s="78"/>
      <c r="D96" s="79" t="str">
        <f aca="false">IF($AI96="","",INDEX(Accounts!$C$6:$C$55,$AI96)&amp;"")</f>
        <v/>
      </c>
      <c r="E96" s="79" t="str">
        <f aca="false">IF($AI96="","",INDEX(Accounts!$F$6:$F$55,$AI96)&amp;"")</f>
        <v/>
      </c>
      <c r="F96" s="79" t="str">
        <f aca="false">IF($AJ96="","",INDEX(Securities!$B$6:$B$105,$AJ96)&amp;"")</f>
        <v/>
      </c>
      <c r="G96" s="79" t="str">
        <f aca="false">IF($AJ96="","",INDEX(Securities!$F$6:$F$105,$AJ96)&amp;"")</f>
        <v/>
      </c>
      <c r="H96" s="79" t="str">
        <f aca="false">IF($AJ96="","",INDEX(Securities!$E$6:$E$105,$AJ96)&amp;"")</f>
        <v/>
      </c>
      <c r="I96" s="79" t="str">
        <f aca="false">IF($AJ96="","",INDEX(Securities!$H$6:$H$105,$AJ96)&amp;"")</f>
        <v/>
      </c>
      <c r="J96" s="80"/>
      <c r="K96" s="80"/>
      <c r="L96" s="81"/>
      <c r="M96" s="82"/>
      <c r="N96" s="83" t="str">
        <f aca="false">IF(OR($L96="",$M96=""),"",IF(N($L96)=0,"",$M96/$L96))</f>
        <v/>
      </c>
      <c r="O96" s="84" t="str">
        <f aca="false">IF($AJ96="","",IF(INDEX(Securities!$O$6:$O$105,$AJ96)="","",INDEX(Securities!$O$6:$O$105,$AJ96)))</f>
        <v/>
      </c>
      <c r="P96" s="79" t="str">
        <f aca="false">IF($AJ96="","",INDEX(Securities!$N$6:$N$105,$AJ96)&amp;"")</f>
        <v/>
      </c>
      <c r="Q96" s="82"/>
      <c r="R96" s="85" t="str">
        <f aca="false">IF($C96="","",IF($Q96&lt;&gt;"",$Q96,IF($P96="At cost",IF($M96="","",$M96),IF(OR($O96="",$L96=""),"",$L96*$O96))))</f>
        <v/>
      </c>
      <c r="S96" s="85" t="str">
        <f aca="false">IF(OR(NOT(ISNUMBER($R96)),$M96=""),"",$R96-$M96)</f>
        <v/>
      </c>
      <c r="T96" s="86" t="str">
        <f aca="false">IF(OR($S96="",N($M96)=0),"",$S96/$M96)</f>
        <v/>
      </c>
      <c r="U96" s="82"/>
      <c r="V96" s="82"/>
      <c r="W96" s="87"/>
      <c r="X96" s="79" t="str">
        <f aca="false">IF($AJ96="","",INDEX(Securities!$L$6:$L$105,$AJ96)&amp;"")</f>
        <v/>
      </c>
      <c r="Y96" s="87"/>
      <c r="Z96" s="87"/>
      <c r="AA96" s="86" t="str">
        <f aca="false">IF(OR($W96="",$Z96=""),"",$W96-$Z96)</f>
        <v/>
      </c>
      <c r="AB96" s="79" t="str">
        <f aca="false">IF($C96="","",IF($P96="At cost","At cost",IF(NOT(ISNUMBER($J96)),"No date",IF(ValDate-$J96&lt;365,"Absolute",IF($W96="","XIRR missing","XIRR")))))</f>
        <v/>
      </c>
      <c r="AC96" s="86" t="str">
        <f aca="false">IF(NOT(ISNUMBER($R96)),"",IF(SUM($R$6:$R$205)=0,"",$R96/SUM($R$6:$R$205)))</f>
        <v/>
      </c>
      <c r="AD96" s="82"/>
      <c r="AE96" s="80"/>
      <c r="AF96" s="78"/>
      <c r="AG96" s="88" t="str">
        <f aca="false">IF($C96="","",IF(COUNTIFS('Tax Lots'!$B$6:$B$205,$B96,'Tax Lots'!$C$6:$C$205,$C96)=0,"",SUMIFS('Tax Lots'!$P$6:$P$205,'Tax Lots'!$B$6:$B$205,$B96,'Tax Lots'!$C$6:$C$205,$C96)))</f>
        <v/>
      </c>
      <c r="AH96" s="79" t="str">
        <f aca="false">IF($A96&amp;$B96&amp;$C96="","",IF($A96="","Missing ID",IF(COUNTIF($A$6:$A$205,$A96)&gt;1,"Duplicate ID",IF($AI96="","Unknown account",IF($AJ96="","Unknown security",IF(COUNTIFS($B$6:$B$205,$B96,$C$6:$C$205,$C96)&gt;1,"Same security twice in one account",IF(AND(ISNUMBER($J96),ISNUMBER($K96),N($K96)&lt;N($J96)),"Last date before first",IF(NOT(ISNUMBER($R96)),"No market value",IF(OR(N($J96)&gt;ValDate,N($K96)&gt;ValDate),"Date after valuation",IF(AND(ISNUMBER($AG96),ABS(N($L96)-N($AG96))&gt;0.001),"Lot quantity differs",IF(AND(ISNUMBER($AG96),ABS(N($M96)-SUMIFS('Tax Lots'!$Q$6:$Q$205,'Tax Lots'!$B$6:$B$205,$B96,'Tax Lots'!$C$6:$C$205,$C96))&gt;1),"Lot cost differs",IF(AND(ISNUMBER($AG96),ABS(N($V96)-SUMIFS('Tax Lots'!$AA$6:$AA$205,'Tax Lots'!$B$6:$B$205,$B96,'Tax Lots'!$C$6:$C$205,$C96))&gt;1),"Lot realised gain differs","OK"))))))))))))</f>
        <v/>
      </c>
      <c r="AI96" s="89" t="str">
        <f aca="false">IF($B96="","",IFERROR(MATCH($B96,Accounts!$A$6:$A$55,0),""))</f>
        <v/>
      </c>
      <c r="AJ96" s="89" t="str">
        <f aca="false">IF($C96="","",IFERROR(MATCH($C96,Securities!$A$6:$A$105,0),""))</f>
        <v/>
      </c>
      <c r="AK96" s="89" t="str">
        <f aca="false">IF($AI96="","",INDEX(Accounts!$B$6:$B$55,$AI96)&amp;"")</f>
        <v/>
      </c>
      <c r="AL96" s="89" t="str">
        <f aca="false">IF(OR($C96="",$I96="",NOT(ISNUMBER($R96))),"",$I96&amp;"|"&amp;(SUMPRODUCT(($I$6:$I$205=$I96)*ISNUMBER($R$6:$R$205)*($R$6:$R$205&gt;$R96))+SUMPRODUCT(($I$6:$I96=$I96)*ISNUMBER($R$6:$R96)*($R$6:$R96=$R96))))</f>
        <v/>
      </c>
      <c r="AM96" s="89" t="n">
        <f aca="false">IF(AND(ISNUMBER($R96),$W96&lt;&gt;"",$Z96&lt;&gt;"",$AB96="XIRR"),$R96*$W96,0)</f>
        <v>0</v>
      </c>
      <c r="AN96" s="89" t="n">
        <f aca="false">IF(AND(ISNUMBER($R96),$W96&lt;&gt;"",$Z96&lt;&gt;"",$AB96="XIRR"),$R96,0)</f>
        <v>0</v>
      </c>
      <c r="AO96" s="89" t="n">
        <f aca="false">IF(AND(ISNUMBER($R96),$W96&lt;&gt;"",$Z96&lt;&gt;"",$AB96="XIRR"),$R96*$Z96,0)</f>
        <v>0</v>
      </c>
      <c r="AP96" s="89" t="n">
        <f aca="false">IF(AND(ISNUMBER($M96),$Y96&lt;&gt;"",ISNUMBER($T96)),$M96*$Y96,0)</f>
        <v>0</v>
      </c>
      <c r="AQ96" s="89" t="n">
        <f aca="false">IF(AND(ISNUMBER($M96),$Y96&lt;&gt;"",ISNUMBER($T96)),$M96,0)</f>
        <v>0</v>
      </c>
    </row>
    <row r="97" customFormat="false" ht="15" hidden="false" customHeight="false" outlineLevel="0" collapsed="false">
      <c r="A97" s="77"/>
      <c r="B97" s="78"/>
      <c r="C97" s="78"/>
      <c r="D97" s="79" t="str">
        <f aca="false">IF($AI97="","",INDEX(Accounts!$C$6:$C$55,$AI97)&amp;"")</f>
        <v/>
      </c>
      <c r="E97" s="79" t="str">
        <f aca="false">IF($AI97="","",INDEX(Accounts!$F$6:$F$55,$AI97)&amp;"")</f>
        <v/>
      </c>
      <c r="F97" s="79" t="str">
        <f aca="false">IF($AJ97="","",INDEX(Securities!$B$6:$B$105,$AJ97)&amp;"")</f>
        <v/>
      </c>
      <c r="G97" s="79" t="str">
        <f aca="false">IF($AJ97="","",INDEX(Securities!$F$6:$F$105,$AJ97)&amp;"")</f>
        <v/>
      </c>
      <c r="H97" s="79" t="str">
        <f aca="false">IF($AJ97="","",INDEX(Securities!$E$6:$E$105,$AJ97)&amp;"")</f>
        <v/>
      </c>
      <c r="I97" s="79" t="str">
        <f aca="false">IF($AJ97="","",INDEX(Securities!$H$6:$H$105,$AJ97)&amp;"")</f>
        <v/>
      </c>
      <c r="J97" s="80"/>
      <c r="K97" s="80"/>
      <c r="L97" s="81"/>
      <c r="M97" s="82"/>
      <c r="N97" s="83" t="str">
        <f aca="false">IF(OR($L97="",$M97=""),"",IF(N($L97)=0,"",$M97/$L97))</f>
        <v/>
      </c>
      <c r="O97" s="84" t="str">
        <f aca="false">IF($AJ97="","",IF(INDEX(Securities!$O$6:$O$105,$AJ97)="","",INDEX(Securities!$O$6:$O$105,$AJ97)))</f>
        <v/>
      </c>
      <c r="P97" s="79" t="str">
        <f aca="false">IF($AJ97="","",INDEX(Securities!$N$6:$N$105,$AJ97)&amp;"")</f>
        <v/>
      </c>
      <c r="Q97" s="82"/>
      <c r="R97" s="85" t="str">
        <f aca="false">IF($C97="","",IF($Q97&lt;&gt;"",$Q97,IF($P97="At cost",IF($M97="","",$M97),IF(OR($O97="",$L97=""),"",$L97*$O97))))</f>
        <v/>
      </c>
      <c r="S97" s="85" t="str">
        <f aca="false">IF(OR(NOT(ISNUMBER($R97)),$M97=""),"",$R97-$M97)</f>
        <v/>
      </c>
      <c r="T97" s="86" t="str">
        <f aca="false">IF(OR($S97="",N($M97)=0),"",$S97/$M97)</f>
        <v/>
      </c>
      <c r="U97" s="82"/>
      <c r="V97" s="82"/>
      <c r="W97" s="87"/>
      <c r="X97" s="79" t="str">
        <f aca="false">IF($AJ97="","",INDEX(Securities!$L$6:$L$105,$AJ97)&amp;"")</f>
        <v/>
      </c>
      <c r="Y97" s="87"/>
      <c r="Z97" s="87"/>
      <c r="AA97" s="86" t="str">
        <f aca="false">IF(OR($W97="",$Z97=""),"",$W97-$Z97)</f>
        <v/>
      </c>
      <c r="AB97" s="79" t="str">
        <f aca="false">IF($C97="","",IF($P97="At cost","At cost",IF(NOT(ISNUMBER($J97)),"No date",IF(ValDate-$J97&lt;365,"Absolute",IF($W97="","XIRR missing","XIRR")))))</f>
        <v/>
      </c>
      <c r="AC97" s="86" t="str">
        <f aca="false">IF(NOT(ISNUMBER($R97)),"",IF(SUM($R$6:$R$205)=0,"",$R97/SUM($R$6:$R$205)))</f>
        <v/>
      </c>
      <c r="AD97" s="82"/>
      <c r="AE97" s="80"/>
      <c r="AF97" s="78"/>
      <c r="AG97" s="88" t="str">
        <f aca="false">IF($C97="","",IF(COUNTIFS('Tax Lots'!$B$6:$B$205,$B97,'Tax Lots'!$C$6:$C$205,$C97)=0,"",SUMIFS('Tax Lots'!$P$6:$P$205,'Tax Lots'!$B$6:$B$205,$B97,'Tax Lots'!$C$6:$C$205,$C97)))</f>
        <v/>
      </c>
      <c r="AH97" s="79" t="str">
        <f aca="false">IF($A97&amp;$B97&amp;$C97="","",IF($A97="","Missing ID",IF(COUNTIF($A$6:$A$205,$A97)&gt;1,"Duplicate ID",IF($AI97="","Unknown account",IF($AJ97="","Unknown security",IF(COUNTIFS($B$6:$B$205,$B97,$C$6:$C$205,$C97)&gt;1,"Same security twice in one account",IF(AND(ISNUMBER($J97),ISNUMBER($K97),N($K97)&lt;N($J97)),"Last date before first",IF(NOT(ISNUMBER($R97)),"No market value",IF(OR(N($J97)&gt;ValDate,N($K97)&gt;ValDate),"Date after valuation",IF(AND(ISNUMBER($AG97),ABS(N($L97)-N($AG97))&gt;0.001),"Lot quantity differs",IF(AND(ISNUMBER($AG97),ABS(N($M97)-SUMIFS('Tax Lots'!$Q$6:$Q$205,'Tax Lots'!$B$6:$B$205,$B97,'Tax Lots'!$C$6:$C$205,$C97))&gt;1),"Lot cost differs",IF(AND(ISNUMBER($AG97),ABS(N($V97)-SUMIFS('Tax Lots'!$AA$6:$AA$205,'Tax Lots'!$B$6:$B$205,$B97,'Tax Lots'!$C$6:$C$205,$C97))&gt;1),"Lot realised gain differs","OK"))))))))))))</f>
        <v/>
      </c>
      <c r="AI97" s="89" t="str">
        <f aca="false">IF($B97="","",IFERROR(MATCH($B97,Accounts!$A$6:$A$55,0),""))</f>
        <v/>
      </c>
      <c r="AJ97" s="89" t="str">
        <f aca="false">IF($C97="","",IFERROR(MATCH($C97,Securities!$A$6:$A$105,0),""))</f>
        <v/>
      </c>
      <c r="AK97" s="89" t="str">
        <f aca="false">IF($AI97="","",INDEX(Accounts!$B$6:$B$55,$AI97)&amp;"")</f>
        <v/>
      </c>
      <c r="AL97" s="89" t="str">
        <f aca="false">IF(OR($C97="",$I97="",NOT(ISNUMBER($R97))),"",$I97&amp;"|"&amp;(SUMPRODUCT(($I$6:$I$205=$I97)*ISNUMBER($R$6:$R$205)*($R$6:$R$205&gt;$R97))+SUMPRODUCT(($I$6:$I97=$I97)*ISNUMBER($R$6:$R97)*($R$6:$R97=$R97))))</f>
        <v/>
      </c>
      <c r="AM97" s="89" t="n">
        <f aca="false">IF(AND(ISNUMBER($R97),$W97&lt;&gt;"",$Z97&lt;&gt;"",$AB97="XIRR"),$R97*$W97,0)</f>
        <v>0</v>
      </c>
      <c r="AN97" s="89" t="n">
        <f aca="false">IF(AND(ISNUMBER($R97),$W97&lt;&gt;"",$Z97&lt;&gt;"",$AB97="XIRR"),$R97,0)</f>
        <v>0</v>
      </c>
      <c r="AO97" s="89" t="n">
        <f aca="false">IF(AND(ISNUMBER($R97),$W97&lt;&gt;"",$Z97&lt;&gt;"",$AB97="XIRR"),$R97*$Z97,0)</f>
        <v>0</v>
      </c>
      <c r="AP97" s="89" t="n">
        <f aca="false">IF(AND(ISNUMBER($M97),$Y97&lt;&gt;"",ISNUMBER($T97)),$M97*$Y97,0)</f>
        <v>0</v>
      </c>
      <c r="AQ97" s="89" t="n">
        <f aca="false">IF(AND(ISNUMBER($M97),$Y97&lt;&gt;"",ISNUMBER($T97)),$M97,0)</f>
        <v>0</v>
      </c>
    </row>
    <row r="98" customFormat="false" ht="15" hidden="false" customHeight="false" outlineLevel="0" collapsed="false">
      <c r="A98" s="77"/>
      <c r="B98" s="78"/>
      <c r="C98" s="78"/>
      <c r="D98" s="79" t="str">
        <f aca="false">IF($AI98="","",INDEX(Accounts!$C$6:$C$55,$AI98)&amp;"")</f>
        <v/>
      </c>
      <c r="E98" s="79" t="str">
        <f aca="false">IF($AI98="","",INDEX(Accounts!$F$6:$F$55,$AI98)&amp;"")</f>
        <v/>
      </c>
      <c r="F98" s="79" t="str">
        <f aca="false">IF($AJ98="","",INDEX(Securities!$B$6:$B$105,$AJ98)&amp;"")</f>
        <v/>
      </c>
      <c r="G98" s="79" t="str">
        <f aca="false">IF($AJ98="","",INDEX(Securities!$F$6:$F$105,$AJ98)&amp;"")</f>
        <v/>
      </c>
      <c r="H98" s="79" t="str">
        <f aca="false">IF($AJ98="","",INDEX(Securities!$E$6:$E$105,$AJ98)&amp;"")</f>
        <v/>
      </c>
      <c r="I98" s="79" t="str">
        <f aca="false">IF($AJ98="","",INDEX(Securities!$H$6:$H$105,$AJ98)&amp;"")</f>
        <v/>
      </c>
      <c r="J98" s="80"/>
      <c r="K98" s="80"/>
      <c r="L98" s="81"/>
      <c r="M98" s="82"/>
      <c r="N98" s="83" t="str">
        <f aca="false">IF(OR($L98="",$M98=""),"",IF(N($L98)=0,"",$M98/$L98))</f>
        <v/>
      </c>
      <c r="O98" s="84" t="str">
        <f aca="false">IF($AJ98="","",IF(INDEX(Securities!$O$6:$O$105,$AJ98)="","",INDEX(Securities!$O$6:$O$105,$AJ98)))</f>
        <v/>
      </c>
      <c r="P98" s="79" t="str">
        <f aca="false">IF($AJ98="","",INDEX(Securities!$N$6:$N$105,$AJ98)&amp;"")</f>
        <v/>
      </c>
      <c r="Q98" s="82"/>
      <c r="R98" s="85" t="str">
        <f aca="false">IF($C98="","",IF($Q98&lt;&gt;"",$Q98,IF($P98="At cost",IF($M98="","",$M98),IF(OR($O98="",$L98=""),"",$L98*$O98))))</f>
        <v/>
      </c>
      <c r="S98" s="85" t="str">
        <f aca="false">IF(OR(NOT(ISNUMBER($R98)),$M98=""),"",$R98-$M98)</f>
        <v/>
      </c>
      <c r="T98" s="86" t="str">
        <f aca="false">IF(OR($S98="",N($M98)=0),"",$S98/$M98)</f>
        <v/>
      </c>
      <c r="U98" s="82"/>
      <c r="V98" s="82"/>
      <c r="W98" s="87"/>
      <c r="X98" s="79" t="str">
        <f aca="false">IF($AJ98="","",INDEX(Securities!$L$6:$L$105,$AJ98)&amp;"")</f>
        <v/>
      </c>
      <c r="Y98" s="87"/>
      <c r="Z98" s="87"/>
      <c r="AA98" s="86" t="str">
        <f aca="false">IF(OR($W98="",$Z98=""),"",$W98-$Z98)</f>
        <v/>
      </c>
      <c r="AB98" s="79" t="str">
        <f aca="false">IF($C98="","",IF($P98="At cost","At cost",IF(NOT(ISNUMBER($J98)),"No date",IF(ValDate-$J98&lt;365,"Absolute",IF($W98="","XIRR missing","XIRR")))))</f>
        <v/>
      </c>
      <c r="AC98" s="86" t="str">
        <f aca="false">IF(NOT(ISNUMBER($R98)),"",IF(SUM($R$6:$R$205)=0,"",$R98/SUM($R$6:$R$205)))</f>
        <v/>
      </c>
      <c r="AD98" s="82"/>
      <c r="AE98" s="80"/>
      <c r="AF98" s="78"/>
      <c r="AG98" s="88" t="str">
        <f aca="false">IF($C98="","",IF(COUNTIFS('Tax Lots'!$B$6:$B$205,$B98,'Tax Lots'!$C$6:$C$205,$C98)=0,"",SUMIFS('Tax Lots'!$P$6:$P$205,'Tax Lots'!$B$6:$B$205,$B98,'Tax Lots'!$C$6:$C$205,$C98)))</f>
        <v/>
      </c>
      <c r="AH98" s="79" t="str">
        <f aca="false">IF($A98&amp;$B98&amp;$C98="","",IF($A98="","Missing ID",IF(COUNTIF($A$6:$A$205,$A98)&gt;1,"Duplicate ID",IF($AI98="","Unknown account",IF($AJ98="","Unknown security",IF(COUNTIFS($B$6:$B$205,$B98,$C$6:$C$205,$C98)&gt;1,"Same security twice in one account",IF(AND(ISNUMBER($J98),ISNUMBER($K98),N($K98)&lt;N($J98)),"Last date before first",IF(NOT(ISNUMBER($R98)),"No market value",IF(OR(N($J98)&gt;ValDate,N($K98)&gt;ValDate),"Date after valuation",IF(AND(ISNUMBER($AG98),ABS(N($L98)-N($AG98))&gt;0.001),"Lot quantity differs",IF(AND(ISNUMBER($AG98),ABS(N($M98)-SUMIFS('Tax Lots'!$Q$6:$Q$205,'Tax Lots'!$B$6:$B$205,$B98,'Tax Lots'!$C$6:$C$205,$C98))&gt;1),"Lot cost differs",IF(AND(ISNUMBER($AG98),ABS(N($V98)-SUMIFS('Tax Lots'!$AA$6:$AA$205,'Tax Lots'!$B$6:$B$205,$B98,'Tax Lots'!$C$6:$C$205,$C98))&gt;1),"Lot realised gain differs","OK"))))))))))))</f>
        <v/>
      </c>
      <c r="AI98" s="89" t="str">
        <f aca="false">IF($B98="","",IFERROR(MATCH($B98,Accounts!$A$6:$A$55,0),""))</f>
        <v/>
      </c>
      <c r="AJ98" s="89" t="str">
        <f aca="false">IF($C98="","",IFERROR(MATCH($C98,Securities!$A$6:$A$105,0),""))</f>
        <v/>
      </c>
      <c r="AK98" s="89" t="str">
        <f aca="false">IF($AI98="","",INDEX(Accounts!$B$6:$B$55,$AI98)&amp;"")</f>
        <v/>
      </c>
      <c r="AL98" s="89" t="str">
        <f aca="false">IF(OR($C98="",$I98="",NOT(ISNUMBER($R98))),"",$I98&amp;"|"&amp;(SUMPRODUCT(($I$6:$I$205=$I98)*ISNUMBER($R$6:$R$205)*($R$6:$R$205&gt;$R98))+SUMPRODUCT(($I$6:$I98=$I98)*ISNUMBER($R$6:$R98)*($R$6:$R98=$R98))))</f>
        <v/>
      </c>
      <c r="AM98" s="89" t="n">
        <f aca="false">IF(AND(ISNUMBER($R98),$W98&lt;&gt;"",$Z98&lt;&gt;"",$AB98="XIRR"),$R98*$W98,0)</f>
        <v>0</v>
      </c>
      <c r="AN98" s="89" t="n">
        <f aca="false">IF(AND(ISNUMBER($R98),$W98&lt;&gt;"",$Z98&lt;&gt;"",$AB98="XIRR"),$R98,0)</f>
        <v>0</v>
      </c>
      <c r="AO98" s="89" t="n">
        <f aca="false">IF(AND(ISNUMBER($R98),$W98&lt;&gt;"",$Z98&lt;&gt;"",$AB98="XIRR"),$R98*$Z98,0)</f>
        <v>0</v>
      </c>
      <c r="AP98" s="89" t="n">
        <f aca="false">IF(AND(ISNUMBER($M98),$Y98&lt;&gt;"",ISNUMBER($T98)),$M98*$Y98,0)</f>
        <v>0</v>
      </c>
      <c r="AQ98" s="89" t="n">
        <f aca="false">IF(AND(ISNUMBER($M98),$Y98&lt;&gt;"",ISNUMBER($T98)),$M98,0)</f>
        <v>0</v>
      </c>
    </row>
    <row r="99" customFormat="false" ht="15" hidden="false" customHeight="false" outlineLevel="0" collapsed="false">
      <c r="A99" s="77"/>
      <c r="B99" s="78"/>
      <c r="C99" s="78"/>
      <c r="D99" s="79" t="str">
        <f aca="false">IF($AI99="","",INDEX(Accounts!$C$6:$C$55,$AI99)&amp;"")</f>
        <v/>
      </c>
      <c r="E99" s="79" t="str">
        <f aca="false">IF($AI99="","",INDEX(Accounts!$F$6:$F$55,$AI99)&amp;"")</f>
        <v/>
      </c>
      <c r="F99" s="79" t="str">
        <f aca="false">IF($AJ99="","",INDEX(Securities!$B$6:$B$105,$AJ99)&amp;"")</f>
        <v/>
      </c>
      <c r="G99" s="79" t="str">
        <f aca="false">IF($AJ99="","",INDEX(Securities!$F$6:$F$105,$AJ99)&amp;"")</f>
        <v/>
      </c>
      <c r="H99" s="79" t="str">
        <f aca="false">IF($AJ99="","",INDEX(Securities!$E$6:$E$105,$AJ99)&amp;"")</f>
        <v/>
      </c>
      <c r="I99" s="79" t="str">
        <f aca="false">IF($AJ99="","",INDEX(Securities!$H$6:$H$105,$AJ99)&amp;"")</f>
        <v/>
      </c>
      <c r="J99" s="80"/>
      <c r="K99" s="80"/>
      <c r="L99" s="81"/>
      <c r="M99" s="82"/>
      <c r="N99" s="83" t="str">
        <f aca="false">IF(OR($L99="",$M99=""),"",IF(N($L99)=0,"",$M99/$L99))</f>
        <v/>
      </c>
      <c r="O99" s="84" t="str">
        <f aca="false">IF($AJ99="","",IF(INDEX(Securities!$O$6:$O$105,$AJ99)="","",INDEX(Securities!$O$6:$O$105,$AJ99)))</f>
        <v/>
      </c>
      <c r="P99" s="79" t="str">
        <f aca="false">IF($AJ99="","",INDEX(Securities!$N$6:$N$105,$AJ99)&amp;"")</f>
        <v/>
      </c>
      <c r="Q99" s="82"/>
      <c r="R99" s="85" t="str">
        <f aca="false">IF($C99="","",IF($Q99&lt;&gt;"",$Q99,IF($P99="At cost",IF($M99="","",$M99),IF(OR($O99="",$L99=""),"",$L99*$O99))))</f>
        <v/>
      </c>
      <c r="S99" s="85" t="str">
        <f aca="false">IF(OR(NOT(ISNUMBER($R99)),$M99=""),"",$R99-$M99)</f>
        <v/>
      </c>
      <c r="T99" s="86" t="str">
        <f aca="false">IF(OR($S99="",N($M99)=0),"",$S99/$M99)</f>
        <v/>
      </c>
      <c r="U99" s="82"/>
      <c r="V99" s="82"/>
      <c r="W99" s="87"/>
      <c r="X99" s="79" t="str">
        <f aca="false">IF($AJ99="","",INDEX(Securities!$L$6:$L$105,$AJ99)&amp;"")</f>
        <v/>
      </c>
      <c r="Y99" s="87"/>
      <c r="Z99" s="87"/>
      <c r="AA99" s="86" t="str">
        <f aca="false">IF(OR($W99="",$Z99=""),"",$W99-$Z99)</f>
        <v/>
      </c>
      <c r="AB99" s="79" t="str">
        <f aca="false">IF($C99="","",IF($P99="At cost","At cost",IF(NOT(ISNUMBER($J99)),"No date",IF(ValDate-$J99&lt;365,"Absolute",IF($W99="","XIRR missing","XIRR")))))</f>
        <v/>
      </c>
      <c r="AC99" s="86" t="str">
        <f aca="false">IF(NOT(ISNUMBER($R99)),"",IF(SUM($R$6:$R$205)=0,"",$R99/SUM($R$6:$R$205)))</f>
        <v/>
      </c>
      <c r="AD99" s="82"/>
      <c r="AE99" s="80"/>
      <c r="AF99" s="78"/>
      <c r="AG99" s="88" t="str">
        <f aca="false">IF($C99="","",IF(COUNTIFS('Tax Lots'!$B$6:$B$205,$B99,'Tax Lots'!$C$6:$C$205,$C99)=0,"",SUMIFS('Tax Lots'!$P$6:$P$205,'Tax Lots'!$B$6:$B$205,$B99,'Tax Lots'!$C$6:$C$205,$C99)))</f>
        <v/>
      </c>
      <c r="AH99" s="79" t="str">
        <f aca="false">IF($A99&amp;$B99&amp;$C99="","",IF($A99="","Missing ID",IF(COUNTIF($A$6:$A$205,$A99)&gt;1,"Duplicate ID",IF($AI99="","Unknown account",IF($AJ99="","Unknown security",IF(COUNTIFS($B$6:$B$205,$B99,$C$6:$C$205,$C99)&gt;1,"Same security twice in one account",IF(AND(ISNUMBER($J99),ISNUMBER($K99),N($K99)&lt;N($J99)),"Last date before first",IF(NOT(ISNUMBER($R99)),"No market value",IF(OR(N($J99)&gt;ValDate,N($K99)&gt;ValDate),"Date after valuation",IF(AND(ISNUMBER($AG99),ABS(N($L99)-N($AG99))&gt;0.001),"Lot quantity differs",IF(AND(ISNUMBER($AG99),ABS(N($M99)-SUMIFS('Tax Lots'!$Q$6:$Q$205,'Tax Lots'!$B$6:$B$205,$B99,'Tax Lots'!$C$6:$C$205,$C99))&gt;1),"Lot cost differs",IF(AND(ISNUMBER($AG99),ABS(N($V99)-SUMIFS('Tax Lots'!$AA$6:$AA$205,'Tax Lots'!$B$6:$B$205,$B99,'Tax Lots'!$C$6:$C$205,$C99))&gt;1),"Lot realised gain differs","OK"))))))))))))</f>
        <v/>
      </c>
      <c r="AI99" s="89" t="str">
        <f aca="false">IF($B99="","",IFERROR(MATCH($B99,Accounts!$A$6:$A$55,0),""))</f>
        <v/>
      </c>
      <c r="AJ99" s="89" t="str">
        <f aca="false">IF($C99="","",IFERROR(MATCH($C99,Securities!$A$6:$A$105,0),""))</f>
        <v/>
      </c>
      <c r="AK99" s="89" t="str">
        <f aca="false">IF($AI99="","",INDEX(Accounts!$B$6:$B$55,$AI99)&amp;"")</f>
        <v/>
      </c>
      <c r="AL99" s="89" t="str">
        <f aca="false">IF(OR($C99="",$I99="",NOT(ISNUMBER($R99))),"",$I99&amp;"|"&amp;(SUMPRODUCT(($I$6:$I$205=$I99)*ISNUMBER($R$6:$R$205)*($R$6:$R$205&gt;$R99))+SUMPRODUCT(($I$6:$I99=$I99)*ISNUMBER($R$6:$R99)*($R$6:$R99=$R99))))</f>
        <v/>
      </c>
      <c r="AM99" s="89" t="n">
        <f aca="false">IF(AND(ISNUMBER($R99),$W99&lt;&gt;"",$Z99&lt;&gt;"",$AB99="XIRR"),$R99*$W99,0)</f>
        <v>0</v>
      </c>
      <c r="AN99" s="89" t="n">
        <f aca="false">IF(AND(ISNUMBER($R99),$W99&lt;&gt;"",$Z99&lt;&gt;"",$AB99="XIRR"),$R99,0)</f>
        <v>0</v>
      </c>
      <c r="AO99" s="89" t="n">
        <f aca="false">IF(AND(ISNUMBER($R99),$W99&lt;&gt;"",$Z99&lt;&gt;"",$AB99="XIRR"),$R99*$Z99,0)</f>
        <v>0</v>
      </c>
      <c r="AP99" s="89" t="n">
        <f aca="false">IF(AND(ISNUMBER($M99),$Y99&lt;&gt;"",ISNUMBER($T99)),$M99*$Y99,0)</f>
        <v>0</v>
      </c>
      <c r="AQ99" s="89" t="n">
        <f aca="false">IF(AND(ISNUMBER($M99),$Y99&lt;&gt;"",ISNUMBER($T99)),$M99,0)</f>
        <v>0</v>
      </c>
    </row>
    <row r="100" customFormat="false" ht="15" hidden="false" customHeight="false" outlineLevel="0" collapsed="false">
      <c r="A100" s="77"/>
      <c r="B100" s="78"/>
      <c r="C100" s="78"/>
      <c r="D100" s="79" t="str">
        <f aca="false">IF($AI100="","",INDEX(Accounts!$C$6:$C$55,$AI100)&amp;"")</f>
        <v/>
      </c>
      <c r="E100" s="79" t="str">
        <f aca="false">IF($AI100="","",INDEX(Accounts!$F$6:$F$55,$AI100)&amp;"")</f>
        <v/>
      </c>
      <c r="F100" s="79" t="str">
        <f aca="false">IF($AJ100="","",INDEX(Securities!$B$6:$B$105,$AJ100)&amp;"")</f>
        <v/>
      </c>
      <c r="G100" s="79" t="str">
        <f aca="false">IF($AJ100="","",INDEX(Securities!$F$6:$F$105,$AJ100)&amp;"")</f>
        <v/>
      </c>
      <c r="H100" s="79" t="str">
        <f aca="false">IF($AJ100="","",INDEX(Securities!$E$6:$E$105,$AJ100)&amp;"")</f>
        <v/>
      </c>
      <c r="I100" s="79" t="str">
        <f aca="false">IF($AJ100="","",INDEX(Securities!$H$6:$H$105,$AJ100)&amp;"")</f>
        <v/>
      </c>
      <c r="J100" s="80"/>
      <c r="K100" s="80"/>
      <c r="L100" s="81"/>
      <c r="M100" s="82"/>
      <c r="N100" s="83" t="str">
        <f aca="false">IF(OR($L100="",$M100=""),"",IF(N($L100)=0,"",$M100/$L100))</f>
        <v/>
      </c>
      <c r="O100" s="84" t="str">
        <f aca="false">IF($AJ100="","",IF(INDEX(Securities!$O$6:$O$105,$AJ100)="","",INDEX(Securities!$O$6:$O$105,$AJ100)))</f>
        <v/>
      </c>
      <c r="P100" s="79" t="str">
        <f aca="false">IF($AJ100="","",INDEX(Securities!$N$6:$N$105,$AJ100)&amp;"")</f>
        <v/>
      </c>
      <c r="Q100" s="82"/>
      <c r="R100" s="85" t="str">
        <f aca="false">IF($C100="","",IF($Q100&lt;&gt;"",$Q100,IF($P100="At cost",IF($M100="","",$M100),IF(OR($O100="",$L100=""),"",$L100*$O100))))</f>
        <v/>
      </c>
      <c r="S100" s="85" t="str">
        <f aca="false">IF(OR(NOT(ISNUMBER($R100)),$M100=""),"",$R100-$M100)</f>
        <v/>
      </c>
      <c r="T100" s="86" t="str">
        <f aca="false">IF(OR($S100="",N($M100)=0),"",$S100/$M100)</f>
        <v/>
      </c>
      <c r="U100" s="82"/>
      <c r="V100" s="82"/>
      <c r="W100" s="87"/>
      <c r="X100" s="79" t="str">
        <f aca="false">IF($AJ100="","",INDEX(Securities!$L$6:$L$105,$AJ100)&amp;"")</f>
        <v/>
      </c>
      <c r="Y100" s="87"/>
      <c r="Z100" s="87"/>
      <c r="AA100" s="86" t="str">
        <f aca="false">IF(OR($W100="",$Z100=""),"",$W100-$Z100)</f>
        <v/>
      </c>
      <c r="AB100" s="79" t="str">
        <f aca="false">IF($C100="","",IF($P100="At cost","At cost",IF(NOT(ISNUMBER($J100)),"No date",IF(ValDate-$J100&lt;365,"Absolute",IF($W100="","XIRR missing","XIRR")))))</f>
        <v/>
      </c>
      <c r="AC100" s="86" t="str">
        <f aca="false">IF(NOT(ISNUMBER($R100)),"",IF(SUM($R$6:$R$205)=0,"",$R100/SUM($R$6:$R$205)))</f>
        <v/>
      </c>
      <c r="AD100" s="82"/>
      <c r="AE100" s="80"/>
      <c r="AF100" s="78"/>
      <c r="AG100" s="88" t="str">
        <f aca="false">IF($C100="","",IF(COUNTIFS('Tax Lots'!$B$6:$B$205,$B100,'Tax Lots'!$C$6:$C$205,$C100)=0,"",SUMIFS('Tax Lots'!$P$6:$P$205,'Tax Lots'!$B$6:$B$205,$B100,'Tax Lots'!$C$6:$C$205,$C100)))</f>
        <v/>
      </c>
      <c r="AH100" s="79" t="str">
        <f aca="false">IF($A100&amp;$B100&amp;$C100="","",IF($A100="","Missing ID",IF(COUNTIF($A$6:$A$205,$A100)&gt;1,"Duplicate ID",IF($AI100="","Unknown account",IF($AJ100="","Unknown security",IF(COUNTIFS($B$6:$B$205,$B100,$C$6:$C$205,$C100)&gt;1,"Same security twice in one account",IF(AND(ISNUMBER($J100),ISNUMBER($K100),N($K100)&lt;N($J100)),"Last date before first",IF(NOT(ISNUMBER($R100)),"No market value",IF(OR(N($J100)&gt;ValDate,N($K100)&gt;ValDate),"Date after valuation",IF(AND(ISNUMBER($AG100),ABS(N($L100)-N($AG100))&gt;0.001),"Lot quantity differs",IF(AND(ISNUMBER($AG100),ABS(N($M100)-SUMIFS('Tax Lots'!$Q$6:$Q$205,'Tax Lots'!$B$6:$B$205,$B100,'Tax Lots'!$C$6:$C$205,$C100))&gt;1),"Lot cost differs",IF(AND(ISNUMBER($AG100),ABS(N($V100)-SUMIFS('Tax Lots'!$AA$6:$AA$205,'Tax Lots'!$B$6:$B$205,$B100,'Tax Lots'!$C$6:$C$205,$C100))&gt;1),"Lot realised gain differs","OK"))))))))))))</f>
        <v/>
      </c>
      <c r="AI100" s="89" t="str">
        <f aca="false">IF($B100="","",IFERROR(MATCH($B100,Accounts!$A$6:$A$55,0),""))</f>
        <v/>
      </c>
      <c r="AJ100" s="89" t="str">
        <f aca="false">IF($C100="","",IFERROR(MATCH($C100,Securities!$A$6:$A$105,0),""))</f>
        <v/>
      </c>
      <c r="AK100" s="89" t="str">
        <f aca="false">IF($AI100="","",INDEX(Accounts!$B$6:$B$55,$AI100)&amp;"")</f>
        <v/>
      </c>
      <c r="AL100" s="89" t="str">
        <f aca="false">IF(OR($C100="",$I100="",NOT(ISNUMBER($R100))),"",$I100&amp;"|"&amp;(SUMPRODUCT(($I$6:$I$205=$I100)*ISNUMBER($R$6:$R$205)*($R$6:$R$205&gt;$R100))+SUMPRODUCT(($I$6:$I100=$I100)*ISNUMBER($R$6:$R100)*($R$6:$R100=$R100))))</f>
        <v/>
      </c>
      <c r="AM100" s="89" t="n">
        <f aca="false">IF(AND(ISNUMBER($R100),$W100&lt;&gt;"",$Z100&lt;&gt;"",$AB100="XIRR"),$R100*$W100,0)</f>
        <v>0</v>
      </c>
      <c r="AN100" s="89" t="n">
        <f aca="false">IF(AND(ISNUMBER($R100),$W100&lt;&gt;"",$Z100&lt;&gt;"",$AB100="XIRR"),$R100,0)</f>
        <v>0</v>
      </c>
      <c r="AO100" s="89" t="n">
        <f aca="false">IF(AND(ISNUMBER($R100),$W100&lt;&gt;"",$Z100&lt;&gt;"",$AB100="XIRR"),$R100*$Z100,0)</f>
        <v>0</v>
      </c>
      <c r="AP100" s="89" t="n">
        <f aca="false">IF(AND(ISNUMBER($M100),$Y100&lt;&gt;"",ISNUMBER($T100)),$M100*$Y100,0)</f>
        <v>0</v>
      </c>
      <c r="AQ100" s="89" t="n">
        <f aca="false">IF(AND(ISNUMBER($M100),$Y100&lt;&gt;"",ISNUMBER($T100)),$M100,0)</f>
        <v>0</v>
      </c>
    </row>
    <row r="101" customFormat="false" ht="15" hidden="false" customHeight="false" outlineLevel="0" collapsed="false">
      <c r="A101" s="77"/>
      <c r="B101" s="78"/>
      <c r="C101" s="78"/>
      <c r="D101" s="79" t="str">
        <f aca="false">IF($AI101="","",INDEX(Accounts!$C$6:$C$55,$AI101)&amp;"")</f>
        <v/>
      </c>
      <c r="E101" s="79" t="str">
        <f aca="false">IF($AI101="","",INDEX(Accounts!$F$6:$F$55,$AI101)&amp;"")</f>
        <v/>
      </c>
      <c r="F101" s="79" t="str">
        <f aca="false">IF($AJ101="","",INDEX(Securities!$B$6:$B$105,$AJ101)&amp;"")</f>
        <v/>
      </c>
      <c r="G101" s="79" t="str">
        <f aca="false">IF($AJ101="","",INDEX(Securities!$F$6:$F$105,$AJ101)&amp;"")</f>
        <v/>
      </c>
      <c r="H101" s="79" t="str">
        <f aca="false">IF($AJ101="","",INDEX(Securities!$E$6:$E$105,$AJ101)&amp;"")</f>
        <v/>
      </c>
      <c r="I101" s="79" t="str">
        <f aca="false">IF($AJ101="","",INDEX(Securities!$H$6:$H$105,$AJ101)&amp;"")</f>
        <v/>
      </c>
      <c r="J101" s="80"/>
      <c r="K101" s="80"/>
      <c r="L101" s="81"/>
      <c r="M101" s="82"/>
      <c r="N101" s="83" t="str">
        <f aca="false">IF(OR($L101="",$M101=""),"",IF(N($L101)=0,"",$M101/$L101))</f>
        <v/>
      </c>
      <c r="O101" s="84" t="str">
        <f aca="false">IF($AJ101="","",IF(INDEX(Securities!$O$6:$O$105,$AJ101)="","",INDEX(Securities!$O$6:$O$105,$AJ101)))</f>
        <v/>
      </c>
      <c r="P101" s="79" t="str">
        <f aca="false">IF($AJ101="","",INDEX(Securities!$N$6:$N$105,$AJ101)&amp;"")</f>
        <v/>
      </c>
      <c r="Q101" s="82"/>
      <c r="R101" s="85" t="str">
        <f aca="false">IF($C101="","",IF($Q101&lt;&gt;"",$Q101,IF($P101="At cost",IF($M101="","",$M101),IF(OR($O101="",$L101=""),"",$L101*$O101))))</f>
        <v/>
      </c>
      <c r="S101" s="85" t="str">
        <f aca="false">IF(OR(NOT(ISNUMBER($R101)),$M101=""),"",$R101-$M101)</f>
        <v/>
      </c>
      <c r="T101" s="86" t="str">
        <f aca="false">IF(OR($S101="",N($M101)=0),"",$S101/$M101)</f>
        <v/>
      </c>
      <c r="U101" s="82"/>
      <c r="V101" s="82"/>
      <c r="W101" s="87"/>
      <c r="X101" s="79" t="str">
        <f aca="false">IF($AJ101="","",INDEX(Securities!$L$6:$L$105,$AJ101)&amp;"")</f>
        <v/>
      </c>
      <c r="Y101" s="87"/>
      <c r="Z101" s="87"/>
      <c r="AA101" s="86" t="str">
        <f aca="false">IF(OR($W101="",$Z101=""),"",$W101-$Z101)</f>
        <v/>
      </c>
      <c r="AB101" s="79" t="str">
        <f aca="false">IF($C101="","",IF($P101="At cost","At cost",IF(NOT(ISNUMBER($J101)),"No date",IF(ValDate-$J101&lt;365,"Absolute",IF($W101="","XIRR missing","XIRR")))))</f>
        <v/>
      </c>
      <c r="AC101" s="86" t="str">
        <f aca="false">IF(NOT(ISNUMBER($R101)),"",IF(SUM($R$6:$R$205)=0,"",$R101/SUM($R$6:$R$205)))</f>
        <v/>
      </c>
      <c r="AD101" s="82"/>
      <c r="AE101" s="80"/>
      <c r="AF101" s="78"/>
      <c r="AG101" s="88" t="str">
        <f aca="false">IF($C101="","",IF(COUNTIFS('Tax Lots'!$B$6:$B$205,$B101,'Tax Lots'!$C$6:$C$205,$C101)=0,"",SUMIFS('Tax Lots'!$P$6:$P$205,'Tax Lots'!$B$6:$B$205,$B101,'Tax Lots'!$C$6:$C$205,$C101)))</f>
        <v/>
      </c>
      <c r="AH101" s="79" t="str">
        <f aca="false">IF($A101&amp;$B101&amp;$C101="","",IF($A101="","Missing ID",IF(COUNTIF($A$6:$A$205,$A101)&gt;1,"Duplicate ID",IF($AI101="","Unknown account",IF($AJ101="","Unknown security",IF(COUNTIFS($B$6:$B$205,$B101,$C$6:$C$205,$C101)&gt;1,"Same security twice in one account",IF(AND(ISNUMBER($J101),ISNUMBER($K101),N($K101)&lt;N($J101)),"Last date before first",IF(NOT(ISNUMBER($R101)),"No market value",IF(OR(N($J101)&gt;ValDate,N($K101)&gt;ValDate),"Date after valuation",IF(AND(ISNUMBER($AG101),ABS(N($L101)-N($AG101))&gt;0.001),"Lot quantity differs",IF(AND(ISNUMBER($AG101),ABS(N($M101)-SUMIFS('Tax Lots'!$Q$6:$Q$205,'Tax Lots'!$B$6:$B$205,$B101,'Tax Lots'!$C$6:$C$205,$C101))&gt;1),"Lot cost differs",IF(AND(ISNUMBER($AG101),ABS(N($V101)-SUMIFS('Tax Lots'!$AA$6:$AA$205,'Tax Lots'!$B$6:$B$205,$B101,'Tax Lots'!$C$6:$C$205,$C101))&gt;1),"Lot realised gain differs","OK"))))))))))))</f>
        <v/>
      </c>
      <c r="AI101" s="89" t="str">
        <f aca="false">IF($B101="","",IFERROR(MATCH($B101,Accounts!$A$6:$A$55,0),""))</f>
        <v/>
      </c>
      <c r="AJ101" s="89" t="str">
        <f aca="false">IF($C101="","",IFERROR(MATCH($C101,Securities!$A$6:$A$105,0),""))</f>
        <v/>
      </c>
      <c r="AK101" s="89" t="str">
        <f aca="false">IF($AI101="","",INDEX(Accounts!$B$6:$B$55,$AI101)&amp;"")</f>
        <v/>
      </c>
      <c r="AL101" s="89" t="str">
        <f aca="false">IF(OR($C101="",$I101="",NOT(ISNUMBER($R101))),"",$I101&amp;"|"&amp;(SUMPRODUCT(($I$6:$I$205=$I101)*ISNUMBER($R$6:$R$205)*($R$6:$R$205&gt;$R101))+SUMPRODUCT(($I$6:$I101=$I101)*ISNUMBER($R$6:$R101)*($R$6:$R101=$R101))))</f>
        <v/>
      </c>
      <c r="AM101" s="89" t="n">
        <f aca="false">IF(AND(ISNUMBER($R101),$W101&lt;&gt;"",$Z101&lt;&gt;"",$AB101="XIRR"),$R101*$W101,0)</f>
        <v>0</v>
      </c>
      <c r="AN101" s="89" t="n">
        <f aca="false">IF(AND(ISNUMBER($R101),$W101&lt;&gt;"",$Z101&lt;&gt;"",$AB101="XIRR"),$R101,0)</f>
        <v>0</v>
      </c>
      <c r="AO101" s="89" t="n">
        <f aca="false">IF(AND(ISNUMBER($R101),$W101&lt;&gt;"",$Z101&lt;&gt;"",$AB101="XIRR"),$R101*$Z101,0)</f>
        <v>0</v>
      </c>
      <c r="AP101" s="89" t="n">
        <f aca="false">IF(AND(ISNUMBER($M101),$Y101&lt;&gt;"",ISNUMBER($T101)),$M101*$Y101,0)</f>
        <v>0</v>
      </c>
      <c r="AQ101" s="89" t="n">
        <f aca="false">IF(AND(ISNUMBER($M101),$Y101&lt;&gt;"",ISNUMBER($T101)),$M101,0)</f>
        <v>0</v>
      </c>
    </row>
    <row r="102" customFormat="false" ht="15" hidden="false" customHeight="false" outlineLevel="0" collapsed="false">
      <c r="A102" s="77"/>
      <c r="B102" s="78"/>
      <c r="C102" s="78"/>
      <c r="D102" s="79" t="str">
        <f aca="false">IF($AI102="","",INDEX(Accounts!$C$6:$C$55,$AI102)&amp;"")</f>
        <v/>
      </c>
      <c r="E102" s="79" t="str">
        <f aca="false">IF($AI102="","",INDEX(Accounts!$F$6:$F$55,$AI102)&amp;"")</f>
        <v/>
      </c>
      <c r="F102" s="79" t="str">
        <f aca="false">IF($AJ102="","",INDEX(Securities!$B$6:$B$105,$AJ102)&amp;"")</f>
        <v/>
      </c>
      <c r="G102" s="79" t="str">
        <f aca="false">IF($AJ102="","",INDEX(Securities!$F$6:$F$105,$AJ102)&amp;"")</f>
        <v/>
      </c>
      <c r="H102" s="79" t="str">
        <f aca="false">IF($AJ102="","",INDEX(Securities!$E$6:$E$105,$AJ102)&amp;"")</f>
        <v/>
      </c>
      <c r="I102" s="79" t="str">
        <f aca="false">IF($AJ102="","",INDEX(Securities!$H$6:$H$105,$AJ102)&amp;"")</f>
        <v/>
      </c>
      <c r="J102" s="80"/>
      <c r="K102" s="80"/>
      <c r="L102" s="81"/>
      <c r="M102" s="82"/>
      <c r="N102" s="83" t="str">
        <f aca="false">IF(OR($L102="",$M102=""),"",IF(N($L102)=0,"",$M102/$L102))</f>
        <v/>
      </c>
      <c r="O102" s="84" t="str">
        <f aca="false">IF($AJ102="","",IF(INDEX(Securities!$O$6:$O$105,$AJ102)="","",INDEX(Securities!$O$6:$O$105,$AJ102)))</f>
        <v/>
      </c>
      <c r="P102" s="79" t="str">
        <f aca="false">IF($AJ102="","",INDEX(Securities!$N$6:$N$105,$AJ102)&amp;"")</f>
        <v/>
      </c>
      <c r="Q102" s="82"/>
      <c r="R102" s="85" t="str">
        <f aca="false">IF($C102="","",IF($Q102&lt;&gt;"",$Q102,IF($P102="At cost",IF($M102="","",$M102),IF(OR($O102="",$L102=""),"",$L102*$O102))))</f>
        <v/>
      </c>
      <c r="S102" s="85" t="str">
        <f aca="false">IF(OR(NOT(ISNUMBER($R102)),$M102=""),"",$R102-$M102)</f>
        <v/>
      </c>
      <c r="T102" s="86" t="str">
        <f aca="false">IF(OR($S102="",N($M102)=0),"",$S102/$M102)</f>
        <v/>
      </c>
      <c r="U102" s="82"/>
      <c r="V102" s="82"/>
      <c r="W102" s="87"/>
      <c r="X102" s="79" t="str">
        <f aca="false">IF($AJ102="","",INDEX(Securities!$L$6:$L$105,$AJ102)&amp;"")</f>
        <v/>
      </c>
      <c r="Y102" s="87"/>
      <c r="Z102" s="87"/>
      <c r="AA102" s="86" t="str">
        <f aca="false">IF(OR($W102="",$Z102=""),"",$W102-$Z102)</f>
        <v/>
      </c>
      <c r="AB102" s="79" t="str">
        <f aca="false">IF($C102="","",IF($P102="At cost","At cost",IF(NOT(ISNUMBER($J102)),"No date",IF(ValDate-$J102&lt;365,"Absolute",IF($W102="","XIRR missing","XIRR")))))</f>
        <v/>
      </c>
      <c r="AC102" s="86" t="str">
        <f aca="false">IF(NOT(ISNUMBER($R102)),"",IF(SUM($R$6:$R$205)=0,"",$R102/SUM($R$6:$R$205)))</f>
        <v/>
      </c>
      <c r="AD102" s="82"/>
      <c r="AE102" s="80"/>
      <c r="AF102" s="78"/>
      <c r="AG102" s="88" t="str">
        <f aca="false">IF($C102="","",IF(COUNTIFS('Tax Lots'!$B$6:$B$205,$B102,'Tax Lots'!$C$6:$C$205,$C102)=0,"",SUMIFS('Tax Lots'!$P$6:$P$205,'Tax Lots'!$B$6:$B$205,$B102,'Tax Lots'!$C$6:$C$205,$C102)))</f>
        <v/>
      </c>
      <c r="AH102" s="79" t="str">
        <f aca="false">IF($A102&amp;$B102&amp;$C102="","",IF($A102="","Missing ID",IF(COUNTIF($A$6:$A$205,$A102)&gt;1,"Duplicate ID",IF($AI102="","Unknown account",IF($AJ102="","Unknown security",IF(COUNTIFS($B$6:$B$205,$B102,$C$6:$C$205,$C102)&gt;1,"Same security twice in one account",IF(AND(ISNUMBER($J102),ISNUMBER($K102),N($K102)&lt;N($J102)),"Last date before first",IF(NOT(ISNUMBER($R102)),"No market value",IF(OR(N($J102)&gt;ValDate,N($K102)&gt;ValDate),"Date after valuation",IF(AND(ISNUMBER($AG102),ABS(N($L102)-N($AG102))&gt;0.001),"Lot quantity differs",IF(AND(ISNUMBER($AG102),ABS(N($M102)-SUMIFS('Tax Lots'!$Q$6:$Q$205,'Tax Lots'!$B$6:$B$205,$B102,'Tax Lots'!$C$6:$C$205,$C102))&gt;1),"Lot cost differs",IF(AND(ISNUMBER($AG102),ABS(N($V102)-SUMIFS('Tax Lots'!$AA$6:$AA$205,'Tax Lots'!$B$6:$B$205,$B102,'Tax Lots'!$C$6:$C$205,$C102))&gt;1),"Lot realised gain differs","OK"))))))))))))</f>
        <v/>
      </c>
      <c r="AI102" s="89" t="str">
        <f aca="false">IF($B102="","",IFERROR(MATCH($B102,Accounts!$A$6:$A$55,0),""))</f>
        <v/>
      </c>
      <c r="AJ102" s="89" t="str">
        <f aca="false">IF($C102="","",IFERROR(MATCH($C102,Securities!$A$6:$A$105,0),""))</f>
        <v/>
      </c>
      <c r="AK102" s="89" t="str">
        <f aca="false">IF($AI102="","",INDEX(Accounts!$B$6:$B$55,$AI102)&amp;"")</f>
        <v/>
      </c>
      <c r="AL102" s="89" t="str">
        <f aca="false">IF(OR($C102="",$I102="",NOT(ISNUMBER($R102))),"",$I102&amp;"|"&amp;(SUMPRODUCT(($I$6:$I$205=$I102)*ISNUMBER($R$6:$R$205)*($R$6:$R$205&gt;$R102))+SUMPRODUCT(($I$6:$I102=$I102)*ISNUMBER($R$6:$R102)*($R$6:$R102=$R102))))</f>
        <v/>
      </c>
      <c r="AM102" s="89" t="n">
        <f aca="false">IF(AND(ISNUMBER($R102),$W102&lt;&gt;"",$Z102&lt;&gt;"",$AB102="XIRR"),$R102*$W102,0)</f>
        <v>0</v>
      </c>
      <c r="AN102" s="89" t="n">
        <f aca="false">IF(AND(ISNUMBER($R102),$W102&lt;&gt;"",$Z102&lt;&gt;"",$AB102="XIRR"),$R102,0)</f>
        <v>0</v>
      </c>
      <c r="AO102" s="89" t="n">
        <f aca="false">IF(AND(ISNUMBER($R102),$W102&lt;&gt;"",$Z102&lt;&gt;"",$AB102="XIRR"),$R102*$Z102,0)</f>
        <v>0</v>
      </c>
      <c r="AP102" s="89" t="n">
        <f aca="false">IF(AND(ISNUMBER($M102),$Y102&lt;&gt;"",ISNUMBER($T102)),$M102*$Y102,0)</f>
        <v>0</v>
      </c>
      <c r="AQ102" s="89" t="n">
        <f aca="false">IF(AND(ISNUMBER($M102),$Y102&lt;&gt;"",ISNUMBER($T102)),$M102,0)</f>
        <v>0</v>
      </c>
    </row>
    <row r="103" customFormat="false" ht="15" hidden="false" customHeight="false" outlineLevel="0" collapsed="false">
      <c r="A103" s="77"/>
      <c r="B103" s="78"/>
      <c r="C103" s="78"/>
      <c r="D103" s="79" t="str">
        <f aca="false">IF($AI103="","",INDEX(Accounts!$C$6:$C$55,$AI103)&amp;"")</f>
        <v/>
      </c>
      <c r="E103" s="79" t="str">
        <f aca="false">IF($AI103="","",INDEX(Accounts!$F$6:$F$55,$AI103)&amp;"")</f>
        <v/>
      </c>
      <c r="F103" s="79" t="str">
        <f aca="false">IF($AJ103="","",INDEX(Securities!$B$6:$B$105,$AJ103)&amp;"")</f>
        <v/>
      </c>
      <c r="G103" s="79" t="str">
        <f aca="false">IF($AJ103="","",INDEX(Securities!$F$6:$F$105,$AJ103)&amp;"")</f>
        <v/>
      </c>
      <c r="H103" s="79" t="str">
        <f aca="false">IF($AJ103="","",INDEX(Securities!$E$6:$E$105,$AJ103)&amp;"")</f>
        <v/>
      </c>
      <c r="I103" s="79" t="str">
        <f aca="false">IF($AJ103="","",INDEX(Securities!$H$6:$H$105,$AJ103)&amp;"")</f>
        <v/>
      </c>
      <c r="J103" s="80"/>
      <c r="K103" s="80"/>
      <c r="L103" s="81"/>
      <c r="M103" s="82"/>
      <c r="N103" s="83" t="str">
        <f aca="false">IF(OR($L103="",$M103=""),"",IF(N($L103)=0,"",$M103/$L103))</f>
        <v/>
      </c>
      <c r="O103" s="84" t="str">
        <f aca="false">IF($AJ103="","",IF(INDEX(Securities!$O$6:$O$105,$AJ103)="","",INDEX(Securities!$O$6:$O$105,$AJ103)))</f>
        <v/>
      </c>
      <c r="P103" s="79" t="str">
        <f aca="false">IF($AJ103="","",INDEX(Securities!$N$6:$N$105,$AJ103)&amp;"")</f>
        <v/>
      </c>
      <c r="Q103" s="82"/>
      <c r="R103" s="85" t="str">
        <f aca="false">IF($C103="","",IF($Q103&lt;&gt;"",$Q103,IF($P103="At cost",IF($M103="","",$M103),IF(OR($O103="",$L103=""),"",$L103*$O103))))</f>
        <v/>
      </c>
      <c r="S103" s="85" t="str">
        <f aca="false">IF(OR(NOT(ISNUMBER($R103)),$M103=""),"",$R103-$M103)</f>
        <v/>
      </c>
      <c r="T103" s="86" t="str">
        <f aca="false">IF(OR($S103="",N($M103)=0),"",$S103/$M103)</f>
        <v/>
      </c>
      <c r="U103" s="82"/>
      <c r="V103" s="82"/>
      <c r="W103" s="87"/>
      <c r="X103" s="79" t="str">
        <f aca="false">IF($AJ103="","",INDEX(Securities!$L$6:$L$105,$AJ103)&amp;"")</f>
        <v/>
      </c>
      <c r="Y103" s="87"/>
      <c r="Z103" s="87"/>
      <c r="AA103" s="86" t="str">
        <f aca="false">IF(OR($W103="",$Z103=""),"",$W103-$Z103)</f>
        <v/>
      </c>
      <c r="AB103" s="79" t="str">
        <f aca="false">IF($C103="","",IF($P103="At cost","At cost",IF(NOT(ISNUMBER($J103)),"No date",IF(ValDate-$J103&lt;365,"Absolute",IF($W103="","XIRR missing","XIRR")))))</f>
        <v/>
      </c>
      <c r="AC103" s="86" t="str">
        <f aca="false">IF(NOT(ISNUMBER($R103)),"",IF(SUM($R$6:$R$205)=0,"",$R103/SUM($R$6:$R$205)))</f>
        <v/>
      </c>
      <c r="AD103" s="82"/>
      <c r="AE103" s="80"/>
      <c r="AF103" s="78"/>
      <c r="AG103" s="88" t="str">
        <f aca="false">IF($C103="","",IF(COUNTIFS('Tax Lots'!$B$6:$B$205,$B103,'Tax Lots'!$C$6:$C$205,$C103)=0,"",SUMIFS('Tax Lots'!$P$6:$P$205,'Tax Lots'!$B$6:$B$205,$B103,'Tax Lots'!$C$6:$C$205,$C103)))</f>
        <v/>
      </c>
      <c r="AH103" s="79" t="str">
        <f aca="false">IF($A103&amp;$B103&amp;$C103="","",IF($A103="","Missing ID",IF(COUNTIF($A$6:$A$205,$A103)&gt;1,"Duplicate ID",IF($AI103="","Unknown account",IF($AJ103="","Unknown security",IF(COUNTIFS($B$6:$B$205,$B103,$C$6:$C$205,$C103)&gt;1,"Same security twice in one account",IF(AND(ISNUMBER($J103),ISNUMBER($K103),N($K103)&lt;N($J103)),"Last date before first",IF(NOT(ISNUMBER($R103)),"No market value",IF(OR(N($J103)&gt;ValDate,N($K103)&gt;ValDate),"Date after valuation",IF(AND(ISNUMBER($AG103),ABS(N($L103)-N($AG103))&gt;0.001),"Lot quantity differs",IF(AND(ISNUMBER($AG103),ABS(N($M103)-SUMIFS('Tax Lots'!$Q$6:$Q$205,'Tax Lots'!$B$6:$B$205,$B103,'Tax Lots'!$C$6:$C$205,$C103))&gt;1),"Lot cost differs",IF(AND(ISNUMBER($AG103),ABS(N($V103)-SUMIFS('Tax Lots'!$AA$6:$AA$205,'Tax Lots'!$B$6:$B$205,$B103,'Tax Lots'!$C$6:$C$205,$C103))&gt;1),"Lot realised gain differs","OK"))))))))))))</f>
        <v/>
      </c>
      <c r="AI103" s="89" t="str">
        <f aca="false">IF($B103="","",IFERROR(MATCH($B103,Accounts!$A$6:$A$55,0),""))</f>
        <v/>
      </c>
      <c r="AJ103" s="89" t="str">
        <f aca="false">IF($C103="","",IFERROR(MATCH($C103,Securities!$A$6:$A$105,0),""))</f>
        <v/>
      </c>
      <c r="AK103" s="89" t="str">
        <f aca="false">IF($AI103="","",INDEX(Accounts!$B$6:$B$55,$AI103)&amp;"")</f>
        <v/>
      </c>
      <c r="AL103" s="89" t="str">
        <f aca="false">IF(OR($C103="",$I103="",NOT(ISNUMBER($R103))),"",$I103&amp;"|"&amp;(SUMPRODUCT(($I$6:$I$205=$I103)*ISNUMBER($R$6:$R$205)*($R$6:$R$205&gt;$R103))+SUMPRODUCT(($I$6:$I103=$I103)*ISNUMBER($R$6:$R103)*($R$6:$R103=$R103))))</f>
        <v/>
      </c>
      <c r="AM103" s="89" t="n">
        <f aca="false">IF(AND(ISNUMBER($R103),$W103&lt;&gt;"",$Z103&lt;&gt;"",$AB103="XIRR"),$R103*$W103,0)</f>
        <v>0</v>
      </c>
      <c r="AN103" s="89" t="n">
        <f aca="false">IF(AND(ISNUMBER($R103),$W103&lt;&gt;"",$Z103&lt;&gt;"",$AB103="XIRR"),$R103,0)</f>
        <v>0</v>
      </c>
      <c r="AO103" s="89" t="n">
        <f aca="false">IF(AND(ISNUMBER($R103),$W103&lt;&gt;"",$Z103&lt;&gt;"",$AB103="XIRR"),$R103*$Z103,0)</f>
        <v>0</v>
      </c>
      <c r="AP103" s="89" t="n">
        <f aca="false">IF(AND(ISNUMBER($M103),$Y103&lt;&gt;"",ISNUMBER($T103)),$M103*$Y103,0)</f>
        <v>0</v>
      </c>
      <c r="AQ103" s="89" t="n">
        <f aca="false">IF(AND(ISNUMBER($M103),$Y103&lt;&gt;"",ISNUMBER($T103)),$M103,0)</f>
        <v>0</v>
      </c>
    </row>
    <row r="104" customFormat="false" ht="15" hidden="false" customHeight="false" outlineLevel="0" collapsed="false">
      <c r="A104" s="77"/>
      <c r="B104" s="78"/>
      <c r="C104" s="78"/>
      <c r="D104" s="79" t="str">
        <f aca="false">IF($AI104="","",INDEX(Accounts!$C$6:$C$55,$AI104)&amp;"")</f>
        <v/>
      </c>
      <c r="E104" s="79" t="str">
        <f aca="false">IF($AI104="","",INDEX(Accounts!$F$6:$F$55,$AI104)&amp;"")</f>
        <v/>
      </c>
      <c r="F104" s="79" t="str">
        <f aca="false">IF($AJ104="","",INDEX(Securities!$B$6:$B$105,$AJ104)&amp;"")</f>
        <v/>
      </c>
      <c r="G104" s="79" t="str">
        <f aca="false">IF($AJ104="","",INDEX(Securities!$F$6:$F$105,$AJ104)&amp;"")</f>
        <v/>
      </c>
      <c r="H104" s="79" t="str">
        <f aca="false">IF($AJ104="","",INDEX(Securities!$E$6:$E$105,$AJ104)&amp;"")</f>
        <v/>
      </c>
      <c r="I104" s="79" t="str">
        <f aca="false">IF($AJ104="","",INDEX(Securities!$H$6:$H$105,$AJ104)&amp;"")</f>
        <v/>
      </c>
      <c r="J104" s="80"/>
      <c r="K104" s="80"/>
      <c r="L104" s="81"/>
      <c r="M104" s="82"/>
      <c r="N104" s="83" t="str">
        <f aca="false">IF(OR($L104="",$M104=""),"",IF(N($L104)=0,"",$M104/$L104))</f>
        <v/>
      </c>
      <c r="O104" s="84" t="str">
        <f aca="false">IF($AJ104="","",IF(INDEX(Securities!$O$6:$O$105,$AJ104)="","",INDEX(Securities!$O$6:$O$105,$AJ104)))</f>
        <v/>
      </c>
      <c r="P104" s="79" t="str">
        <f aca="false">IF($AJ104="","",INDEX(Securities!$N$6:$N$105,$AJ104)&amp;"")</f>
        <v/>
      </c>
      <c r="Q104" s="82"/>
      <c r="R104" s="85" t="str">
        <f aca="false">IF($C104="","",IF($Q104&lt;&gt;"",$Q104,IF($P104="At cost",IF($M104="","",$M104),IF(OR($O104="",$L104=""),"",$L104*$O104))))</f>
        <v/>
      </c>
      <c r="S104" s="85" t="str">
        <f aca="false">IF(OR(NOT(ISNUMBER($R104)),$M104=""),"",$R104-$M104)</f>
        <v/>
      </c>
      <c r="T104" s="86" t="str">
        <f aca="false">IF(OR($S104="",N($M104)=0),"",$S104/$M104)</f>
        <v/>
      </c>
      <c r="U104" s="82"/>
      <c r="V104" s="82"/>
      <c r="W104" s="87"/>
      <c r="X104" s="79" t="str">
        <f aca="false">IF($AJ104="","",INDEX(Securities!$L$6:$L$105,$AJ104)&amp;"")</f>
        <v/>
      </c>
      <c r="Y104" s="87"/>
      <c r="Z104" s="87"/>
      <c r="AA104" s="86" t="str">
        <f aca="false">IF(OR($W104="",$Z104=""),"",$W104-$Z104)</f>
        <v/>
      </c>
      <c r="AB104" s="79" t="str">
        <f aca="false">IF($C104="","",IF($P104="At cost","At cost",IF(NOT(ISNUMBER($J104)),"No date",IF(ValDate-$J104&lt;365,"Absolute",IF($W104="","XIRR missing","XIRR")))))</f>
        <v/>
      </c>
      <c r="AC104" s="86" t="str">
        <f aca="false">IF(NOT(ISNUMBER($R104)),"",IF(SUM($R$6:$R$205)=0,"",$R104/SUM($R$6:$R$205)))</f>
        <v/>
      </c>
      <c r="AD104" s="82"/>
      <c r="AE104" s="80"/>
      <c r="AF104" s="78"/>
      <c r="AG104" s="88" t="str">
        <f aca="false">IF($C104="","",IF(COUNTIFS('Tax Lots'!$B$6:$B$205,$B104,'Tax Lots'!$C$6:$C$205,$C104)=0,"",SUMIFS('Tax Lots'!$P$6:$P$205,'Tax Lots'!$B$6:$B$205,$B104,'Tax Lots'!$C$6:$C$205,$C104)))</f>
        <v/>
      </c>
      <c r="AH104" s="79" t="str">
        <f aca="false">IF($A104&amp;$B104&amp;$C104="","",IF($A104="","Missing ID",IF(COUNTIF($A$6:$A$205,$A104)&gt;1,"Duplicate ID",IF($AI104="","Unknown account",IF($AJ104="","Unknown security",IF(COUNTIFS($B$6:$B$205,$B104,$C$6:$C$205,$C104)&gt;1,"Same security twice in one account",IF(AND(ISNUMBER($J104),ISNUMBER($K104),N($K104)&lt;N($J104)),"Last date before first",IF(NOT(ISNUMBER($R104)),"No market value",IF(OR(N($J104)&gt;ValDate,N($K104)&gt;ValDate),"Date after valuation",IF(AND(ISNUMBER($AG104),ABS(N($L104)-N($AG104))&gt;0.001),"Lot quantity differs",IF(AND(ISNUMBER($AG104),ABS(N($M104)-SUMIFS('Tax Lots'!$Q$6:$Q$205,'Tax Lots'!$B$6:$B$205,$B104,'Tax Lots'!$C$6:$C$205,$C104))&gt;1),"Lot cost differs",IF(AND(ISNUMBER($AG104),ABS(N($V104)-SUMIFS('Tax Lots'!$AA$6:$AA$205,'Tax Lots'!$B$6:$B$205,$B104,'Tax Lots'!$C$6:$C$205,$C104))&gt;1),"Lot realised gain differs","OK"))))))))))))</f>
        <v/>
      </c>
      <c r="AI104" s="89" t="str">
        <f aca="false">IF($B104="","",IFERROR(MATCH($B104,Accounts!$A$6:$A$55,0),""))</f>
        <v/>
      </c>
      <c r="AJ104" s="89" t="str">
        <f aca="false">IF($C104="","",IFERROR(MATCH($C104,Securities!$A$6:$A$105,0),""))</f>
        <v/>
      </c>
      <c r="AK104" s="89" t="str">
        <f aca="false">IF($AI104="","",INDEX(Accounts!$B$6:$B$55,$AI104)&amp;"")</f>
        <v/>
      </c>
      <c r="AL104" s="89" t="str">
        <f aca="false">IF(OR($C104="",$I104="",NOT(ISNUMBER($R104))),"",$I104&amp;"|"&amp;(SUMPRODUCT(($I$6:$I$205=$I104)*ISNUMBER($R$6:$R$205)*($R$6:$R$205&gt;$R104))+SUMPRODUCT(($I$6:$I104=$I104)*ISNUMBER($R$6:$R104)*($R$6:$R104=$R104))))</f>
        <v/>
      </c>
      <c r="AM104" s="89" t="n">
        <f aca="false">IF(AND(ISNUMBER($R104),$W104&lt;&gt;"",$Z104&lt;&gt;"",$AB104="XIRR"),$R104*$W104,0)</f>
        <v>0</v>
      </c>
      <c r="AN104" s="89" t="n">
        <f aca="false">IF(AND(ISNUMBER($R104),$W104&lt;&gt;"",$Z104&lt;&gt;"",$AB104="XIRR"),$R104,0)</f>
        <v>0</v>
      </c>
      <c r="AO104" s="89" t="n">
        <f aca="false">IF(AND(ISNUMBER($R104),$W104&lt;&gt;"",$Z104&lt;&gt;"",$AB104="XIRR"),$R104*$Z104,0)</f>
        <v>0</v>
      </c>
      <c r="AP104" s="89" t="n">
        <f aca="false">IF(AND(ISNUMBER($M104),$Y104&lt;&gt;"",ISNUMBER($T104)),$M104*$Y104,0)</f>
        <v>0</v>
      </c>
      <c r="AQ104" s="89" t="n">
        <f aca="false">IF(AND(ISNUMBER($M104),$Y104&lt;&gt;"",ISNUMBER($T104)),$M104,0)</f>
        <v>0</v>
      </c>
    </row>
    <row r="105" customFormat="false" ht="15" hidden="false" customHeight="false" outlineLevel="0" collapsed="false">
      <c r="A105" s="77"/>
      <c r="B105" s="78"/>
      <c r="C105" s="78"/>
      <c r="D105" s="79" t="str">
        <f aca="false">IF($AI105="","",INDEX(Accounts!$C$6:$C$55,$AI105)&amp;"")</f>
        <v/>
      </c>
      <c r="E105" s="79" t="str">
        <f aca="false">IF($AI105="","",INDEX(Accounts!$F$6:$F$55,$AI105)&amp;"")</f>
        <v/>
      </c>
      <c r="F105" s="79" t="str">
        <f aca="false">IF($AJ105="","",INDEX(Securities!$B$6:$B$105,$AJ105)&amp;"")</f>
        <v/>
      </c>
      <c r="G105" s="79" t="str">
        <f aca="false">IF($AJ105="","",INDEX(Securities!$F$6:$F$105,$AJ105)&amp;"")</f>
        <v/>
      </c>
      <c r="H105" s="79" t="str">
        <f aca="false">IF($AJ105="","",INDEX(Securities!$E$6:$E$105,$AJ105)&amp;"")</f>
        <v/>
      </c>
      <c r="I105" s="79" t="str">
        <f aca="false">IF($AJ105="","",INDEX(Securities!$H$6:$H$105,$AJ105)&amp;"")</f>
        <v/>
      </c>
      <c r="J105" s="80"/>
      <c r="K105" s="80"/>
      <c r="L105" s="81"/>
      <c r="M105" s="82"/>
      <c r="N105" s="83" t="str">
        <f aca="false">IF(OR($L105="",$M105=""),"",IF(N($L105)=0,"",$M105/$L105))</f>
        <v/>
      </c>
      <c r="O105" s="84" t="str">
        <f aca="false">IF($AJ105="","",IF(INDEX(Securities!$O$6:$O$105,$AJ105)="","",INDEX(Securities!$O$6:$O$105,$AJ105)))</f>
        <v/>
      </c>
      <c r="P105" s="79" t="str">
        <f aca="false">IF($AJ105="","",INDEX(Securities!$N$6:$N$105,$AJ105)&amp;"")</f>
        <v/>
      </c>
      <c r="Q105" s="82"/>
      <c r="R105" s="85" t="str">
        <f aca="false">IF($C105="","",IF($Q105&lt;&gt;"",$Q105,IF($P105="At cost",IF($M105="","",$M105),IF(OR($O105="",$L105=""),"",$L105*$O105))))</f>
        <v/>
      </c>
      <c r="S105" s="85" t="str">
        <f aca="false">IF(OR(NOT(ISNUMBER($R105)),$M105=""),"",$R105-$M105)</f>
        <v/>
      </c>
      <c r="T105" s="86" t="str">
        <f aca="false">IF(OR($S105="",N($M105)=0),"",$S105/$M105)</f>
        <v/>
      </c>
      <c r="U105" s="82"/>
      <c r="V105" s="82"/>
      <c r="W105" s="87"/>
      <c r="X105" s="79" t="str">
        <f aca="false">IF($AJ105="","",INDEX(Securities!$L$6:$L$105,$AJ105)&amp;"")</f>
        <v/>
      </c>
      <c r="Y105" s="87"/>
      <c r="Z105" s="87"/>
      <c r="AA105" s="86" t="str">
        <f aca="false">IF(OR($W105="",$Z105=""),"",$W105-$Z105)</f>
        <v/>
      </c>
      <c r="AB105" s="79" t="str">
        <f aca="false">IF($C105="","",IF($P105="At cost","At cost",IF(NOT(ISNUMBER($J105)),"No date",IF(ValDate-$J105&lt;365,"Absolute",IF($W105="","XIRR missing","XIRR")))))</f>
        <v/>
      </c>
      <c r="AC105" s="86" t="str">
        <f aca="false">IF(NOT(ISNUMBER($R105)),"",IF(SUM($R$6:$R$205)=0,"",$R105/SUM($R$6:$R$205)))</f>
        <v/>
      </c>
      <c r="AD105" s="82"/>
      <c r="AE105" s="80"/>
      <c r="AF105" s="78"/>
      <c r="AG105" s="88" t="str">
        <f aca="false">IF($C105="","",IF(COUNTIFS('Tax Lots'!$B$6:$B$205,$B105,'Tax Lots'!$C$6:$C$205,$C105)=0,"",SUMIFS('Tax Lots'!$P$6:$P$205,'Tax Lots'!$B$6:$B$205,$B105,'Tax Lots'!$C$6:$C$205,$C105)))</f>
        <v/>
      </c>
      <c r="AH105" s="79" t="str">
        <f aca="false">IF($A105&amp;$B105&amp;$C105="","",IF($A105="","Missing ID",IF(COUNTIF($A$6:$A$205,$A105)&gt;1,"Duplicate ID",IF($AI105="","Unknown account",IF($AJ105="","Unknown security",IF(COUNTIFS($B$6:$B$205,$B105,$C$6:$C$205,$C105)&gt;1,"Same security twice in one account",IF(AND(ISNUMBER($J105),ISNUMBER($K105),N($K105)&lt;N($J105)),"Last date before first",IF(NOT(ISNUMBER($R105)),"No market value",IF(OR(N($J105)&gt;ValDate,N($K105)&gt;ValDate),"Date after valuation",IF(AND(ISNUMBER($AG105),ABS(N($L105)-N($AG105))&gt;0.001),"Lot quantity differs",IF(AND(ISNUMBER($AG105),ABS(N($M105)-SUMIFS('Tax Lots'!$Q$6:$Q$205,'Tax Lots'!$B$6:$B$205,$B105,'Tax Lots'!$C$6:$C$205,$C105))&gt;1),"Lot cost differs",IF(AND(ISNUMBER($AG105),ABS(N($V105)-SUMIFS('Tax Lots'!$AA$6:$AA$205,'Tax Lots'!$B$6:$B$205,$B105,'Tax Lots'!$C$6:$C$205,$C105))&gt;1),"Lot realised gain differs","OK"))))))))))))</f>
        <v/>
      </c>
      <c r="AI105" s="89" t="str">
        <f aca="false">IF($B105="","",IFERROR(MATCH($B105,Accounts!$A$6:$A$55,0),""))</f>
        <v/>
      </c>
      <c r="AJ105" s="89" t="str">
        <f aca="false">IF($C105="","",IFERROR(MATCH($C105,Securities!$A$6:$A$105,0),""))</f>
        <v/>
      </c>
      <c r="AK105" s="89" t="str">
        <f aca="false">IF($AI105="","",INDEX(Accounts!$B$6:$B$55,$AI105)&amp;"")</f>
        <v/>
      </c>
      <c r="AL105" s="89" t="str">
        <f aca="false">IF(OR($C105="",$I105="",NOT(ISNUMBER($R105))),"",$I105&amp;"|"&amp;(SUMPRODUCT(($I$6:$I$205=$I105)*ISNUMBER($R$6:$R$205)*($R$6:$R$205&gt;$R105))+SUMPRODUCT(($I$6:$I105=$I105)*ISNUMBER($R$6:$R105)*($R$6:$R105=$R105))))</f>
        <v/>
      </c>
      <c r="AM105" s="89" t="n">
        <f aca="false">IF(AND(ISNUMBER($R105),$W105&lt;&gt;"",$Z105&lt;&gt;"",$AB105="XIRR"),$R105*$W105,0)</f>
        <v>0</v>
      </c>
      <c r="AN105" s="89" t="n">
        <f aca="false">IF(AND(ISNUMBER($R105),$W105&lt;&gt;"",$Z105&lt;&gt;"",$AB105="XIRR"),$R105,0)</f>
        <v>0</v>
      </c>
      <c r="AO105" s="89" t="n">
        <f aca="false">IF(AND(ISNUMBER($R105),$W105&lt;&gt;"",$Z105&lt;&gt;"",$AB105="XIRR"),$R105*$Z105,0)</f>
        <v>0</v>
      </c>
      <c r="AP105" s="89" t="n">
        <f aca="false">IF(AND(ISNUMBER($M105),$Y105&lt;&gt;"",ISNUMBER($T105)),$M105*$Y105,0)</f>
        <v>0</v>
      </c>
      <c r="AQ105" s="89" t="n">
        <f aca="false">IF(AND(ISNUMBER($M105),$Y105&lt;&gt;"",ISNUMBER($T105)),$M105,0)</f>
        <v>0</v>
      </c>
    </row>
    <row r="106" customFormat="false" ht="15" hidden="false" customHeight="false" outlineLevel="0" collapsed="false">
      <c r="A106" s="77"/>
      <c r="B106" s="78"/>
      <c r="C106" s="78"/>
      <c r="D106" s="79" t="str">
        <f aca="false">IF($AI106="","",INDEX(Accounts!$C$6:$C$55,$AI106)&amp;"")</f>
        <v/>
      </c>
      <c r="E106" s="79" t="str">
        <f aca="false">IF($AI106="","",INDEX(Accounts!$F$6:$F$55,$AI106)&amp;"")</f>
        <v/>
      </c>
      <c r="F106" s="79" t="str">
        <f aca="false">IF($AJ106="","",INDEX(Securities!$B$6:$B$105,$AJ106)&amp;"")</f>
        <v/>
      </c>
      <c r="G106" s="79" t="str">
        <f aca="false">IF($AJ106="","",INDEX(Securities!$F$6:$F$105,$AJ106)&amp;"")</f>
        <v/>
      </c>
      <c r="H106" s="79" t="str">
        <f aca="false">IF($AJ106="","",INDEX(Securities!$E$6:$E$105,$AJ106)&amp;"")</f>
        <v/>
      </c>
      <c r="I106" s="79" t="str">
        <f aca="false">IF($AJ106="","",INDEX(Securities!$H$6:$H$105,$AJ106)&amp;"")</f>
        <v/>
      </c>
      <c r="J106" s="80"/>
      <c r="K106" s="80"/>
      <c r="L106" s="81"/>
      <c r="M106" s="82"/>
      <c r="N106" s="83" t="str">
        <f aca="false">IF(OR($L106="",$M106=""),"",IF(N($L106)=0,"",$M106/$L106))</f>
        <v/>
      </c>
      <c r="O106" s="84" t="str">
        <f aca="false">IF($AJ106="","",IF(INDEX(Securities!$O$6:$O$105,$AJ106)="","",INDEX(Securities!$O$6:$O$105,$AJ106)))</f>
        <v/>
      </c>
      <c r="P106" s="79" t="str">
        <f aca="false">IF($AJ106="","",INDEX(Securities!$N$6:$N$105,$AJ106)&amp;"")</f>
        <v/>
      </c>
      <c r="Q106" s="82"/>
      <c r="R106" s="85" t="str">
        <f aca="false">IF($C106="","",IF($Q106&lt;&gt;"",$Q106,IF($P106="At cost",IF($M106="","",$M106),IF(OR($O106="",$L106=""),"",$L106*$O106))))</f>
        <v/>
      </c>
      <c r="S106" s="85" t="str">
        <f aca="false">IF(OR(NOT(ISNUMBER($R106)),$M106=""),"",$R106-$M106)</f>
        <v/>
      </c>
      <c r="T106" s="86" t="str">
        <f aca="false">IF(OR($S106="",N($M106)=0),"",$S106/$M106)</f>
        <v/>
      </c>
      <c r="U106" s="82"/>
      <c r="V106" s="82"/>
      <c r="W106" s="87"/>
      <c r="X106" s="79" t="str">
        <f aca="false">IF($AJ106="","",INDEX(Securities!$L$6:$L$105,$AJ106)&amp;"")</f>
        <v/>
      </c>
      <c r="Y106" s="87"/>
      <c r="Z106" s="87"/>
      <c r="AA106" s="86" t="str">
        <f aca="false">IF(OR($W106="",$Z106=""),"",$W106-$Z106)</f>
        <v/>
      </c>
      <c r="AB106" s="79" t="str">
        <f aca="false">IF($C106="","",IF($P106="At cost","At cost",IF(NOT(ISNUMBER($J106)),"No date",IF(ValDate-$J106&lt;365,"Absolute",IF($W106="","XIRR missing","XIRR")))))</f>
        <v/>
      </c>
      <c r="AC106" s="86" t="str">
        <f aca="false">IF(NOT(ISNUMBER($R106)),"",IF(SUM($R$6:$R$205)=0,"",$R106/SUM($R$6:$R$205)))</f>
        <v/>
      </c>
      <c r="AD106" s="82"/>
      <c r="AE106" s="80"/>
      <c r="AF106" s="78"/>
      <c r="AG106" s="88" t="str">
        <f aca="false">IF($C106="","",IF(COUNTIFS('Tax Lots'!$B$6:$B$205,$B106,'Tax Lots'!$C$6:$C$205,$C106)=0,"",SUMIFS('Tax Lots'!$P$6:$P$205,'Tax Lots'!$B$6:$B$205,$B106,'Tax Lots'!$C$6:$C$205,$C106)))</f>
        <v/>
      </c>
      <c r="AH106" s="79" t="str">
        <f aca="false">IF($A106&amp;$B106&amp;$C106="","",IF($A106="","Missing ID",IF(COUNTIF($A$6:$A$205,$A106)&gt;1,"Duplicate ID",IF($AI106="","Unknown account",IF($AJ106="","Unknown security",IF(COUNTIFS($B$6:$B$205,$B106,$C$6:$C$205,$C106)&gt;1,"Same security twice in one account",IF(AND(ISNUMBER($J106),ISNUMBER($K106),N($K106)&lt;N($J106)),"Last date before first",IF(NOT(ISNUMBER($R106)),"No market value",IF(OR(N($J106)&gt;ValDate,N($K106)&gt;ValDate),"Date after valuation",IF(AND(ISNUMBER($AG106),ABS(N($L106)-N($AG106))&gt;0.001),"Lot quantity differs",IF(AND(ISNUMBER($AG106),ABS(N($M106)-SUMIFS('Tax Lots'!$Q$6:$Q$205,'Tax Lots'!$B$6:$B$205,$B106,'Tax Lots'!$C$6:$C$205,$C106))&gt;1),"Lot cost differs",IF(AND(ISNUMBER($AG106),ABS(N($V106)-SUMIFS('Tax Lots'!$AA$6:$AA$205,'Tax Lots'!$B$6:$B$205,$B106,'Tax Lots'!$C$6:$C$205,$C106))&gt;1),"Lot realised gain differs","OK"))))))))))))</f>
        <v/>
      </c>
      <c r="AI106" s="89" t="str">
        <f aca="false">IF($B106="","",IFERROR(MATCH($B106,Accounts!$A$6:$A$55,0),""))</f>
        <v/>
      </c>
      <c r="AJ106" s="89" t="str">
        <f aca="false">IF($C106="","",IFERROR(MATCH($C106,Securities!$A$6:$A$105,0),""))</f>
        <v/>
      </c>
      <c r="AK106" s="89" t="str">
        <f aca="false">IF($AI106="","",INDEX(Accounts!$B$6:$B$55,$AI106)&amp;"")</f>
        <v/>
      </c>
      <c r="AL106" s="89" t="str">
        <f aca="false">IF(OR($C106="",$I106="",NOT(ISNUMBER($R106))),"",$I106&amp;"|"&amp;(SUMPRODUCT(($I$6:$I$205=$I106)*ISNUMBER($R$6:$R$205)*($R$6:$R$205&gt;$R106))+SUMPRODUCT(($I$6:$I106=$I106)*ISNUMBER($R$6:$R106)*($R$6:$R106=$R106))))</f>
        <v/>
      </c>
      <c r="AM106" s="89" t="n">
        <f aca="false">IF(AND(ISNUMBER($R106),$W106&lt;&gt;"",$Z106&lt;&gt;"",$AB106="XIRR"),$R106*$W106,0)</f>
        <v>0</v>
      </c>
      <c r="AN106" s="89" t="n">
        <f aca="false">IF(AND(ISNUMBER($R106),$W106&lt;&gt;"",$Z106&lt;&gt;"",$AB106="XIRR"),$R106,0)</f>
        <v>0</v>
      </c>
      <c r="AO106" s="89" t="n">
        <f aca="false">IF(AND(ISNUMBER($R106),$W106&lt;&gt;"",$Z106&lt;&gt;"",$AB106="XIRR"),$R106*$Z106,0)</f>
        <v>0</v>
      </c>
      <c r="AP106" s="89" t="n">
        <f aca="false">IF(AND(ISNUMBER($M106),$Y106&lt;&gt;"",ISNUMBER($T106)),$M106*$Y106,0)</f>
        <v>0</v>
      </c>
      <c r="AQ106" s="89" t="n">
        <f aca="false">IF(AND(ISNUMBER($M106),$Y106&lt;&gt;"",ISNUMBER($T106)),$M106,0)</f>
        <v>0</v>
      </c>
    </row>
    <row r="107" customFormat="false" ht="15" hidden="false" customHeight="false" outlineLevel="0" collapsed="false">
      <c r="A107" s="77"/>
      <c r="B107" s="78"/>
      <c r="C107" s="78"/>
      <c r="D107" s="79" t="str">
        <f aca="false">IF($AI107="","",INDEX(Accounts!$C$6:$C$55,$AI107)&amp;"")</f>
        <v/>
      </c>
      <c r="E107" s="79" t="str">
        <f aca="false">IF($AI107="","",INDEX(Accounts!$F$6:$F$55,$AI107)&amp;"")</f>
        <v/>
      </c>
      <c r="F107" s="79" t="str">
        <f aca="false">IF($AJ107="","",INDEX(Securities!$B$6:$B$105,$AJ107)&amp;"")</f>
        <v/>
      </c>
      <c r="G107" s="79" t="str">
        <f aca="false">IF($AJ107="","",INDEX(Securities!$F$6:$F$105,$AJ107)&amp;"")</f>
        <v/>
      </c>
      <c r="H107" s="79" t="str">
        <f aca="false">IF($AJ107="","",INDEX(Securities!$E$6:$E$105,$AJ107)&amp;"")</f>
        <v/>
      </c>
      <c r="I107" s="79" t="str">
        <f aca="false">IF($AJ107="","",INDEX(Securities!$H$6:$H$105,$AJ107)&amp;"")</f>
        <v/>
      </c>
      <c r="J107" s="80"/>
      <c r="K107" s="80"/>
      <c r="L107" s="81"/>
      <c r="M107" s="82"/>
      <c r="N107" s="83" t="str">
        <f aca="false">IF(OR($L107="",$M107=""),"",IF(N($L107)=0,"",$M107/$L107))</f>
        <v/>
      </c>
      <c r="O107" s="84" t="str">
        <f aca="false">IF($AJ107="","",IF(INDEX(Securities!$O$6:$O$105,$AJ107)="","",INDEX(Securities!$O$6:$O$105,$AJ107)))</f>
        <v/>
      </c>
      <c r="P107" s="79" t="str">
        <f aca="false">IF($AJ107="","",INDEX(Securities!$N$6:$N$105,$AJ107)&amp;"")</f>
        <v/>
      </c>
      <c r="Q107" s="82"/>
      <c r="R107" s="85" t="str">
        <f aca="false">IF($C107="","",IF($Q107&lt;&gt;"",$Q107,IF($P107="At cost",IF($M107="","",$M107),IF(OR($O107="",$L107=""),"",$L107*$O107))))</f>
        <v/>
      </c>
      <c r="S107" s="85" t="str">
        <f aca="false">IF(OR(NOT(ISNUMBER($R107)),$M107=""),"",$R107-$M107)</f>
        <v/>
      </c>
      <c r="T107" s="86" t="str">
        <f aca="false">IF(OR($S107="",N($M107)=0),"",$S107/$M107)</f>
        <v/>
      </c>
      <c r="U107" s="82"/>
      <c r="V107" s="82"/>
      <c r="W107" s="87"/>
      <c r="X107" s="79" t="str">
        <f aca="false">IF($AJ107="","",INDEX(Securities!$L$6:$L$105,$AJ107)&amp;"")</f>
        <v/>
      </c>
      <c r="Y107" s="87"/>
      <c r="Z107" s="87"/>
      <c r="AA107" s="86" t="str">
        <f aca="false">IF(OR($W107="",$Z107=""),"",$W107-$Z107)</f>
        <v/>
      </c>
      <c r="AB107" s="79" t="str">
        <f aca="false">IF($C107="","",IF($P107="At cost","At cost",IF(NOT(ISNUMBER($J107)),"No date",IF(ValDate-$J107&lt;365,"Absolute",IF($W107="","XIRR missing","XIRR")))))</f>
        <v/>
      </c>
      <c r="AC107" s="86" t="str">
        <f aca="false">IF(NOT(ISNUMBER($R107)),"",IF(SUM($R$6:$R$205)=0,"",$R107/SUM($R$6:$R$205)))</f>
        <v/>
      </c>
      <c r="AD107" s="82"/>
      <c r="AE107" s="80"/>
      <c r="AF107" s="78"/>
      <c r="AG107" s="88" t="str">
        <f aca="false">IF($C107="","",IF(COUNTIFS('Tax Lots'!$B$6:$B$205,$B107,'Tax Lots'!$C$6:$C$205,$C107)=0,"",SUMIFS('Tax Lots'!$P$6:$P$205,'Tax Lots'!$B$6:$B$205,$B107,'Tax Lots'!$C$6:$C$205,$C107)))</f>
        <v/>
      </c>
      <c r="AH107" s="79" t="str">
        <f aca="false">IF($A107&amp;$B107&amp;$C107="","",IF($A107="","Missing ID",IF(COUNTIF($A$6:$A$205,$A107)&gt;1,"Duplicate ID",IF($AI107="","Unknown account",IF($AJ107="","Unknown security",IF(COUNTIFS($B$6:$B$205,$B107,$C$6:$C$205,$C107)&gt;1,"Same security twice in one account",IF(AND(ISNUMBER($J107),ISNUMBER($K107),N($K107)&lt;N($J107)),"Last date before first",IF(NOT(ISNUMBER($R107)),"No market value",IF(OR(N($J107)&gt;ValDate,N($K107)&gt;ValDate),"Date after valuation",IF(AND(ISNUMBER($AG107),ABS(N($L107)-N($AG107))&gt;0.001),"Lot quantity differs",IF(AND(ISNUMBER($AG107),ABS(N($M107)-SUMIFS('Tax Lots'!$Q$6:$Q$205,'Tax Lots'!$B$6:$B$205,$B107,'Tax Lots'!$C$6:$C$205,$C107))&gt;1),"Lot cost differs",IF(AND(ISNUMBER($AG107),ABS(N($V107)-SUMIFS('Tax Lots'!$AA$6:$AA$205,'Tax Lots'!$B$6:$B$205,$B107,'Tax Lots'!$C$6:$C$205,$C107))&gt;1),"Lot realised gain differs","OK"))))))))))))</f>
        <v/>
      </c>
      <c r="AI107" s="89" t="str">
        <f aca="false">IF($B107="","",IFERROR(MATCH($B107,Accounts!$A$6:$A$55,0),""))</f>
        <v/>
      </c>
      <c r="AJ107" s="89" t="str">
        <f aca="false">IF($C107="","",IFERROR(MATCH($C107,Securities!$A$6:$A$105,0),""))</f>
        <v/>
      </c>
      <c r="AK107" s="89" t="str">
        <f aca="false">IF($AI107="","",INDEX(Accounts!$B$6:$B$55,$AI107)&amp;"")</f>
        <v/>
      </c>
      <c r="AL107" s="89" t="str">
        <f aca="false">IF(OR($C107="",$I107="",NOT(ISNUMBER($R107))),"",$I107&amp;"|"&amp;(SUMPRODUCT(($I$6:$I$205=$I107)*ISNUMBER($R$6:$R$205)*($R$6:$R$205&gt;$R107))+SUMPRODUCT(($I$6:$I107=$I107)*ISNUMBER($R$6:$R107)*($R$6:$R107=$R107))))</f>
        <v/>
      </c>
      <c r="AM107" s="89" t="n">
        <f aca="false">IF(AND(ISNUMBER($R107),$W107&lt;&gt;"",$Z107&lt;&gt;"",$AB107="XIRR"),$R107*$W107,0)</f>
        <v>0</v>
      </c>
      <c r="AN107" s="89" t="n">
        <f aca="false">IF(AND(ISNUMBER($R107),$W107&lt;&gt;"",$Z107&lt;&gt;"",$AB107="XIRR"),$R107,0)</f>
        <v>0</v>
      </c>
      <c r="AO107" s="89" t="n">
        <f aca="false">IF(AND(ISNUMBER($R107),$W107&lt;&gt;"",$Z107&lt;&gt;"",$AB107="XIRR"),$R107*$Z107,0)</f>
        <v>0</v>
      </c>
      <c r="AP107" s="89" t="n">
        <f aca="false">IF(AND(ISNUMBER($M107),$Y107&lt;&gt;"",ISNUMBER($T107)),$M107*$Y107,0)</f>
        <v>0</v>
      </c>
      <c r="AQ107" s="89" t="n">
        <f aca="false">IF(AND(ISNUMBER($M107),$Y107&lt;&gt;"",ISNUMBER($T107)),$M107,0)</f>
        <v>0</v>
      </c>
    </row>
    <row r="108" customFormat="false" ht="15" hidden="false" customHeight="false" outlineLevel="0" collapsed="false">
      <c r="A108" s="77"/>
      <c r="B108" s="78"/>
      <c r="C108" s="78"/>
      <c r="D108" s="79" t="str">
        <f aca="false">IF($AI108="","",INDEX(Accounts!$C$6:$C$55,$AI108)&amp;"")</f>
        <v/>
      </c>
      <c r="E108" s="79" t="str">
        <f aca="false">IF($AI108="","",INDEX(Accounts!$F$6:$F$55,$AI108)&amp;"")</f>
        <v/>
      </c>
      <c r="F108" s="79" t="str">
        <f aca="false">IF($AJ108="","",INDEX(Securities!$B$6:$B$105,$AJ108)&amp;"")</f>
        <v/>
      </c>
      <c r="G108" s="79" t="str">
        <f aca="false">IF($AJ108="","",INDEX(Securities!$F$6:$F$105,$AJ108)&amp;"")</f>
        <v/>
      </c>
      <c r="H108" s="79" t="str">
        <f aca="false">IF($AJ108="","",INDEX(Securities!$E$6:$E$105,$AJ108)&amp;"")</f>
        <v/>
      </c>
      <c r="I108" s="79" t="str">
        <f aca="false">IF($AJ108="","",INDEX(Securities!$H$6:$H$105,$AJ108)&amp;"")</f>
        <v/>
      </c>
      <c r="J108" s="80"/>
      <c r="K108" s="80"/>
      <c r="L108" s="81"/>
      <c r="M108" s="82"/>
      <c r="N108" s="83" t="str">
        <f aca="false">IF(OR($L108="",$M108=""),"",IF(N($L108)=0,"",$M108/$L108))</f>
        <v/>
      </c>
      <c r="O108" s="84" t="str">
        <f aca="false">IF($AJ108="","",IF(INDEX(Securities!$O$6:$O$105,$AJ108)="","",INDEX(Securities!$O$6:$O$105,$AJ108)))</f>
        <v/>
      </c>
      <c r="P108" s="79" t="str">
        <f aca="false">IF($AJ108="","",INDEX(Securities!$N$6:$N$105,$AJ108)&amp;"")</f>
        <v/>
      </c>
      <c r="Q108" s="82"/>
      <c r="R108" s="85" t="str">
        <f aca="false">IF($C108="","",IF($Q108&lt;&gt;"",$Q108,IF($P108="At cost",IF($M108="","",$M108),IF(OR($O108="",$L108=""),"",$L108*$O108))))</f>
        <v/>
      </c>
      <c r="S108" s="85" t="str">
        <f aca="false">IF(OR(NOT(ISNUMBER($R108)),$M108=""),"",$R108-$M108)</f>
        <v/>
      </c>
      <c r="T108" s="86" t="str">
        <f aca="false">IF(OR($S108="",N($M108)=0),"",$S108/$M108)</f>
        <v/>
      </c>
      <c r="U108" s="82"/>
      <c r="V108" s="82"/>
      <c r="W108" s="87"/>
      <c r="X108" s="79" t="str">
        <f aca="false">IF($AJ108="","",INDEX(Securities!$L$6:$L$105,$AJ108)&amp;"")</f>
        <v/>
      </c>
      <c r="Y108" s="87"/>
      <c r="Z108" s="87"/>
      <c r="AA108" s="86" t="str">
        <f aca="false">IF(OR($W108="",$Z108=""),"",$W108-$Z108)</f>
        <v/>
      </c>
      <c r="AB108" s="79" t="str">
        <f aca="false">IF($C108="","",IF($P108="At cost","At cost",IF(NOT(ISNUMBER($J108)),"No date",IF(ValDate-$J108&lt;365,"Absolute",IF($W108="","XIRR missing","XIRR")))))</f>
        <v/>
      </c>
      <c r="AC108" s="86" t="str">
        <f aca="false">IF(NOT(ISNUMBER($R108)),"",IF(SUM($R$6:$R$205)=0,"",$R108/SUM($R$6:$R$205)))</f>
        <v/>
      </c>
      <c r="AD108" s="82"/>
      <c r="AE108" s="80"/>
      <c r="AF108" s="78"/>
      <c r="AG108" s="88" t="str">
        <f aca="false">IF($C108="","",IF(COUNTIFS('Tax Lots'!$B$6:$B$205,$B108,'Tax Lots'!$C$6:$C$205,$C108)=0,"",SUMIFS('Tax Lots'!$P$6:$P$205,'Tax Lots'!$B$6:$B$205,$B108,'Tax Lots'!$C$6:$C$205,$C108)))</f>
        <v/>
      </c>
      <c r="AH108" s="79" t="str">
        <f aca="false">IF($A108&amp;$B108&amp;$C108="","",IF($A108="","Missing ID",IF(COUNTIF($A$6:$A$205,$A108)&gt;1,"Duplicate ID",IF($AI108="","Unknown account",IF($AJ108="","Unknown security",IF(COUNTIFS($B$6:$B$205,$B108,$C$6:$C$205,$C108)&gt;1,"Same security twice in one account",IF(AND(ISNUMBER($J108),ISNUMBER($K108),N($K108)&lt;N($J108)),"Last date before first",IF(NOT(ISNUMBER($R108)),"No market value",IF(OR(N($J108)&gt;ValDate,N($K108)&gt;ValDate),"Date after valuation",IF(AND(ISNUMBER($AG108),ABS(N($L108)-N($AG108))&gt;0.001),"Lot quantity differs",IF(AND(ISNUMBER($AG108),ABS(N($M108)-SUMIFS('Tax Lots'!$Q$6:$Q$205,'Tax Lots'!$B$6:$B$205,$B108,'Tax Lots'!$C$6:$C$205,$C108))&gt;1),"Lot cost differs",IF(AND(ISNUMBER($AG108),ABS(N($V108)-SUMIFS('Tax Lots'!$AA$6:$AA$205,'Tax Lots'!$B$6:$B$205,$B108,'Tax Lots'!$C$6:$C$205,$C108))&gt;1),"Lot realised gain differs","OK"))))))))))))</f>
        <v/>
      </c>
      <c r="AI108" s="89" t="str">
        <f aca="false">IF($B108="","",IFERROR(MATCH($B108,Accounts!$A$6:$A$55,0),""))</f>
        <v/>
      </c>
      <c r="AJ108" s="89" t="str">
        <f aca="false">IF($C108="","",IFERROR(MATCH($C108,Securities!$A$6:$A$105,0),""))</f>
        <v/>
      </c>
      <c r="AK108" s="89" t="str">
        <f aca="false">IF($AI108="","",INDEX(Accounts!$B$6:$B$55,$AI108)&amp;"")</f>
        <v/>
      </c>
      <c r="AL108" s="89" t="str">
        <f aca="false">IF(OR($C108="",$I108="",NOT(ISNUMBER($R108))),"",$I108&amp;"|"&amp;(SUMPRODUCT(($I$6:$I$205=$I108)*ISNUMBER($R$6:$R$205)*($R$6:$R$205&gt;$R108))+SUMPRODUCT(($I$6:$I108=$I108)*ISNUMBER($R$6:$R108)*($R$6:$R108=$R108))))</f>
        <v/>
      </c>
      <c r="AM108" s="89" t="n">
        <f aca="false">IF(AND(ISNUMBER($R108),$W108&lt;&gt;"",$Z108&lt;&gt;"",$AB108="XIRR"),$R108*$W108,0)</f>
        <v>0</v>
      </c>
      <c r="AN108" s="89" t="n">
        <f aca="false">IF(AND(ISNUMBER($R108),$W108&lt;&gt;"",$Z108&lt;&gt;"",$AB108="XIRR"),$R108,0)</f>
        <v>0</v>
      </c>
      <c r="AO108" s="89" t="n">
        <f aca="false">IF(AND(ISNUMBER($R108),$W108&lt;&gt;"",$Z108&lt;&gt;"",$AB108="XIRR"),$R108*$Z108,0)</f>
        <v>0</v>
      </c>
      <c r="AP108" s="89" t="n">
        <f aca="false">IF(AND(ISNUMBER($M108),$Y108&lt;&gt;"",ISNUMBER($T108)),$M108*$Y108,0)</f>
        <v>0</v>
      </c>
      <c r="AQ108" s="89" t="n">
        <f aca="false">IF(AND(ISNUMBER($M108),$Y108&lt;&gt;"",ISNUMBER($T108)),$M108,0)</f>
        <v>0</v>
      </c>
    </row>
    <row r="109" customFormat="false" ht="15" hidden="false" customHeight="false" outlineLevel="0" collapsed="false">
      <c r="A109" s="77"/>
      <c r="B109" s="78"/>
      <c r="C109" s="78"/>
      <c r="D109" s="79" t="str">
        <f aca="false">IF($AI109="","",INDEX(Accounts!$C$6:$C$55,$AI109)&amp;"")</f>
        <v/>
      </c>
      <c r="E109" s="79" t="str">
        <f aca="false">IF($AI109="","",INDEX(Accounts!$F$6:$F$55,$AI109)&amp;"")</f>
        <v/>
      </c>
      <c r="F109" s="79" t="str">
        <f aca="false">IF($AJ109="","",INDEX(Securities!$B$6:$B$105,$AJ109)&amp;"")</f>
        <v/>
      </c>
      <c r="G109" s="79" t="str">
        <f aca="false">IF($AJ109="","",INDEX(Securities!$F$6:$F$105,$AJ109)&amp;"")</f>
        <v/>
      </c>
      <c r="H109" s="79" t="str">
        <f aca="false">IF($AJ109="","",INDEX(Securities!$E$6:$E$105,$AJ109)&amp;"")</f>
        <v/>
      </c>
      <c r="I109" s="79" t="str">
        <f aca="false">IF($AJ109="","",INDEX(Securities!$H$6:$H$105,$AJ109)&amp;"")</f>
        <v/>
      </c>
      <c r="J109" s="80"/>
      <c r="K109" s="80"/>
      <c r="L109" s="81"/>
      <c r="M109" s="82"/>
      <c r="N109" s="83" t="str">
        <f aca="false">IF(OR($L109="",$M109=""),"",IF(N($L109)=0,"",$M109/$L109))</f>
        <v/>
      </c>
      <c r="O109" s="84" t="str">
        <f aca="false">IF($AJ109="","",IF(INDEX(Securities!$O$6:$O$105,$AJ109)="","",INDEX(Securities!$O$6:$O$105,$AJ109)))</f>
        <v/>
      </c>
      <c r="P109" s="79" t="str">
        <f aca="false">IF($AJ109="","",INDEX(Securities!$N$6:$N$105,$AJ109)&amp;"")</f>
        <v/>
      </c>
      <c r="Q109" s="82"/>
      <c r="R109" s="85" t="str">
        <f aca="false">IF($C109="","",IF($Q109&lt;&gt;"",$Q109,IF($P109="At cost",IF($M109="","",$M109),IF(OR($O109="",$L109=""),"",$L109*$O109))))</f>
        <v/>
      </c>
      <c r="S109" s="85" t="str">
        <f aca="false">IF(OR(NOT(ISNUMBER($R109)),$M109=""),"",$R109-$M109)</f>
        <v/>
      </c>
      <c r="T109" s="86" t="str">
        <f aca="false">IF(OR($S109="",N($M109)=0),"",$S109/$M109)</f>
        <v/>
      </c>
      <c r="U109" s="82"/>
      <c r="V109" s="82"/>
      <c r="W109" s="87"/>
      <c r="X109" s="79" t="str">
        <f aca="false">IF($AJ109="","",INDEX(Securities!$L$6:$L$105,$AJ109)&amp;"")</f>
        <v/>
      </c>
      <c r="Y109" s="87"/>
      <c r="Z109" s="87"/>
      <c r="AA109" s="86" t="str">
        <f aca="false">IF(OR($W109="",$Z109=""),"",$W109-$Z109)</f>
        <v/>
      </c>
      <c r="AB109" s="79" t="str">
        <f aca="false">IF($C109="","",IF($P109="At cost","At cost",IF(NOT(ISNUMBER($J109)),"No date",IF(ValDate-$J109&lt;365,"Absolute",IF($W109="","XIRR missing","XIRR")))))</f>
        <v/>
      </c>
      <c r="AC109" s="86" t="str">
        <f aca="false">IF(NOT(ISNUMBER($R109)),"",IF(SUM($R$6:$R$205)=0,"",$R109/SUM($R$6:$R$205)))</f>
        <v/>
      </c>
      <c r="AD109" s="82"/>
      <c r="AE109" s="80"/>
      <c r="AF109" s="78"/>
      <c r="AG109" s="88" t="str">
        <f aca="false">IF($C109="","",IF(COUNTIFS('Tax Lots'!$B$6:$B$205,$B109,'Tax Lots'!$C$6:$C$205,$C109)=0,"",SUMIFS('Tax Lots'!$P$6:$P$205,'Tax Lots'!$B$6:$B$205,$B109,'Tax Lots'!$C$6:$C$205,$C109)))</f>
        <v/>
      </c>
      <c r="AH109" s="79" t="str">
        <f aca="false">IF($A109&amp;$B109&amp;$C109="","",IF($A109="","Missing ID",IF(COUNTIF($A$6:$A$205,$A109)&gt;1,"Duplicate ID",IF($AI109="","Unknown account",IF($AJ109="","Unknown security",IF(COUNTIFS($B$6:$B$205,$B109,$C$6:$C$205,$C109)&gt;1,"Same security twice in one account",IF(AND(ISNUMBER($J109),ISNUMBER($K109),N($K109)&lt;N($J109)),"Last date before first",IF(NOT(ISNUMBER($R109)),"No market value",IF(OR(N($J109)&gt;ValDate,N($K109)&gt;ValDate),"Date after valuation",IF(AND(ISNUMBER($AG109),ABS(N($L109)-N($AG109))&gt;0.001),"Lot quantity differs",IF(AND(ISNUMBER($AG109),ABS(N($M109)-SUMIFS('Tax Lots'!$Q$6:$Q$205,'Tax Lots'!$B$6:$B$205,$B109,'Tax Lots'!$C$6:$C$205,$C109))&gt;1),"Lot cost differs",IF(AND(ISNUMBER($AG109),ABS(N($V109)-SUMIFS('Tax Lots'!$AA$6:$AA$205,'Tax Lots'!$B$6:$B$205,$B109,'Tax Lots'!$C$6:$C$205,$C109))&gt;1),"Lot realised gain differs","OK"))))))))))))</f>
        <v/>
      </c>
      <c r="AI109" s="89" t="str">
        <f aca="false">IF($B109="","",IFERROR(MATCH($B109,Accounts!$A$6:$A$55,0),""))</f>
        <v/>
      </c>
      <c r="AJ109" s="89" t="str">
        <f aca="false">IF($C109="","",IFERROR(MATCH($C109,Securities!$A$6:$A$105,0),""))</f>
        <v/>
      </c>
      <c r="AK109" s="89" t="str">
        <f aca="false">IF($AI109="","",INDEX(Accounts!$B$6:$B$55,$AI109)&amp;"")</f>
        <v/>
      </c>
      <c r="AL109" s="89" t="str">
        <f aca="false">IF(OR($C109="",$I109="",NOT(ISNUMBER($R109))),"",$I109&amp;"|"&amp;(SUMPRODUCT(($I$6:$I$205=$I109)*ISNUMBER($R$6:$R$205)*($R$6:$R$205&gt;$R109))+SUMPRODUCT(($I$6:$I109=$I109)*ISNUMBER($R$6:$R109)*($R$6:$R109=$R109))))</f>
        <v/>
      </c>
      <c r="AM109" s="89" t="n">
        <f aca="false">IF(AND(ISNUMBER($R109),$W109&lt;&gt;"",$Z109&lt;&gt;"",$AB109="XIRR"),$R109*$W109,0)</f>
        <v>0</v>
      </c>
      <c r="AN109" s="89" t="n">
        <f aca="false">IF(AND(ISNUMBER($R109),$W109&lt;&gt;"",$Z109&lt;&gt;"",$AB109="XIRR"),$R109,0)</f>
        <v>0</v>
      </c>
      <c r="AO109" s="89" t="n">
        <f aca="false">IF(AND(ISNUMBER($R109),$W109&lt;&gt;"",$Z109&lt;&gt;"",$AB109="XIRR"),$R109*$Z109,0)</f>
        <v>0</v>
      </c>
      <c r="AP109" s="89" t="n">
        <f aca="false">IF(AND(ISNUMBER($M109),$Y109&lt;&gt;"",ISNUMBER($T109)),$M109*$Y109,0)</f>
        <v>0</v>
      </c>
      <c r="AQ109" s="89" t="n">
        <f aca="false">IF(AND(ISNUMBER($M109),$Y109&lt;&gt;"",ISNUMBER($T109)),$M109,0)</f>
        <v>0</v>
      </c>
    </row>
    <row r="110" customFormat="false" ht="15" hidden="false" customHeight="false" outlineLevel="0" collapsed="false">
      <c r="A110" s="77"/>
      <c r="B110" s="78"/>
      <c r="C110" s="78"/>
      <c r="D110" s="79" t="str">
        <f aca="false">IF($AI110="","",INDEX(Accounts!$C$6:$C$55,$AI110)&amp;"")</f>
        <v/>
      </c>
      <c r="E110" s="79" t="str">
        <f aca="false">IF($AI110="","",INDEX(Accounts!$F$6:$F$55,$AI110)&amp;"")</f>
        <v/>
      </c>
      <c r="F110" s="79" t="str">
        <f aca="false">IF($AJ110="","",INDEX(Securities!$B$6:$B$105,$AJ110)&amp;"")</f>
        <v/>
      </c>
      <c r="G110" s="79" t="str">
        <f aca="false">IF($AJ110="","",INDEX(Securities!$F$6:$F$105,$AJ110)&amp;"")</f>
        <v/>
      </c>
      <c r="H110" s="79" t="str">
        <f aca="false">IF($AJ110="","",INDEX(Securities!$E$6:$E$105,$AJ110)&amp;"")</f>
        <v/>
      </c>
      <c r="I110" s="79" t="str">
        <f aca="false">IF($AJ110="","",INDEX(Securities!$H$6:$H$105,$AJ110)&amp;"")</f>
        <v/>
      </c>
      <c r="J110" s="80"/>
      <c r="K110" s="80"/>
      <c r="L110" s="81"/>
      <c r="M110" s="82"/>
      <c r="N110" s="83" t="str">
        <f aca="false">IF(OR($L110="",$M110=""),"",IF(N($L110)=0,"",$M110/$L110))</f>
        <v/>
      </c>
      <c r="O110" s="84" t="str">
        <f aca="false">IF($AJ110="","",IF(INDEX(Securities!$O$6:$O$105,$AJ110)="","",INDEX(Securities!$O$6:$O$105,$AJ110)))</f>
        <v/>
      </c>
      <c r="P110" s="79" t="str">
        <f aca="false">IF($AJ110="","",INDEX(Securities!$N$6:$N$105,$AJ110)&amp;"")</f>
        <v/>
      </c>
      <c r="Q110" s="82"/>
      <c r="R110" s="85" t="str">
        <f aca="false">IF($C110="","",IF($Q110&lt;&gt;"",$Q110,IF($P110="At cost",IF($M110="","",$M110),IF(OR($O110="",$L110=""),"",$L110*$O110))))</f>
        <v/>
      </c>
      <c r="S110" s="85" t="str">
        <f aca="false">IF(OR(NOT(ISNUMBER($R110)),$M110=""),"",$R110-$M110)</f>
        <v/>
      </c>
      <c r="T110" s="86" t="str">
        <f aca="false">IF(OR($S110="",N($M110)=0),"",$S110/$M110)</f>
        <v/>
      </c>
      <c r="U110" s="82"/>
      <c r="V110" s="82"/>
      <c r="W110" s="87"/>
      <c r="X110" s="79" t="str">
        <f aca="false">IF($AJ110="","",INDEX(Securities!$L$6:$L$105,$AJ110)&amp;"")</f>
        <v/>
      </c>
      <c r="Y110" s="87"/>
      <c r="Z110" s="87"/>
      <c r="AA110" s="86" t="str">
        <f aca="false">IF(OR($W110="",$Z110=""),"",$W110-$Z110)</f>
        <v/>
      </c>
      <c r="AB110" s="79" t="str">
        <f aca="false">IF($C110="","",IF($P110="At cost","At cost",IF(NOT(ISNUMBER($J110)),"No date",IF(ValDate-$J110&lt;365,"Absolute",IF($W110="","XIRR missing","XIRR")))))</f>
        <v/>
      </c>
      <c r="AC110" s="86" t="str">
        <f aca="false">IF(NOT(ISNUMBER($R110)),"",IF(SUM($R$6:$R$205)=0,"",$R110/SUM($R$6:$R$205)))</f>
        <v/>
      </c>
      <c r="AD110" s="82"/>
      <c r="AE110" s="80"/>
      <c r="AF110" s="78"/>
      <c r="AG110" s="88" t="str">
        <f aca="false">IF($C110="","",IF(COUNTIFS('Tax Lots'!$B$6:$B$205,$B110,'Tax Lots'!$C$6:$C$205,$C110)=0,"",SUMIFS('Tax Lots'!$P$6:$P$205,'Tax Lots'!$B$6:$B$205,$B110,'Tax Lots'!$C$6:$C$205,$C110)))</f>
        <v/>
      </c>
      <c r="AH110" s="79" t="str">
        <f aca="false">IF($A110&amp;$B110&amp;$C110="","",IF($A110="","Missing ID",IF(COUNTIF($A$6:$A$205,$A110)&gt;1,"Duplicate ID",IF($AI110="","Unknown account",IF($AJ110="","Unknown security",IF(COUNTIFS($B$6:$B$205,$B110,$C$6:$C$205,$C110)&gt;1,"Same security twice in one account",IF(AND(ISNUMBER($J110),ISNUMBER($K110),N($K110)&lt;N($J110)),"Last date before first",IF(NOT(ISNUMBER($R110)),"No market value",IF(OR(N($J110)&gt;ValDate,N($K110)&gt;ValDate),"Date after valuation",IF(AND(ISNUMBER($AG110),ABS(N($L110)-N($AG110))&gt;0.001),"Lot quantity differs",IF(AND(ISNUMBER($AG110),ABS(N($M110)-SUMIFS('Tax Lots'!$Q$6:$Q$205,'Tax Lots'!$B$6:$B$205,$B110,'Tax Lots'!$C$6:$C$205,$C110))&gt;1),"Lot cost differs",IF(AND(ISNUMBER($AG110),ABS(N($V110)-SUMIFS('Tax Lots'!$AA$6:$AA$205,'Tax Lots'!$B$6:$B$205,$B110,'Tax Lots'!$C$6:$C$205,$C110))&gt;1),"Lot realised gain differs","OK"))))))))))))</f>
        <v/>
      </c>
      <c r="AI110" s="89" t="str">
        <f aca="false">IF($B110="","",IFERROR(MATCH($B110,Accounts!$A$6:$A$55,0),""))</f>
        <v/>
      </c>
      <c r="AJ110" s="89" t="str">
        <f aca="false">IF($C110="","",IFERROR(MATCH($C110,Securities!$A$6:$A$105,0),""))</f>
        <v/>
      </c>
      <c r="AK110" s="89" t="str">
        <f aca="false">IF($AI110="","",INDEX(Accounts!$B$6:$B$55,$AI110)&amp;"")</f>
        <v/>
      </c>
      <c r="AL110" s="89" t="str">
        <f aca="false">IF(OR($C110="",$I110="",NOT(ISNUMBER($R110))),"",$I110&amp;"|"&amp;(SUMPRODUCT(($I$6:$I$205=$I110)*ISNUMBER($R$6:$R$205)*($R$6:$R$205&gt;$R110))+SUMPRODUCT(($I$6:$I110=$I110)*ISNUMBER($R$6:$R110)*($R$6:$R110=$R110))))</f>
        <v/>
      </c>
      <c r="AM110" s="89" t="n">
        <f aca="false">IF(AND(ISNUMBER($R110),$W110&lt;&gt;"",$Z110&lt;&gt;"",$AB110="XIRR"),$R110*$W110,0)</f>
        <v>0</v>
      </c>
      <c r="AN110" s="89" t="n">
        <f aca="false">IF(AND(ISNUMBER($R110),$W110&lt;&gt;"",$Z110&lt;&gt;"",$AB110="XIRR"),$R110,0)</f>
        <v>0</v>
      </c>
      <c r="AO110" s="89" t="n">
        <f aca="false">IF(AND(ISNUMBER($R110),$W110&lt;&gt;"",$Z110&lt;&gt;"",$AB110="XIRR"),$R110*$Z110,0)</f>
        <v>0</v>
      </c>
      <c r="AP110" s="89" t="n">
        <f aca="false">IF(AND(ISNUMBER($M110),$Y110&lt;&gt;"",ISNUMBER($T110)),$M110*$Y110,0)</f>
        <v>0</v>
      </c>
      <c r="AQ110" s="89" t="n">
        <f aca="false">IF(AND(ISNUMBER($M110),$Y110&lt;&gt;"",ISNUMBER($T110)),$M110,0)</f>
        <v>0</v>
      </c>
    </row>
    <row r="111" customFormat="false" ht="15" hidden="false" customHeight="false" outlineLevel="0" collapsed="false">
      <c r="A111" s="77"/>
      <c r="B111" s="78"/>
      <c r="C111" s="78"/>
      <c r="D111" s="79" t="str">
        <f aca="false">IF($AI111="","",INDEX(Accounts!$C$6:$C$55,$AI111)&amp;"")</f>
        <v/>
      </c>
      <c r="E111" s="79" t="str">
        <f aca="false">IF($AI111="","",INDEX(Accounts!$F$6:$F$55,$AI111)&amp;"")</f>
        <v/>
      </c>
      <c r="F111" s="79" t="str">
        <f aca="false">IF($AJ111="","",INDEX(Securities!$B$6:$B$105,$AJ111)&amp;"")</f>
        <v/>
      </c>
      <c r="G111" s="79" t="str">
        <f aca="false">IF($AJ111="","",INDEX(Securities!$F$6:$F$105,$AJ111)&amp;"")</f>
        <v/>
      </c>
      <c r="H111" s="79" t="str">
        <f aca="false">IF($AJ111="","",INDEX(Securities!$E$6:$E$105,$AJ111)&amp;"")</f>
        <v/>
      </c>
      <c r="I111" s="79" t="str">
        <f aca="false">IF($AJ111="","",INDEX(Securities!$H$6:$H$105,$AJ111)&amp;"")</f>
        <v/>
      </c>
      <c r="J111" s="80"/>
      <c r="K111" s="80"/>
      <c r="L111" s="81"/>
      <c r="M111" s="82"/>
      <c r="N111" s="83" t="str">
        <f aca="false">IF(OR($L111="",$M111=""),"",IF(N($L111)=0,"",$M111/$L111))</f>
        <v/>
      </c>
      <c r="O111" s="84" t="str">
        <f aca="false">IF($AJ111="","",IF(INDEX(Securities!$O$6:$O$105,$AJ111)="","",INDEX(Securities!$O$6:$O$105,$AJ111)))</f>
        <v/>
      </c>
      <c r="P111" s="79" t="str">
        <f aca="false">IF($AJ111="","",INDEX(Securities!$N$6:$N$105,$AJ111)&amp;"")</f>
        <v/>
      </c>
      <c r="Q111" s="82"/>
      <c r="R111" s="85" t="str">
        <f aca="false">IF($C111="","",IF($Q111&lt;&gt;"",$Q111,IF($P111="At cost",IF($M111="","",$M111),IF(OR($O111="",$L111=""),"",$L111*$O111))))</f>
        <v/>
      </c>
      <c r="S111" s="85" t="str">
        <f aca="false">IF(OR(NOT(ISNUMBER($R111)),$M111=""),"",$R111-$M111)</f>
        <v/>
      </c>
      <c r="T111" s="86" t="str">
        <f aca="false">IF(OR($S111="",N($M111)=0),"",$S111/$M111)</f>
        <v/>
      </c>
      <c r="U111" s="82"/>
      <c r="V111" s="82"/>
      <c r="W111" s="87"/>
      <c r="X111" s="79" t="str">
        <f aca="false">IF($AJ111="","",INDEX(Securities!$L$6:$L$105,$AJ111)&amp;"")</f>
        <v/>
      </c>
      <c r="Y111" s="87"/>
      <c r="Z111" s="87"/>
      <c r="AA111" s="86" t="str">
        <f aca="false">IF(OR($W111="",$Z111=""),"",$W111-$Z111)</f>
        <v/>
      </c>
      <c r="AB111" s="79" t="str">
        <f aca="false">IF($C111="","",IF($P111="At cost","At cost",IF(NOT(ISNUMBER($J111)),"No date",IF(ValDate-$J111&lt;365,"Absolute",IF($W111="","XIRR missing","XIRR")))))</f>
        <v/>
      </c>
      <c r="AC111" s="86" t="str">
        <f aca="false">IF(NOT(ISNUMBER($R111)),"",IF(SUM($R$6:$R$205)=0,"",$R111/SUM($R$6:$R$205)))</f>
        <v/>
      </c>
      <c r="AD111" s="82"/>
      <c r="AE111" s="80"/>
      <c r="AF111" s="78"/>
      <c r="AG111" s="88" t="str">
        <f aca="false">IF($C111="","",IF(COUNTIFS('Tax Lots'!$B$6:$B$205,$B111,'Tax Lots'!$C$6:$C$205,$C111)=0,"",SUMIFS('Tax Lots'!$P$6:$P$205,'Tax Lots'!$B$6:$B$205,$B111,'Tax Lots'!$C$6:$C$205,$C111)))</f>
        <v/>
      </c>
      <c r="AH111" s="79" t="str">
        <f aca="false">IF($A111&amp;$B111&amp;$C111="","",IF($A111="","Missing ID",IF(COUNTIF($A$6:$A$205,$A111)&gt;1,"Duplicate ID",IF($AI111="","Unknown account",IF($AJ111="","Unknown security",IF(COUNTIFS($B$6:$B$205,$B111,$C$6:$C$205,$C111)&gt;1,"Same security twice in one account",IF(AND(ISNUMBER($J111),ISNUMBER($K111),N($K111)&lt;N($J111)),"Last date before first",IF(NOT(ISNUMBER($R111)),"No market value",IF(OR(N($J111)&gt;ValDate,N($K111)&gt;ValDate),"Date after valuation",IF(AND(ISNUMBER($AG111),ABS(N($L111)-N($AG111))&gt;0.001),"Lot quantity differs",IF(AND(ISNUMBER($AG111),ABS(N($M111)-SUMIFS('Tax Lots'!$Q$6:$Q$205,'Tax Lots'!$B$6:$B$205,$B111,'Tax Lots'!$C$6:$C$205,$C111))&gt;1),"Lot cost differs",IF(AND(ISNUMBER($AG111),ABS(N($V111)-SUMIFS('Tax Lots'!$AA$6:$AA$205,'Tax Lots'!$B$6:$B$205,$B111,'Tax Lots'!$C$6:$C$205,$C111))&gt;1),"Lot realised gain differs","OK"))))))))))))</f>
        <v/>
      </c>
      <c r="AI111" s="89" t="str">
        <f aca="false">IF($B111="","",IFERROR(MATCH($B111,Accounts!$A$6:$A$55,0),""))</f>
        <v/>
      </c>
      <c r="AJ111" s="89" t="str">
        <f aca="false">IF($C111="","",IFERROR(MATCH($C111,Securities!$A$6:$A$105,0),""))</f>
        <v/>
      </c>
      <c r="AK111" s="89" t="str">
        <f aca="false">IF($AI111="","",INDEX(Accounts!$B$6:$B$55,$AI111)&amp;"")</f>
        <v/>
      </c>
      <c r="AL111" s="89" t="str">
        <f aca="false">IF(OR($C111="",$I111="",NOT(ISNUMBER($R111))),"",$I111&amp;"|"&amp;(SUMPRODUCT(($I$6:$I$205=$I111)*ISNUMBER($R$6:$R$205)*($R$6:$R$205&gt;$R111))+SUMPRODUCT(($I$6:$I111=$I111)*ISNUMBER($R$6:$R111)*($R$6:$R111=$R111))))</f>
        <v/>
      </c>
      <c r="AM111" s="89" t="n">
        <f aca="false">IF(AND(ISNUMBER($R111),$W111&lt;&gt;"",$Z111&lt;&gt;"",$AB111="XIRR"),$R111*$W111,0)</f>
        <v>0</v>
      </c>
      <c r="AN111" s="89" t="n">
        <f aca="false">IF(AND(ISNUMBER($R111),$W111&lt;&gt;"",$Z111&lt;&gt;"",$AB111="XIRR"),$R111,0)</f>
        <v>0</v>
      </c>
      <c r="AO111" s="89" t="n">
        <f aca="false">IF(AND(ISNUMBER($R111),$W111&lt;&gt;"",$Z111&lt;&gt;"",$AB111="XIRR"),$R111*$Z111,0)</f>
        <v>0</v>
      </c>
      <c r="AP111" s="89" t="n">
        <f aca="false">IF(AND(ISNUMBER($M111),$Y111&lt;&gt;"",ISNUMBER($T111)),$M111*$Y111,0)</f>
        <v>0</v>
      </c>
      <c r="AQ111" s="89" t="n">
        <f aca="false">IF(AND(ISNUMBER($M111),$Y111&lt;&gt;"",ISNUMBER($T111)),$M111,0)</f>
        <v>0</v>
      </c>
    </row>
    <row r="112" customFormat="false" ht="15" hidden="false" customHeight="false" outlineLevel="0" collapsed="false">
      <c r="A112" s="77"/>
      <c r="B112" s="78"/>
      <c r="C112" s="78"/>
      <c r="D112" s="79" t="str">
        <f aca="false">IF($AI112="","",INDEX(Accounts!$C$6:$C$55,$AI112)&amp;"")</f>
        <v/>
      </c>
      <c r="E112" s="79" t="str">
        <f aca="false">IF($AI112="","",INDEX(Accounts!$F$6:$F$55,$AI112)&amp;"")</f>
        <v/>
      </c>
      <c r="F112" s="79" t="str">
        <f aca="false">IF($AJ112="","",INDEX(Securities!$B$6:$B$105,$AJ112)&amp;"")</f>
        <v/>
      </c>
      <c r="G112" s="79" t="str">
        <f aca="false">IF($AJ112="","",INDEX(Securities!$F$6:$F$105,$AJ112)&amp;"")</f>
        <v/>
      </c>
      <c r="H112" s="79" t="str">
        <f aca="false">IF($AJ112="","",INDEX(Securities!$E$6:$E$105,$AJ112)&amp;"")</f>
        <v/>
      </c>
      <c r="I112" s="79" t="str">
        <f aca="false">IF($AJ112="","",INDEX(Securities!$H$6:$H$105,$AJ112)&amp;"")</f>
        <v/>
      </c>
      <c r="J112" s="80"/>
      <c r="K112" s="80"/>
      <c r="L112" s="81"/>
      <c r="M112" s="82"/>
      <c r="N112" s="83" t="str">
        <f aca="false">IF(OR($L112="",$M112=""),"",IF(N($L112)=0,"",$M112/$L112))</f>
        <v/>
      </c>
      <c r="O112" s="84" t="str">
        <f aca="false">IF($AJ112="","",IF(INDEX(Securities!$O$6:$O$105,$AJ112)="","",INDEX(Securities!$O$6:$O$105,$AJ112)))</f>
        <v/>
      </c>
      <c r="P112" s="79" t="str">
        <f aca="false">IF($AJ112="","",INDEX(Securities!$N$6:$N$105,$AJ112)&amp;"")</f>
        <v/>
      </c>
      <c r="Q112" s="82"/>
      <c r="R112" s="85" t="str">
        <f aca="false">IF($C112="","",IF($Q112&lt;&gt;"",$Q112,IF($P112="At cost",IF($M112="","",$M112),IF(OR($O112="",$L112=""),"",$L112*$O112))))</f>
        <v/>
      </c>
      <c r="S112" s="85" t="str">
        <f aca="false">IF(OR(NOT(ISNUMBER($R112)),$M112=""),"",$R112-$M112)</f>
        <v/>
      </c>
      <c r="T112" s="86" t="str">
        <f aca="false">IF(OR($S112="",N($M112)=0),"",$S112/$M112)</f>
        <v/>
      </c>
      <c r="U112" s="82"/>
      <c r="V112" s="82"/>
      <c r="W112" s="87"/>
      <c r="X112" s="79" t="str">
        <f aca="false">IF($AJ112="","",INDEX(Securities!$L$6:$L$105,$AJ112)&amp;"")</f>
        <v/>
      </c>
      <c r="Y112" s="87"/>
      <c r="Z112" s="87"/>
      <c r="AA112" s="86" t="str">
        <f aca="false">IF(OR($W112="",$Z112=""),"",$W112-$Z112)</f>
        <v/>
      </c>
      <c r="AB112" s="79" t="str">
        <f aca="false">IF($C112="","",IF($P112="At cost","At cost",IF(NOT(ISNUMBER($J112)),"No date",IF(ValDate-$J112&lt;365,"Absolute",IF($W112="","XIRR missing","XIRR")))))</f>
        <v/>
      </c>
      <c r="AC112" s="86" t="str">
        <f aca="false">IF(NOT(ISNUMBER($R112)),"",IF(SUM($R$6:$R$205)=0,"",$R112/SUM($R$6:$R$205)))</f>
        <v/>
      </c>
      <c r="AD112" s="82"/>
      <c r="AE112" s="80"/>
      <c r="AF112" s="78"/>
      <c r="AG112" s="88" t="str">
        <f aca="false">IF($C112="","",IF(COUNTIFS('Tax Lots'!$B$6:$B$205,$B112,'Tax Lots'!$C$6:$C$205,$C112)=0,"",SUMIFS('Tax Lots'!$P$6:$P$205,'Tax Lots'!$B$6:$B$205,$B112,'Tax Lots'!$C$6:$C$205,$C112)))</f>
        <v/>
      </c>
      <c r="AH112" s="79" t="str">
        <f aca="false">IF($A112&amp;$B112&amp;$C112="","",IF($A112="","Missing ID",IF(COUNTIF($A$6:$A$205,$A112)&gt;1,"Duplicate ID",IF($AI112="","Unknown account",IF($AJ112="","Unknown security",IF(COUNTIFS($B$6:$B$205,$B112,$C$6:$C$205,$C112)&gt;1,"Same security twice in one account",IF(AND(ISNUMBER($J112),ISNUMBER($K112),N($K112)&lt;N($J112)),"Last date before first",IF(NOT(ISNUMBER($R112)),"No market value",IF(OR(N($J112)&gt;ValDate,N($K112)&gt;ValDate),"Date after valuation",IF(AND(ISNUMBER($AG112),ABS(N($L112)-N($AG112))&gt;0.001),"Lot quantity differs",IF(AND(ISNUMBER($AG112),ABS(N($M112)-SUMIFS('Tax Lots'!$Q$6:$Q$205,'Tax Lots'!$B$6:$B$205,$B112,'Tax Lots'!$C$6:$C$205,$C112))&gt;1),"Lot cost differs",IF(AND(ISNUMBER($AG112),ABS(N($V112)-SUMIFS('Tax Lots'!$AA$6:$AA$205,'Tax Lots'!$B$6:$B$205,$B112,'Tax Lots'!$C$6:$C$205,$C112))&gt;1),"Lot realised gain differs","OK"))))))))))))</f>
        <v/>
      </c>
      <c r="AI112" s="89" t="str">
        <f aca="false">IF($B112="","",IFERROR(MATCH($B112,Accounts!$A$6:$A$55,0),""))</f>
        <v/>
      </c>
      <c r="AJ112" s="89" t="str">
        <f aca="false">IF($C112="","",IFERROR(MATCH($C112,Securities!$A$6:$A$105,0),""))</f>
        <v/>
      </c>
      <c r="AK112" s="89" t="str">
        <f aca="false">IF($AI112="","",INDEX(Accounts!$B$6:$B$55,$AI112)&amp;"")</f>
        <v/>
      </c>
      <c r="AL112" s="89" t="str">
        <f aca="false">IF(OR($C112="",$I112="",NOT(ISNUMBER($R112))),"",$I112&amp;"|"&amp;(SUMPRODUCT(($I$6:$I$205=$I112)*ISNUMBER($R$6:$R$205)*($R$6:$R$205&gt;$R112))+SUMPRODUCT(($I$6:$I112=$I112)*ISNUMBER($R$6:$R112)*($R$6:$R112=$R112))))</f>
        <v/>
      </c>
      <c r="AM112" s="89" t="n">
        <f aca="false">IF(AND(ISNUMBER($R112),$W112&lt;&gt;"",$Z112&lt;&gt;"",$AB112="XIRR"),$R112*$W112,0)</f>
        <v>0</v>
      </c>
      <c r="AN112" s="89" t="n">
        <f aca="false">IF(AND(ISNUMBER($R112),$W112&lt;&gt;"",$Z112&lt;&gt;"",$AB112="XIRR"),$R112,0)</f>
        <v>0</v>
      </c>
      <c r="AO112" s="89" t="n">
        <f aca="false">IF(AND(ISNUMBER($R112),$W112&lt;&gt;"",$Z112&lt;&gt;"",$AB112="XIRR"),$R112*$Z112,0)</f>
        <v>0</v>
      </c>
      <c r="AP112" s="89" t="n">
        <f aca="false">IF(AND(ISNUMBER($M112),$Y112&lt;&gt;"",ISNUMBER($T112)),$M112*$Y112,0)</f>
        <v>0</v>
      </c>
      <c r="AQ112" s="89" t="n">
        <f aca="false">IF(AND(ISNUMBER($M112),$Y112&lt;&gt;"",ISNUMBER($T112)),$M112,0)</f>
        <v>0</v>
      </c>
    </row>
    <row r="113" customFormat="false" ht="15" hidden="false" customHeight="false" outlineLevel="0" collapsed="false">
      <c r="A113" s="77"/>
      <c r="B113" s="78"/>
      <c r="C113" s="78"/>
      <c r="D113" s="79" t="str">
        <f aca="false">IF($AI113="","",INDEX(Accounts!$C$6:$C$55,$AI113)&amp;"")</f>
        <v/>
      </c>
      <c r="E113" s="79" t="str">
        <f aca="false">IF($AI113="","",INDEX(Accounts!$F$6:$F$55,$AI113)&amp;"")</f>
        <v/>
      </c>
      <c r="F113" s="79" t="str">
        <f aca="false">IF($AJ113="","",INDEX(Securities!$B$6:$B$105,$AJ113)&amp;"")</f>
        <v/>
      </c>
      <c r="G113" s="79" t="str">
        <f aca="false">IF($AJ113="","",INDEX(Securities!$F$6:$F$105,$AJ113)&amp;"")</f>
        <v/>
      </c>
      <c r="H113" s="79" t="str">
        <f aca="false">IF($AJ113="","",INDEX(Securities!$E$6:$E$105,$AJ113)&amp;"")</f>
        <v/>
      </c>
      <c r="I113" s="79" t="str">
        <f aca="false">IF($AJ113="","",INDEX(Securities!$H$6:$H$105,$AJ113)&amp;"")</f>
        <v/>
      </c>
      <c r="J113" s="80"/>
      <c r="K113" s="80"/>
      <c r="L113" s="81"/>
      <c r="M113" s="82"/>
      <c r="N113" s="83" t="str">
        <f aca="false">IF(OR($L113="",$M113=""),"",IF(N($L113)=0,"",$M113/$L113))</f>
        <v/>
      </c>
      <c r="O113" s="84" t="str">
        <f aca="false">IF($AJ113="","",IF(INDEX(Securities!$O$6:$O$105,$AJ113)="","",INDEX(Securities!$O$6:$O$105,$AJ113)))</f>
        <v/>
      </c>
      <c r="P113" s="79" t="str">
        <f aca="false">IF($AJ113="","",INDEX(Securities!$N$6:$N$105,$AJ113)&amp;"")</f>
        <v/>
      </c>
      <c r="Q113" s="82"/>
      <c r="R113" s="85" t="str">
        <f aca="false">IF($C113="","",IF($Q113&lt;&gt;"",$Q113,IF($P113="At cost",IF($M113="","",$M113),IF(OR($O113="",$L113=""),"",$L113*$O113))))</f>
        <v/>
      </c>
      <c r="S113" s="85" t="str">
        <f aca="false">IF(OR(NOT(ISNUMBER($R113)),$M113=""),"",$R113-$M113)</f>
        <v/>
      </c>
      <c r="T113" s="86" t="str">
        <f aca="false">IF(OR($S113="",N($M113)=0),"",$S113/$M113)</f>
        <v/>
      </c>
      <c r="U113" s="82"/>
      <c r="V113" s="82"/>
      <c r="W113" s="87"/>
      <c r="X113" s="79" t="str">
        <f aca="false">IF($AJ113="","",INDEX(Securities!$L$6:$L$105,$AJ113)&amp;"")</f>
        <v/>
      </c>
      <c r="Y113" s="87"/>
      <c r="Z113" s="87"/>
      <c r="AA113" s="86" t="str">
        <f aca="false">IF(OR($W113="",$Z113=""),"",$W113-$Z113)</f>
        <v/>
      </c>
      <c r="AB113" s="79" t="str">
        <f aca="false">IF($C113="","",IF($P113="At cost","At cost",IF(NOT(ISNUMBER($J113)),"No date",IF(ValDate-$J113&lt;365,"Absolute",IF($W113="","XIRR missing","XIRR")))))</f>
        <v/>
      </c>
      <c r="AC113" s="86" t="str">
        <f aca="false">IF(NOT(ISNUMBER($R113)),"",IF(SUM($R$6:$R$205)=0,"",$R113/SUM($R$6:$R$205)))</f>
        <v/>
      </c>
      <c r="AD113" s="82"/>
      <c r="AE113" s="80"/>
      <c r="AF113" s="78"/>
      <c r="AG113" s="88" t="str">
        <f aca="false">IF($C113="","",IF(COUNTIFS('Tax Lots'!$B$6:$B$205,$B113,'Tax Lots'!$C$6:$C$205,$C113)=0,"",SUMIFS('Tax Lots'!$P$6:$P$205,'Tax Lots'!$B$6:$B$205,$B113,'Tax Lots'!$C$6:$C$205,$C113)))</f>
        <v/>
      </c>
      <c r="AH113" s="79" t="str">
        <f aca="false">IF($A113&amp;$B113&amp;$C113="","",IF($A113="","Missing ID",IF(COUNTIF($A$6:$A$205,$A113)&gt;1,"Duplicate ID",IF($AI113="","Unknown account",IF($AJ113="","Unknown security",IF(COUNTIFS($B$6:$B$205,$B113,$C$6:$C$205,$C113)&gt;1,"Same security twice in one account",IF(AND(ISNUMBER($J113),ISNUMBER($K113),N($K113)&lt;N($J113)),"Last date before first",IF(NOT(ISNUMBER($R113)),"No market value",IF(OR(N($J113)&gt;ValDate,N($K113)&gt;ValDate),"Date after valuation",IF(AND(ISNUMBER($AG113),ABS(N($L113)-N($AG113))&gt;0.001),"Lot quantity differs",IF(AND(ISNUMBER($AG113),ABS(N($M113)-SUMIFS('Tax Lots'!$Q$6:$Q$205,'Tax Lots'!$B$6:$B$205,$B113,'Tax Lots'!$C$6:$C$205,$C113))&gt;1),"Lot cost differs",IF(AND(ISNUMBER($AG113),ABS(N($V113)-SUMIFS('Tax Lots'!$AA$6:$AA$205,'Tax Lots'!$B$6:$B$205,$B113,'Tax Lots'!$C$6:$C$205,$C113))&gt;1),"Lot realised gain differs","OK"))))))))))))</f>
        <v/>
      </c>
      <c r="AI113" s="89" t="str">
        <f aca="false">IF($B113="","",IFERROR(MATCH($B113,Accounts!$A$6:$A$55,0),""))</f>
        <v/>
      </c>
      <c r="AJ113" s="89" t="str">
        <f aca="false">IF($C113="","",IFERROR(MATCH($C113,Securities!$A$6:$A$105,0),""))</f>
        <v/>
      </c>
      <c r="AK113" s="89" t="str">
        <f aca="false">IF($AI113="","",INDEX(Accounts!$B$6:$B$55,$AI113)&amp;"")</f>
        <v/>
      </c>
      <c r="AL113" s="89" t="str">
        <f aca="false">IF(OR($C113="",$I113="",NOT(ISNUMBER($R113))),"",$I113&amp;"|"&amp;(SUMPRODUCT(($I$6:$I$205=$I113)*ISNUMBER($R$6:$R$205)*($R$6:$R$205&gt;$R113))+SUMPRODUCT(($I$6:$I113=$I113)*ISNUMBER($R$6:$R113)*($R$6:$R113=$R113))))</f>
        <v/>
      </c>
      <c r="AM113" s="89" t="n">
        <f aca="false">IF(AND(ISNUMBER($R113),$W113&lt;&gt;"",$Z113&lt;&gt;"",$AB113="XIRR"),$R113*$W113,0)</f>
        <v>0</v>
      </c>
      <c r="AN113" s="89" t="n">
        <f aca="false">IF(AND(ISNUMBER($R113),$W113&lt;&gt;"",$Z113&lt;&gt;"",$AB113="XIRR"),$R113,0)</f>
        <v>0</v>
      </c>
      <c r="AO113" s="89" t="n">
        <f aca="false">IF(AND(ISNUMBER($R113),$W113&lt;&gt;"",$Z113&lt;&gt;"",$AB113="XIRR"),$R113*$Z113,0)</f>
        <v>0</v>
      </c>
      <c r="AP113" s="89" t="n">
        <f aca="false">IF(AND(ISNUMBER($M113),$Y113&lt;&gt;"",ISNUMBER($T113)),$M113*$Y113,0)</f>
        <v>0</v>
      </c>
      <c r="AQ113" s="89" t="n">
        <f aca="false">IF(AND(ISNUMBER($M113),$Y113&lt;&gt;"",ISNUMBER($T113)),$M113,0)</f>
        <v>0</v>
      </c>
    </row>
    <row r="114" customFormat="false" ht="15" hidden="false" customHeight="false" outlineLevel="0" collapsed="false">
      <c r="A114" s="77"/>
      <c r="B114" s="78"/>
      <c r="C114" s="78"/>
      <c r="D114" s="79" t="str">
        <f aca="false">IF($AI114="","",INDEX(Accounts!$C$6:$C$55,$AI114)&amp;"")</f>
        <v/>
      </c>
      <c r="E114" s="79" t="str">
        <f aca="false">IF($AI114="","",INDEX(Accounts!$F$6:$F$55,$AI114)&amp;"")</f>
        <v/>
      </c>
      <c r="F114" s="79" t="str">
        <f aca="false">IF($AJ114="","",INDEX(Securities!$B$6:$B$105,$AJ114)&amp;"")</f>
        <v/>
      </c>
      <c r="G114" s="79" t="str">
        <f aca="false">IF($AJ114="","",INDEX(Securities!$F$6:$F$105,$AJ114)&amp;"")</f>
        <v/>
      </c>
      <c r="H114" s="79" t="str">
        <f aca="false">IF($AJ114="","",INDEX(Securities!$E$6:$E$105,$AJ114)&amp;"")</f>
        <v/>
      </c>
      <c r="I114" s="79" t="str">
        <f aca="false">IF($AJ114="","",INDEX(Securities!$H$6:$H$105,$AJ114)&amp;"")</f>
        <v/>
      </c>
      <c r="J114" s="80"/>
      <c r="K114" s="80"/>
      <c r="L114" s="81"/>
      <c r="M114" s="82"/>
      <c r="N114" s="83" t="str">
        <f aca="false">IF(OR($L114="",$M114=""),"",IF(N($L114)=0,"",$M114/$L114))</f>
        <v/>
      </c>
      <c r="O114" s="84" t="str">
        <f aca="false">IF($AJ114="","",IF(INDEX(Securities!$O$6:$O$105,$AJ114)="","",INDEX(Securities!$O$6:$O$105,$AJ114)))</f>
        <v/>
      </c>
      <c r="P114" s="79" t="str">
        <f aca="false">IF($AJ114="","",INDEX(Securities!$N$6:$N$105,$AJ114)&amp;"")</f>
        <v/>
      </c>
      <c r="Q114" s="82"/>
      <c r="R114" s="85" t="str">
        <f aca="false">IF($C114="","",IF($Q114&lt;&gt;"",$Q114,IF($P114="At cost",IF($M114="","",$M114),IF(OR($O114="",$L114=""),"",$L114*$O114))))</f>
        <v/>
      </c>
      <c r="S114" s="85" t="str">
        <f aca="false">IF(OR(NOT(ISNUMBER($R114)),$M114=""),"",$R114-$M114)</f>
        <v/>
      </c>
      <c r="T114" s="86" t="str">
        <f aca="false">IF(OR($S114="",N($M114)=0),"",$S114/$M114)</f>
        <v/>
      </c>
      <c r="U114" s="82"/>
      <c r="V114" s="82"/>
      <c r="W114" s="87"/>
      <c r="X114" s="79" t="str">
        <f aca="false">IF($AJ114="","",INDEX(Securities!$L$6:$L$105,$AJ114)&amp;"")</f>
        <v/>
      </c>
      <c r="Y114" s="87"/>
      <c r="Z114" s="87"/>
      <c r="AA114" s="86" t="str">
        <f aca="false">IF(OR($W114="",$Z114=""),"",$W114-$Z114)</f>
        <v/>
      </c>
      <c r="AB114" s="79" t="str">
        <f aca="false">IF($C114="","",IF($P114="At cost","At cost",IF(NOT(ISNUMBER($J114)),"No date",IF(ValDate-$J114&lt;365,"Absolute",IF($W114="","XIRR missing","XIRR")))))</f>
        <v/>
      </c>
      <c r="AC114" s="86" t="str">
        <f aca="false">IF(NOT(ISNUMBER($R114)),"",IF(SUM($R$6:$R$205)=0,"",$R114/SUM($R$6:$R$205)))</f>
        <v/>
      </c>
      <c r="AD114" s="82"/>
      <c r="AE114" s="80"/>
      <c r="AF114" s="78"/>
      <c r="AG114" s="88" t="str">
        <f aca="false">IF($C114="","",IF(COUNTIFS('Tax Lots'!$B$6:$B$205,$B114,'Tax Lots'!$C$6:$C$205,$C114)=0,"",SUMIFS('Tax Lots'!$P$6:$P$205,'Tax Lots'!$B$6:$B$205,$B114,'Tax Lots'!$C$6:$C$205,$C114)))</f>
        <v/>
      </c>
      <c r="AH114" s="79" t="str">
        <f aca="false">IF($A114&amp;$B114&amp;$C114="","",IF($A114="","Missing ID",IF(COUNTIF($A$6:$A$205,$A114)&gt;1,"Duplicate ID",IF($AI114="","Unknown account",IF($AJ114="","Unknown security",IF(COUNTIFS($B$6:$B$205,$B114,$C$6:$C$205,$C114)&gt;1,"Same security twice in one account",IF(AND(ISNUMBER($J114),ISNUMBER($K114),N($K114)&lt;N($J114)),"Last date before first",IF(NOT(ISNUMBER($R114)),"No market value",IF(OR(N($J114)&gt;ValDate,N($K114)&gt;ValDate),"Date after valuation",IF(AND(ISNUMBER($AG114),ABS(N($L114)-N($AG114))&gt;0.001),"Lot quantity differs",IF(AND(ISNUMBER($AG114),ABS(N($M114)-SUMIFS('Tax Lots'!$Q$6:$Q$205,'Tax Lots'!$B$6:$B$205,$B114,'Tax Lots'!$C$6:$C$205,$C114))&gt;1),"Lot cost differs",IF(AND(ISNUMBER($AG114),ABS(N($V114)-SUMIFS('Tax Lots'!$AA$6:$AA$205,'Tax Lots'!$B$6:$B$205,$B114,'Tax Lots'!$C$6:$C$205,$C114))&gt;1),"Lot realised gain differs","OK"))))))))))))</f>
        <v/>
      </c>
      <c r="AI114" s="89" t="str">
        <f aca="false">IF($B114="","",IFERROR(MATCH($B114,Accounts!$A$6:$A$55,0),""))</f>
        <v/>
      </c>
      <c r="AJ114" s="89" t="str">
        <f aca="false">IF($C114="","",IFERROR(MATCH($C114,Securities!$A$6:$A$105,0),""))</f>
        <v/>
      </c>
      <c r="AK114" s="89" t="str">
        <f aca="false">IF($AI114="","",INDEX(Accounts!$B$6:$B$55,$AI114)&amp;"")</f>
        <v/>
      </c>
      <c r="AL114" s="89" t="str">
        <f aca="false">IF(OR($C114="",$I114="",NOT(ISNUMBER($R114))),"",$I114&amp;"|"&amp;(SUMPRODUCT(($I$6:$I$205=$I114)*ISNUMBER($R$6:$R$205)*($R$6:$R$205&gt;$R114))+SUMPRODUCT(($I$6:$I114=$I114)*ISNUMBER($R$6:$R114)*($R$6:$R114=$R114))))</f>
        <v/>
      </c>
      <c r="AM114" s="89" t="n">
        <f aca="false">IF(AND(ISNUMBER($R114),$W114&lt;&gt;"",$Z114&lt;&gt;"",$AB114="XIRR"),$R114*$W114,0)</f>
        <v>0</v>
      </c>
      <c r="AN114" s="89" t="n">
        <f aca="false">IF(AND(ISNUMBER($R114),$W114&lt;&gt;"",$Z114&lt;&gt;"",$AB114="XIRR"),$R114,0)</f>
        <v>0</v>
      </c>
      <c r="AO114" s="89" t="n">
        <f aca="false">IF(AND(ISNUMBER($R114),$W114&lt;&gt;"",$Z114&lt;&gt;"",$AB114="XIRR"),$R114*$Z114,0)</f>
        <v>0</v>
      </c>
      <c r="AP114" s="89" t="n">
        <f aca="false">IF(AND(ISNUMBER($M114),$Y114&lt;&gt;"",ISNUMBER($T114)),$M114*$Y114,0)</f>
        <v>0</v>
      </c>
      <c r="AQ114" s="89" t="n">
        <f aca="false">IF(AND(ISNUMBER($M114),$Y114&lt;&gt;"",ISNUMBER($T114)),$M114,0)</f>
        <v>0</v>
      </c>
    </row>
    <row r="115" customFormat="false" ht="15" hidden="false" customHeight="false" outlineLevel="0" collapsed="false">
      <c r="A115" s="77"/>
      <c r="B115" s="78"/>
      <c r="C115" s="78"/>
      <c r="D115" s="79" t="str">
        <f aca="false">IF($AI115="","",INDEX(Accounts!$C$6:$C$55,$AI115)&amp;"")</f>
        <v/>
      </c>
      <c r="E115" s="79" t="str">
        <f aca="false">IF($AI115="","",INDEX(Accounts!$F$6:$F$55,$AI115)&amp;"")</f>
        <v/>
      </c>
      <c r="F115" s="79" t="str">
        <f aca="false">IF($AJ115="","",INDEX(Securities!$B$6:$B$105,$AJ115)&amp;"")</f>
        <v/>
      </c>
      <c r="G115" s="79" t="str">
        <f aca="false">IF($AJ115="","",INDEX(Securities!$F$6:$F$105,$AJ115)&amp;"")</f>
        <v/>
      </c>
      <c r="H115" s="79" t="str">
        <f aca="false">IF($AJ115="","",INDEX(Securities!$E$6:$E$105,$AJ115)&amp;"")</f>
        <v/>
      </c>
      <c r="I115" s="79" t="str">
        <f aca="false">IF($AJ115="","",INDEX(Securities!$H$6:$H$105,$AJ115)&amp;"")</f>
        <v/>
      </c>
      <c r="J115" s="80"/>
      <c r="K115" s="80"/>
      <c r="L115" s="81"/>
      <c r="M115" s="82"/>
      <c r="N115" s="83" t="str">
        <f aca="false">IF(OR($L115="",$M115=""),"",IF(N($L115)=0,"",$M115/$L115))</f>
        <v/>
      </c>
      <c r="O115" s="84" t="str">
        <f aca="false">IF($AJ115="","",IF(INDEX(Securities!$O$6:$O$105,$AJ115)="","",INDEX(Securities!$O$6:$O$105,$AJ115)))</f>
        <v/>
      </c>
      <c r="P115" s="79" t="str">
        <f aca="false">IF($AJ115="","",INDEX(Securities!$N$6:$N$105,$AJ115)&amp;"")</f>
        <v/>
      </c>
      <c r="Q115" s="82"/>
      <c r="R115" s="85" t="str">
        <f aca="false">IF($C115="","",IF($Q115&lt;&gt;"",$Q115,IF($P115="At cost",IF($M115="","",$M115),IF(OR($O115="",$L115=""),"",$L115*$O115))))</f>
        <v/>
      </c>
      <c r="S115" s="85" t="str">
        <f aca="false">IF(OR(NOT(ISNUMBER($R115)),$M115=""),"",$R115-$M115)</f>
        <v/>
      </c>
      <c r="T115" s="86" t="str">
        <f aca="false">IF(OR($S115="",N($M115)=0),"",$S115/$M115)</f>
        <v/>
      </c>
      <c r="U115" s="82"/>
      <c r="V115" s="82"/>
      <c r="W115" s="87"/>
      <c r="X115" s="79" t="str">
        <f aca="false">IF($AJ115="","",INDEX(Securities!$L$6:$L$105,$AJ115)&amp;"")</f>
        <v/>
      </c>
      <c r="Y115" s="87"/>
      <c r="Z115" s="87"/>
      <c r="AA115" s="86" t="str">
        <f aca="false">IF(OR($W115="",$Z115=""),"",$W115-$Z115)</f>
        <v/>
      </c>
      <c r="AB115" s="79" t="str">
        <f aca="false">IF($C115="","",IF($P115="At cost","At cost",IF(NOT(ISNUMBER($J115)),"No date",IF(ValDate-$J115&lt;365,"Absolute",IF($W115="","XIRR missing","XIRR")))))</f>
        <v/>
      </c>
      <c r="AC115" s="86" t="str">
        <f aca="false">IF(NOT(ISNUMBER($R115)),"",IF(SUM($R$6:$R$205)=0,"",$R115/SUM($R$6:$R$205)))</f>
        <v/>
      </c>
      <c r="AD115" s="82"/>
      <c r="AE115" s="80"/>
      <c r="AF115" s="78"/>
      <c r="AG115" s="88" t="str">
        <f aca="false">IF($C115="","",IF(COUNTIFS('Tax Lots'!$B$6:$B$205,$B115,'Tax Lots'!$C$6:$C$205,$C115)=0,"",SUMIFS('Tax Lots'!$P$6:$P$205,'Tax Lots'!$B$6:$B$205,$B115,'Tax Lots'!$C$6:$C$205,$C115)))</f>
        <v/>
      </c>
      <c r="AH115" s="79" t="str">
        <f aca="false">IF($A115&amp;$B115&amp;$C115="","",IF($A115="","Missing ID",IF(COUNTIF($A$6:$A$205,$A115)&gt;1,"Duplicate ID",IF($AI115="","Unknown account",IF($AJ115="","Unknown security",IF(COUNTIFS($B$6:$B$205,$B115,$C$6:$C$205,$C115)&gt;1,"Same security twice in one account",IF(AND(ISNUMBER($J115),ISNUMBER($K115),N($K115)&lt;N($J115)),"Last date before first",IF(NOT(ISNUMBER($R115)),"No market value",IF(OR(N($J115)&gt;ValDate,N($K115)&gt;ValDate),"Date after valuation",IF(AND(ISNUMBER($AG115),ABS(N($L115)-N($AG115))&gt;0.001),"Lot quantity differs",IF(AND(ISNUMBER($AG115),ABS(N($M115)-SUMIFS('Tax Lots'!$Q$6:$Q$205,'Tax Lots'!$B$6:$B$205,$B115,'Tax Lots'!$C$6:$C$205,$C115))&gt;1),"Lot cost differs",IF(AND(ISNUMBER($AG115),ABS(N($V115)-SUMIFS('Tax Lots'!$AA$6:$AA$205,'Tax Lots'!$B$6:$B$205,$B115,'Tax Lots'!$C$6:$C$205,$C115))&gt;1),"Lot realised gain differs","OK"))))))))))))</f>
        <v/>
      </c>
      <c r="AI115" s="89" t="str">
        <f aca="false">IF($B115="","",IFERROR(MATCH($B115,Accounts!$A$6:$A$55,0),""))</f>
        <v/>
      </c>
      <c r="AJ115" s="89" t="str">
        <f aca="false">IF($C115="","",IFERROR(MATCH($C115,Securities!$A$6:$A$105,0),""))</f>
        <v/>
      </c>
      <c r="AK115" s="89" t="str">
        <f aca="false">IF($AI115="","",INDEX(Accounts!$B$6:$B$55,$AI115)&amp;"")</f>
        <v/>
      </c>
      <c r="AL115" s="89" t="str">
        <f aca="false">IF(OR($C115="",$I115="",NOT(ISNUMBER($R115))),"",$I115&amp;"|"&amp;(SUMPRODUCT(($I$6:$I$205=$I115)*ISNUMBER($R$6:$R$205)*($R$6:$R$205&gt;$R115))+SUMPRODUCT(($I$6:$I115=$I115)*ISNUMBER($R$6:$R115)*($R$6:$R115=$R115))))</f>
        <v/>
      </c>
      <c r="AM115" s="89" t="n">
        <f aca="false">IF(AND(ISNUMBER($R115),$W115&lt;&gt;"",$Z115&lt;&gt;"",$AB115="XIRR"),$R115*$W115,0)</f>
        <v>0</v>
      </c>
      <c r="AN115" s="89" t="n">
        <f aca="false">IF(AND(ISNUMBER($R115),$W115&lt;&gt;"",$Z115&lt;&gt;"",$AB115="XIRR"),$R115,0)</f>
        <v>0</v>
      </c>
      <c r="AO115" s="89" t="n">
        <f aca="false">IF(AND(ISNUMBER($R115),$W115&lt;&gt;"",$Z115&lt;&gt;"",$AB115="XIRR"),$R115*$Z115,0)</f>
        <v>0</v>
      </c>
      <c r="AP115" s="89" t="n">
        <f aca="false">IF(AND(ISNUMBER($M115),$Y115&lt;&gt;"",ISNUMBER($T115)),$M115*$Y115,0)</f>
        <v>0</v>
      </c>
      <c r="AQ115" s="89" t="n">
        <f aca="false">IF(AND(ISNUMBER($M115),$Y115&lt;&gt;"",ISNUMBER($T115)),$M115,0)</f>
        <v>0</v>
      </c>
    </row>
    <row r="116" customFormat="false" ht="15" hidden="false" customHeight="false" outlineLevel="0" collapsed="false">
      <c r="A116" s="77"/>
      <c r="B116" s="78"/>
      <c r="C116" s="78"/>
      <c r="D116" s="79" t="str">
        <f aca="false">IF($AI116="","",INDEX(Accounts!$C$6:$C$55,$AI116)&amp;"")</f>
        <v/>
      </c>
      <c r="E116" s="79" t="str">
        <f aca="false">IF($AI116="","",INDEX(Accounts!$F$6:$F$55,$AI116)&amp;"")</f>
        <v/>
      </c>
      <c r="F116" s="79" t="str">
        <f aca="false">IF($AJ116="","",INDEX(Securities!$B$6:$B$105,$AJ116)&amp;"")</f>
        <v/>
      </c>
      <c r="G116" s="79" t="str">
        <f aca="false">IF($AJ116="","",INDEX(Securities!$F$6:$F$105,$AJ116)&amp;"")</f>
        <v/>
      </c>
      <c r="H116" s="79" t="str">
        <f aca="false">IF($AJ116="","",INDEX(Securities!$E$6:$E$105,$AJ116)&amp;"")</f>
        <v/>
      </c>
      <c r="I116" s="79" t="str">
        <f aca="false">IF($AJ116="","",INDEX(Securities!$H$6:$H$105,$AJ116)&amp;"")</f>
        <v/>
      </c>
      <c r="J116" s="80"/>
      <c r="K116" s="80"/>
      <c r="L116" s="81"/>
      <c r="M116" s="82"/>
      <c r="N116" s="83" t="str">
        <f aca="false">IF(OR($L116="",$M116=""),"",IF(N($L116)=0,"",$M116/$L116))</f>
        <v/>
      </c>
      <c r="O116" s="84" t="str">
        <f aca="false">IF($AJ116="","",IF(INDEX(Securities!$O$6:$O$105,$AJ116)="","",INDEX(Securities!$O$6:$O$105,$AJ116)))</f>
        <v/>
      </c>
      <c r="P116" s="79" t="str">
        <f aca="false">IF($AJ116="","",INDEX(Securities!$N$6:$N$105,$AJ116)&amp;"")</f>
        <v/>
      </c>
      <c r="Q116" s="82"/>
      <c r="R116" s="85" t="str">
        <f aca="false">IF($C116="","",IF($Q116&lt;&gt;"",$Q116,IF($P116="At cost",IF($M116="","",$M116),IF(OR($O116="",$L116=""),"",$L116*$O116))))</f>
        <v/>
      </c>
      <c r="S116" s="85" t="str">
        <f aca="false">IF(OR(NOT(ISNUMBER($R116)),$M116=""),"",$R116-$M116)</f>
        <v/>
      </c>
      <c r="T116" s="86" t="str">
        <f aca="false">IF(OR($S116="",N($M116)=0),"",$S116/$M116)</f>
        <v/>
      </c>
      <c r="U116" s="82"/>
      <c r="V116" s="82"/>
      <c r="W116" s="87"/>
      <c r="X116" s="79" t="str">
        <f aca="false">IF($AJ116="","",INDEX(Securities!$L$6:$L$105,$AJ116)&amp;"")</f>
        <v/>
      </c>
      <c r="Y116" s="87"/>
      <c r="Z116" s="87"/>
      <c r="AA116" s="86" t="str">
        <f aca="false">IF(OR($W116="",$Z116=""),"",$W116-$Z116)</f>
        <v/>
      </c>
      <c r="AB116" s="79" t="str">
        <f aca="false">IF($C116="","",IF($P116="At cost","At cost",IF(NOT(ISNUMBER($J116)),"No date",IF(ValDate-$J116&lt;365,"Absolute",IF($W116="","XIRR missing","XIRR")))))</f>
        <v/>
      </c>
      <c r="AC116" s="86" t="str">
        <f aca="false">IF(NOT(ISNUMBER($R116)),"",IF(SUM($R$6:$R$205)=0,"",$R116/SUM($R$6:$R$205)))</f>
        <v/>
      </c>
      <c r="AD116" s="82"/>
      <c r="AE116" s="80"/>
      <c r="AF116" s="78"/>
      <c r="AG116" s="88" t="str">
        <f aca="false">IF($C116="","",IF(COUNTIFS('Tax Lots'!$B$6:$B$205,$B116,'Tax Lots'!$C$6:$C$205,$C116)=0,"",SUMIFS('Tax Lots'!$P$6:$P$205,'Tax Lots'!$B$6:$B$205,$B116,'Tax Lots'!$C$6:$C$205,$C116)))</f>
        <v/>
      </c>
      <c r="AH116" s="79" t="str">
        <f aca="false">IF($A116&amp;$B116&amp;$C116="","",IF($A116="","Missing ID",IF(COUNTIF($A$6:$A$205,$A116)&gt;1,"Duplicate ID",IF($AI116="","Unknown account",IF($AJ116="","Unknown security",IF(COUNTIFS($B$6:$B$205,$B116,$C$6:$C$205,$C116)&gt;1,"Same security twice in one account",IF(AND(ISNUMBER($J116),ISNUMBER($K116),N($K116)&lt;N($J116)),"Last date before first",IF(NOT(ISNUMBER($R116)),"No market value",IF(OR(N($J116)&gt;ValDate,N($K116)&gt;ValDate),"Date after valuation",IF(AND(ISNUMBER($AG116),ABS(N($L116)-N($AG116))&gt;0.001),"Lot quantity differs",IF(AND(ISNUMBER($AG116),ABS(N($M116)-SUMIFS('Tax Lots'!$Q$6:$Q$205,'Tax Lots'!$B$6:$B$205,$B116,'Tax Lots'!$C$6:$C$205,$C116))&gt;1),"Lot cost differs",IF(AND(ISNUMBER($AG116),ABS(N($V116)-SUMIFS('Tax Lots'!$AA$6:$AA$205,'Tax Lots'!$B$6:$B$205,$B116,'Tax Lots'!$C$6:$C$205,$C116))&gt;1),"Lot realised gain differs","OK"))))))))))))</f>
        <v/>
      </c>
      <c r="AI116" s="89" t="str">
        <f aca="false">IF($B116="","",IFERROR(MATCH($B116,Accounts!$A$6:$A$55,0),""))</f>
        <v/>
      </c>
      <c r="AJ116" s="89" t="str">
        <f aca="false">IF($C116="","",IFERROR(MATCH($C116,Securities!$A$6:$A$105,0),""))</f>
        <v/>
      </c>
      <c r="AK116" s="89" t="str">
        <f aca="false">IF($AI116="","",INDEX(Accounts!$B$6:$B$55,$AI116)&amp;"")</f>
        <v/>
      </c>
      <c r="AL116" s="89" t="str">
        <f aca="false">IF(OR($C116="",$I116="",NOT(ISNUMBER($R116))),"",$I116&amp;"|"&amp;(SUMPRODUCT(($I$6:$I$205=$I116)*ISNUMBER($R$6:$R$205)*($R$6:$R$205&gt;$R116))+SUMPRODUCT(($I$6:$I116=$I116)*ISNUMBER($R$6:$R116)*($R$6:$R116=$R116))))</f>
        <v/>
      </c>
      <c r="AM116" s="89" t="n">
        <f aca="false">IF(AND(ISNUMBER($R116),$W116&lt;&gt;"",$Z116&lt;&gt;"",$AB116="XIRR"),$R116*$W116,0)</f>
        <v>0</v>
      </c>
      <c r="AN116" s="89" t="n">
        <f aca="false">IF(AND(ISNUMBER($R116),$W116&lt;&gt;"",$Z116&lt;&gt;"",$AB116="XIRR"),$R116,0)</f>
        <v>0</v>
      </c>
      <c r="AO116" s="89" t="n">
        <f aca="false">IF(AND(ISNUMBER($R116),$W116&lt;&gt;"",$Z116&lt;&gt;"",$AB116="XIRR"),$R116*$Z116,0)</f>
        <v>0</v>
      </c>
      <c r="AP116" s="89" t="n">
        <f aca="false">IF(AND(ISNUMBER($M116),$Y116&lt;&gt;"",ISNUMBER($T116)),$M116*$Y116,0)</f>
        <v>0</v>
      </c>
      <c r="AQ116" s="89" t="n">
        <f aca="false">IF(AND(ISNUMBER($M116),$Y116&lt;&gt;"",ISNUMBER($T116)),$M116,0)</f>
        <v>0</v>
      </c>
    </row>
    <row r="117" customFormat="false" ht="15" hidden="false" customHeight="false" outlineLevel="0" collapsed="false">
      <c r="A117" s="77"/>
      <c r="B117" s="78"/>
      <c r="C117" s="78"/>
      <c r="D117" s="79" t="str">
        <f aca="false">IF($AI117="","",INDEX(Accounts!$C$6:$C$55,$AI117)&amp;"")</f>
        <v/>
      </c>
      <c r="E117" s="79" t="str">
        <f aca="false">IF($AI117="","",INDEX(Accounts!$F$6:$F$55,$AI117)&amp;"")</f>
        <v/>
      </c>
      <c r="F117" s="79" t="str">
        <f aca="false">IF($AJ117="","",INDEX(Securities!$B$6:$B$105,$AJ117)&amp;"")</f>
        <v/>
      </c>
      <c r="G117" s="79" t="str">
        <f aca="false">IF($AJ117="","",INDEX(Securities!$F$6:$F$105,$AJ117)&amp;"")</f>
        <v/>
      </c>
      <c r="H117" s="79" t="str">
        <f aca="false">IF($AJ117="","",INDEX(Securities!$E$6:$E$105,$AJ117)&amp;"")</f>
        <v/>
      </c>
      <c r="I117" s="79" t="str">
        <f aca="false">IF($AJ117="","",INDEX(Securities!$H$6:$H$105,$AJ117)&amp;"")</f>
        <v/>
      </c>
      <c r="J117" s="80"/>
      <c r="K117" s="80"/>
      <c r="L117" s="81"/>
      <c r="M117" s="82"/>
      <c r="N117" s="83" t="str">
        <f aca="false">IF(OR($L117="",$M117=""),"",IF(N($L117)=0,"",$M117/$L117))</f>
        <v/>
      </c>
      <c r="O117" s="84" t="str">
        <f aca="false">IF($AJ117="","",IF(INDEX(Securities!$O$6:$O$105,$AJ117)="","",INDEX(Securities!$O$6:$O$105,$AJ117)))</f>
        <v/>
      </c>
      <c r="P117" s="79" t="str">
        <f aca="false">IF($AJ117="","",INDEX(Securities!$N$6:$N$105,$AJ117)&amp;"")</f>
        <v/>
      </c>
      <c r="Q117" s="82"/>
      <c r="R117" s="85" t="str">
        <f aca="false">IF($C117="","",IF($Q117&lt;&gt;"",$Q117,IF($P117="At cost",IF($M117="","",$M117),IF(OR($O117="",$L117=""),"",$L117*$O117))))</f>
        <v/>
      </c>
      <c r="S117" s="85" t="str">
        <f aca="false">IF(OR(NOT(ISNUMBER($R117)),$M117=""),"",$R117-$M117)</f>
        <v/>
      </c>
      <c r="T117" s="86" t="str">
        <f aca="false">IF(OR($S117="",N($M117)=0),"",$S117/$M117)</f>
        <v/>
      </c>
      <c r="U117" s="82"/>
      <c r="V117" s="82"/>
      <c r="W117" s="87"/>
      <c r="X117" s="79" t="str">
        <f aca="false">IF($AJ117="","",INDEX(Securities!$L$6:$L$105,$AJ117)&amp;"")</f>
        <v/>
      </c>
      <c r="Y117" s="87"/>
      <c r="Z117" s="87"/>
      <c r="AA117" s="86" t="str">
        <f aca="false">IF(OR($W117="",$Z117=""),"",$W117-$Z117)</f>
        <v/>
      </c>
      <c r="AB117" s="79" t="str">
        <f aca="false">IF($C117="","",IF($P117="At cost","At cost",IF(NOT(ISNUMBER($J117)),"No date",IF(ValDate-$J117&lt;365,"Absolute",IF($W117="","XIRR missing","XIRR")))))</f>
        <v/>
      </c>
      <c r="AC117" s="86" t="str">
        <f aca="false">IF(NOT(ISNUMBER($R117)),"",IF(SUM($R$6:$R$205)=0,"",$R117/SUM($R$6:$R$205)))</f>
        <v/>
      </c>
      <c r="AD117" s="82"/>
      <c r="AE117" s="80"/>
      <c r="AF117" s="78"/>
      <c r="AG117" s="88" t="str">
        <f aca="false">IF($C117="","",IF(COUNTIFS('Tax Lots'!$B$6:$B$205,$B117,'Tax Lots'!$C$6:$C$205,$C117)=0,"",SUMIFS('Tax Lots'!$P$6:$P$205,'Tax Lots'!$B$6:$B$205,$B117,'Tax Lots'!$C$6:$C$205,$C117)))</f>
        <v/>
      </c>
      <c r="AH117" s="79" t="str">
        <f aca="false">IF($A117&amp;$B117&amp;$C117="","",IF($A117="","Missing ID",IF(COUNTIF($A$6:$A$205,$A117)&gt;1,"Duplicate ID",IF($AI117="","Unknown account",IF($AJ117="","Unknown security",IF(COUNTIFS($B$6:$B$205,$B117,$C$6:$C$205,$C117)&gt;1,"Same security twice in one account",IF(AND(ISNUMBER($J117),ISNUMBER($K117),N($K117)&lt;N($J117)),"Last date before first",IF(NOT(ISNUMBER($R117)),"No market value",IF(OR(N($J117)&gt;ValDate,N($K117)&gt;ValDate),"Date after valuation",IF(AND(ISNUMBER($AG117),ABS(N($L117)-N($AG117))&gt;0.001),"Lot quantity differs",IF(AND(ISNUMBER($AG117),ABS(N($M117)-SUMIFS('Tax Lots'!$Q$6:$Q$205,'Tax Lots'!$B$6:$B$205,$B117,'Tax Lots'!$C$6:$C$205,$C117))&gt;1),"Lot cost differs",IF(AND(ISNUMBER($AG117),ABS(N($V117)-SUMIFS('Tax Lots'!$AA$6:$AA$205,'Tax Lots'!$B$6:$B$205,$B117,'Tax Lots'!$C$6:$C$205,$C117))&gt;1),"Lot realised gain differs","OK"))))))))))))</f>
        <v/>
      </c>
      <c r="AI117" s="89" t="str">
        <f aca="false">IF($B117="","",IFERROR(MATCH($B117,Accounts!$A$6:$A$55,0),""))</f>
        <v/>
      </c>
      <c r="AJ117" s="89" t="str">
        <f aca="false">IF($C117="","",IFERROR(MATCH($C117,Securities!$A$6:$A$105,0),""))</f>
        <v/>
      </c>
      <c r="AK117" s="89" t="str">
        <f aca="false">IF($AI117="","",INDEX(Accounts!$B$6:$B$55,$AI117)&amp;"")</f>
        <v/>
      </c>
      <c r="AL117" s="89" t="str">
        <f aca="false">IF(OR($C117="",$I117="",NOT(ISNUMBER($R117))),"",$I117&amp;"|"&amp;(SUMPRODUCT(($I$6:$I$205=$I117)*ISNUMBER($R$6:$R$205)*($R$6:$R$205&gt;$R117))+SUMPRODUCT(($I$6:$I117=$I117)*ISNUMBER($R$6:$R117)*($R$6:$R117=$R117))))</f>
        <v/>
      </c>
      <c r="AM117" s="89" t="n">
        <f aca="false">IF(AND(ISNUMBER($R117),$W117&lt;&gt;"",$Z117&lt;&gt;"",$AB117="XIRR"),$R117*$W117,0)</f>
        <v>0</v>
      </c>
      <c r="AN117" s="89" t="n">
        <f aca="false">IF(AND(ISNUMBER($R117),$W117&lt;&gt;"",$Z117&lt;&gt;"",$AB117="XIRR"),$R117,0)</f>
        <v>0</v>
      </c>
      <c r="AO117" s="89" t="n">
        <f aca="false">IF(AND(ISNUMBER($R117),$W117&lt;&gt;"",$Z117&lt;&gt;"",$AB117="XIRR"),$R117*$Z117,0)</f>
        <v>0</v>
      </c>
      <c r="AP117" s="89" t="n">
        <f aca="false">IF(AND(ISNUMBER($M117),$Y117&lt;&gt;"",ISNUMBER($T117)),$M117*$Y117,0)</f>
        <v>0</v>
      </c>
      <c r="AQ117" s="89" t="n">
        <f aca="false">IF(AND(ISNUMBER($M117),$Y117&lt;&gt;"",ISNUMBER($T117)),$M117,0)</f>
        <v>0</v>
      </c>
    </row>
    <row r="118" customFormat="false" ht="15" hidden="false" customHeight="false" outlineLevel="0" collapsed="false">
      <c r="A118" s="77"/>
      <c r="B118" s="78"/>
      <c r="C118" s="78"/>
      <c r="D118" s="79" t="str">
        <f aca="false">IF($AI118="","",INDEX(Accounts!$C$6:$C$55,$AI118)&amp;"")</f>
        <v/>
      </c>
      <c r="E118" s="79" t="str">
        <f aca="false">IF($AI118="","",INDEX(Accounts!$F$6:$F$55,$AI118)&amp;"")</f>
        <v/>
      </c>
      <c r="F118" s="79" t="str">
        <f aca="false">IF($AJ118="","",INDEX(Securities!$B$6:$B$105,$AJ118)&amp;"")</f>
        <v/>
      </c>
      <c r="G118" s="79" t="str">
        <f aca="false">IF($AJ118="","",INDEX(Securities!$F$6:$F$105,$AJ118)&amp;"")</f>
        <v/>
      </c>
      <c r="H118" s="79" t="str">
        <f aca="false">IF($AJ118="","",INDEX(Securities!$E$6:$E$105,$AJ118)&amp;"")</f>
        <v/>
      </c>
      <c r="I118" s="79" t="str">
        <f aca="false">IF($AJ118="","",INDEX(Securities!$H$6:$H$105,$AJ118)&amp;"")</f>
        <v/>
      </c>
      <c r="J118" s="80"/>
      <c r="K118" s="80"/>
      <c r="L118" s="81"/>
      <c r="M118" s="82"/>
      <c r="N118" s="83" t="str">
        <f aca="false">IF(OR($L118="",$M118=""),"",IF(N($L118)=0,"",$M118/$L118))</f>
        <v/>
      </c>
      <c r="O118" s="84" t="str">
        <f aca="false">IF($AJ118="","",IF(INDEX(Securities!$O$6:$O$105,$AJ118)="","",INDEX(Securities!$O$6:$O$105,$AJ118)))</f>
        <v/>
      </c>
      <c r="P118" s="79" t="str">
        <f aca="false">IF($AJ118="","",INDEX(Securities!$N$6:$N$105,$AJ118)&amp;"")</f>
        <v/>
      </c>
      <c r="Q118" s="82"/>
      <c r="R118" s="85" t="str">
        <f aca="false">IF($C118="","",IF($Q118&lt;&gt;"",$Q118,IF($P118="At cost",IF($M118="","",$M118),IF(OR($O118="",$L118=""),"",$L118*$O118))))</f>
        <v/>
      </c>
      <c r="S118" s="85" t="str">
        <f aca="false">IF(OR(NOT(ISNUMBER($R118)),$M118=""),"",$R118-$M118)</f>
        <v/>
      </c>
      <c r="T118" s="86" t="str">
        <f aca="false">IF(OR($S118="",N($M118)=0),"",$S118/$M118)</f>
        <v/>
      </c>
      <c r="U118" s="82"/>
      <c r="V118" s="82"/>
      <c r="W118" s="87"/>
      <c r="X118" s="79" t="str">
        <f aca="false">IF($AJ118="","",INDEX(Securities!$L$6:$L$105,$AJ118)&amp;"")</f>
        <v/>
      </c>
      <c r="Y118" s="87"/>
      <c r="Z118" s="87"/>
      <c r="AA118" s="86" t="str">
        <f aca="false">IF(OR($W118="",$Z118=""),"",$W118-$Z118)</f>
        <v/>
      </c>
      <c r="AB118" s="79" t="str">
        <f aca="false">IF($C118="","",IF($P118="At cost","At cost",IF(NOT(ISNUMBER($J118)),"No date",IF(ValDate-$J118&lt;365,"Absolute",IF($W118="","XIRR missing","XIRR")))))</f>
        <v/>
      </c>
      <c r="AC118" s="86" t="str">
        <f aca="false">IF(NOT(ISNUMBER($R118)),"",IF(SUM($R$6:$R$205)=0,"",$R118/SUM($R$6:$R$205)))</f>
        <v/>
      </c>
      <c r="AD118" s="82"/>
      <c r="AE118" s="80"/>
      <c r="AF118" s="78"/>
      <c r="AG118" s="88" t="str">
        <f aca="false">IF($C118="","",IF(COUNTIFS('Tax Lots'!$B$6:$B$205,$B118,'Tax Lots'!$C$6:$C$205,$C118)=0,"",SUMIFS('Tax Lots'!$P$6:$P$205,'Tax Lots'!$B$6:$B$205,$B118,'Tax Lots'!$C$6:$C$205,$C118)))</f>
        <v/>
      </c>
      <c r="AH118" s="79" t="str">
        <f aca="false">IF($A118&amp;$B118&amp;$C118="","",IF($A118="","Missing ID",IF(COUNTIF($A$6:$A$205,$A118)&gt;1,"Duplicate ID",IF($AI118="","Unknown account",IF($AJ118="","Unknown security",IF(COUNTIFS($B$6:$B$205,$B118,$C$6:$C$205,$C118)&gt;1,"Same security twice in one account",IF(AND(ISNUMBER($J118),ISNUMBER($K118),N($K118)&lt;N($J118)),"Last date before first",IF(NOT(ISNUMBER($R118)),"No market value",IF(OR(N($J118)&gt;ValDate,N($K118)&gt;ValDate),"Date after valuation",IF(AND(ISNUMBER($AG118),ABS(N($L118)-N($AG118))&gt;0.001),"Lot quantity differs",IF(AND(ISNUMBER($AG118),ABS(N($M118)-SUMIFS('Tax Lots'!$Q$6:$Q$205,'Tax Lots'!$B$6:$B$205,$B118,'Tax Lots'!$C$6:$C$205,$C118))&gt;1),"Lot cost differs",IF(AND(ISNUMBER($AG118),ABS(N($V118)-SUMIFS('Tax Lots'!$AA$6:$AA$205,'Tax Lots'!$B$6:$B$205,$B118,'Tax Lots'!$C$6:$C$205,$C118))&gt;1),"Lot realised gain differs","OK"))))))))))))</f>
        <v/>
      </c>
      <c r="AI118" s="89" t="str">
        <f aca="false">IF($B118="","",IFERROR(MATCH($B118,Accounts!$A$6:$A$55,0),""))</f>
        <v/>
      </c>
      <c r="AJ118" s="89" t="str">
        <f aca="false">IF($C118="","",IFERROR(MATCH($C118,Securities!$A$6:$A$105,0),""))</f>
        <v/>
      </c>
      <c r="AK118" s="89" t="str">
        <f aca="false">IF($AI118="","",INDEX(Accounts!$B$6:$B$55,$AI118)&amp;"")</f>
        <v/>
      </c>
      <c r="AL118" s="89" t="str">
        <f aca="false">IF(OR($C118="",$I118="",NOT(ISNUMBER($R118))),"",$I118&amp;"|"&amp;(SUMPRODUCT(($I$6:$I$205=$I118)*ISNUMBER($R$6:$R$205)*($R$6:$R$205&gt;$R118))+SUMPRODUCT(($I$6:$I118=$I118)*ISNUMBER($R$6:$R118)*($R$6:$R118=$R118))))</f>
        <v/>
      </c>
      <c r="AM118" s="89" t="n">
        <f aca="false">IF(AND(ISNUMBER($R118),$W118&lt;&gt;"",$Z118&lt;&gt;"",$AB118="XIRR"),$R118*$W118,0)</f>
        <v>0</v>
      </c>
      <c r="AN118" s="89" t="n">
        <f aca="false">IF(AND(ISNUMBER($R118),$W118&lt;&gt;"",$Z118&lt;&gt;"",$AB118="XIRR"),$R118,0)</f>
        <v>0</v>
      </c>
      <c r="AO118" s="89" t="n">
        <f aca="false">IF(AND(ISNUMBER($R118),$W118&lt;&gt;"",$Z118&lt;&gt;"",$AB118="XIRR"),$R118*$Z118,0)</f>
        <v>0</v>
      </c>
      <c r="AP118" s="89" t="n">
        <f aca="false">IF(AND(ISNUMBER($M118),$Y118&lt;&gt;"",ISNUMBER($T118)),$M118*$Y118,0)</f>
        <v>0</v>
      </c>
      <c r="AQ118" s="89" t="n">
        <f aca="false">IF(AND(ISNUMBER($M118),$Y118&lt;&gt;"",ISNUMBER($T118)),$M118,0)</f>
        <v>0</v>
      </c>
    </row>
    <row r="119" customFormat="false" ht="15" hidden="false" customHeight="false" outlineLevel="0" collapsed="false">
      <c r="A119" s="77"/>
      <c r="B119" s="78"/>
      <c r="C119" s="78"/>
      <c r="D119" s="79" t="str">
        <f aca="false">IF($AI119="","",INDEX(Accounts!$C$6:$C$55,$AI119)&amp;"")</f>
        <v/>
      </c>
      <c r="E119" s="79" t="str">
        <f aca="false">IF($AI119="","",INDEX(Accounts!$F$6:$F$55,$AI119)&amp;"")</f>
        <v/>
      </c>
      <c r="F119" s="79" t="str">
        <f aca="false">IF($AJ119="","",INDEX(Securities!$B$6:$B$105,$AJ119)&amp;"")</f>
        <v/>
      </c>
      <c r="G119" s="79" t="str">
        <f aca="false">IF($AJ119="","",INDEX(Securities!$F$6:$F$105,$AJ119)&amp;"")</f>
        <v/>
      </c>
      <c r="H119" s="79" t="str">
        <f aca="false">IF($AJ119="","",INDEX(Securities!$E$6:$E$105,$AJ119)&amp;"")</f>
        <v/>
      </c>
      <c r="I119" s="79" t="str">
        <f aca="false">IF($AJ119="","",INDEX(Securities!$H$6:$H$105,$AJ119)&amp;"")</f>
        <v/>
      </c>
      <c r="J119" s="80"/>
      <c r="K119" s="80"/>
      <c r="L119" s="81"/>
      <c r="M119" s="82"/>
      <c r="N119" s="83" t="str">
        <f aca="false">IF(OR($L119="",$M119=""),"",IF(N($L119)=0,"",$M119/$L119))</f>
        <v/>
      </c>
      <c r="O119" s="84" t="str">
        <f aca="false">IF($AJ119="","",IF(INDEX(Securities!$O$6:$O$105,$AJ119)="","",INDEX(Securities!$O$6:$O$105,$AJ119)))</f>
        <v/>
      </c>
      <c r="P119" s="79" t="str">
        <f aca="false">IF($AJ119="","",INDEX(Securities!$N$6:$N$105,$AJ119)&amp;"")</f>
        <v/>
      </c>
      <c r="Q119" s="82"/>
      <c r="R119" s="85" t="str">
        <f aca="false">IF($C119="","",IF($Q119&lt;&gt;"",$Q119,IF($P119="At cost",IF($M119="","",$M119),IF(OR($O119="",$L119=""),"",$L119*$O119))))</f>
        <v/>
      </c>
      <c r="S119" s="85" t="str">
        <f aca="false">IF(OR(NOT(ISNUMBER($R119)),$M119=""),"",$R119-$M119)</f>
        <v/>
      </c>
      <c r="T119" s="86" t="str">
        <f aca="false">IF(OR($S119="",N($M119)=0),"",$S119/$M119)</f>
        <v/>
      </c>
      <c r="U119" s="82"/>
      <c r="V119" s="82"/>
      <c r="W119" s="87"/>
      <c r="X119" s="79" t="str">
        <f aca="false">IF($AJ119="","",INDEX(Securities!$L$6:$L$105,$AJ119)&amp;"")</f>
        <v/>
      </c>
      <c r="Y119" s="87"/>
      <c r="Z119" s="87"/>
      <c r="AA119" s="86" t="str">
        <f aca="false">IF(OR($W119="",$Z119=""),"",$W119-$Z119)</f>
        <v/>
      </c>
      <c r="AB119" s="79" t="str">
        <f aca="false">IF($C119="","",IF($P119="At cost","At cost",IF(NOT(ISNUMBER($J119)),"No date",IF(ValDate-$J119&lt;365,"Absolute",IF($W119="","XIRR missing","XIRR")))))</f>
        <v/>
      </c>
      <c r="AC119" s="86" t="str">
        <f aca="false">IF(NOT(ISNUMBER($R119)),"",IF(SUM($R$6:$R$205)=0,"",$R119/SUM($R$6:$R$205)))</f>
        <v/>
      </c>
      <c r="AD119" s="82"/>
      <c r="AE119" s="80"/>
      <c r="AF119" s="78"/>
      <c r="AG119" s="88" t="str">
        <f aca="false">IF($C119="","",IF(COUNTIFS('Tax Lots'!$B$6:$B$205,$B119,'Tax Lots'!$C$6:$C$205,$C119)=0,"",SUMIFS('Tax Lots'!$P$6:$P$205,'Tax Lots'!$B$6:$B$205,$B119,'Tax Lots'!$C$6:$C$205,$C119)))</f>
        <v/>
      </c>
      <c r="AH119" s="79" t="str">
        <f aca="false">IF($A119&amp;$B119&amp;$C119="","",IF($A119="","Missing ID",IF(COUNTIF($A$6:$A$205,$A119)&gt;1,"Duplicate ID",IF($AI119="","Unknown account",IF($AJ119="","Unknown security",IF(COUNTIFS($B$6:$B$205,$B119,$C$6:$C$205,$C119)&gt;1,"Same security twice in one account",IF(AND(ISNUMBER($J119),ISNUMBER($K119),N($K119)&lt;N($J119)),"Last date before first",IF(NOT(ISNUMBER($R119)),"No market value",IF(OR(N($J119)&gt;ValDate,N($K119)&gt;ValDate),"Date after valuation",IF(AND(ISNUMBER($AG119),ABS(N($L119)-N($AG119))&gt;0.001),"Lot quantity differs",IF(AND(ISNUMBER($AG119),ABS(N($M119)-SUMIFS('Tax Lots'!$Q$6:$Q$205,'Tax Lots'!$B$6:$B$205,$B119,'Tax Lots'!$C$6:$C$205,$C119))&gt;1),"Lot cost differs",IF(AND(ISNUMBER($AG119),ABS(N($V119)-SUMIFS('Tax Lots'!$AA$6:$AA$205,'Tax Lots'!$B$6:$B$205,$B119,'Tax Lots'!$C$6:$C$205,$C119))&gt;1),"Lot realised gain differs","OK"))))))))))))</f>
        <v/>
      </c>
      <c r="AI119" s="89" t="str">
        <f aca="false">IF($B119="","",IFERROR(MATCH($B119,Accounts!$A$6:$A$55,0),""))</f>
        <v/>
      </c>
      <c r="AJ119" s="89" t="str">
        <f aca="false">IF($C119="","",IFERROR(MATCH($C119,Securities!$A$6:$A$105,0),""))</f>
        <v/>
      </c>
      <c r="AK119" s="89" t="str">
        <f aca="false">IF($AI119="","",INDEX(Accounts!$B$6:$B$55,$AI119)&amp;"")</f>
        <v/>
      </c>
      <c r="AL119" s="89" t="str">
        <f aca="false">IF(OR($C119="",$I119="",NOT(ISNUMBER($R119))),"",$I119&amp;"|"&amp;(SUMPRODUCT(($I$6:$I$205=$I119)*ISNUMBER($R$6:$R$205)*($R$6:$R$205&gt;$R119))+SUMPRODUCT(($I$6:$I119=$I119)*ISNUMBER($R$6:$R119)*($R$6:$R119=$R119))))</f>
        <v/>
      </c>
      <c r="AM119" s="89" t="n">
        <f aca="false">IF(AND(ISNUMBER($R119),$W119&lt;&gt;"",$Z119&lt;&gt;"",$AB119="XIRR"),$R119*$W119,0)</f>
        <v>0</v>
      </c>
      <c r="AN119" s="89" t="n">
        <f aca="false">IF(AND(ISNUMBER($R119),$W119&lt;&gt;"",$Z119&lt;&gt;"",$AB119="XIRR"),$R119,0)</f>
        <v>0</v>
      </c>
      <c r="AO119" s="89" t="n">
        <f aca="false">IF(AND(ISNUMBER($R119),$W119&lt;&gt;"",$Z119&lt;&gt;"",$AB119="XIRR"),$R119*$Z119,0)</f>
        <v>0</v>
      </c>
      <c r="AP119" s="89" t="n">
        <f aca="false">IF(AND(ISNUMBER($M119),$Y119&lt;&gt;"",ISNUMBER($T119)),$M119*$Y119,0)</f>
        <v>0</v>
      </c>
      <c r="AQ119" s="89" t="n">
        <f aca="false">IF(AND(ISNUMBER($M119),$Y119&lt;&gt;"",ISNUMBER($T119)),$M119,0)</f>
        <v>0</v>
      </c>
    </row>
    <row r="120" customFormat="false" ht="15" hidden="false" customHeight="false" outlineLevel="0" collapsed="false">
      <c r="A120" s="77"/>
      <c r="B120" s="78"/>
      <c r="C120" s="78"/>
      <c r="D120" s="79" t="str">
        <f aca="false">IF($AI120="","",INDEX(Accounts!$C$6:$C$55,$AI120)&amp;"")</f>
        <v/>
      </c>
      <c r="E120" s="79" t="str">
        <f aca="false">IF($AI120="","",INDEX(Accounts!$F$6:$F$55,$AI120)&amp;"")</f>
        <v/>
      </c>
      <c r="F120" s="79" t="str">
        <f aca="false">IF($AJ120="","",INDEX(Securities!$B$6:$B$105,$AJ120)&amp;"")</f>
        <v/>
      </c>
      <c r="G120" s="79" t="str">
        <f aca="false">IF($AJ120="","",INDEX(Securities!$F$6:$F$105,$AJ120)&amp;"")</f>
        <v/>
      </c>
      <c r="H120" s="79" t="str">
        <f aca="false">IF($AJ120="","",INDEX(Securities!$E$6:$E$105,$AJ120)&amp;"")</f>
        <v/>
      </c>
      <c r="I120" s="79" t="str">
        <f aca="false">IF($AJ120="","",INDEX(Securities!$H$6:$H$105,$AJ120)&amp;"")</f>
        <v/>
      </c>
      <c r="J120" s="80"/>
      <c r="K120" s="80"/>
      <c r="L120" s="81"/>
      <c r="M120" s="82"/>
      <c r="N120" s="83" t="str">
        <f aca="false">IF(OR($L120="",$M120=""),"",IF(N($L120)=0,"",$M120/$L120))</f>
        <v/>
      </c>
      <c r="O120" s="84" t="str">
        <f aca="false">IF($AJ120="","",IF(INDEX(Securities!$O$6:$O$105,$AJ120)="","",INDEX(Securities!$O$6:$O$105,$AJ120)))</f>
        <v/>
      </c>
      <c r="P120" s="79" t="str">
        <f aca="false">IF($AJ120="","",INDEX(Securities!$N$6:$N$105,$AJ120)&amp;"")</f>
        <v/>
      </c>
      <c r="Q120" s="82"/>
      <c r="R120" s="85" t="str">
        <f aca="false">IF($C120="","",IF($Q120&lt;&gt;"",$Q120,IF($P120="At cost",IF($M120="","",$M120),IF(OR($O120="",$L120=""),"",$L120*$O120))))</f>
        <v/>
      </c>
      <c r="S120" s="85" t="str">
        <f aca="false">IF(OR(NOT(ISNUMBER($R120)),$M120=""),"",$R120-$M120)</f>
        <v/>
      </c>
      <c r="T120" s="86" t="str">
        <f aca="false">IF(OR($S120="",N($M120)=0),"",$S120/$M120)</f>
        <v/>
      </c>
      <c r="U120" s="82"/>
      <c r="V120" s="82"/>
      <c r="W120" s="87"/>
      <c r="X120" s="79" t="str">
        <f aca="false">IF($AJ120="","",INDEX(Securities!$L$6:$L$105,$AJ120)&amp;"")</f>
        <v/>
      </c>
      <c r="Y120" s="87"/>
      <c r="Z120" s="87"/>
      <c r="AA120" s="86" t="str">
        <f aca="false">IF(OR($W120="",$Z120=""),"",$W120-$Z120)</f>
        <v/>
      </c>
      <c r="AB120" s="79" t="str">
        <f aca="false">IF($C120="","",IF($P120="At cost","At cost",IF(NOT(ISNUMBER($J120)),"No date",IF(ValDate-$J120&lt;365,"Absolute",IF($W120="","XIRR missing","XIRR")))))</f>
        <v/>
      </c>
      <c r="AC120" s="86" t="str">
        <f aca="false">IF(NOT(ISNUMBER($R120)),"",IF(SUM($R$6:$R$205)=0,"",$R120/SUM($R$6:$R$205)))</f>
        <v/>
      </c>
      <c r="AD120" s="82"/>
      <c r="AE120" s="80"/>
      <c r="AF120" s="78"/>
      <c r="AG120" s="88" t="str">
        <f aca="false">IF($C120="","",IF(COUNTIFS('Tax Lots'!$B$6:$B$205,$B120,'Tax Lots'!$C$6:$C$205,$C120)=0,"",SUMIFS('Tax Lots'!$P$6:$P$205,'Tax Lots'!$B$6:$B$205,$B120,'Tax Lots'!$C$6:$C$205,$C120)))</f>
        <v/>
      </c>
      <c r="AH120" s="79" t="str">
        <f aca="false">IF($A120&amp;$B120&amp;$C120="","",IF($A120="","Missing ID",IF(COUNTIF($A$6:$A$205,$A120)&gt;1,"Duplicate ID",IF($AI120="","Unknown account",IF($AJ120="","Unknown security",IF(COUNTIFS($B$6:$B$205,$B120,$C$6:$C$205,$C120)&gt;1,"Same security twice in one account",IF(AND(ISNUMBER($J120),ISNUMBER($K120),N($K120)&lt;N($J120)),"Last date before first",IF(NOT(ISNUMBER($R120)),"No market value",IF(OR(N($J120)&gt;ValDate,N($K120)&gt;ValDate),"Date after valuation",IF(AND(ISNUMBER($AG120),ABS(N($L120)-N($AG120))&gt;0.001),"Lot quantity differs",IF(AND(ISNUMBER($AG120),ABS(N($M120)-SUMIFS('Tax Lots'!$Q$6:$Q$205,'Tax Lots'!$B$6:$B$205,$B120,'Tax Lots'!$C$6:$C$205,$C120))&gt;1),"Lot cost differs",IF(AND(ISNUMBER($AG120),ABS(N($V120)-SUMIFS('Tax Lots'!$AA$6:$AA$205,'Tax Lots'!$B$6:$B$205,$B120,'Tax Lots'!$C$6:$C$205,$C120))&gt;1),"Lot realised gain differs","OK"))))))))))))</f>
        <v/>
      </c>
      <c r="AI120" s="89" t="str">
        <f aca="false">IF($B120="","",IFERROR(MATCH($B120,Accounts!$A$6:$A$55,0),""))</f>
        <v/>
      </c>
      <c r="AJ120" s="89" t="str">
        <f aca="false">IF($C120="","",IFERROR(MATCH($C120,Securities!$A$6:$A$105,0),""))</f>
        <v/>
      </c>
      <c r="AK120" s="89" t="str">
        <f aca="false">IF($AI120="","",INDEX(Accounts!$B$6:$B$55,$AI120)&amp;"")</f>
        <v/>
      </c>
      <c r="AL120" s="89" t="str">
        <f aca="false">IF(OR($C120="",$I120="",NOT(ISNUMBER($R120))),"",$I120&amp;"|"&amp;(SUMPRODUCT(($I$6:$I$205=$I120)*ISNUMBER($R$6:$R$205)*($R$6:$R$205&gt;$R120))+SUMPRODUCT(($I$6:$I120=$I120)*ISNUMBER($R$6:$R120)*($R$6:$R120=$R120))))</f>
        <v/>
      </c>
      <c r="AM120" s="89" t="n">
        <f aca="false">IF(AND(ISNUMBER($R120),$W120&lt;&gt;"",$Z120&lt;&gt;"",$AB120="XIRR"),$R120*$W120,0)</f>
        <v>0</v>
      </c>
      <c r="AN120" s="89" t="n">
        <f aca="false">IF(AND(ISNUMBER($R120),$W120&lt;&gt;"",$Z120&lt;&gt;"",$AB120="XIRR"),$R120,0)</f>
        <v>0</v>
      </c>
      <c r="AO120" s="89" t="n">
        <f aca="false">IF(AND(ISNUMBER($R120),$W120&lt;&gt;"",$Z120&lt;&gt;"",$AB120="XIRR"),$R120*$Z120,0)</f>
        <v>0</v>
      </c>
      <c r="AP120" s="89" t="n">
        <f aca="false">IF(AND(ISNUMBER($M120),$Y120&lt;&gt;"",ISNUMBER($T120)),$M120*$Y120,0)</f>
        <v>0</v>
      </c>
      <c r="AQ120" s="89" t="n">
        <f aca="false">IF(AND(ISNUMBER($M120),$Y120&lt;&gt;"",ISNUMBER($T120)),$M120,0)</f>
        <v>0</v>
      </c>
    </row>
    <row r="121" customFormat="false" ht="15" hidden="false" customHeight="false" outlineLevel="0" collapsed="false">
      <c r="A121" s="77"/>
      <c r="B121" s="78"/>
      <c r="C121" s="78"/>
      <c r="D121" s="79" t="str">
        <f aca="false">IF($AI121="","",INDEX(Accounts!$C$6:$C$55,$AI121)&amp;"")</f>
        <v/>
      </c>
      <c r="E121" s="79" t="str">
        <f aca="false">IF($AI121="","",INDEX(Accounts!$F$6:$F$55,$AI121)&amp;"")</f>
        <v/>
      </c>
      <c r="F121" s="79" t="str">
        <f aca="false">IF($AJ121="","",INDEX(Securities!$B$6:$B$105,$AJ121)&amp;"")</f>
        <v/>
      </c>
      <c r="G121" s="79" t="str">
        <f aca="false">IF($AJ121="","",INDEX(Securities!$F$6:$F$105,$AJ121)&amp;"")</f>
        <v/>
      </c>
      <c r="H121" s="79" t="str">
        <f aca="false">IF($AJ121="","",INDEX(Securities!$E$6:$E$105,$AJ121)&amp;"")</f>
        <v/>
      </c>
      <c r="I121" s="79" t="str">
        <f aca="false">IF($AJ121="","",INDEX(Securities!$H$6:$H$105,$AJ121)&amp;"")</f>
        <v/>
      </c>
      <c r="J121" s="80"/>
      <c r="K121" s="80"/>
      <c r="L121" s="81"/>
      <c r="M121" s="82"/>
      <c r="N121" s="83" t="str">
        <f aca="false">IF(OR($L121="",$M121=""),"",IF(N($L121)=0,"",$M121/$L121))</f>
        <v/>
      </c>
      <c r="O121" s="84" t="str">
        <f aca="false">IF($AJ121="","",IF(INDEX(Securities!$O$6:$O$105,$AJ121)="","",INDEX(Securities!$O$6:$O$105,$AJ121)))</f>
        <v/>
      </c>
      <c r="P121" s="79" t="str">
        <f aca="false">IF($AJ121="","",INDEX(Securities!$N$6:$N$105,$AJ121)&amp;"")</f>
        <v/>
      </c>
      <c r="Q121" s="82"/>
      <c r="R121" s="85" t="str">
        <f aca="false">IF($C121="","",IF($Q121&lt;&gt;"",$Q121,IF($P121="At cost",IF($M121="","",$M121),IF(OR($O121="",$L121=""),"",$L121*$O121))))</f>
        <v/>
      </c>
      <c r="S121" s="85" t="str">
        <f aca="false">IF(OR(NOT(ISNUMBER($R121)),$M121=""),"",$R121-$M121)</f>
        <v/>
      </c>
      <c r="T121" s="86" t="str">
        <f aca="false">IF(OR($S121="",N($M121)=0),"",$S121/$M121)</f>
        <v/>
      </c>
      <c r="U121" s="82"/>
      <c r="V121" s="82"/>
      <c r="W121" s="87"/>
      <c r="X121" s="79" t="str">
        <f aca="false">IF($AJ121="","",INDEX(Securities!$L$6:$L$105,$AJ121)&amp;"")</f>
        <v/>
      </c>
      <c r="Y121" s="87"/>
      <c r="Z121" s="87"/>
      <c r="AA121" s="86" t="str">
        <f aca="false">IF(OR($W121="",$Z121=""),"",$W121-$Z121)</f>
        <v/>
      </c>
      <c r="AB121" s="79" t="str">
        <f aca="false">IF($C121="","",IF($P121="At cost","At cost",IF(NOT(ISNUMBER($J121)),"No date",IF(ValDate-$J121&lt;365,"Absolute",IF($W121="","XIRR missing","XIRR")))))</f>
        <v/>
      </c>
      <c r="AC121" s="86" t="str">
        <f aca="false">IF(NOT(ISNUMBER($R121)),"",IF(SUM($R$6:$R$205)=0,"",$R121/SUM($R$6:$R$205)))</f>
        <v/>
      </c>
      <c r="AD121" s="82"/>
      <c r="AE121" s="80"/>
      <c r="AF121" s="78"/>
      <c r="AG121" s="88" t="str">
        <f aca="false">IF($C121="","",IF(COUNTIFS('Tax Lots'!$B$6:$B$205,$B121,'Tax Lots'!$C$6:$C$205,$C121)=0,"",SUMIFS('Tax Lots'!$P$6:$P$205,'Tax Lots'!$B$6:$B$205,$B121,'Tax Lots'!$C$6:$C$205,$C121)))</f>
        <v/>
      </c>
      <c r="AH121" s="79" t="str">
        <f aca="false">IF($A121&amp;$B121&amp;$C121="","",IF($A121="","Missing ID",IF(COUNTIF($A$6:$A$205,$A121)&gt;1,"Duplicate ID",IF($AI121="","Unknown account",IF($AJ121="","Unknown security",IF(COUNTIFS($B$6:$B$205,$B121,$C$6:$C$205,$C121)&gt;1,"Same security twice in one account",IF(AND(ISNUMBER($J121),ISNUMBER($K121),N($K121)&lt;N($J121)),"Last date before first",IF(NOT(ISNUMBER($R121)),"No market value",IF(OR(N($J121)&gt;ValDate,N($K121)&gt;ValDate),"Date after valuation",IF(AND(ISNUMBER($AG121),ABS(N($L121)-N($AG121))&gt;0.001),"Lot quantity differs",IF(AND(ISNUMBER($AG121),ABS(N($M121)-SUMIFS('Tax Lots'!$Q$6:$Q$205,'Tax Lots'!$B$6:$B$205,$B121,'Tax Lots'!$C$6:$C$205,$C121))&gt;1),"Lot cost differs",IF(AND(ISNUMBER($AG121),ABS(N($V121)-SUMIFS('Tax Lots'!$AA$6:$AA$205,'Tax Lots'!$B$6:$B$205,$B121,'Tax Lots'!$C$6:$C$205,$C121))&gt;1),"Lot realised gain differs","OK"))))))))))))</f>
        <v/>
      </c>
      <c r="AI121" s="89" t="str">
        <f aca="false">IF($B121="","",IFERROR(MATCH($B121,Accounts!$A$6:$A$55,0),""))</f>
        <v/>
      </c>
      <c r="AJ121" s="89" t="str">
        <f aca="false">IF($C121="","",IFERROR(MATCH($C121,Securities!$A$6:$A$105,0),""))</f>
        <v/>
      </c>
      <c r="AK121" s="89" t="str">
        <f aca="false">IF($AI121="","",INDEX(Accounts!$B$6:$B$55,$AI121)&amp;"")</f>
        <v/>
      </c>
      <c r="AL121" s="89" t="str">
        <f aca="false">IF(OR($C121="",$I121="",NOT(ISNUMBER($R121))),"",$I121&amp;"|"&amp;(SUMPRODUCT(($I$6:$I$205=$I121)*ISNUMBER($R$6:$R$205)*($R$6:$R$205&gt;$R121))+SUMPRODUCT(($I$6:$I121=$I121)*ISNUMBER($R$6:$R121)*($R$6:$R121=$R121))))</f>
        <v/>
      </c>
      <c r="AM121" s="89" t="n">
        <f aca="false">IF(AND(ISNUMBER($R121),$W121&lt;&gt;"",$Z121&lt;&gt;"",$AB121="XIRR"),$R121*$W121,0)</f>
        <v>0</v>
      </c>
      <c r="AN121" s="89" t="n">
        <f aca="false">IF(AND(ISNUMBER($R121),$W121&lt;&gt;"",$Z121&lt;&gt;"",$AB121="XIRR"),$R121,0)</f>
        <v>0</v>
      </c>
      <c r="AO121" s="89" t="n">
        <f aca="false">IF(AND(ISNUMBER($R121),$W121&lt;&gt;"",$Z121&lt;&gt;"",$AB121="XIRR"),$R121*$Z121,0)</f>
        <v>0</v>
      </c>
      <c r="AP121" s="89" t="n">
        <f aca="false">IF(AND(ISNUMBER($M121),$Y121&lt;&gt;"",ISNUMBER($T121)),$M121*$Y121,0)</f>
        <v>0</v>
      </c>
      <c r="AQ121" s="89" t="n">
        <f aca="false">IF(AND(ISNUMBER($M121),$Y121&lt;&gt;"",ISNUMBER($T121)),$M121,0)</f>
        <v>0</v>
      </c>
    </row>
    <row r="122" customFormat="false" ht="15" hidden="false" customHeight="false" outlineLevel="0" collapsed="false">
      <c r="A122" s="77"/>
      <c r="B122" s="78"/>
      <c r="C122" s="78"/>
      <c r="D122" s="79" t="str">
        <f aca="false">IF($AI122="","",INDEX(Accounts!$C$6:$C$55,$AI122)&amp;"")</f>
        <v/>
      </c>
      <c r="E122" s="79" t="str">
        <f aca="false">IF($AI122="","",INDEX(Accounts!$F$6:$F$55,$AI122)&amp;"")</f>
        <v/>
      </c>
      <c r="F122" s="79" t="str">
        <f aca="false">IF($AJ122="","",INDEX(Securities!$B$6:$B$105,$AJ122)&amp;"")</f>
        <v/>
      </c>
      <c r="G122" s="79" t="str">
        <f aca="false">IF($AJ122="","",INDEX(Securities!$F$6:$F$105,$AJ122)&amp;"")</f>
        <v/>
      </c>
      <c r="H122" s="79" t="str">
        <f aca="false">IF($AJ122="","",INDEX(Securities!$E$6:$E$105,$AJ122)&amp;"")</f>
        <v/>
      </c>
      <c r="I122" s="79" t="str">
        <f aca="false">IF($AJ122="","",INDEX(Securities!$H$6:$H$105,$AJ122)&amp;"")</f>
        <v/>
      </c>
      <c r="J122" s="80"/>
      <c r="K122" s="80"/>
      <c r="L122" s="81"/>
      <c r="M122" s="82"/>
      <c r="N122" s="83" t="str">
        <f aca="false">IF(OR($L122="",$M122=""),"",IF(N($L122)=0,"",$M122/$L122))</f>
        <v/>
      </c>
      <c r="O122" s="84" t="str">
        <f aca="false">IF($AJ122="","",IF(INDEX(Securities!$O$6:$O$105,$AJ122)="","",INDEX(Securities!$O$6:$O$105,$AJ122)))</f>
        <v/>
      </c>
      <c r="P122" s="79" t="str">
        <f aca="false">IF($AJ122="","",INDEX(Securities!$N$6:$N$105,$AJ122)&amp;"")</f>
        <v/>
      </c>
      <c r="Q122" s="82"/>
      <c r="R122" s="85" t="str">
        <f aca="false">IF($C122="","",IF($Q122&lt;&gt;"",$Q122,IF($P122="At cost",IF($M122="","",$M122),IF(OR($O122="",$L122=""),"",$L122*$O122))))</f>
        <v/>
      </c>
      <c r="S122" s="85" t="str">
        <f aca="false">IF(OR(NOT(ISNUMBER($R122)),$M122=""),"",$R122-$M122)</f>
        <v/>
      </c>
      <c r="T122" s="86" t="str">
        <f aca="false">IF(OR($S122="",N($M122)=0),"",$S122/$M122)</f>
        <v/>
      </c>
      <c r="U122" s="82"/>
      <c r="V122" s="82"/>
      <c r="W122" s="87"/>
      <c r="X122" s="79" t="str">
        <f aca="false">IF($AJ122="","",INDEX(Securities!$L$6:$L$105,$AJ122)&amp;"")</f>
        <v/>
      </c>
      <c r="Y122" s="87"/>
      <c r="Z122" s="87"/>
      <c r="AA122" s="86" t="str">
        <f aca="false">IF(OR($W122="",$Z122=""),"",$W122-$Z122)</f>
        <v/>
      </c>
      <c r="AB122" s="79" t="str">
        <f aca="false">IF($C122="","",IF($P122="At cost","At cost",IF(NOT(ISNUMBER($J122)),"No date",IF(ValDate-$J122&lt;365,"Absolute",IF($W122="","XIRR missing","XIRR")))))</f>
        <v/>
      </c>
      <c r="AC122" s="86" t="str">
        <f aca="false">IF(NOT(ISNUMBER($R122)),"",IF(SUM($R$6:$R$205)=0,"",$R122/SUM($R$6:$R$205)))</f>
        <v/>
      </c>
      <c r="AD122" s="82"/>
      <c r="AE122" s="80"/>
      <c r="AF122" s="78"/>
      <c r="AG122" s="88" t="str">
        <f aca="false">IF($C122="","",IF(COUNTIFS('Tax Lots'!$B$6:$B$205,$B122,'Tax Lots'!$C$6:$C$205,$C122)=0,"",SUMIFS('Tax Lots'!$P$6:$P$205,'Tax Lots'!$B$6:$B$205,$B122,'Tax Lots'!$C$6:$C$205,$C122)))</f>
        <v/>
      </c>
      <c r="AH122" s="79" t="str">
        <f aca="false">IF($A122&amp;$B122&amp;$C122="","",IF($A122="","Missing ID",IF(COUNTIF($A$6:$A$205,$A122)&gt;1,"Duplicate ID",IF($AI122="","Unknown account",IF($AJ122="","Unknown security",IF(COUNTIFS($B$6:$B$205,$B122,$C$6:$C$205,$C122)&gt;1,"Same security twice in one account",IF(AND(ISNUMBER($J122),ISNUMBER($K122),N($K122)&lt;N($J122)),"Last date before first",IF(NOT(ISNUMBER($R122)),"No market value",IF(OR(N($J122)&gt;ValDate,N($K122)&gt;ValDate),"Date after valuation",IF(AND(ISNUMBER($AG122),ABS(N($L122)-N($AG122))&gt;0.001),"Lot quantity differs",IF(AND(ISNUMBER($AG122),ABS(N($M122)-SUMIFS('Tax Lots'!$Q$6:$Q$205,'Tax Lots'!$B$6:$B$205,$B122,'Tax Lots'!$C$6:$C$205,$C122))&gt;1),"Lot cost differs",IF(AND(ISNUMBER($AG122),ABS(N($V122)-SUMIFS('Tax Lots'!$AA$6:$AA$205,'Tax Lots'!$B$6:$B$205,$B122,'Tax Lots'!$C$6:$C$205,$C122))&gt;1),"Lot realised gain differs","OK"))))))))))))</f>
        <v/>
      </c>
      <c r="AI122" s="89" t="str">
        <f aca="false">IF($B122="","",IFERROR(MATCH($B122,Accounts!$A$6:$A$55,0),""))</f>
        <v/>
      </c>
      <c r="AJ122" s="89" t="str">
        <f aca="false">IF($C122="","",IFERROR(MATCH($C122,Securities!$A$6:$A$105,0),""))</f>
        <v/>
      </c>
      <c r="AK122" s="89" t="str">
        <f aca="false">IF($AI122="","",INDEX(Accounts!$B$6:$B$55,$AI122)&amp;"")</f>
        <v/>
      </c>
      <c r="AL122" s="89" t="str">
        <f aca="false">IF(OR($C122="",$I122="",NOT(ISNUMBER($R122))),"",$I122&amp;"|"&amp;(SUMPRODUCT(($I$6:$I$205=$I122)*ISNUMBER($R$6:$R$205)*($R$6:$R$205&gt;$R122))+SUMPRODUCT(($I$6:$I122=$I122)*ISNUMBER($R$6:$R122)*($R$6:$R122=$R122))))</f>
        <v/>
      </c>
      <c r="AM122" s="89" t="n">
        <f aca="false">IF(AND(ISNUMBER($R122),$W122&lt;&gt;"",$Z122&lt;&gt;"",$AB122="XIRR"),$R122*$W122,0)</f>
        <v>0</v>
      </c>
      <c r="AN122" s="89" t="n">
        <f aca="false">IF(AND(ISNUMBER($R122),$W122&lt;&gt;"",$Z122&lt;&gt;"",$AB122="XIRR"),$R122,0)</f>
        <v>0</v>
      </c>
      <c r="AO122" s="89" t="n">
        <f aca="false">IF(AND(ISNUMBER($R122),$W122&lt;&gt;"",$Z122&lt;&gt;"",$AB122="XIRR"),$R122*$Z122,0)</f>
        <v>0</v>
      </c>
      <c r="AP122" s="89" t="n">
        <f aca="false">IF(AND(ISNUMBER($M122),$Y122&lt;&gt;"",ISNUMBER($T122)),$M122*$Y122,0)</f>
        <v>0</v>
      </c>
      <c r="AQ122" s="89" t="n">
        <f aca="false">IF(AND(ISNUMBER($M122),$Y122&lt;&gt;"",ISNUMBER($T122)),$M122,0)</f>
        <v>0</v>
      </c>
    </row>
    <row r="123" customFormat="false" ht="15" hidden="false" customHeight="false" outlineLevel="0" collapsed="false">
      <c r="A123" s="77"/>
      <c r="B123" s="78"/>
      <c r="C123" s="78"/>
      <c r="D123" s="79" t="str">
        <f aca="false">IF($AI123="","",INDEX(Accounts!$C$6:$C$55,$AI123)&amp;"")</f>
        <v/>
      </c>
      <c r="E123" s="79" t="str">
        <f aca="false">IF($AI123="","",INDEX(Accounts!$F$6:$F$55,$AI123)&amp;"")</f>
        <v/>
      </c>
      <c r="F123" s="79" t="str">
        <f aca="false">IF($AJ123="","",INDEX(Securities!$B$6:$B$105,$AJ123)&amp;"")</f>
        <v/>
      </c>
      <c r="G123" s="79" t="str">
        <f aca="false">IF($AJ123="","",INDEX(Securities!$F$6:$F$105,$AJ123)&amp;"")</f>
        <v/>
      </c>
      <c r="H123" s="79" t="str">
        <f aca="false">IF($AJ123="","",INDEX(Securities!$E$6:$E$105,$AJ123)&amp;"")</f>
        <v/>
      </c>
      <c r="I123" s="79" t="str">
        <f aca="false">IF($AJ123="","",INDEX(Securities!$H$6:$H$105,$AJ123)&amp;"")</f>
        <v/>
      </c>
      <c r="J123" s="80"/>
      <c r="K123" s="80"/>
      <c r="L123" s="81"/>
      <c r="M123" s="82"/>
      <c r="N123" s="83" t="str">
        <f aca="false">IF(OR($L123="",$M123=""),"",IF(N($L123)=0,"",$M123/$L123))</f>
        <v/>
      </c>
      <c r="O123" s="84" t="str">
        <f aca="false">IF($AJ123="","",IF(INDEX(Securities!$O$6:$O$105,$AJ123)="","",INDEX(Securities!$O$6:$O$105,$AJ123)))</f>
        <v/>
      </c>
      <c r="P123" s="79" t="str">
        <f aca="false">IF($AJ123="","",INDEX(Securities!$N$6:$N$105,$AJ123)&amp;"")</f>
        <v/>
      </c>
      <c r="Q123" s="82"/>
      <c r="R123" s="85" t="str">
        <f aca="false">IF($C123="","",IF($Q123&lt;&gt;"",$Q123,IF($P123="At cost",IF($M123="","",$M123),IF(OR($O123="",$L123=""),"",$L123*$O123))))</f>
        <v/>
      </c>
      <c r="S123" s="85" t="str">
        <f aca="false">IF(OR(NOT(ISNUMBER($R123)),$M123=""),"",$R123-$M123)</f>
        <v/>
      </c>
      <c r="T123" s="86" t="str">
        <f aca="false">IF(OR($S123="",N($M123)=0),"",$S123/$M123)</f>
        <v/>
      </c>
      <c r="U123" s="82"/>
      <c r="V123" s="82"/>
      <c r="W123" s="87"/>
      <c r="X123" s="79" t="str">
        <f aca="false">IF($AJ123="","",INDEX(Securities!$L$6:$L$105,$AJ123)&amp;"")</f>
        <v/>
      </c>
      <c r="Y123" s="87"/>
      <c r="Z123" s="87"/>
      <c r="AA123" s="86" t="str">
        <f aca="false">IF(OR($W123="",$Z123=""),"",$W123-$Z123)</f>
        <v/>
      </c>
      <c r="AB123" s="79" t="str">
        <f aca="false">IF($C123="","",IF($P123="At cost","At cost",IF(NOT(ISNUMBER($J123)),"No date",IF(ValDate-$J123&lt;365,"Absolute",IF($W123="","XIRR missing","XIRR")))))</f>
        <v/>
      </c>
      <c r="AC123" s="86" t="str">
        <f aca="false">IF(NOT(ISNUMBER($R123)),"",IF(SUM($R$6:$R$205)=0,"",$R123/SUM($R$6:$R$205)))</f>
        <v/>
      </c>
      <c r="AD123" s="82"/>
      <c r="AE123" s="80"/>
      <c r="AF123" s="78"/>
      <c r="AG123" s="88" t="str">
        <f aca="false">IF($C123="","",IF(COUNTIFS('Tax Lots'!$B$6:$B$205,$B123,'Tax Lots'!$C$6:$C$205,$C123)=0,"",SUMIFS('Tax Lots'!$P$6:$P$205,'Tax Lots'!$B$6:$B$205,$B123,'Tax Lots'!$C$6:$C$205,$C123)))</f>
        <v/>
      </c>
      <c r="AH123" s="79" t="str">
        <f aca="false">IF($A123&amp;$B123&amp;$C123="","",IF($A123="","Missing ID",IF(COUNTIF($A$6:$A$205,$A123)&gt;1,"Duplicate ID",IF($AI123="","Unknown account",IF($AJ123="","Unknown security",IF(COUNTIFS($B$6:$B$205,$B123,$C$6:$C$205,$C123)&gt;1,"Same security twice in one account",IF(AND(ISNUMBER($J123),ISNUMBER($K123),N($K123)&lt;N($J123)),"Last date before first",IF(NOT(ISNUMBER($R123)),"No market value",IF(OR(N($J123)&gt;ValDate,N($K123)&gt;ValDate),"Date after valuation",IF(AND(ISNUMBER($AG123),ABS(N($L123)-N($AG123))&gt;0.001),"Lot quantity differs",IF(AND(ISNUMBER($AG123),ABS(N($M123)-SUMIFS('Tax Lots'!$Q$6:$Q$205,'Tax Lots'!$B$6:$B$205,$B123,'Tax Lots'!$C$6:$C$205,$C123))&gt;1),"Lot cost differs",IF(AND(ISNUMBER($AG123),ABS(N($V123)-SUMIFS('Tax Lots'!$AA$6:$AA$205,'Tax Lots'!$B$6:$B$205,$B123,'Tax Lots'!$C$6:$C$205,$C123))&gt;1),"Lot realised gain differs","OK"))))))))))))</f>
        <v/>
      </c>
      <c r="AI123" s="89" t="str">
        <f aca="false">IF($B123="","",IFERROR(MATCH($B123,Accounts!$A$6:$A$55,0),""))</f>
        <v/>
      </c>
      <c r="AJ123" s="89" t="str">
        <f aca="false">IF($C123="","",IFERROR(MATCH($C123,Securities!$A$6:$A$105,0),""))</f>
        <v/>
      </c>
      <c r="AK123" s="89" t="str">
        <f aca="false">IF($AI123="","",INDEX(Accounts!$B$6:$B$55,$AI123)&amp;"")</f>
        <v/>
      </c>
      <c r="AL123" s="89" t="str">
        <f aca="false">IF(OR($C123="",$I123="",NOT(ISNUMBER($R123))),"",$I123&amp;"|"&amp;(SUMPRODUCT(($I$6:$I$205=$I123)*ISNUMBER($R$6:$R$205)*($R$6:$R$205&gt;$R123))+SUMPRODUCT(($I$6:$I123=$I123)*ISNUMBER($R$6:$R123)*($R$6:$R123=$R123))))</f>
        <v/>
      </c>
      <c r="AM123" s="89" t="n">
        <f aca="false">IF(AND(ISNUMBER($R123),$W123&lt;&gt;"",$Z123&lt;&gt;"",$AB123="XIRR"),$R123*$W123,0)</f>
        <v>0</v>
      </c>
      <c r="AN123" s="89" t="n">
        <f aca="false">IF(AND(ISNUMBER($R123),$W123&lt;&gt;"",$Z123&lt;&gt;"",$AB123="XIRR"),$R123,0)</f>
        <v>0</v>
      </c>
      <c r="AO123" s="89" t="n">
        <f aca="false">IF(AND(ISNUMBER($R123),$W123&lt;&gt;"",$Z123&lt;&gt;"",$AB123="XIRR"),$R123*$Z123,0)</f>
        <v>0</v>
      </c>
      <c r="AP123" s="89" t="n">
        <f aca="false">IF(AND(ISNUMBER($M123),$Y123&lt;&gt;"",ISNUMBER($T123)),$M123*$Y123,0)</f>
        <v>0</v>
      </c>
      <c r="AQ123" s="89" t="n">
        <f aca="false">IF(AND(ISNUMBER($M123),$Y123&lt;&gt;"",ISNUMBER($T123)),$M123,0)</f>
        <v>0</v>
      </c>
    </row>
    <row r="124" customFormat="false" ht="15" hidden="false" customHeight="false" outlineLevel="0" collapsed="false">
      <c r="A124" s="77"/>
      <c r="B124" s="78"/>
      <c r="C124" s="78"/>
      <c r="D124" s="79" t="str">
        <f aca="false">IF($AI124="","",INDEX(Accounts!$C$6:$C$55,$AI124)&amp;"")</f>
        <v/>
      </c>
      <c r="E124" s="79" t="str">
        <f aca="false">IF($AI124="","",INDEX(Accounts!$F$6:$F$55,$AI124)&amp;"")</f>
        <v/>
      </c>
      <c r="F124" s="79" t="str">
        <f aca="false">IF($AJ124="","",INDEX(Securities!$B$6:$B$105,$AJ124)&amp;"")</f>
        <v/>
      </c>
      <c r="G124" s="79" t="str">
        <f aca="false">IF($AJ124="","",INDEX(Securities!$F$6:$F$105,$AJ124)&amp;"")</f>
        <v/>
      </c>
      <c r="H124" s="79" t="str">
        <f aca="false">IF($AJ124="","",INDEX(Securities!$E$6:$E$105,$AJ124)&amp;"")</f>
        <v/>
      </c>
      <c r="I124" s="79" t="str">
        <f aca="false">IF($AJ124="","",INDEX(Securities!$H$6:$H$105,$AJ124)&amp;"")</f>
        <v/>
      </c>
      <c r="J124" s="80"/>
      <c r="K124" s="80"/>
      <c r="L124" s="81"/>
      <c r="M124" s="82"/>
      <c r="N124" s="83" t="str">
        <f aca="false">IF(OR($L124="",$M124=""),"",IF(N($L124)=0,"",$M124/$L124))</f>
        <v/>
      </c>
      <c r="O124" s="84" t="str">
        <f aca="false">IF($AJ124="","",IF(INDEX(Securities!$O$6:$O$105,$AJ124)="","",INDEX(Securities!$O$6:$O$105,$AJ124)))</f>
        <v/>
      </c>
      <c r="P124" s="79" t="str">
        <f aca="false">IF($AJ124="","",INDEX(Securities!$N$6:$N$105,$AJ124)&amp;"")</f>
        <v/>
      </c>
      <c r="Q124" s="82"/>
      <c r="R124" s="85" t="str">
        <f aca="false">IF($C124="","",IF($Q124&lt;&gt;"",$Q124,IF($P124="At cost",IF($M124="","",$M124),IF(OR($O124="",$L124=""),"",$L124*$O124))))</f>
        <v/>
      </c>
      <c r="S124" s="85" t="str">
        <f aca="false">IF(OR(NOT(ISNUMBER($R124)),$M124=""),"",$R124-$M124)</f>
        <v/>
      </c>
      <c r="T124" s="86" t="str">
        <f aca="false">IF(OR($S124="",N($M124)=0),"",$S124/$M124)</f>
        <v/>
      </c>
      <c r="U124" s="82"/>
      <c r="V124" s="82"/>
      <c r="W124" s="87"/>
      <c r="X124" s="79" t="str">
        <f aca="false">IF($AJ124="","",INDEX(Securities!$L$6:$L$105,$AJ124)&amp;"")</f>
        <v/>
      </c>
      <c r="Y124" s="87"/>
      <c r="Z124" s="87"/>
      <c r="AA124" s="86" t="str">
        <f aca="false">IF(OR($W124="",$Z124=""),"",$W124-$Z124)</f>
        <v/>
      </c>
      <c r="AB124" s="79" t="str">
        <f aca="false">IF($C124="","",IF($P124="At cost","At cost",IF(NOT(ISNUMBER($J124)),"No date",IF(ValDate-$J124&lt;365,"Absolute",IF($W124="","XIRR missing","XIRR")))))</f>
        <v/>
      </c>
      <c r="AC124" s="86" t="str">
        <f aca="false">IF(NOT(ISNUMBER($R124)),"",IF(SUM($R$6:$R$205)=0,"",$R124/SUM($R$6:$R$205)))</f>
        <v/>
      </c>
      <c r="AD124" s="82"/>
      <c r="AE124" s="80"/>
      <c r="AF124" s="78"/>
      <c r="AG124" s="88" t="str">
        <f aca="false">IF($C124="","",IF(COUNTIFS('Tax Lots'!$B$6:$B$205,$B124,'Tax Lots'!$C$6:$C$205,$C124)=0,"",SUMIFS('Tax Lots'!$P$6:$P$205,'Tax Lots'!$B$6:$B$205,$B124,'Tax Lots'!$C$6:$C$205,$C124)))</f>
        <v/>
      </c>
      <c r="AH124" s="79" t="str">
        <f aca="false">IF($A124&amp;$B124&amp;$C124="","",IF($A124="","Missing ID",IF(COUNTIF($A$6:$A$205,$A124)&gt;1,"Duplicate ID",IF($AI124="","Unknown account",IF($AJ124="","Unknown security",IF(COUNTIFS($B$6:$B$205,$B124,$C$6:$C$205,$C124)&gt;1,"Same security twice in one account",IF(AND(ISNUMBER($J124),ISNUMBER($K124),N($K124)&lt;N($J124)),"Last date before first",IF(NOT(ISNUMBER($R124)),"No market value",IF(OR(N($J124)&gt;ValDate,N($K124)&gt;ValDate),"Date after valuation",IF(AND(ISNUMBER($AG124),ABS(N($L124)-N($AG124))&gt;0.001),"Lot quantity differs",IF(AND(ISNUMBER($AG124),ABS(N($M124)-SUMIFS('Tax Lots'!$Q$6:$Q$205,'Tax Lots'!$B$6:$B$205,$B124,'Tax Lots'!$C$6:$C$205,$C124))&gt;1),"Lot cost differs",IF(AND(ISNUMBER($AG124),ABS(N($V124)-SUMIFS('Tax Lots'!$AA$6:$AA$205,'Tax Lots'!$B$6:$B$205,$B124,'Tax Lots'!$C$6:$C$205,$C124))&gt;1),"Lot realised gain differs","OK"))))))))))))</f>
        <v/>
      </c>
      <c r="AI124" s="89" t="str">
        <f aca="false">IF($B124="","",IFERROR(MATCH($B124,Accounts!$A$6:$A$55,0),""))</f>
        <v/>
      </c>
      <c r="AJ124" s="89" t="str">
        <f aca="false">IF($C124="","",IFERROR(MATCH($C124,Securities!$A$6:$A$105,0),""))</f>
        <v/>
      </c>
      <c r="AK124" s="89" t="str">
        <f aca="false">IF($AI124="","",INDEX(Accounts!$B$6:$B$55,$AI124)&amp;"")</f>
        <v/>
      </c>
      <c r="AL124" s="89" t="str">
        <f aca="false">IF(OR($C124="",$I124="",NOT(ISNUMBER($R124))),"",$I124&amp;"|"&amp;(SUMPRODUCT(($I$6:$I$205=$I124)*ISNUMBER($R$6:$R$205)*($R$6:$R$205&gt;$R124))+SUMPRODUCT(($I$6:$I124=$I124)*ISNUMBER($R$6:$R124)*($R$6:$R124=$R124))))</f>
        <v/>
      </c>
      <c r="AM124" s="89" t="n">
        <f aca="false">IF(AND(ISNUMBER($R124),$W124&lt;&gt;"",$Z124&lt;&gt;"",$AB124="XIRR"),$R124*$W124,0)</f>
        <v>0</v>
      </c>
      <c r="AN124" s="89" t="n">
        <f aca="false">IF(AND(ISNUMBER($R124),$W124&lt;&gt;"",$Z124&lt;&gt;"",$AB124="XIRR"),$R124,0)</f>
        <v>0</v>
      </c>
      <c r="AO124" s="89" t="n">
        <f aca="false">IF(AND(ISNUMBER($R124),$W124&lt;&gt;"",$Z124&lt;&gt;"",$AB124="XIRR"),$R124*$Z124,0)</f>
        <v>0</v>
      </c>
      <c r="AP124" s="89" t="n">
        <f aca="false">IF(AND(ISNUMBER($M124),$Y124&lt;&gt;"",ISNUMBER($T124)),$M124*$Y124,0)</f>
        <v>0</v>
      </c>
      <c r="AQ124" s="89" t="n">
        <f aca="false">IF(AND(ISNUMBER($M124),$Y124&lt;&gt;"",ISNUMBER($T124)),$M124,0)</f>
        <v>0</v>
      </c>
    </row>
    <row r="125" customFormat="false" ht="15" hidden="false" customHeight="false" outlineLevel="0" collapsed="false">
      <c r="A125" s="77"/>
      <c r="B125" s="78"/>
      <c r="C125" s="78"/>
      <c r="D125" s="79" t="str">
        <f aca="false">IF($AI125="","",INDEX(Accounts!$C$6:$C$55,$AI125)&amp;"")</f>
        <v/>
      </c>
      <c r="E125" s="79" t="str">
        <f aca="false">IF($AI125="","",INDEX(Accounts!$F$6:$F$55,$AI125)&amp;"")</f>
        <v/>
      </c>
      <c r="F125" s="79" t="str">
        <f aca="false">IF($AJ125="","",INDEX(Securities!$B$6:$B$105,$AJ125)&amp;"")</f>
        <v/>
      </c>
      <c r="G125" s="79" t="str">
        <f aca="false">IF($AJ125="","",INDEX(Securities!$F$6:$F$105,$AJ125)&amp;"")</f>
        <v/>
      </c>
      <c r="H125" s="79" t="str">
        <f aca="false">IF($AJ125="","",INDEX(Securities!$E$6:$E$105,$AJ125)&amp;"")</f>
        <v/>
      </c>
      <c r="I125" s="79" t="str">
        <f aca="false">IF($AJ125="","",INDEX(Securities!$H$6:$H$105,$AJ125)&amp;"")</f>
        <v/>
      </c>
      <c r="J125" s="80"/>
      <c r="K125" s="80"/>
      <c r="L125" s="81"/>
      <c r="M125" s="82"/>
      <c r="N125" s="83" t="str">
        <f aca="false">IF(OR($L125="",$M125=""),"",IF(N($L125)=0,"",$M125/$L125))</f>
        <v/>
      </c>
      <c r="O125" s="84" t="str">
        <f aca="false">IF($AJ125="","",IF(INDEX(Securities!$O$6:$O$105,$AJ125)="","",INDEX(Securities!$O$6:$O$105,$AJ125)))</f>
        <v/>
      </c>
      <c r="P125" s="79" t="str">
        <f aca="false">IF($AJ125="","",INDEX(Securities!$N$6:$N$105,$AJ125)&amp;"")</f>
        <v/>
      </c>
      <c r="Q125" s="82"/>
      <c r="R125" s="85" t="str">
        <f aca="false">IF($C125="","",IF($Q125&lt;&gt;"",$Q125,IF($P125="At cost",IF($M125="","",$M125),IF(OR($O125="",$L125=""),"",$L125*$O125))))</f>
        <v/>
      </c>
      <c r="S125" s="85" t="str">
        <f aca="false">IF(OR(NOT(ISNUMBER($R125)),$M125=""),"",$R125-$M125)</f>
        <v/>
      </c>
      <c r="T125" s="86" t="str">
        <f aca="false">IF(OR($S125="",N($M125)=0),"",$S125/$M125)</f>
        <v/>
      </c>
      <c r="U125" s="82"/>
      <c r="V125" s="82"/>
      <c r="W125" s="87"/>
      <c r="X125" s="79" t="str">
        <f aca="false">IF($AJ125="","",INDEX(Securities!$L$6:$L$105,$AJ125)&amp;"")</f>
        <v/>
      </c>
      <c r="Y125" s="87"/>
      <c r="Z125" s="87"/>
      <c r="AA125" s="86" t="str">
        <f aca="false">IF(OR($W125="",$Z125=""),"",$W125-$Z125)</f>
        <v/>
      </c>
      <c r="AB125" s="79" t="str">
        <f aca="false">IF($C125="","",IF($P125="At cost","At cost",IF(NOT(ISNUMBER($J125)),"No date",IF(ValDate-$J125&lt;365,"Absolute",IF($W125="","XIRR missing","XIRR")))))</f>
        <v/>
      </c>
      <c r="AC125" s="86" t="str">
        <f aca="false">IF(NOT(ISNUMBER($R125)),"",IF(SUM($R$6:$R$205)=0,"",$R125/SUM($R$6:$R$205)))</f>
        <v/>
      </c>
      <c r="AD125" s="82"/>
      <c r="AE125" s="80"/>
      <c r="AF125" s="78"/>
      <c r="AG125" s="88" t="str">
        <f aca="false">IF($C125="","",IF(COUNTIFS('Tax Lots'!$B$6:$B$205,$B125,'Tax Lots'!$C$6:$C$205,$C125)=0,"",SUMIFS('Tax Lots'!$P$6:$P$205,'Tax Lots'!$B$6:$B$205,$B125,'Tax Lots'!$C$6:$C$205,$C125)))</f>
        <v/>
      </c>
      <c r="AH125" s="79" t="str">
        <f aca="false">IF($A125&amp;$B125&amp;$C125="","",IF($A125="","Missing ID",IF(COUNTIF($A$6:$A$205,$A125)&gt;1,"Duplicate ID",IF($AI125="","Unknown account",IF($AJ125="","Unknown security",IF(COUNTIFS($B$6:$B$205,$B125,$C$6:$C$205,$C125)&gt;1,"Same security twice in one account",IF(AND(ISNUMBER($J125),ISNUMBER($K125),N($K125)&lt;N($J125)),"Last date before first",IF(NOT(ISNUMBER($R125)),"No market value",IF(OR(N($J125)&gt;ValDate,N($K125)&gt;ValDate),"Date after valuation",IF(AND(ISNUMBER($AG125),ABS(N($L125)-N($AG125))&gt;0.001),"Lot quantity differs",IF(AND(ISNUMBER($AG125),ABS(N($M125)-SUMIFS('Tax Lots'!$Q$6:$Q$205,'Tax Lots'!$B$6:$B$205,$B125,'Tax Lots'!$C$6:$C$205,$C125))&gt;1),"Lot cost differs",IF(AND(ISNUMBER($AG125),ABS(N($V125)-SUMIFS('Tax Lots'!$AA$6:$AA$205,'Tax Lots'!$B$6:$B$205,$B125,'Tax Lots'!$C$6:$C$205,$C125))&gt;1),"Lot realised gain differs","OK"))))))))))))</f>
        <v/>
      </c>
      <c r="AI125" s="89" t="str">
        <f aca="false">IF($B125="","",IFERROR(MATCH($B125,Accounts!$A$6:$A$55,0),""))</f>
        <v/>
      </c>
      <c r="AJ125" s="89" t="str">
        <f aca="false">IF($C125="","",IFERROR(MATCH($C125,Securities!$A$6:$A$105,0),""))</f>
        <v/>
      </c>
      <c r="AK125" s="89" t="str">
        <f aca="false">IF($AI125="","",INDEX(Accounts!$B$6:$B$55,$AI125)&amp;"")</f>
        <v/>
      </c>
      <c r="AL125" s="89" t="str">
        <f aca="false">IF(OR($C125="",$I125="",NOT(ISNUMBER($R125))),"",$I125&amp;"|"&amp;(SUMPRODUCT(($I$6:$I$205=$I125)*ISNUMBER($R$6:$R$205)*($R$6:$R$205&gt;$R125))+SUMPRODUCT(($I$6:$I125=$I125)*ISNUMBER($R$6:$R125)*($R$6:$R125=$R125))))</f>
        <v/>
      </c>
      <c r="AM125" s="89" t="n">
        <f aca="false">IF(AND(ISNUMBER($R125),$W125&lt;&gt;"",$Z125&lt;&gt;"",$AB125="XIRR"),$R125*$W125,0)</f>
        <v>0</v>
      </c>
      <c r="AN125" s="89" t="n">
        <f aca="false">IF(AND(ISNUMBER($R125),$W125&lt;&gt;"",$Z125&lt;&gt;"",$AB125="XIRR"),$R125,0)</f>
        <v>0</v>
      </c>
      <c r="AO125" s="89" t="n">
        <f aca="false">IF(AND(ISNUMBER($R125),$W125&lt;&gt;"",$Z125&lt;&gt;"",$AB125="XIRR"),$R125*$Z125,0)</f>
        <v>0</v>
      </c>
      <c r="AP125" s="89" t="n">
        <f aca="false">IF(AND(ISNUMBER($M125),$Y125&lt;&gt;"",ISNUMBER($T125)),$M125*$Y125,0)</f>
        <v>0</v>
      </c>
      <c r="AQ125" s="89" t="n">
        <f aca="false">IF(AND(ISNUMBER($M125),$Y125&lt;&gt;"",ISNUMBER($T125)),$M125,0)</f>
        <v>0</v>
      </c>
    </row>
    <row r="126" customFormat="false" ht="15" hidden="false" customHeight="false" outlineLevel="0" collapsed="false">
      <c r="A126" s="77"/>
      <c r="B126" s="78"/>
      <c r="C126" s="78"/>
      <c r="D126" s="79" t="str">
        <f aca="false">IF($AI126="","",INDEX(Accounts!$C$6:$C$55,$AI126)&amp;"")</f>
        <v/>
      </c>
      <c r="E126" s="79" t="str">
        <f aca="false">IF($AI126="","",INDEX(Accounts!$F$6:$F$55,$AI126)&amp;"")</f>
        <v/>
      </c>
      <c r="F126" s="79" t="str">
        <f aca="false">IF($AJ126="","",INDEX(Securities!$B$6:$B$105,$AJ126)&amp;"")</f>
        <v/>
      </c>
      <c r="G126" s="79" t="str">
        <f aca="false">IF($AJ126="","",INDEX(Securities!$F$6:$F$105,$AJ126)&amp;"")</f>
        <v/>
      </c>
      <c r="H126" s="79" t="str">
        <f aca="false">IF($AJ126="","",INDEX(Securities!$E$6:$E$105,$AJ126)&amp;"")</f>
        <v/>
      </c>
      <c r="I126" s="79" t="str">
        <f aca="false">IF($AJ126="","",INDEX(Securities!$H$6:$H$105,$AJ126)&amp;"")</f>
        <v/>
      </c>
      <c r="J126" s="80"/>
      <c r="K126" s="80"/>
      <c r="L126" s="81"/>
      <c r="M126" s="82"/>
      <c r="N126" s="83" t="str">
        <f aca="false">IF(OR($L126="",$M126=""),"",IF(N($L126)=0,"",$M126/$L126))</f>
        <v/>
      </c>
      <c r="O126" s="84" t="str">
        <f aca="false">IF($AJ126="","",IF(INDEX(Securities!$O$6:$O$105,$AJ126)="","",INDEX(Securities!$O$6:$O$105,$AJ126)))</f>
        <v/>
      </c>
      <c r="P126" s="79" t="str">
        <f aca="false">IF($AJ126="","",INDEX(Securities!$N$6:$N$105,$AJ126)&amp;"")</f>
        <v/>
      </c>
      <c r="Q126" s="82"/>
      <c r="R126" s="85" t="str">
        <f aca="false">IF($C126="","",IF($Q126&lt;&gt;"",$Q126,IF($P126="At cost",IF($M126="","",$M126),IF(OR($O126="",$L126=""),"",$L126*$O126))))</f>
        <v/>
      </c>
      <c r="S126" s="85" t="str">
        <f aca="false">IF(OR(NOT(ISNUMBER($R126)),$M126=""),"",$R126-$M126)</f>
        <v/>
      </c>
      <c r="T126" s="86" t="str">
        <f aca="false">IF(OR($S126="",N($M126)=0),"",$S126/$M126)</f>
        <v/>
      </c>
      <c r="U126" s="82"/>
      <c r="V126" s="82"/>
      <c r="W126" s="87"/>
      <c r="X126" s="79" t="str">
        <f aca="false">IF($AJ126="","",INDEX(Securities!$L$6:$L$105,$AJ126)&amp;"")</f>
        <v/>
      </c>
      <c r="Y126" s="87"/>
      <c r="Z126" s="87"/>
      <c r="AA126" s="86" t="str">
        <f aca="false">IF(OR($W126="",$Z126=""),"",$W126-$Z126)</f>
        <v/>
      </c>
      <c r="AB126" s="79" t="str">
        <f aca="false">IF($C126="","",IF($P126="At cost","At cost",IF(NOT(ISNUMBER($J126)),"No date",IF(ValDate-$J126&lt;365,"Absolute",IF($W126="","XIRR missing","XIRR")))))</f>
        <v/>
      </c>
      <c r="AC126" s="86" t="str">
        <f aca="false">IF(NOT(ISNUMBER($R126)),"",IF(SUM($R$6:$R$205)=0,"",$R126/SUM($R$6:$R$205)))</f>
        <v/>
      </c>
      <c r="AD126" s="82"/>
      <c r="AE126" s="80"/>
      <c r="AF126" s="78"/>
      <c r="AG126" s="88" t="str">
        <f aca="false">IF($C126="","",IF(COUNTIFS('Tax Lots'!$B$6:$B$205,$B126,'Tax Lots'!$C$6:$C$205,$C126)=0,"",SUMIFS('Tax Lots'!$P$6:$P$205,'Tax Lots'!$B$6:$B$205,$B126,'Tax Lots'!$C$6:$C$205,$C126)))</f>
        <v/>
      </c>
      <c r="AH126" s="79" t="str">
        <f aca="false">IF($A126&amp;$B126&amp;$C126="","",IF($A126="","Missing ID",IF(COUNTIF($A$6:$A$205,$A126)&gt;1,"Duplicate ID",IF($AI126="","Unknown account",IF($AJ126="","Unknown security",IF(COUNTIFS($B$6:$B$205,$B126,$C$6:$C$205,$C126)&gt;1,"Same security twice in one account",IF(AND(ISNUMBER($J126),ISNUMBER($K126),N($K126)&lt;N($J126)),"Last date before first",IF(NOT(ISNUMBER($R126)),"No market value",IF(OR(N($J126)&gt;ValDate,N($K126)&gt;ValDate),"Date after valuation",IF(AND(ISNUMBER($AG126),ABS(N($L126)-N($AG126))&gt;0.001),"Lot quantity differs",IF(AND(ISNUMBER($AG126),ABS(N($M126)-SUMIFS('Tax Lots'!$Q$6:$Q$205,'Tax Lots'!$B$6:$B$205,$B126,'Tax Lots'!$C$6:$C$205,$C126))&gt;1),"Lot cost differs",IF(AND(ISNUMBER($AG126),ABS(N($V126)-SUMIFS('Tax Lots'!$AA$6:$AA$205,'Tax Lots'!$B$6:$B$205,$B126,'Tax Lots'!$C$6:$C$205,$C126))&gt;1),"Lot realised gain differs","OK"))))))))))))</f>
        <v/>
      </c>
      <c r="AI126" s="89" t="str">
        <f aca="false">IF($B126="","",IFERROR(MATCH($B126,Accounts!$A$6:$A$55,0),""))</f>
        <v/>
      </c>
      <c r="AJ126" s="89" t="str">
        <f aca="false">IF($C126="","",IFERROR(MATCH($C126,Securities!$A$6:$A$105,0),""))</f>
        <v/>
      </c>
      <c r="AK126" s="89" t="str">
        <f aca="false">IF($AI126="","",INDEX(Accounts!$B$6:$B$55,$AI126)&amp;"")</f>
        <v/>
      </c>
      <c r="AL126" s="89" t="str">
        <f aca="false">IF(OR($C126="",$I126="",NOT(ISNUMBER($R126))),"",$I126&amp;"|"&amp;(SUMPRODUCT(($I$6:$I$205=$I126)*ISNUMBER($R$6:$R$205)*($R$6:$R$205&gt;$R126))+SUMPRODUCT(($I$6:$I126=$I126)*ISNUMBER($R$6:$R126)*($R$6:$R126=$R126))))</f>
        <v/>
      </c>
      <c r="AM126" s="89" t="n">
        <f aca="false">IF(AND(ISNUMBER($R126),$W126&lt;&gt;"",$Z126&lt;&gt;"",$AB126="XIRR"),$R126*$W126,0)</f>
        <v>0</v>
      </c>
      <c r="AN126" s="89" t="n">
        <f aca="false">IF(AND(ISNUMBER($R126),$W126&lt;&gt;"",$Z126&lt;&gt;"",$AB126="XIRR"),$R126,0)</f>
        <v>0</v>
      </c>
      <c r="AO126" s="89" t="n">
        <f aca="false">IF(AND(ISNUMBER($R126),$W126&lt;&gt;"",$Z126&lt;&gt;"",$AB126="XIRR"),$R126*$Z126,0)</f>
        <v>0</v>
      </c>
      <c r="AP126" s="89" t="n">
        <f aca="false">IF(AND(ISNUMBER($M126),$Y126&lt;&gt;"",ISNUMBER($T126)),$M126*$Y126,0)</f>
        <v>0</v>
      </c>
      <c r="AQ126" s="89" t="n">
        <f aca="false">IF(AND(ISNUMBER($M126),$Y126&lt;&gt;"",ISNUMBER($T126)),$M126,0)</f>
        <v>0</v>
      </c>
    </row>
    <row r="127" customFormat="false" ht="15" hidden="false" customHeight="false" outlineLevel="0" collapsed="false">
      <c r="A127" s="77"/>
      <c r="B127" s="78"/>
      <c r="C127" s="78"/>
      <c r="D127" s="79" t="str">
        <f aca="false">IF($AI127="","",INDEX(Accounts!$C$6:$C$55,$AI127)&amp;"")</f>
        <v/>
      </c>
      <c r="E127" s="79" t="str">
        <f aca="false">IF($AI127="","",INDEX(Accounts!$F$6:$F$55,$AI127)&amp;"")</f>
        <v/>
      </c>
      <c r="F127" s="79" t="str">
        <f aca="false">IF($AJ127="","",INDEX(Securities!$B$6:$B$105,$AJ127)&amp;"")</f>
        <v/>
      </c>
      <c r="G127" s="79" t="str">
        <f aca="false">IF($AJ127="","",INDEX(Securities!$F$6:$F$105,$AJ127)&amp;"")</f>
        <v/>
      </c>
      <c r="H127" s="79" t="str">
        <f aca="false">IF($AJ127="","",INDEX(Securities!$E$6:$E$105,$AJ127)&amp;"")</f>
        <v/>
      </c>
      <c r="I127" s="79" t="str">
        <f aca="false">IF($AJ127="","",INDEX(Securities!$H$6:$H$105,$AJ127)&amp;"")</f>
        <v/>
      </c>
      <c r="J127" s="80"/>
      <c r="K127" s="80"/>
      <c r="L127" s="81"/>
      <c r="M127" s="82"/>
      <c r="N127" s="83" t="str">
        <f aca="false">IF(OR($L127="",$M127=""),"",IF(N($L127)=0,"",$M127/$L127))</f>
        <v/>
      </c>
      <c r="O127" s="84" t="str">
        <f aca="false">IF($AJ127="","",IF(INDEX(Securities!$O$6:$O$105,$AJ127)="","",INDEX(Securities!$O$6:$O$105,$AJ127)))</f>
        <v/>
      </c>
      <c r="P127" s="79" t="str">
        <f aca="false">IF($AJ127="","",INDEX(Securities!$N$6:$N$105,$AJ127)&amp;"")</f>
        <v/>
      </c>
      <c r="Q127" s="82"/>
      <c r="R127" s="85" t="str">
        <f aca="false">IF($C127="","",IF($Q127&lt;&gt;"",$Q127,IF($P127="At cost",IF($M127="","",$M127),IF(OR($O127="",$L127=""),"",$L127*$O127))))</f>
        <v/>
      </c>
      <c r="S127" s="85" t="str">
        <f aca="false">IF(OR(NOT(ISNUMBER($R127)),$M127=""),"",$R127-$M127)</f>
        <v/>
      </c>
      <c r="T127" s="86" t="str">
        <f aca="false">IF(OR($S127="",N($M127)=0),"",$S127/$M127)</f>
        <v/>
      </c>
      <c r="U127" s="82"/>
      <c r="V127" s="82"/>
      <c r="W127" s="87"/>
      <c r="X127" s="79" t="str">
        <f aca="false">IF($AJ127="","",INDEX(Securities!$L$6:$L$105,$AJ127)&amp;"")</f>
        <v/>
      </c>
      <c r="Y127" s="87"/>
      <c r="Z127" s="87"/>
      <c r="AA127" s="86" t="str">
        <f aca="false">IF(OR($W127="",$Z127=""),"",$W127-$Z127)</f>
        <v/>
      </c>
      <c r="AB127" s="79" t="str">
        <f aca="false">IF($C127="","",IF($P127="At cost","At cost",IF(NOT(ISNUMBER($J127)),"No date",IF(ValDate-$J127&lt;365,"Absolute",IF($W127="","XIRR missing","XIRR")))))</f>
        <v/>
      </c>
      <c r="AC127" s="86" t="str">
        <f aca="false">IF(NOT(ISNUMBER($R127)),"",IF(SUM($R$6:$R$205)=0,"",$R127/SUM($R$6:$R$205)))</f>
        <v/>
      </c>
      <c r="AD127" s="82"/>
      <c r="AE127" s="80"/>
      <c r="AF127" s="78"/>
      <c r="AG127" s="88" t="str">
        <f aca="false">IF($C127="","",IF(COUNTIFS('Tax Lots'!$B$6:$B$205,$B127,'Tax Lots'!$C$6:$C$205,$C127)=0,"",SUMIFS('Tax Lots'!$P$6:$P$205,'Tax Lots'!$B$6:$B$205,$B127,'Tax Lots'!$C$6:$C$205,$C127)))</f>
        <v/>
      </c>
      <c r="AH127" s="79" t="str">
        <f aca="false">IF($A127&amp;$B127&amp;$C127="","",IF($A127="","Missing ID",IF(COUNTIF($A$6:$A$205,$A127)&gt;1,"Duplicate ID",IF($AI127="","Unknown account",IF($AJ127="","Unknown security",IF(COUNTIFS($B$6:$B$205,$B127,$C$6:$C$205,$C127)&gt;1,"Same security twice in one account",IF(AND(ISNUMBER($J127),ISNUMBER($K127),N($K127)&lt;N($J127)),"Last date before first",IF(NOT(ISNUMBER($R127)),"No market value",IF(OR(N($J127)&gt;ValDate,N($K127)&gt;ValDate),"Date after valuation",IF(AND(ISNUMBER($AG127),ABS(N($L127)-N($AG127))&gt;0.001),"Lot quantity differs",IF(AND(ISNUMBER($AG127),ABS(N($M127)-SUMIFS('Tax Lots'!$Q$6:$Q$205,'Tax Lots'!$B$6:$B$205,$B127,'Tax Lots'!$C$6:$C$205,$C127))&gt;1),"Lot cost differs",IF(AND(ISNUMBER($AG127),ABS(N($V127)-SUMIFS('Tax Lots'!$AA$6:$AA$205,'Tax Lots'!$B$6:$B$205,$B127,'Tax Lots'!$C$6:$C$205,$C127))&gt;1),"Lot realised gain differs","OK"))))))))))))</f>
        <v/>
      </c>
      <c r="AI127" s="89" t="str">
        <f aca="false">IF($B127="","",IFERROR(MATCH($B127,Accounts!$A$6:$A$55,0),""))</f>
        <v/>
      </c>
      <c r="AJ127" s="89" t="str">
        <f aca="false">IF($C127="","",IFERROR(MATCH($C127,Securities!$A$6:$A$105,0),""))</f>
        <v/>
      </c>
      <c r="AK127" s="89" t="str">
        <f aca="false">IF($AI127="","",INDEX(Accounts!$B$6:$B$55,$AI127)&amp;"")</f>
        <v/>
      </c>
      <c r="AL127" s="89" t="str">
        <f aca="false">IF(OR($C127="",$I127="",NOT(ISNUMBER($R127))),"",$I127&amp;"|"&amp;(SUMPRODUCT(($I$6:$I$205=$I127)*ISNUMBER($R$6:$R$205)*($R$6:$R$205&gt;$R127))+SUMPRODUCT(($I$6:$I127=$I127)*ISNUMBER($R$6:$R127)*($R$6:$R127=$R127))))</f>
        <v/>
      </c>
      <c r="AM127" s="89" t="n">
        <f aca="false">IF(AND(ISNUMBER($R127),$W127&lt;&gt;"",$Z127&lt;&gt;"",$AB127="XIRR"),$R127*$W127,0)</f>
        <v>0</v>
      </c>
      <c r="AN127" s="89" t="n">
        <f aca="false">IF(AND(ISNUMBER($R127),$W127&lt;&gt;"",$Z127&lt;&gt;"",$AB127="XIRR"),$R127,0)</f>
        <v>0</v>
      </c>
      <c r="AO127" s="89" t="n">
        <f aca="false">IF(AND(ISNUMBER($R127),$W127&lt;&gt;"",$Z127&lt;&gt;"",$AB127="XIRR"),$R127*$Z127,0)</f>
        <v>0</v>
      </c>
      <c r="AP127" s="89" t="n">
        <f aca="false">IF(AND(ISNUMBER($M127),$Y127&lt;&gt;"",ISNUMBER($T127)),$M127*$Y127,0)</f>
        <v>0</v>
      </c>
      <c r="AQ127" s="89" t="n">
        <f aca="false">IF(AND(ISNUMBER($M127),$Y127&lt;&gt;"",ISNUMBER($T127)),$M127,0)</f>
        <v>0</v>
      </c>
    </row>
    <row r="128" customFormat="false" ht="15" hidden="false" customHeight="false" outlineLevel="0" collapsed="false">
      <c r="A128" s="77"/>
      <c r="B128" s="78"/>
      <c r="C128" s="78"/>
      <c r="D128" s="79" t="str">
        <f aca="false">IF($AI128="","",INDEX(Accounts!$C$6:$C$55,$AI128)&amp;"")</f>
        <v/>
      </c>
      <c r="E128" s="79" t="str">
        <f aca="false">IF($AI128="","",INDEX(Accounts!$F$6:$F$55,$AI128)&amp;"")</f>
        <v/>
      </c>
      <c r="F128" s="79" t="str">
        <f aca="false">IF($AJ128="","",INDEX(Securities!$B$6:$B$105,$AJ128)&amp;"")</f>
        <v/>
      </c>
      <c r="G128" s="79" t="str">
        <f aca="false">IF($AJ128="","",INDEX(Securities!$F$6:$F$105,$AJ128)&amp;"")</f>
        <v/>
      </c>
      <c r="H128" s="79" t="str">
        <f aca="false">IF($AJ128="","",INDEX(Securities!$E$6:$E$105,$AJ128)&amp;"")</f>
        <v/>
      </c>
      <c r="I128" s="79" t="str">
        <f aca="false">IF($AJ128="","",INDEX(Securities!$H$6:$H$105,$AJ128)&amp;"")</f>
        <v/>
      </c>
      <c r="J128" s="80"/>
      <c r="K128" s="80"/>
      <c r="L128" s="81"/>
      <c r="M128" s="82"/>
      <c r="N128" s="83" t="str">
        <f aca="false">IF(OR($L128="",$M128=""),"",IF(N($L128)=0,"",$M128/$L128))</f>
        <v/>
      </c>
      <c r="O128" s="84" t="str">
        <f aca="false">IF($AJ128="","",IF(INDEX(Securities!$O$6:$O$105,$AJ128)="","",INDEX(Securities!$O$6:$O$105,$AJ128)))</f>
        <v/>
      </c>
      <c r="P128" s="79" t="str">
        <f aca="false">IF($AJ128="","",INDEX(Securities!$N$6:$N$105,$AJ128)&amp;"")</f>
        <v/>
      </c>
      <c r="Q128" s="82"/>
      <c r="R128" s="85" t="str">
        <f aca="false">IF($C128="","",IF($Q128&lt;&gt;"",$Q128,IF($P128="At cost",IF($M128="","",$M128),IF(OR($O128="",$L128=""),"",$L128*$O128))))</f>
        <v/>
      </c>
      <c r="S128" s="85" t="str">
        <f aca="false">IF(OR(NOT(ISNUMBER($R128)),$M128=""),"",$R128-$M128)</f>
        <v/>
      </c>
      <c r="T128" s="86" t="str">
        <f aca="false">IF(OR($S128="",N($M128)=0),"",$S128/$M128)</f>
        <v/>
      </c>
      <c r="U128" s="82"/>
      <c r="V128" s="82"/>
      <c r="W128" s="87"/>
      <c r="X128" s="79" t="str">
        <f aca="false">IF($AJ128="","",INDEX(Securities!$L$6:$L$105,$AJ128)&amp;"")</f>
        <v/>
      </c>
      <c r="Y128" s="87"/>
      <c r="Z128" s="87"/>
      <c r="AA128" s="86" t="str">
        <f aca="false">IF(OR($W128="",$Z128=""),"",$W128-$Z128)</f>
        <v/>
      </c>
      <c r="AB128" s="79" t="str">
        <f aca="false">IF($C128="","",IF($P128="At cost","At cost",IF(NOT(ISNUMBER($J128)),"No date",IF(ValDate-$J128&lt;365,"Absolute",IF($W128="","XIRR missing","XIRR")))))</f>
        <v/>
      </c>
      <c r="AC128" s="86" t="str">
        <f aca="false">IF(NOT(ISNUMBER($R128)),"",IF(SUM($R$6:$R$205)=0,"",$R128/SUM($R$6:$R$205)))</f>
        <v/>
      </c>
      <c r="AD128" s="82"/>
      <c r="AE128" s="80"/>
      <c r="AF128" s="78"/>
      <c r="AG128" s="88" t="str">
        <f aca="false">IF($C128="","",IF(COUNTIFS('Tax Lots'!$B$6:$B$205,$B128,'Tax Lots'!$C$6:$C$205,$C128)=0,"",SUMIFS('Tax Lots'!$P$6:$P$205,'Tax Lots'!$B$6:$B$205,$B128,'Tax Lots'!$C$6:$C$205,$C128)))</f>
        <v/>
      </c>
      <c r="AH128" s="79" t="str">
        <f aca="false">IF($A128&amp;$B128&amp;$C128="","",IF($A128="","Missing ID",IF(COUNTIF($A$6:$A$205,$A128)&gt;1,"Duplicate ID",IF($AI128="","Unknown account",IF($AJ128="","Unknown security",IF(COUNTIFS($B$6:$B$205,$B128,$C$6:$C$205,$C128)&gt;1,"Same security twice in one account",IF(AND(ISNUMBER($J128),ISNUMBER($K128),N($K128)&lt;N($J128)),"Last date before first",IF(NOT(ISNUMBER($R128)),"No market value",IF(OR(N($J128)&gt;ValDate,N($K128)&gt;ValDate),"Date after valuation",IF(AND(ISNUMBER($AG128),ABS(N($L128)-N($AG128))&gt;0.001),"Lot quantity differs",IF(AND(ISNUMBER($AG128),ABS(N($M128)-SUMIFS('Tax Lots'!$Q$6:$Q$205,'Tax Lots'!$B$6:$B$205,$B128,'Tax Lots'!$C$6:$C$205,$C128))&gt;1),"Lot cost differs",IF(AND(ISNUMBER($AG128),ABS(N($V128)-SUMIFS('Tax Lots'!$AA$6:$AA$205,'Tax Lots'!$B$6:$B$205,$B128,'Tax Lots'!$C$6:$C$205,$C128))&gt;1),"Lot realised gain differs","OK"))))))))))))</f>
        <v/>
      </c>
      <c r="AI128" s="89" t="str">
        <f aca="false">IF($B128="","",IFERROR(MATCH($B128,Accounts!$A$6:$A$55,0),""))</f>
        <v/>
      </c>
      <c r="AJ128" s="89" t="str">
        <f aca="false">IF($C128="","",IFERROR(MATCH($C128,Securities!$A$6:$A$105,0),""))</f>
        <v/>
      </c>
      <c r="AK128" s="89" t="str">
        <f aca="false">IF($AI128="","",INDEX(Accounts!$B$6:$B$55,$AI128)&amp;"")</f>
        <v/>
      </c>
      <c r="AL128" s="89" t="str">
        <f aca="false">IF(OR($C128="",$I128="",NOT(ISNUMBER($R128))),"",$I128&amp;"|"&amp;(SUMPRODUCT(($I$6:$I$205=$I128)*ISNUMBER($R$6:$R$205)*($R$6:$R$205&gt;$R128))+SUMPRODUCT(($I$6:$I128=$I128)*ISNUMBER($R$6:$R128)*($R$6:$R128=$R128))))</f>
        <v/>
      </c>
      <c r="AM128" s="89" t="n">
        <f aca="false">IF(AND(ISNUMBER($R128),$W128&lt;&gt;"",$Z128&lt;&gt;"",$AB128="XIRR"),$R128*$W128,0)</f>
        <v>0</v>
      </c>
      <c r="AN128" s="89" t="n">
        <f aca="false">IF(AND(ISNUMBER($R128),$W128&lt;&gt;"",$Z128&lt;&gt;"",$AB128="XIRR"),$R128,0)</f>
        <v>0</v>
      </c>
      <c r="AO128" s="89" t="n">
        <f aca="false">IF(AND(ISNUMBER($R128),$W128&lt;&gt;"",$Z128&lt;&gt;"",$AB128="XIRR"),$R128*$Z128,0)</f>
        <v>0</v>
      </c>
      <c r="AP128" s="89" t="n">
        <f aca="false">IF(AND(ISNUMBER($M128),$Y128&lt;&gt;"",ISNUMBER($T128)),$M128*$Y128,0)</f>
        <v>0</v>
      </c>
      <c r="AQ128" s="89" t="n">
        <f aca="false">IF(AND(ISNUMBER($M128),$Y128&lt;&gt;"",ISNUMBER($T128)),$M128,0)</f>
        <v>0</v>
      </c>
    </row>
    <row r="129" customFormat="false" ht="15" hidden="false" customHeight="false" outlineLevel="0" collapsed="false">
      <c r="A129" s="77"/>
      <c r="B129" s="78"/>
      <c r="C129" s="78"/>
      <c r="D129" s="79" t="str">
        <f aca="false">IF($AI129="","",INDEX(Accounts!$C$6:$C$55,$AI129)&amp;"")</f>
        <v/>
      </c>
      <c r="E129" s="79" t="str">
        <f aca="false">IF($AI129="","",INDEX(Accounts!$F$6:$F$55,$AI129)&amp;"")</f>
        <v/>
      </c>
      <c r="F129" s="79" t="str">
        <f aca="false">IF($AJ129="","",INDEX(Securities!$B$6:$B$105,$AJ129)&amp;"")</f>
        <v/>
      </c>
      <c r="G129" s="79" t="str">
        <f aca="false">IF($AJ129="","",INDEX(Securities!$F$6:$F$105,$AJ129)&amp;"")</f>
        <v/>
      </c>
      <c r="H129" s="79" t="str">
        <f aca="false">IF($AJ129="","",INDEX(Securities!$E$6:$E$105,$AJ129)&amp;"")</f>
        <v/>
      </c>
      <c r="I129" s="79" t="str">
        <f aca="false">IF($AJ129="","",INDEX(Securities!$H$6:$H$105,$AJ129)&amp;"")</f>
        <v/>
      </c>
      <c r="J129" s="80"/>
      <c r="K129" s="80"/>
      <c r="L129" s="81"/>
      <c r="M129" s="82"/>
      <c r="N129" s="83" t="str">
        <f aca="false">IF(OR($L129="",$M129=""),"",IF(N($L129)=0,"",$M129/$L129))</f>
        <v/>
      </c>
      <c r="O129" s="84" t="str">
        <f aca="false">IF($AJ129="","",IF(INDEX(Securities!$O$6:$O$105,$AJ129)="","",INDEX(Securities!$O$6:$O$105,$AJ129)))</f>
        <v/>
      </c>
      <c r="P129" s="79" t="str">
        <f aca="false">IF($AJ129="","",INDEX(Securities!$N$6:$N$105,$AJ129)&amp;"")</f>
        <v/>
      </c>
      <c r="Q129" s="82"/>
      <c r="R129" s="85" t="str">
        <f aca="false">IF($C129="","",IF($Q129&lt;&gt;"",$Q129,IF($P129="At cost",IF($M129="","",$M129),IF(OR($O129="",$L129=""),"",$L129*$O129))))</f>
        <v/>
      </c>
      <c r="S129" s="85" t="str">
        <f aca="false">IF(OR(NOT(ISNUMBER($R129)),$M129=""),"",$R129-$M129)</f>
        <v/>
      </c>
      <c r="T129" s="86" t="str">
        <f aca="false">IF(OR($S129="",N($M129)=0),"",$S129/$M129)</f>
        <v/>
      </c>
      <c r="U129" s="82"/>
      <c r="V129" s="82"/>
      <c r="W129" s="87"/>
      <c r="X129" s="79" t="str">
        <f aca="false">IF($AJ129="","",INDEX(Securities!$L$6:$L$105,$AJ129)&amp;"")</f>
        <v/>
      </c>
      <c r="Y129" s="87"/>
      <c r="Z129" s="87"/>
      <c r="AA129" s="86" t="str">
        <f aca="false">IF(OR($W129="",$Z129=""),"",$W129-$Z129)</f>
        <v/>
      </c>
      <c r="AB129" s="79" t="str">
        <f aca="false">IF($C129="","",IF($P129="At cost","At cost",IF(NOT(ISNUMBER($J129)),"No date",IF(ValDate-$J129&lt;365,"Absolute",IF($W129="","XIRR missing","XIRR")))))</f>
        <v/>
      </c>
      <c r="AC129" s="86" t="str">
        <f aca="false">IF(NOT(ISNUMBER($R129)),"",IF(SUM($R$6:$R$205)=0,"",$R129/SUM($R$6:$R$205)))</f>
        <v/>
      </c>
      <c r="AD129" s="82"/>
      <c r="AE129" s="80"/>
      <c r="AF129" s="78"/>
      <c r="AG129" s="88" t="str">
        <f aca="false">IF($C129="","",IF(COUNTIFS('Tax Lots'!$B$6:$B$205,$B129,'Tax Lots'!$C$6:$C$205,$C129)=0,"",SUMIFS('Tax Lots'!$P$6:$P$205,'Tax Lots'!$B$6:$B$205,$B129,'Tax Lots'!$C$6:$C$205,$C129)))</f>
        <v/>
      </c>
      <c r="AH129" s="79" t="str">
        <f aca="false">IF($A129&amp;$B129&amp;$C129="","",IF($A129="","Missing ID",IF(COUNTIF($A$6:$A$205,$A129)&gt;1,"Duplicate ID",IF($AI129="","Unknown account",IF($AJ129="","Unknown security",IF(COUNTIFS($B$6:$B$205,$B129,$C$6:$C$205,$C129)&gt;1,"Same security twice in one account",IF(AND(ISNUMBER($J129),ISNUMBER($K129),N($K129)&lt;N($J129)),"Last date before first",IF(NOT(ISNUMBER($R129)),"No market value",IF(OR(N($J129)&gt;ValDate,N($K129)&gt;ValDate),"Date after valuation",IF(AND(ISNUMBER($AG129),ABS(N($L129)-N($AG129))&gt;0.001),"Lot quantity differs",IF(AND(ISNUMBER($AG129),ABS(N($M129)-SUMIFS('Tax Lots'!$Q$6:$Q$205,'Tax Lots'!$B$6:$B$205,$B129,'Tax Lots'!$C$6:$C$205,$C129))&gt;1),"Lot cost differs",IF(AND(ISNUMBER($AG129),ABS(N($V129)-SUMIFS('Tax Lots'!$AA$6:$AA$205,'Tax Lots'!$B$6:$B$205,$B129,'Tax Lots'!$C$6:$C$205,$C129))&gt;1),"Lot realised gain differs","OK"))))))))))))</f>
        <v/>
      </c>
      <c r="AI129" s="89" t="str">
        <f aca="false">IF($B129="","",IFERROR(MATCH($B129,Accounts!$A$6:$A$55,0),""))</f>
        <v/>
      </c>
      <c r="AJ129" s="89" t="str">
        <f aca="false">IF($C129="","",IFERROR(MATCH($C129,Securities!$A$6:$A$105,0),""))</f>
        <v/>
      </c>
      <c r="AK129" s="89" t="str">
        <f aca="false">IF($AI129="","",INDEX(Accounts!$B$6:$B$55,$AI129)&amp;"")</f>
        <v/>
      </c>
      <c r="AL129" s="89" t="str">
        <f aca="false">IF(OR($C129="",$I129="",NOT(ISNUMBER($R129))),"",$I129&amp;"|"&amp;(SUMPRODUCT(($I$6:$I$205=$I129)*ISNUMBER($R$6:$R$205)*($R$6:$R$205&gt;$R129))+SUMPRODUCT(($I$6:$I129=$I129)*ISNUMBER($R$6:$R129)*($R$6:$R129=$R129))))</f>
        <v/>
      </c>
      <c r="AM129" s="89" t="n">
        <f aca="false">IF(AND(ISNUMBER($R129),$W129&lt;&gt;"",$Z129&lt;&gt;"",$AB129="XIRR"),$R129*$W129,0)</f>
        <v>0</v>
      </c>
      <c r="AN129" s="89" t="n">
        <f aca="false">IF(AND(ISNUMBER($R129),$W129&lt;&gt;"",$Z129&lt;&gt;"",$AB129="XIRR"),$R129,0)</f>
        <v>0</v>
      </c>
      <c r="AO129" s="89" t="n">
        <f aca="false">IF(AND(ISNUMBER($R129),$W129&lt;&gt;"",$Z129&lt;&gt;"",$AB129="XIRR"),$R129*$Z129,0)</f>
        <v>0</v>
      </c>
      <c r="AP129" s="89" t="n">
        <f aca="false">IF(AND(ISNUMBER($M129),$Y129&lt;&gt;"",ISNUMBER($T129)),$M129*$Y129,0)</f>
        <v>0</v>
      </c>
      <c r="AQ129" s="89" t="n">
        <f aca="false">IF(AND(ISNUMBER($M129),$Y129&lt;&gt;"",ISNUMBER($T129)),$M129,0)</f>
        <v>0</v>
      </c>
    </row>
    <row r="130" customFormat="false" ht="15" hidden="false" customHeight="false" outlineLevel="0" collapsed="false">
      <c r="A130" s="77"/>
      <c r="B130" s="78"/>
      <c r="C130" s="78"/>
      <c r="D130" s="79" t="str">
        <f aca="false">IF($AI130="","",INDEX(Accounts!$C$6:$C$55,$AI130)&amp;"")</f>
        <v/>
      </c>
      <c r="E130" s="79" t="str">
        <f aca="false">IF($AI130="","",INDEX(Accounts!$F$6:$F$55,$AI130)&amp;"")</f>
        <v/>
      </c>
      <c r="F130" s="79" t="str">
        <f aca="false">IF($AJ130="","",INDEX(Securities!$B$6:$B$105,$AJ130)&amp;"")</f>
        <v/>
      </c>
      <c r="G130" s="79" t="str">
        <f aca="false">IF($AJ130="","",INDEX(Securities!$F$6:$F$105,$AJ130)&amp;"")</f>
        <v/>
      </c>
      <c r="H130" s="79" t="str">
        <f aca="false">IF($AJ130="","",INDEX(Securities!$E$6:$E$105,$AJ130)&amp;"")</f>
        <v/>
      </c>
      <c r="I130" s="79" t="str">
        <f aca="false">IF($AJ130="","",INDEX(Securities!$H$6:$H$105,$AJ130)&amp;"")</f>
        <v/>
      </c>
      <c r="J130" s="80"/>
      <c r="K130" s="80"/>
      <c r="L130" s="81"/>
      <c r="M130" s="82"/>
      <c r="N130" s="83" t="str">
        <f aca="false">IF(OR($L130="",$M130=""),"",IF(N($L130)=0,"",$M130/$L130))</f>
        <v/>
      </c>
      <c r="O130" s="84" t="str">
        <f aca="false">IF($AJ130="","",IF(INDEX(Securities!$O$6:$O$105,$AJ130)="","",INDEX(Securities!$O$6:$O$105,$AJ130)))</f>
        <v/>
      </c>
      <c r="P130" s="79" t="str">
        <f aca="false">IF($AJ130="","",INDEX(Securities!$N$6:$N$105,$AJ130)&amp;"")</f>
        <v/>
      </c>
      <c r="Q130" s="82"/>
      <c r="R130" s="85" t="str">
        <f aca="false">IF($C130="","",IF($Q130&lt;&gt;"",$Q130,IF($P130="At cost",IF($M130="","",$M130),IF(OR($O130="",$L130=""),"",$L130*$O130))))</f>
        <v/>
      </c>
      <c r="S130" s="85" t="str">
        <f aca="false">IF(OR(NOT(ISNUMBER($R130)),$M130=""),"",$R130-$M130)</f>
        <v/>
      </c>
      <c r="T130" s="86" t="str">
        <f aca="false">IF(OR($S130="",N($M130)=0),"",$S130/$M130)</f>
        <v/>
      </c>
      <c r="U130" s="82"/>
      <c r="V130" s="82"/>
      <c r="W130" s="87"/>
      <c r="X130" s="79" t="str">
        <f aca="false">IF($AJ130="","",INDEX(Securities!$L$6:$L$105,$AJ130)&amp;"")</f>
        <v/>
      </c>
      <c r="Y130" s="87"/>
      <c r="Z130" s="87"/>
      <c r="AA130" s="86" t="str">
        <f aca="false">IF(OR($W130="",$Z130=""),"",$W130-$Z130)</f>
        <v/>
      </c>
      <c r="AB130" s="79" t="str">
        <f aca="false">IF($C130="","",IF($P130="At cost","At cost",IF(NOT(ISNUMBER($J130)),"No date",IF(ValDate-$J130&lt;365,"Absolute",IF($W130="","XIRR missing","XIRR")))))</f>
        <v/>
      </c>
      <c r="AC130" s="86" t="str">
        <f aca="false">IF(NOT(ISNUMBER($R130)),"",IF(SUM($R$6:$R$205)=0,"",$R130/SUM($R$6:$R$205)))</f>
        <v/>
      </c>
      <c r="AD130" s="82"/>
      <c r="AE130" s="80"/>
      <c r="AF130" s="78"/>
      <c r="AG130" s="88" t="str">
        <f aca="false">IF($C130="","",IF(COUNTIFS('Tax Lots'!$B$6:$B$205,$B130,'Tax Lots'!$C$6:$C$205,$C130)=0,"",SUMIFS('Tax Lots'!$P$6:$P$205,'Tax Lots'!$B$6:$B$205,$B130,'Tax Lots'!$C$6:$C$205,$C130)))</f>
        <v/>
      </c>
      <c r="AH130" s="79" t="str">
        <f aca="false">IF($A130&amp;$B130&amp;$C130="","",IF($A130="","Missing ID",IF(COUNTIF($A$6:$A$205,$A130)&gt;1,"Duplicate ID",IF($AI130="","Unknown account",IF($AJ130="","Unknown security",IF(COUNTIFS($B$6:$B$205,$B130,$C$6:$C$205,$C130)&gt;1,"Same security twice in one account",IF(AND(ISNUMBER($J130),ISNUMBER($K130),N($K130)&lt;N($J130)),"Last date before first",IF(NOT(ISNUMBER($R130)),"No market value",IF(OR(N($J130)&gt;ValDate,N($K130)&gt;ValDate),"Date after valuation",IF(AND(ISNUMBER($AG130),ABS(N($L130)-N($AG130))&gt;0.001),"Lot quantity differs",IF(AND(ISNUMBER($AG130),ABS(N($M130)-SUMIFS('Tax Lots'!$Q$6:$Q$205,'Tax Lots'!$B$6:$B$205,$B130,'Tax Lots'!$C$6:$C$205,$C130))&gt;1),"Lot cost differs",IF(AND(ISNUMBER($AG130),ABS(N($V130)-SUMIFS('Tax Lots'!$AA$6:$AA$205,'Tax Lots'!$B$6:$B$205,$B130,'Tax Lots'!$C$6:$C$205,$C130))&gt;1),"Lot realised gain differs","OK"))))))))))))</f>
        <v/>
      </c>
      <c r="AI130" s="89" t="str">
        <f aca="false">IF($B130="","",IFERROR(MATCH($B130,Accounts!$A$6:$A$55,0),""))</f>
        <v/>
      </c>
      <c r="AJ130" s="89" t="str">
        <f aca="false">IF($C130="","",IFERROR(MATCH($C130,Securities!$A$6:$A$105,0),""))</f>
        <v/>
      </c>
      <c r="AK130" s="89" t="str">
        <f aca="false">IF($AI130="","",INDEX(Accounts!$B$6:$B$55,$AI130)&amp;"")</f>
        <v/>
      </c>
      <c r="AL130" s="89" t="str">
        <f aca="false">IF(OR($C130="",$I130="",NOT(ISNUMBER($R130))),"",$I130&amp;"|"&amp;(SUMPRODUCT(($I$6:$I$205=$I130)*ISNUMBER($R$6:$R$205)*($R$6:$R$205&gt;$R130))+SUMPRODUCT(($I$6:$I130=$I130)*ISNUMBER($R$6:$R130)*($R$6:$R130=$R130))))</f>
        <v/>
      </c>
      <c r="AM130" s="89" t="n">
        <f aca="false">IF(AND(ISNUMBER($R130),$W130&lt;&gt;"",$Z130&lt;&gt;"",$AB130="XIRR"),$R130*$W130,0)</f>
        <v>0</v>
      </c>
      <c r="AN130" s="89" t="n">
        <f aca="false">IF(AND(ISNUMBER($R130),$W130&lt;&gt;"",$Z130&lt;&gt;"",$AB130="XIRR"),$R130,0)</f>
        <v>0</v>
      </c>
      <c r="AO130" s="89" t="n">
        <f aca="false">IF(AND(ISNUMBER($R130),$W130&lt;&gt;"",$Z130&lt;&gt;"",$AB130="XIRR"),$R130*$Z130,0)</f>
        <v>0</v>
      </c>
      <c r="AP130" s="89" t="n">
        <f aca="false">IF(AND(ISNUMBER($M130),$Y130&lt;&gt;"",ISNUMBER($T130)),$M130*$Y130,0)</f>
        <v>0</v>
      </c>
      <c r="AQ130" s="89" t="n">
        <f aca="false">IF(AND(ISNUMBER($M130),$Y130&lt;&gt;"",ISNUMBER($T130)),$M130,0)</f>
        <v>0</v>
      </c>
    </row>
    <row r="131" customFormat="false" ht="15" hidden="false" customHeight="false" outlineLevel="0" collapsed="false">
      <c r="A131" s="77"/>
      <c r="B131" s="78"/>
      <c r="C131" s="78"/>
      <c r="D131" s="79" t="str">
        <f aca="false">IF($AI131="","",INDEX(Accounts!$C$6:$C$55,$AI131)&amp;"")</f>
        <v/>
      </c>
      <c r="E131" s="79" t="str">
        <f aca="false">IF($AI131="","",INDEX(Accounts!$F$6:$F$55,$AI131)&amp;"")</f>
        <v/>
      </c>
      <c r="F131" s="79" t="str">
        <f aca="false">IF($AJ131="","",INDEX(Securities!$B$6:$B$105,$AJ131)&amp;"")</f>
        <v/>
      </c>
      <c r="G131" s="79" t="str">
        <f aca="false">IF($AJ131="","",INDEX(Securities!$F$6:$F$105,$AJ131)&amp;"")</f>
        <v/>
      </c>
      <c r="H131" s="79" t="str">
        <f aca="false">IF($AJ131="","",INDEX(Securities!$E$6:$E$105,$AJ131)&amp;"")</f>
        <v/>
      </c>
      <c r="I131" s="79" t="str">
        <f aca="false">IF($AJ131="","",INDEX(Securities!$H$6:$H$105,$AJ131)&amp;"")</f>
        <v/>
      </c>
      <c r="J131" s="80"/>
      <c r="K131" s="80"/>
      <c r="L131" s="81"/>
      <c r="M131" s="82"/>
      <c r="N131" s="83" t="str">
        <f aca="false">IF(OR($L131="",$M131=""),"",IF(N($L131)=0,"",$M131/$L131))</f>
        <v/>
      </c>
      <c r="O131" s="84" t="str">
        <f aca="false">IF($AJ131="","",IF(INDEX(Securities!$O$6:$O$105,$AJ131)="","",INDEX(Securities!$O$6:$O$105,$AJ131)))</f>
        <v/>
      </c>
      <c r="P131" s="79" t="str">
        <f aca="false">IF($AJ131="","",INDEX(Securities!$N$6:$N$105,$AJ131)&amp;"")</f>
        <v/>
      </c>
      <c r="Q131" s="82"/>
      <c r="R131" s="85" t="str">
        <f aca="false">IF($C131="","",IF($Q131&lt;&gt;"",$Q131,IF($P131="At cost",IF($M131="","",$M131),IF(OR($O131="",$L131=""),"",$L131*$O131))))</f>
        <v/>
      </c>
      <c r="S131" s="85" t="str">
        <f aca="false">IF(OR(NOT(ISNUMBER($R131)),$M131=""),"",$R131-$M131)</f>
        <v/>
      </c>
      <c r="T131" s="86" t="str">
        <f aca="false">IF(OR($S131="",N($M131)=0),"",$S131/$M131)</f>
        <v/>
      </c>
      <c r="U131" s="82"/>
      <c r="V131" s="82"/>
      <c r="W131" s="87"/>
      <c r="X131" s="79" t="str">
        <f aca="false">IF($AJ131="","",INDEX(Securities!$L$6:$L$105,$AJ131)&amp;"")</f>
        <v/>
      </c>
      <c r="Y131" s="87"/>
      <c r="Z131" s="87"/>
      <c r="AA131" s="86" t="str">
        <f aca="false">IF(OR($W131="",$Z131=""),"",$W131-$Z131)</f>
        <v/>
      </c>
      <c r="AB131" s="79" t="str">
        <f aca="false">IF($C131="","",IF($P131="At cost","At cost",IF(NOT(ISNUMBER($J131)),"No date",IF(ValDate-$J131&lt;365,"Absolute",IF($W131="","XIRR missing","XIRR")))))</f>
        <v/>
      </c>
      <c r="AC131" s="86" t="str">
        <f aca="false">IF(NOT(ISNUMBER($R131)),"",IF(SUM($R$6:$R$205)=0,"",$R131/SUM($R$6:$R$205)))</f>
        <v/>
      </c>
      <c r="AD131" s="82"/>
      <c r="AE131" s="80"/>
      <c r="AF131" s="78"/>
      <c r="AG131" s="88" t="str">
        <f aca="false">IF($C131="","",IF(COUNTIFS('Tax Lots'!$B$6:$B$205,$B131,'Tax Lots'!$C$6:$C$205,$C131)=0,"",SUMIFS('Tax Lots'!$P$6:$P$205,'Tax Lots'!$B$6:$B$205,$B131,'Tax Lots'!$C$6:$C$205,$C131)))</f>
        <v/>
      </c>
      <c r="AH131" s="79" t="str">
        <f aca="false">IF($A131&amp;$B131&amp;$C131="","",IF($A131="","Missing ID",IF(COUNTIF($A$6:$A$205,$A131)&gt;1,"Duplicate ID",IF($AI131="","Unknown account",IF($AJ131="","Unknown security",IF(COUNTIFS($B$6:$B$205,$B131,$C$6:$C$205,$C131)&gt;1,"Same security twice in one account",IF(AND(ISNUMBER($J131),ISNUMBER($K131),N($K131)&lt;N($J131)),"Last date before first",IF(NOT(ISNUMBER($R131)),"No market value",IF(OR(N($J131)&gt;ValDate,N($K131)&gt;ValDate),"Date after valuation",IF(AND(ISNUMBER($AG131),ABS(N($L131)-N($AG131))&gt;0.001),"Lot quantity differs",IF(AND(ISNUMBER($AG131),ABS(N($M131)-SUMIFS('Tax Lots'!$Q$6:$Q$205,'Tax Lots'!$B$6:$B$205,$B131,'Tax Lots'!$C$6:$C$205,$C131))&gt;1),"Lot cost differs",IF(AND(ISNUMBER($AG131),ABS(N($V131)-SUMIFS('Tax Lots'!$AA$6:$AA$205,'Tax Lots'!$B$6:$B$205,$B131,'Tax Lots'!$C$6:$C$205,$C131))&gt;1),"Lot realised gain differs","OK"))))))))))))</f>
        <v/>
      </c>
      <c r="AI131" s="89" t="str">
        <f aca="false">IF($B131="","",IFERROR(MATCH($B131,Accounts!$A$6:$A$55,0),""))</f>
        <v/>
      </c>
      <c r="AJ131" s="89" t="str">
        <f aca="false">IF($C131="","",IFERROR(MATCH($C131,Securities!$A$6:$A$105,0),""))</f>
        <v/>
      </c>
      <c r="AK131" s="89" t="str">
        <f aca="false">IF($AI131="","",INDEX(Accounts!$B$6:$B$55,$AI131)&amp;"")</f>
        <v/>
      </c>
      <c r="AL131" s="89" t="str">
        <f aca="false">IF(OR($C131="",$I131="",NOT(ISNUMBER($R131))),"",$I131&amp;"|"&amp;(SUMPRODUCT(($I$6:$I$205=$I131)*ISNUMBER($R$6:$R$205)*($R$6:$R$205&gt;$R131))+SUMPRODUCT(($I$6:$I131=$I131)*ISNUMBER($R$6:$R131)*($R$6:$R131=$R131))))</f>
        <v/>
      </c>
      <c r="AM131" s="89" t="n">
        <f aca="false">IF(AND(ISNUMBER($R131),$W131&lt;&gt;"",$Z131&lt;&gt;"",$AB131="XIRR"),$R131*$W131,0)</f>
        <v>0</v>
      </c>
      <c r="AN131" s="89" t="n">
        <f aca="false">IF(AND(ISNUMBER($R131),$W131&lt;&gt;"",$Z131&lt;&gt;"",$AB131="XIRR"),$R131,0)</f>
        <v>0</v>
      </c>
      <c r="AO131" s="89" t="n">
        <f aca="false">IF(AND(ISNUMBER($R131),$W131&lt;&gt;"",$Z131&lt;&gt;"",$AB131="XIRR"),$R131*$Z131,0)</f>
        <v>0</v>
      </c>
      <c r="AP131" s="89" t="n">
        <f aca="false">IF(AND(ISNUMBER($M131),$Y131&lt;&gt;"",ISNUMBER($T131)),$M131*$Y131,0)</f>
        <v>0</v>
      </c>
      <c r="AQ131" s="89" t="n">
        <f aca="false">IF(AND(ISNUMBER($M131),$Y131&lt;&gt;"",ISNUMBER($T131)),$M131,0)</f>
        <v>0</v>
      </c>
    </row>
    <row r="132" customFormat="false" ht="15" hidden="false" customHeight="false" outlineLevel="0" collapsed="false">
      <c r="A132" s="77"/>
      <c r="B132" s="78"/>
      <c r="C132" s="78"/>
      <c r="D132" s="79" t="str">
        <f aca="false">IF($AI132="","",INDEX(Accounts!$C$6:$C$55,$AI132)&amp;"")</f>
        <v/>
      </c>
      <c r="E132" s="79" t="str">
        <f aca="false">IF($AI132="","",INDEX(Accounts!$F$6:$F$55,$AI132)&amp;"")</f>
        <v/>
      </c>
      <c r="F132" s="79" t="str">
        <f aca="false">IF($AJ132="","",INDEX(Securities!$B$6:$B$105,$AJ132)&amp;"")</f>
        <v/>
      </c>
      <c r="G132" s="79" t="str">
        <f aca="false">IF($AJ132="","",INDEX(Securities!$F$6:$F$105,$AJ132)&amp;"")</f>
        <v/>
      </c>
      <c r="H132" s="79" t="str">
        <f aca="false">IF($AJ132="","",INDEX(Securities!$E$6:$E$105,$AJ132)&amp;"")</f>
        <v/>
      </c>
      <c r="I132" s="79" t="str">
        <f aca="false">IF($AJ132="","",INDEX(Securities!$H$6:$H$105,$AJ132)&amp;"")</f>
        <v/>
      </c>
      <c r="J132" s="80"/>
      <c r="K132" s="80"/>
      <c r="L132" s="81"/>
      <c r="M132" s="82"/>
      <c r="N132" s="83" t="str">
        <f aca="false">IF(OR($L132="",$M132=""),"",IF(N($L132)=0,"",$M132/$L132))</f>
        <v/>
      </c>
      <c r="O132" s="84" t="str">
        <f aca="false">IF($AJ132="","",IF(INDEX(Securities!$O$6:$O$105,$AJ132)="","",INDEX(Securities!$O$6:$O$105,$AJ132)))</f>
        <v/>
      </c>
      <c r="P132" s="79" t="str">
        <f aca="false">IF($AJ132="","",INDEX(Securities!$N$6:$N$105,$AJ132)&amp;"")</f>
        <v/>
      </c>
      <c r="Q132" s="82"/>
      <c r="R132" s="85" t="str">
        <f aca="false">IF($C132="","",IF($Q132&lt;&gt;"",$Q132,IF($P132="At cost",IF($M132="","",$M132),IF(OR($O132="",$L132=""),"",$L132*$O132))))</f>
        <v/>
      </c>
      <c r="S132" s="85" t="str">
        <f aca="false">IF(OR(NOT(ISNUMBER($R132)),$M132=""),"",$R132-$M132)</f>
        <v/>
      </c>
      <c r="T132" s="86" t="str">
        <f aca="false">IF(OR($S132="",N($M132)=0),"",$S132/$M132)</f>
        <v/>
      </c>
      <c r="U132" s="82"/>
      <c r="V132" s="82"/>
      <c r="W132" s="87"/>
      <c r="X132" s="79" t="str">
        <f aca="false">IF($AJ132="","",INDEX(Securities!$L$6:$L$105,$AJ132)&amp;"")</f>
        <v/>
      </c>
      <c r="Y132" s="87"/>
      <c r="Z132" s="87"/>
      <c r="AA132" s="86" t="str">
        <f aca="false">IF(OR($W132="",$Z132=""),"",$W132-$Z132)</f>
        <v/>
      </c>
      <c r="AB132" s="79" t="str">
        <f aca="false">IF($C132="","",IF($P132="At cost","At cost",IF(NOT(ISNUMBER($J132)),"No date",IF(ValDate-$J132&lt;365,"Absolute",IF($W132="","XIRR missing","XIRR")))))</f>
        <v/>
      </c>
      <c r="AC132" s="86" t="str">
        <f aca="false">IF(NOT(ISNUMBER($R132)),"",IF(SUM($R$6:$R$205)=0,"",$R132/SUM($R$6:$R$205)))</f>
        <v/>
      </c>
      <c r="AD132" s="82"/>
      <c r="AE132" s="80"/>
      <c r="AF132" s="78"/>
      <c r="AG132" s="88" t="str">
        <f aca="false">IF($C132="","",IF(COUNTIFS('Tax Lots'!$B$6:$B$205,$B132,'Tax Lots'!$C$6:$C$205,$C132)=0,"",SUMIFS('Tax Lots'!$P$6:$P$205,'Tax Lots'!$B$6:$B$205,$B132,'Tax Lots'!$C$6:$C$205,$C132)))</f>
        <v/>
      </c>
      <c r="AH132" s="79" t="str">
        <f aca="false">IF($A132&amp;$B132&amp;$C132="","",IF($A132="","Missing ID",IF(COUNTIF($A$6:$A$205,$A132)&gt;1,"Duplicate ID",IF($AI132="","Unknown account",IF($AJ132="","Unknown security",IF(COUNTIFS($B$6:$B$205,$B132,$C$6:$C$205,$C132)&gt;1,"Same security twice in one account",IF(AND(ISNUMBER($J132),ISNUMBER($K132),N($K132)&lt;N($J132)),"Last date before first",IF(NOT(ISNUMBER($R132)),"No market value",IF(OR(N($J132)&gt;ValDate,N($K132)&gt;ValDate),"Date after valuation",IF(AND(ISNUMBER($AG132),ABS(N($L132)-N($AG132))&gt;0.001),"Lot quantity differs",IF(AND(ISNUMBER($AG132),ABS(N($M132)-SUMIFS('Tax Lots'!$Q$6:$Q$205,'Tax Lots'!$B$6:$B$205,$B132,'Tax Lots'!$C$6:$C$205,$C132))&gt;1),"Lot cost differs",IF(AND(ISNUMBER($AG132),ABS(N($V132)-SUMIFS('Tax Lots'!$AA$6:$AA$205,'Tax Lots'!$B$6:$B$205,$B132,'Tax Lots'!$C$6:$C$205,$C132))&gt;1),"Lot realised gain differs","OK"))))))))))))</f>
        <v/>
      </c>
      <c r="AI132" s="89" t="str">
        <f aca="false">IF($B132="","",IFERROR(MATCH($B132,Accounts!$A$6:$A$55,0),""))</f>
        <v/>
      </c>
      <c r="AJ132" s="89" t="str">
        <f aca="false">IF($C132="","",IFERROR(MATCH($C132,Securities!$A$6:$A$105,0),""))</f>
        <v/>
      </c>
      <c r="AK132" s="89" t="str">
        <f aca="false">IF($AI132="","",INDEX(Accounts!$B$6:$B$55,$AI132)&amp;"")</f>
        <v/>
      </c>
      <c r="AL132" s="89" t="str">
        <f aca="false">IF(OR($C132="",$I132="",NOT(ISNUMBER($R132))),"",$I132&amp;"|"&amp;(SUMPRODUCT(($I$6:$I$205=$I132)*ISNUMBER($R$6:$R$205)*($R$6:$R$205&gt;$R132))+SUMPRODUCT(($I$6:$I132=$I132)*ISNUMBER($R$6:$R132)*($R$6:$R132=$R132))))</f>
        <v/>
      </c>
      <c r="AM132" s="89" t="n">
        <f aca="false">IF(AND(ISNUMBER($R132),$W132&lt;&gt;"",$Z132&lt;&gt;"",$AB132="XIRR"),$R132*$W132,0)</f>
        <v>0</v>
      </c>
      <c r="AN132" s="89" t="n">
        <f aca="false">IF(AND(ISNUMBER($R132),$W132&lt;&gt;"",$Z132&lt;&gt;"",$AB132="XIRR"),$R132,0)</f>
        <v>0</v>
      </c>
      <c r="AO132" s="89" t="n">
        <f aca="false">IF(AND(ISNUMBER($R132),$W132&lt;&gt;"",$Z132&lt;&gt;"",$AB132="XIRR"),$R132*$Z132,0)</f>
        <v>0</v>
      </c>
      <c r="AP132" s="89" t="n">
        <f aca="false">IF(AND(ISNUMBER($M132),$Y132&lt;&gt;"",ISNUMBER($T132)),$M132*$Y132,0)</f>
        <v>0</v>
      </c>
      <c r="AQ132" s="89" t="n">
        <f aca="false">IF(AND(ISNUMBER($M132),$Y132&lt;&gt;"",ISNUMBER($T132)),$M132,0)</f>
        <v>0</v>
      </c>
    </row>
    <row r="133" customFormat="false" ht="15" hidden="false" customHeight="false" outlineLevel="0" collapsed="false">
      <c r="A133" s="77"/>
      <c r="B133" s="78"/>
      <c r="C133" s="78"/>
      <c r="D133" s="79" t="str">
        <f aca="false">IF($AI133="","",INDEX(Accounts!$C$6:$C$55,$AI133)&amp;"")</f>
        <v/>
      </c>
      <c r="E133" s="79" t="str">
        <f aca="false">IF($AI133="","",INDEX(Accounts!$F$6:$F$55,$AI133)&amp;"")</f>
        <v/>
      </c>
      <c r="F133" s="79" t="str">
        <f aca="false">IF($AJ133="","",INDEX(Securities!$B$6:$B$105,$AJ133)&amp;"")</f>
        <v/>
      </c>
      <c r="G133" s="79" t="str">
        <f aca="false">IF($AJ133="","",INDEX(Securities!$F$6:$F$105,$AJ133)&amp;"")</f>
        <v/>
      </c>
      <c r="H133" s="79" t="str">
        <f aca="false">IF($AJ133="","",INDEX(Securities!$E$6:$E$105,$AJ133)&amp;"")</f>
        <v/>
      </c>
      <c r="I133" s="79" t="str">
        <f aca="false">IF($AJ133="","",INDEX(Securities!$H$6:$H$105,$AJ133)&amp;"")</f>
        <v/>
      </c>
      <c r="J133" s="80"/>
      <c r="K133" s="80"/>
      <c r="L133" s="81"/>
      <c r="M133" s="82"/>
      <c r="N133" s="83" t="str">
        <f aca="false">IF(OR($L133="",$M133=""),"",IF(N($L133)=0,"",$M133/$L133))</f>
        <v/>
      </c>
      <c r="O133" s="84" t="str">
        <f aca="false">IF($AJ133="","",IF(INDEX(Securities!$O$6:$O$105,$AJ133)="","",INDEX(Securities!$O$6:$O$105,$AJ133)))</f>
        <v/>
      </c>
      <c r="P133" s="79" t="str">
        <f aca="false">IF($AJ133="","",INDEX(Securities!$N$6:$N$105,$AJ133)&amp;"")</f>
        <v/>
      </c>
      <c r="Q133" s="82"/>
      <c r="R133" s="85" t="str">
        <f aca="false">IF($C133="","",IF($Q133&lt;&gt;"",$Q133,IF($P133="At cost",IF($M133="","",$M133),IF(OR($O133="",$L133=""),"",$L133*$O133))))</f>
        <v/>
      </c>
      <c r="S133" s="85" t="str">
        <f aca="false">IF(OR(NOT(ISNUMBER($R133)),$M133=""),"",$R133-$M133)</f>
        <v/>
      </c>
      <c r="T133" s="86" t="str">
        <f aca="false">IF(OR($S133="",N($M133)=0),"",$S133/$M133)</f>
        <v/>
      </c>
      <c r="U133" s="82"/>
      <c r="V133" s="82"/>
      <c r="W133" s="87"/>
      <c r="X133" s="79" t="str">
        <f aca="false">IF($AJ133="","",INDEX(Securities!$L$6:$L$105,$AJ133)&amp;"")</f>
        <v/>
      </c>
      <c r="Y133" s="87"/>
      <c r="Z133" s="87"/>
      <c r="AA133" s="86" t="str">
        <f aca="false">IF(OR($W133="",$Z133=""),"",$W133-$Z133)</f>
        <v/>
      </c>
      <c r="AB133" s="79" t="str">
        <f aca="false">IF($C133="","",IF($P133="At cost","At cost",IF(NOT(ISNUMBER($J133)),"No date",IF(ValDate-$J133&lt;365,"Absolute",IF($W133="","XIRR missing","XIRR")))))</f>
        <v/>
      </c>
      <c r="AC133" s="86" t="str">
        <f aca="false">IF(NOT(ISNUMBER($R133)),"",IF(SUM($R$6:$R$205)=0,"",$R133/SUM($R$6:$R$205)))</f>
        <v/>
      </c>
      <c r="AD133" s="82"/>
      <c r="AE133" s="80"/>
      <c r="AF133" s="78"/>
      <c r="AG133" s="88" t="str">
        <f aca="false">IF($C133="","",IF(COUNTIFS('Tax Lots'!$B$6:$B$205,$B133,'Tax Lots'!$C$6:$C$205,$C133)=0,"",SUMIFS('Tax Lots'!$P$6:$P$205,'Tax Lots'!$B$6:$B$205,$B133,'Tax Lots'!$C$6:$C$205,$C133)))</f>
        <v/>
      </c>
      <c r="AH133" s="79" t="str">
        <f aca="false">IF($A133&amp;$B133&amp;$C133="","",IF($A133="","Missing ID",IF(COUNTIF($A$6:$A$205,$A133)&gt;1,"Duplicate ID",IF($AI133="","Unknown account",IF($AJ133="","Unknown security",IF(COUNTIFS($B$6:$B$205,$B133,$C$6:$C$205,$C133)&gt;1,"Same security twice in one account",IF(AND(ISNUMBER($J133),ISNUMBER($K133),N($K133)&lt;N($J133)),"Last date before first",IF(NOT(ISNUMBER($R133)),"No market value",IF(OR(N($J133)&gt;ValDate,N($K133)&gt;ValDate),"Date after valuation",IF(AND(ISNUMBER($AG133),ABS(N($L133)-N($AG133))&gt;0.001),"Lot quantity differs",IF(AND(ISNUMBER($AG133),ABS(N($M133)-SUMIFS('Tax Lots'!$Q$6:$Q$205,'Tax Lots'!$B$6:$B$205,$B133,'Tax Lots'!$C$6:$C$205,$C133))&gt;1),"Lot cost differs",IF(AND(ISNUMBER($AG133),ABS(N($V133)-SUMIFS('Tax Lots'!$AA$6:$AA$205,'Tax Lots'!$B$6:$B$205,$B133,'Tax Lots'!$C$6:$C$205,$C133))&gt;1),"Lot realised gain differs","OK"))))))))))))</f>
        <v/>
      </c>
      <c r="AI133" s="89" t="str">
        <f aca="false">IF($B133="","",IFERROR(MATCH($B133,Accounts!$A$6:$A$55,0),""))</f>
        <v/>
      </c>
      <c r="AJ133" s="89" t="str">
        <f aca="false">IF($C133="","",IFERROR(MATCH($C133,Securities!$A$6:$A$105,0),""))</f>
        <v/>
      </c>
      <c r="AK133" s="89" t="str">
        <f aca="false">IF($AI133="","",INDEX(Accounts!$B$6:$B$55,$AI133)&amp;"")</f>
        <v/>
      </c>
      <c r="AL133" s="89" t="str">
        <f aca="false">IF(OR($C133="",$I133="",NOT(ISNUMBER($R133))),"",$I133&amp;"|"&amp;(SUMPRODUCT(($I$6:$I$205=$I133)*ISNUMBER($R$6:$R$205)*($R$6:$R$205&gt;$R133))+SUMPRODUCT(($I$6:$I133=$I133)*ISNUMBER($R$6:$R133)*($R$6:$R133=$R133))))</f>
        <v/>
      </c>
      <c r="AM133" s="89" t="n">
        <f aca="false">IF(AND(ISNUMBER($R133),$W133&lt;&gt;"",$Z133&lt;&gt;"",$AB133="XIRR"),$R133*$W133,0)</f>
        <v>0</v>
      </c>
      <c r="AN133" s="89" t="n">
        <f aca="false">IF(AND(ISNUMBER($R133),$W133&lt;&gt;"",$Z133&lt;&gt;"",$AB133="XIRR"),$R133,0)</f>
        <v>0</v>
      </c>
      <c r="AO133" s="89" t="n">
        <f aca="false">IF(AND(ISNUMBER($R133),$W133&lt;&gt;"",$Z133&lt;&gt;"",$AB133="XIRR"),$R133*$Z133,0)</f>
        <v>0</v>
      </c>
      <c r="AP133" s="89" t="n">
        <f aca="false">IF(AND(ISNUMBER($M133),$Y133&lt;&gt;"",ISNUMBER($T133)),$M133*$Y133,0)</f>
        <v>0</v>
      </c>
      <c r="AQ133" s="89" t="n">
        <f aca="false">IF(AND(ISNUMBER($M133),$Y133&lt;&gt;"",ISNUMBER($T133)),$M133,0)</f>
        <v>0</v>
      </c>
    </row>
    <row r="134" customFormat="false" ht="15" hidden="false" customHeight="false" outlineLevel="0" collapsed="false">
      <c r="A134" s="77"/>
      <c r="B134" s="78"/>
      <c r="C134" s="78"/>
      <c r="D134" s="79" t="str">
        <f aca="false">IF($AI134="","",INDEX(Accounts!$C$6:$C$55,$AI134)&amp;"")</f>
        <v/>
      </c>
      <c r="E134" s="79" t="str">
        <f aca="false">IF($AI134="","",INDEX(Accounts!$F$6:$F$55,$AI134)&amp;"")</f>
        <v/>
      </c>
      <c r="F134" s="79" t="str">
        <f aca="false">IF($AJ134="","",INDEX(Securities!$B$6:$B$105,$AJ134)&amp;"")</f>
        <v/>
      </c>
      <c r="G134" s="79" t="str">
        <f aca="false">IF($AJ134="","",INDEX(Securities!$F$6:$F$105,$AJ134)&amp;"")</f>
        <v/>
      </c>
      <c r="H134" s="79" t="str">
        <f aca="false">IF($AJ134="","",INDEX(Securities!$E$6:$E$105,$AJ134)&amp;"")</f>
        <v/>
      </c>
      <c r="I134" s="79" t="str">
        <f aca="false">IF($AJ134="","",INDEX(Securities!$H$6:$H$105,$AJ134)&amp;"")</f>
        <v/>
      </c>
      <c r="J134" s="80"/>
      <c r="K134" s="80"/>
      <c r="L134" s="81"/>
      <c r="M134" s="82"/>
      <c r="N134" s="83" t="str">
        <f aca="false">IF(OR($L134="",$M134=""),"",IF(N($L134)=0,"",$M134/$L134))</f>
        <v/>
      </c>
      <c r="O134" s="84" t="str">
        <f aca="false">IF($AJ134="","",IF(INDEX(Securities!$O$6:$O$105,$AJ134)="","",INDEX(Securities!$O$6:$O$105,$AJ134)))</f>
        <v/>
      </c>
      <c r="P134" s="79" t="str">
        <f aca="false">IF($AJ134="","",INDEX(Securities!$N$6:$N$105,$AJ134)&amp;"")</f>
        <v/>
      </c>
      <c r="Q134" s="82"/>
      <c r="R134" s="85" t="str">
        <f aca="false">IF($C134="","",IF($Q134&lt;&gt;"",$Q134,IF($P134="At cost",IF($M134="","",$M134),IF(OR($O134="",$L134=""),"",$L134*$O134))))</f>
        <v/>
      </c>
      <c r="S134" s="85" t="str">
        <f aca="false">IF(OR(NOT(ISNUMBER($R134)),$M134=""),"",$R134-$M134)</f>
        <v/>
      </c>
      <c r="T134" s="86" t="str">
        <f aca="false">IF(OR($S134="",N($M134)=0),"",$S134/$M134)</f>
        <v/>
      </c>
      <c r="U134" s="82"/>
      <c r="V134" s="82"/>
      <c r="W134" s="87"/>
      <c r="X134" s="79" t="str">
        <f aca="false">IF($AJ134="","",INDEX(Securities!$L$6:$L$105,$AJ134)&amp;"")</f>
        <v/>
      </c>
      <c r="Y134" s="87"/>
      <c r="Z134" s="87"/>
      <c r="AA134" s="86" t="str">
        <f aca="false">IF(OR($W134="",$Z134=""),"",$W134-$Z134)</f>
        <v/>
      </c>
      <c r="AB134" s="79" t="str">
        <f aca="false">IF($C134="","",IF($P134="At cost","At cost",IF(NOT(ISNUMBER($J134)),"No date",IF(ValDate-$J134&lt;365,"Absolute",IF($W134="","XIRR missing","XIRR")))))</f>
        <v/>
      </c>
      <c r="AC134" s="86" t="str">
        <f aca="false">IF(NOT(ISNUMBER($R134)),"",IF(SUM($R$6:$R$205)=0,"",$R134/SUM($R$6:$R$205)))</f>
        <v/>
      </c>
      <c r="AD134" s="82"/>
      <c r="AE134" s="80"/>
      <c r="AF134" s="78"/>
      <c r="AG134" s="88" t="str">
        <f aca="false">IF($C134="","",IF(COUNTIFS('Tax Lots'!$B$6:$B$205,$B134,'Tax Lots'!$C$6:$C$205,$C134)=0,"",SUMIFS('Tax Lots'!$P$6:$P$205,'Tax Lots'!$B$6:$B$205,$B134,'Tax Lots'!$C$6:$C$205,$C134)))</f>
        <v/>
      </c>
      <c r="AH134" s="79" t="str">
        <f aca="false">IF($A134&amp;$B134&amp;$C134="","",IF($A134="","Missing ID",IF(COUNTIF($A$6:$A$205,$A134)&gt;1,"Duplicate ID",IF($AI134="","Unknown account",IF($AJ134="","Unknown security",IF(COUNTIFS($B$6:$B$205,$B134,$C$6:$C$205,$C134)&gt;1,"Same security twice in one account",IF(AND(ISNUMBER($J134),ISNUMBER($K134),N($K134)&lt;N($J134)),"Last date before first",IF(NOT(ISNUMBER($R134)),"No market value",IF(OR(N($J134)&gt;ValDate,N($K134)&gt;ValDate),"Date after valuation",IF(AND(ISNUMBER($AG134),ABS(N($L134)-N($AG134))&gt;0.001),"Lot quantity differs",IF(AND(ISNUMBER($AG134),ABS(N($M134)-SUMIFS('Tax Lots'!$Q$6:$Q$205,'Tax Lots'!$B$6:$B$205,$B134,'Tax Lots'!$C$6:$C$205,$C134))&gt;1),"Lot cost differs",IF(AND(ISNUMBER($AG134),ABS(N($V134)-SUMIFS('Tax Lots'!$AA$6:$AA$205,'Tax Lots'!$B$6:$B$205,$B134,'Tax Lots'!$C$6:$C$205,$C134))&gt;1),"Lot realised gain differs","OK"))))))))))))</f>
        <v/>
      </c>
      <c r="AI134" s="89" t="str">
        <f aca="false">IF($B134="","",IFERROR(MATCH($B134,Accounts!$A$6:$A$55,0),""))</f>
        <v/>
      </c>
      <c r="AJ134" s="89" t="str">
        <f aca="false">IF($C134="","",IFERROR(MATCH($C134,Securities!$A$6:$A$105,0),""))</f>
        <v/>
      </c>
      <c r="AK134" s="89" t="str">
        <f aca="false">IF($AI134="","",INDEX(Accounts!$B$6:$B$55,$AI134)&amp;"")</f>
        <v/>
      </c>
      <c r="AL134" s="89" t="str">
        <f aca="false">IF(OR($C134="",$I134="",NOT(ISNUMBER($R134))),"",$I134&amp;"|"&amp;(SUMPRODUCT(($I$6:$I$205=$I134)*ISNUMBER($R$6:$R$205)*($R$6:$R$205&gt;$R134))+SUMPRODUCT(($I$6:$I134=$I134)*ISNUMBER($R$6:$R134)*($R$6:$R134=$R134))))</f>
        <v/>
      </c>
      <c r="AM134" s="89" t="n">
        <f aca="false">IF(AND(ISNUMBER($R134),$W134&lt;&gt;"",$Z134&lt;&gt;"",$AB134="XIRR"),$R134*$W134,0)</f>
        <v>0</v>
      </c>
      <c r="AN134" s="89" t="n">
        <f aca="false">IF(AND(ISNUMBER($R134),$W134&lt;&gt;"",$Z134&lt;&gt;"",$AB134="XIRR"),$R134,0)</f>
        <v>0</v>
      </c>
      <c r="AO134" s="89" t="n">
        <f aca="false">IF(AND(ISNUMBER($R134),$W134&lt;&gt;"",$Z134&lt;&gt;"",$AB134="XIRR"),$R134*$Z134,0)</f>
        <v>0</v>
      </c>
      <c r="AP134" s="89" t="n">
        <f aca="false">IF(AND(ISNUMBER($M134),$Y134&lt;&gt;"",ISNUMBER($T134)),$M134*$Y134,0)</f>
        <v>0</v>
      </c>
      <c r="AQ134" s="89" t="n">
        <f aca="false">IF(AND(ISNUMBER($M134),$Y134&lt;&gt;"",ISNUMBER($T134)),$M134,0)</f>
        <v>0</v>
      </c>
    </row>
    <row r="135" customFormat="false" ht="15" hidden="false" customHeight="false" outlineLevel="0" collapsed="false">
      <c r="A135" s="77"/>
      <c r="B135" s="78"/>
      <c r="C135" s="78"/>
      <c r="D135" s="79" t="str">
        <f aca="false">IF($AI135="","",INDEX(Accounts!$C$6:$C$55,$AI135)&amp;"")</f>
        <v/>
      </c>
      <c r="E135" s="79" t="str">
        <f aca="false">IF($AI135="","",INDEX(Accounts!$F$6:$F$55,$AI135)&amp;"")</f>
        <v/>
      </c>
      <c r="F135" s="79" t="str">
        <f aca="false">IF($AJ135="","",INDEX(Securities!$B$6:$B$105,$AJ135)&amp;"")</f>
        <v/>
      </c>
      <c r="G135" s="79" t="str">
        <f aca="false">IF($AJ135="","",INDEX(Securities!$F$6:$F$105,$AJ135)&amp;"")</f>
        <v/>
      </c>
      <c r="H135" s="79" t="str">
        <f aca="false">IF($AJ135="","",INDEX(Securities!$E$6:$E$105,$AJ135)&amp;"")</f>
        <v/>
      </c>
      <c r="I135" s="79" t="str">
        <f aca="false">IF($AJ135="","",INDEX(Securities!$H$6:$H$105,$AJ135)&amp;"")</f>
        <v/>
      </c>
      <c r="J135" s="80"/>
      <c r="K135" s="80"/>
      <c r="L135" s="81"/>
      <c r="M135" s="82"/>
      <c r="N135" s="83" t="str">
        <f aca="false">IF(OR($L135="",$M135=""),"",IF(N($L135)=0,"",$M135/$L135))</f>
        <v/>
      </c>
      <c r="O135" s="84" t="str">
        <f aca="false">IF($AJ135="","",IF(INDEX(Securities!$O$6:$O$105,$AJ135)="","",INDEX(Securities!$O$6:$O$105,$AJ135)))</f>
        <v/>
      </c>
      <c r="P135" s="79" t="str">
        <f aca="false">IF($AJ135="","",INDEX(Securities!$N$6:$N$105,$AJ135)&amp;"")</f>
        <v/>
      </c>
      <c r="Q135" s="82"/>
      <c r="R135" s="85" t="str">
        <f aca="false">IF($C135="","",IF($Q135&lt;&gt;"",$Q135,IF($P135="At cost",IF($M135="","",$M135),IF(OR($O135="",$L135=""),"",$L135*$O135))))</f>
        <v/>
      </c>
      <c r="S135" s="85" t="str">
        <f aca="false">IF(OR(NOT(ISNUMBER($R135)),$M135=""),"",$R135-$M135)</f>
        <v/>
      </c>
      <c r="T135" s="86" t="str">
        <f aca="false">IF(OR($S135="",N($M135)=0),"",$S135/$M135)</f>
        <v/>
      </c>
      <c r="U135" s="82"/>
      <c r="V135" s="82"/>
      <c r="W135" s="87"/>
      <c r="X135" s="79" t="str">
        <f aca="false">IF($AJ135="","",INDEX(Securities!$L$6:$L$105,$AJ135)&amp;"")</f>
        <v/>
      </c>
      <c r="Y135" s="87"/>
      <c r="Z135" s="87"/>
      <c r="AA135" s="86" t="str">
        <f aca="false">IF(OR($W135="",$Z135=""),"",$W135-$Z135)</f>
        <v/>
      </c>
      <c r="AB135" s="79" t="str">
        <f aca="false">IF($C135="","",IF($P135="At cost","At cost",IF(NOT(ISNUMBER($J135)),"No date",IF(ValDate-$J135&lt;365,"Absolute",IF($W135="","XIRR missing","XIRR")))))</f>
        <v/>
      </c>
      <c r="AC135" s="86" t="str">
        <f aca="false">IF(NOT(ISNUMBER($R135)),"",IF(SUM($R$6:$R$205)=0,"",$R135/SUM($R$6:$R$205)))</f>
        <v/>
      </c>
      <c r="AD135" s="82"/>
      <c r="AE135" s="80"/>
      <c r="AF135" s="78"/>
      <c r="AG135" s="88" t="str">
        <f aca="false">IF($C135="","",IF(COUNTIFS('Tax Lots'!$B$6:$B$205,$B135,'Tax Lots'!$C$6:$C$205,$C135)=0,"",SUMIFS('Tax Lots'!$P$6:$P$205,'Tax Lots'!$B$6:$B$205,$B135,'Tax Lots'!$C$6:$C$205,$C135)))</f>
        <v/>
      </c>
      <c r="AH135" s="79" t="str">
        <f aca="false">IF($A135&amp;$B135&amp;$C135="","",IF($A135="","Missing ID",IF(COUNTIF($A$6:$A$205,$A135)&gt;1,"Duplicate ID",IF($AI135="","Unknown account",IF($AJ135="","Unknown security",IF(COUNTIFS($B$6:$B$205,$B135,$C$6:$C$205,$C135)&gt;1,"Same security twice in one account",IF(AND(ISNUMBER($J135),ISNUMBER($K135),N($K135)&lt;N($J135)),"Last date before first",IF(NOT(ISNUMBER($R135)),"No market value",IF(OR(N($J135)&gt;ValDate,N($K135)&gt;ValDate),"Date after valuation",IF(AND(ISNUMBER($AG135),ABS(N($L135)-N($AG135))&gt;0.001),"Lot quantity differs",IF(AND(ISNUMBER($AG135),ABS(N($M135)-SUMIFS('Tax Lots'!$Q$6:$Q$205,'Tax Lots'!$B$6:$B$205,$B135,'Tax Lots'!$C$6:$C$205,$C135))&gt;1),"Lot cost differs",IF(AND(ISNUMBER($AG135),ABS(N($V135)-SUMIFS('Tax Lots'!$AA$6:$AA$205,'Tax Lots'!$B$6:$B$205,$B135,'Tax Lots'!$C$6:$C$205,$C135))&gt;1),"Lot realised gain differs","OK"))))))))))))</f>
        <v/>
      </c>
      <c r="AI135" s="89" t="str">
        <f aca="false">IF($B135="","",IFERROR(MATCH($B135,Accounts!$A$6:$A$55,0),""))</f>
        <v/>
      </c>
      <c r="AJ135" s="89" t="str">
        <f aca="false">IF($C135="","",IFERROR(MATCH($C135,Securities!$A$6:$A$105,0),""))</f>
        <v/>
      </c>
      <c r="AK135" s="89" t="str">
        <f aca="false">IF($AI135="","",INDEX(Accounts!$B$6:$B$55,$AI135)&amp;"")</f>
        <v/>
      </c>
      <c r="AL135" s="89" t="str">
        <f aca="false">IF(OR($C135="",$I135="",NOT(ISNUMBER($R135))),"",$I135&amp;"|"&amp;(SUMPRODUCT(($I$6:$I$205=$I135)*ISNUMBER($R$6:$R$205)*($R$6:$R$205&gt;$R135))+SUMPRODUCT(($I$6:$I135=$I135)*ISNUMBER($R$6:$R135)*($R$6:$R135=$R135))))</f>
        <v/>
      </c>
      <c r="AM135" s="89" t="n">
        <f aca="false">IF(AND(ISNUMBER($R135),$W135&lt;&gt;"",$Z135&lt;&gt;"",$AB135="XIRR"),$R135*$W135,0)</f>
        <v>0</v>
      </c>
      <c r="AN135" s="89" t="n">
        <f aca="false">IF(AND(ISNUMBER($R135),$W135&lt;&gt;"",$Z135&lt;&gt;"",$AB135="XIRR"),$R135,0)</f>
        <v>0</v>
      </c>
      <c r="AO135" s="89" t="n">
        <f aca="false">IF(AND(ISNUMBER($R135),$W135&lt;&gt;"",$Z135&lt;&gt;"",$AB135="XIRR"),$R135*$Z135,0)</f>
        <v>0</v>
      </c>
      <c r="AP135" s="89" t="n">
        <f aca="false">IF(AND(ISNUMBER($M135),$Y135&lt;&gt;"",ISNUMBER($T135)),$M135*$Y135,0)</f>
        <v>0</v>
      </c>
      <c r="AQ135" s="89" t="n">
        <f aca="false">IF(AND(ISNUMBER($M135),$Y135&lt;&gt;"",ISNUMBER($T135)),$M135,0)</f>
        <v>0</v>
      </c>
    </row>
    <row r="136" customFormat="false" ht="15" hidden="false" customHeight="false" outlineLevel="0" collapsed="false">
      <c r="A136" s="77"/>
      <c r="B136" s="78"/>
      <c r="C136" s="78"/>
      <c r="D136" s="79" t="str">
        <f aca="false">IF($AI136="","",INDEX(Accounts!$C$6:$C$55,$AI136)&amp;"")</f>
        <v/>
      </c>
      <c r="E136" s="79" t="str">
        <f aca="false">IF($AI136="","",INDEX(Accounts!$F$6:$F$55,$AI136)&amp;"")</f>
        <v/>
      </c>
      <c r="F136" s="79" t="str">
        <f aca="false">IF($AJ136="","",INDEX(Securities!$B$6:$B$105,$AJ136)&amp;"")</f>
        <v/>
      </c>
      <c r="G136" s="79" t="str">
        <f aca="false">IF($AJ136="","",INDEX(Securities!$F$6:$F$105,$AJ136)&amp;"")</f>
        <v/>
      </c>
      <c r="H136" s="79" t="str">
        <f aca="false">IF($AJ136="","",INDEX(Securities!$E$6:$E$105,$AJ136)&amp;"")</f>
        <v/>
      </c>
      <c r="I136" s="79" t="str">
        <f aca="false">IF($AJ136="","",INDEX(Securities!$H$6:$H$105,$AJ136)&amp;"")</f>
        <v/>
      </c>
      <c r="J136" s="80"/>
      <c r="K136" s="80"/>
      <c r="L136" s="81"/>
      <c r="M136" s="82"/>
      <c r="N136" s="83" t="str">
        <f aca="false">IF(OR($L136="",$M136=""),"",IF(N($L136)=0,"",$M136/$L136))</f>
        <v/>
      </c>
      <c r="O136" s="84" t="str">
        <f aca="false">IF($AJ136="","",IF(INDEX(Securities!$O$6:$O$105,$AJ136)="","",INDEX(Securities!$O$6:$O$105,$AJ136)))</f>
        <v/>
      </c>
      <c r="P136" s="79" t="str">
        <f aca="false">IF($AJ136="","",INDEX(Securities!$N$6:$N$105,$AJ136)&amp;"")</f>
        <v/>
      </c>
      <c r="Q136" s="82"/>
      <c r="R136" s="85" t="str">
        <f aca="false">IF($C136="","",IF($Q136&lt;&gt;"",$Q136,IF($P136="At cost",IF($M136="","",$M136),IF(OR($O136="",$L136=""),"",$L136*$O136))))</f>
        <v/>
      </c>
      <c r="S136" s="85" t="str">
        <f aca="false">IF(OR(NOT(ISNUMBER($R136)),$M136=""),"",$R136-$M136)</f>
        <v/>
      </c>
      <c r="T136" s="86" t="str">
        <f aca="false">IF(OR($S136="",N($M136)=0),"",$S136/$M136)</f>
        <v/>
      </c>
      <c r="U136" s="82"/>
      <c r="V136" s="82"/>
      <c r="W136" s="87"/>
      <c r="X136" s="79" t="str">
        <f aca="false">IF($AJ136="","",INDEX(Securities!$L$6:$L$105,$AJ136)&amp;"")</f>
        <v/>
      </c>
      <c r="Y136" s="87"/>
      <c r="Z136" s="87"/>
      <c r="AA136" s="86" t="str">
        <f aca="false">IF(OR($W136="",$Z136=""),"",$W136-$Z136)</f>
        <v/>
      </c>
      <c r="AB136" s="79" t="str">
        <f aca="false">IF($C136="","",IF($P136="At cost","At cost",IF(NOT(ISNUMBER($J136)),"No date",IF(ValDate-$J136&lt;365,"Absolute",IF($W136="","XIRR missing","XIRR")))))</f>
        <v/>
      </c>
      <c r="AC136" s="86" t="str">
        <f aca="false">IF(NOT(ISNUMBER($R136)),"",IF(SUM($R$6:$R$205)=0,"",$R136/SUM($R$6:$R$205)))</f>
        <v/>
      </c>
      <c r="AD136" s="82"/>
      <c r="AE136" s="80"/>
      <c r="AF136" s="78"/>
      <c r="AG136" s="88" t="str">
        <f aca="false">IF($C136="","",IF(COUNTIFS('Tax Lots'!$B$6:$B$205,$B136,'Tax Lots'!$C$6:$C$205,$C136)=0,"",SUMIFS('Tax Lots'!$P$6:$P$205,'Tax Lots'!$B$6:$B$205,$B136,'Tax Lots'!$C$6:$C$205,$C136)))</f>
        <v/>
      </c>
      <c r="AH136" s="79" t="str">
        <f aca="false">IF($A136&amp;$B136&amp;$C136="","",IF($A136="","Missing ID",IF(COUNTIF($A$6:$A$205,$A136)&gt;1,"Duplicate ID",IF($AI136="","Unknown account",IF($AJ136="","Unknown security",IF(COUNTIFS($B$6:$B$205,$B136,$C$6:$C$205,$C136)&gt;1,"Same security twice in one account",IF(AND(ISNUMBER($J136),ISNUMBER($K136),N($K136)&lt;N($J136)),"Last date before first",IF(NOT(ISNUMBER($R136)),"No market value",IF(OR(N($J136)&gt;ValDate,N($K136)&gt;ValDate),"Date after valuation",IF(AND(ISNUMBER($AG136),ABS(N($L136)-N($AG136))&gt;0.001),"Lot quantity differs",IF(AND(ISNUMBER($AG136),ABS(N($M136)-SUMIFS('Tax Lots'!$Q$6:$Q$205,'Tax Lots'!$B$6:$B$205,$B136,'Tax Lots'!$C$6:$C$205,$C136))&gt;1),"Lot cost differs",IF(AND(ISNUMBER($AG136),ABS(N($V136)-SUMIFS('Tax Lots'!$AA$6:$AA$205,'Tax Lots'!$B$6:$B$205,$B136,'Tax Lots'!$C$6:$C$205,$C136))&gt;1),"Lot realised gain differs","OK"))))))))))))</f>
        <v/>
      </c>
      <c r="AI136" s="89" t="str">
        <f aca="false">IF($B136="","",IFERROR(MATCH($B136,Accounts!$A$6:$A$55,0),""))</f>
        <v/>
      </c>
      <c r="AJ136" s="89" t="str">
        <f aca="false">IF($C136="","",IFERROR(MATCH($C136,Securities!$A$6:$A$105,0),""))</f>
        <v/>
      </c>
      <c r="AK136" s="89" t="str">
        <f aca="false">IF($AI136="","",INDEX(Accounts!$B$6:$B$55,$AI136)&amp;"")</f>
        <v/>
      </c>
      <c r="AL136" s="89" t="str">
        <f aca="false">IF(OR($C136="",$I136="",NOT(ISNUMBER($R136))),"",$I136&amp;"|"&amp;(SUMPRODUCT(($I$6:$I$205=$I136)*ISNUMBER($R$6:$R$205)*($R$6:$R$205&gt;$R136))+SUMPRODUCT(($I$6:$I136=$I136)*ISNUMBER($R$6:$R136)*($R$6:$R136=$R136))))</f>
        <v/>
      </c>
      <c r="AM136" s="89" t="n">
        <f aca="false">IF(AND(ISNUMBER($R136),$W136&lt;&gt;"",$Z136&lt;&gt;"",$AB136="XIRR"),$R136*$W136,0)</f>
        <v>0</v>
      </c>
      <c r="AN136" s="89" t="n">
        <f aca="false">IF(AND(ISNUMBER($R136),$W136&lt;&gt;"",$Z136&lt;&gt;"",$AB136="XIRR"),$R136,0)</f>
        <v>0</v>
      </c>
      <c r="AO136" s="89" t="n">
        <f aca="false">IF(AND(ISNUMBER($R136),$W136&lt;&gt;"",$Z136&lt;&gt;"",$AB136="XIRR"),$R136*$Z136,0)</f>
        <v>0</v>
      </c>
      <c r="AP136" s="89" t="n">
        <f aca="false">IF(AND(ISNUMBER($M136),$Y136&lt;&gt;"",ISNUMBER($T136)),$M136*$Y136,0)</f>
        <v>0</v>
      </c>
      <c r="AQ136" s="89" t="n">
        <f aca="false">IF(AND(ISNUMBER($M136),$Y136&lt;&gt;"",ISNUMBER($T136)),$M136,0)</f>
        <v>0</v>
      </c>
    </row>
    <row r="137" customFormat="false" ht="15" hidden="false" customHeight="false" outlineLevel="0" collapsed="false">
      <c r="A137" s="77"/>
      <c r="B137" s="78"/>
      <c r="C137" s="78"/>
      <c r="D137" s="79" t="str">
        <f aca="false">IF($AI137="","",INDEX(Accounts!$C$6:$C$55,$AI137)&amp;"")</f>
        <v/>
      </c>
      <c r="E137" s="79" t="str">
        <f aca="false">IF($AI137="","",INDEX(Accounts!$F$6:$F$55,$AI137)&amp;"")</f>
        <v/>
      </c>
      <c r="F137" s="79" t="str">
        <f aca="false">IF($AJ137="","",INDEX(Securities!$B$6:$B$105,$AJ137)&amp;"")</f>
        <v/>
      </c>
      <c r="G137" s="79" t="str">
        <f aca="false">IF($AJ137="","",INDEX(Securities!$F$6:$F$105,$AJ137)&amp;"")</f>
        <v/>
      </c>
      <c r="H137" s="79" t="str">
        <f aca="false">IF($AJ137="","",INDEX(Securities!$E$6:$E$105,$AJ137)&amp;"")</f>
        <v/>
      </c>
      <c r="I137" s="79" t="str">
        <f aca="false">IF($AJ137="","",INDEX(Securities!$H$6:$H$105,$AJ137)&amp;"")</f>
        <v/>
      </c>
      <c r="J137" s="80"/>
      <c r="K137" s="80"/>
      <c r="L137" s="81"/>
      <c r="M137" s="82"/>
      <c r="N137" s="83" t="str">
        <f aca="false">IF(OR($L137="",$M137=""),"",IF(N($L137)=0,"",$M137/$L137))</f>
        <v/>
      </c>
      <c r="O137" s="84" t="str">
        <f aca="false">IF($AJ137="","",IF(INDEX(Securities!$O$6:$O$105,$AJ137)="","",INDEX(Securities!$O$6:$O$105,$AJ137)))</f>
        <v/>
      </c>
      <c r="P137" s="79" t="str">
        <f aca="false">IF($AJ137="","",INDEX(Securities!$N$6:$N$105,$AJ137)&amp;"")</f>
        <v/>
      </c>
      <c r="Q137" s="82"/>
      <c r="R137" s="85" t="str">
        <f aca="false">IF($C137="","",IF($Q137&lt;&gt;"",$Q137,IF($P137="At cost",IF($M137="","",$M137),IF(OR($O137="",$L137=""),"",$L137*$O137))))</f>
        <v/>
      </c>
      <c r="S137" s="85" t="str">
        <f aca="false">IF(OR(NOT(ISNUMBER($R137)),$M137=""),"",$R137-$M137)</f>
        <v/>
      </c>
      <c r="T137" s="86" t="str">
        <f aca="false">IF(OR($S137="",N($M137)=0),"",$S137/$M137)</f>
        <v/>
      </c>
      <c r="U137" s="82"/>
      <c r="V137" s="82"/>
      <c r="W137" s="87"/>
      <c r="X137" s="79" t="str">
        <f aca="false">IF($AJ137="","",INDEX(Securities!$L$6:$L$105,$AJ137)&amp;"")</f>
        <v/>
      </c>
      <c r="Y137" s="87"/>
      <c r="Z137" s="87"/>
      <c r="AA137" s="86" t="str">
        <f aca="false">IF(OR($W137="",$Z137=""),"",$W137-$Z137)</f>
        <v/>
      </c>
      <c r="AB137" s="79" t="str">
        <f aca="false">IF($C137="","",IF($P137="At cost","At cost",IF(NOT(ISNUMBER($J137)),"No date",IF(ValDate-$J137&lt;365,"Absolute",IF($W137="","XIRR missing","XIRR")))))</f>
        <v/>
      </c>
      <c r="AC137" s="86" t="str">
        <f aca="false">IF(NOT(ISNUMBER($R137)),"",IF(SUM($R$6:$R$205)=0,"",$R137/SUM($R$6:$R$205)))</f>
        <v/>
      </c>
      <c r="AD137" s="82"/>
      <c r="AE137" s="80"/>
      <c r="AF137" s="78"/>
      <c r="AG137" s="88" t="str">
        <f aca="false">IF($C137="","",IF(COUNTIFS('Tax Lots'!$B$6:$B$205,$B137,'Tax Lots'!$C$6:$C$205,$C137)=0,"",SUMIFS('Tax Lots'!$P$6:$P$205,'Tax Lots'!$B$6:$B$205,$B137,'Tax Lots'!$C$6:$C$205,$C137)))</f>
        <v/>
      </c>
      <c r="AH137" s="79" t="str">
        <f aca="false">IF($A137&amp;$B137&amp;$C137="","",IF($A137="","Missing ID",IF(COUNTIF($A$6:$A$205,$A137)&gt;1,"Duplicate ID",IF($AI137="","Unknown account",IF($AJ137="","Unknown security",IF(COUNTIFS($B$6:$B$205,$B137,$C$6:$C$205,$C137)&gt;1,"Same security twice in one account",IF(AND(ISNUMBER($J137),ISNUMBER($K137),N($K137)&lt;N($J137)),"Last date before first",IF(NOT(ISNUMBER($R137)),"No market value",IF(OR(N($J137)&gt;ValDate,N($K137)&gt;ValDate),"Date after valuation",IF(AND(ISNUMBER($AG137),ABS(N($L137)-N($AG137))&gt;0.001),"Lot quantity differs",IF(AND(ISNUMBER($AG137),ABS(N($M137)-SUMIFS('Tax Lots'!$Q$6:$Q$205,'Tax Lots'!$B$6:$B$205,$B137,'Tax Lots'!$C$6:$C$205,$C137))&gt;1),"Lot cost differs",IF(AND(ISNUMBER($AG137),ABS(N($V137)-SUMIFS('Tax Lots'!$AA$6:$AA$205,'Tax Lots'!$B$6:$B$205,$B137,'Tax Lots'!$C$6:$C$205,$C137))&gt;1),"Lot realised gain differs","OK"))))))))))))</f>
        <v/>
      </c>
      <c r="AI137" s="89" t="str">
        <f aca="false">IF($B137="","",IFERROR(MATCH($B137,Accounts!$A$6:$A$55,0),""))</f>
        <v/>
      </c>
      <c r="AJ137" s="89" t="str">
        <f aca="false">IF($C137="","",IFERROR(MATCH($C137,Securities!$A$6:$A$105,0),""))</f>
        <v/>
      </c>
      <c r="AK137" s="89" t="str">
        <f aca="false">IF($AI137="","",INDEX(Accounts!$B$6:$B$55,$AI137)&amp;"")</f>
        <v/>
      </c>
      <c r="AL137" s="89" t="str">
        <f aca="false">IF(OR($C137="",$I137="",NOT(ISNUMBER($R137))),"",$I137&amp;"|"&amp;(SUMPRODUCT(($I$6:$I$205=$I137)*ISNUMBER($R$6:$R$205)*($R$6:$R$205&gt;$R137))+SUMPRODUCT(($I$6:$I137=$I137)*ISNUMBER($R$6:$R137)*($R$6:$R137=$R137))))</f>
        <v/>
      </c>
      <c r="AM137" s="89" t="n">
        <f aca="false">IF(AND(ISNUMBER($R137),$W137&lt;&gt;"",$Z137&lt;&gt;"",$AB137="XIRR"),$R137*$W137,0)</f>
        <v>0</v>
      </c>
      <c r="AN137" s="89" t="n">
        <f aca="false">IF(AND(ISNUMBER($R137),$W137&lt;&gt;"",$Z137&lt;&gt;"",$AB137="XIRR"),$R137,0)</f>
        <v>0</v>
      </c>
      <c r="AO137" s="89" t="n">
        <f aca="false">IF(AND(ISNUMBER($R137),$W137&lt;&gt;"",$Z137&lt;&gt;"",$AB137="XIRR"),$R137*$Z137,0)</f>
        <v>0</v>
      </c>
      <c r="AP137" s="89" t="n">
        <f aca="false">IF(AND(ISNUMBER($M137),$Y137&lt;&gt;"",ISNUMBER($T137)),$M137*$Y137,0)</f>
        <v>0</v>
      </c>
      <c r="AQ137" s="89" t="n">
        <f aca="false">IF(AND(ISNUMBER($M137),$Y137&lt;&gt;"",ISNUMBER($T137)),$M137,0)</f>
        <v>0</v>
      </c>
    </row>
    <row r="138" customFormat="false" ht="15" hidden="false" customHeight="false" outlineLevel="0" collapsed="false">
      <c r="A138" s="77"/>
      <c r="B138" s="78"/>
      <c r="C138" s="78"/>
      <c r="D138" s="79" t="str">
        <f aca="false">IF($AI138="","",INDEX(Accounts!$C$6:$C$55,$AI138)&amp;"")</f>
        <v/>
      </c>
      <c r="E138" s="79" t="str">
        <f aca="false">IF($AI138="","",INDEX(Accounts!$F$6:$F$55,$AI138)&amp;"")</f>
        <v/>
      </c>
      <c r="F138" s="79" t="str">
        <f aca="false">IF($AJ138="","",INDEX(Securities!$B$6:$B$105,$AJ138)&amp;"")</f>
        <v/>
      </c>
      <c r="G138" s="79" t="str">
        <f aca="false">IF($AJ138="","",INDEX(Securities!$F$6:$F$105,$AJ138)&amp;"")</f>
        <v/>
      </c>
      <c r="H138" s="79" t="str">
        <f aca="false">IF($AJ138="","",INDEX(Securities!$E$6:$E$105,$AJ138)&amp;"")</f>
        <v/>
      </c>
      <c r="I138" s="79" t="str">
        <f aca="false">IF($AJ138="","",INDEX(Securities!$H$6:$H$105,$AJ138)&amp;"")</f>
        <v/>
      </c>
      <c r="J138" s="80"/>
      <c r="K138" s="80"/>
      <c r="L138" s="81"/>
      <c r="M138" s="82"/>
      <c r="N138" s="83" t="str">
        <f aca="false">IF(OR($L138="",$M138=""),"",IF(N($L138)=0,"",$M138/$L138))</f>
        <v/>
      </c>
      <c r="O138" s="84" t="str">
        <f aca="false">IF($AJ138="","",IF(INDEX(Securities!$O$6:$O$105,$AJ138)="","",INDEX(Securities!$O$6:$O$105,$AJ138)))</f>
        <v/>
      </c>
      <c r="P138" s="79" t="str">
        <f aca="false">IF($AJ138="","",INDEX(Securities!$N$6:$N$105,$AJ138)&amp;"")</f>
        <v/>
      </c>
      <c r="Q138" s="82"/>
      <c r="R138" s="85" t="str">
        <f aca="false">IF($C138="","",IF($Q138&lt;&gt;"",$Q138,IF($P138="At cost",IF($M138="","",$M138),IF(OR($O138="",$L138=""),"",$L138*$O138))))</f>
        <v/>
      </c>
      <c r="S138" s="85" t="str">
        <f aca="false">IF(OR(NOT(ISNUMBER($R138)),$M138=""),"",$R138-$M138)</f>
        <v/>
      </c>
      <c r="T138" s="86" t="str">
        <f aca="false">IF(OR($S138="",N($M138)=0),"",$S138/$M138)</f>
        <v/>
      </c>
      <c r="U138" s="82"/>
      <c r="V138" s="82"/>
      <c r="W138" s="87"/>
      <c r="X138" s="79" t="str">
        <f aca="false">IF($AJ138="","",INDEX(Securities!$L$6:$L$105,$AJ138)&amp;"")</f>
        <v/>
      </c>
      <c r="Y138" s="87"/>
      <c r="Z138" s="87"/>
      <c r="AA138" s="86" t="str">
        <f aca="false">IF(OR($W138="",$Z138=""),"",$W138-$Z138)</f>
        <v/>
      </c>
      <c r="AB138" s="79" t="str">
        <f aca="false">IF($C138="","",IF($P138="At cost","At cost",IF(NOT(ISNUMBER($J138)),"No date",IF(ValDate-$J138&lt;365,"Absolute",IF($W138="","XIRR missing","XIRR")))))</f>
        <v/>
      </c>
      <c r="AC138" s="86" t="str">
        <f aca="false">IF(NOT(ISNUMBER($R138)),"",IF(SUM($R$6:$R$205)=0,"",$R138/SUM($R$6:$R$205)))</f>
        <v/>
      </c>
      <c r="AD138" s="82"/>
      <c r="AE138" s="80"/>
      <c r="AF138" s="78"/>
      <c r="AG138" s="88" t="str">
        <f aca="false">IF($C138="","",IF(COUNTIFS('Tax Lots'!$B$6:$B$205,$B138,'Tax Lots'!$C$6:$C$205,$C138)=0,"",SUMIFS('Tax Lots'!$P$6:$P$205,'Tax Lots'!$B$6:$B$205,$B138,'Tax Lots'!$C$6:$C$205,$C138)))</f>
        <v/>
      </c>
      <c r="AH138" s="79" t="str">
        <f aca="false">IF($A138&amp;$B138&amp;$C138="","",IF($A138="","Missing ID",IF(COUNTIF($A$6:$A$205,$A138)&gt;1,"Duplicate ID",IF($AI138="","Unknown account",IF($AJ138="","Unknown security",IF(COUNTIFS($B$6:$B$205,$B138,$C$6:$C$205,$C138)&gt;1,"Same security twice in one account",IF(AND(ISNUMBER($J138),ISNUMBER($K138),N($K138)&lt;N($J138)),"Last date before first",IF(NOT(ISNUMBER($R138)),"No market value",IF(OR(N($J138)&gt;ValDate,N($K138)&gt;ValDate),"Date after valuation",IF(AND(ISNUMBER($AG138),ABS(N($L138)-N($AG138))&gt;0.001),"Lot quantity differs",IF(AND(ISNUMBER($AG138),ABS(N($M138)-SUMIFS('Tax Lots'!$Q$6:$Q$205,'Tax Lots'!$B$6:$B$205,$B138,'Tax Lots'!$C$6:$C$205,$C138))&gt;1),"Lot cost differs",IF(AND(ISNUMBER($AG138),ABS(N($V138)-SUMIFS('Tax Lots'!$AA$6:$AA$205,'Tax Lots'!$B$6:$B$205,$B138,'Tax Lots'!$C$6:$C$205,$C138))&gt;1),"Lot realised gain differs","OK"))))))))))))</f>
        <v/>
      </c>
      <c r="AI138" s="89" t="str">
        <f aca="false">IF($B138="","",IFERROR(MATCH($B138,Accounts!$A$6:$A$55,0),""))</f>
        <v/>
      </c>
      <c r="AJ138" s="89" t="str">
        <f aca="false">IF($C138="","",IFERROR(MATCH($C138,Securities!$A$6:$A$105,0),""))</f>
        <v/>
      </c>
      <c r="AK138" s="89" t="str">
        <f aca="false">IF($AI138="","",INDEX(Accounts!$B$6:$B$55,$AI138)&amp;"")</f>
        <v/>
      </c>
      <c r="AL138" s="89" t="str">
        <f aca="false">IF(OR($C138="",$I138="",NOT(ISNUMBER($R138))),"",$I138&amp;"|"&amp;(SUMPRODUCT(($I$6:$I$205=$I138)*ISNUMBER($R$6:$R$205)*($R$6:$R$205&gt;$R138))+SUMPRODUCT(($I$6:$I138=$I138)*ISNUMBER($R$6:$R138)*($R$6:$R138=$R138))))</f>
        <v/>
      </c>
      <c r="AM138" s="89" t="n">
        <f aca="false">IF(AND(ISNUMBER($R138),$W138&lt;&gt;"",$Z138&lt;&gt;"",$AB138="XIRR"),$R138*$W138,0)</f>
        <v>0</v>
      </c>
      <c r="AN138" s="89" t="n">
        <f aca="false">IF(AND(ISNUMBER($R138),$W138&lt;&gt;"",$Z138&lt;&gt;"",$AB138="XIRR"),$R138,0)</f>
        <v>0</v>
      </c>
      <c r="AO138" s="89" t="n">
        <f aca="false">IF(AND(ISNUMBER($R138),$W138&lt;&gt;"",$Z138&lt;&gt;"",$AB138="XIRR"),$R138*$Z138,0)</f>
        <v>0</v>
      </c>
      <c r="AP138" s="89" t="n">
        <f aca="false">IF(AND(ISNUMBER($M138),$Y138&lt;&gt;"",ISNUMBER($T138)),$M138*$Y138,0)</f>
        <v>0</v>
      </c>
      <c r="AQ138" s="89" t="n">
        <f aca="false">IF(AND(ISNUMBER($M138),$Y138&lt;&gt;"",ISNUMBER($T138)),$M138,0)</f>
        <v>0</v>
      </c>
    </row>
    <row r="139" customFormat="false" ht="15" hidden="false" customHeight="false" outlineLevel="0" collapsed="false">
      <c r="A139" s="77"/>
      <c r="B139" s="78"/>
      <c r="C139" s="78"/>
      <c r="D139" s="79" t="str">
        <f aca="false">IF($AI139="","",INDEX(Accounts!$C$6:$C$55,$AI139)&amp;"")</f>
        <v/>
      </c>
      <c r="E139" s="79" t="str">
        <f aca="false">IF($AI139="","",INDEX(Accounts!$F$6:$F$55,$AI139)&amp;"")</f>
        <v/>
      </c>
      <c r="F139" s="79" t="str">
        <f aca="false">IF($AJ139="","",INDEX(Securities!$B$6:$B$105,$AJ139)&amp;"")</f>
        <v/>
      </c>
      <c r="G139" s="79" t="str">
        <f aca="false">IF($AJ139="","",INDEX(Securities!$F$6:$F$105,$AJ139)&amp;"")</f>
        <v/>
      </c>
      <c r="H139" s="79" t="str">
        <f aca="false">IF($AJ139="","",INDEX(Securities!$E$6:$E$105,$AJ139)&amp;"")</f>
        <v/>
      </c>
      <c r="I139" s="79" t="str">
        <f aca="false">IF($AJ139="","",INDEX(Securities!$H$6:$H$105,$AJ139)&amp;"")</f>
        <v/>
      </c>
      <c r="J139" s="80"/>
      <c r="K139" s="80"/>
      <c r="L139" s="81"/>
      <c r="M139" s="82"/>
      <c r="N139" s="83" t="str">
        <f aca="false">IF(OR($L139="",$M139=""),"",IF(N($L139)=0,"",$M139/$L139))</f>
        <v/>
      </c>
      <c r="O139" s="84" t="str">
        <f aca="false">IF($AJ139="","",IF(INDEX(Securities!$O$6:$O$105,$AJ139)="","",INDEX(Securities!$O$6:$O$105,$AJ139)))</f>
        <v/>
      </c>
      <c r="P139" s="79" t="str">
        <f aca="false">IF($AJ139="","",INDEX(Securities!$N$6:$N$105,$AJ139)&amp;"")</f>
        <v/>
      </c>
      <c r="Q139" s="82"/>
      <c r="R139" s="85" t="str">
        <f aca="false">IF($C139="","",IF($Q139&lt;&gt;"",$Q139,IF($P139="At cost",IF($M139="","",$M139),IF(OR($O139="",$L139=""),"",$L139*$O139))))</f>
        <v/>
      </c>
      <c r="S139" s="85" t="str">
        <f aca="false">IF(OR(NOT(ISNUMBER($R139)),$M139=""),"",$R139-$M139)</f>
        <v/>
      </c>
      <c r="T139" s="86" t="str">
        <f aca="false">IF(OR($S139="",N($M139)=0),"",$S139/$M139)</f>
        <v/>
      </c>
      <c r="U139" s="82"/>
      <c r="V139" s="82"/>
      <c r="W139" s="87"/>
      <c r="X139" s="79" t="str">
        <f aca="false">IF($AJ139="","",INDEX(Securities!$L$6:$L$105,$AJ139)&amp;"")</f>
        <v/>
      </c>
      <c r="Y139" s="87"/>
      <c r="Z139" s="87"/>
      <c r="AA139" s="86" t="str">
        <f aca="false">IF(OR($W139="",$Z139=""),"",$W139-$Z139)</f>
        <v/>
      </c>
      <c r="AB139" s="79" t="str">
        <f aca="false">IF($C139="","",IF($P139="At cost","At cost",IF(NOT(ISNUMBER($J139)),"No date",IF(ValDate-$J139&lt;365,"Absolute",IF($W139="","XIRR missing","XIRR")))))</f>
        <v/>
      </c>
      <c r="AC139" s="86" t="str">
        <f aca="false">IF(NOT(ISNUMBER($R139)),"",IF(SUM($R$6:$R$205)=0,"",$R139/SUM($R$6:$R$205)))</f>
        <v/>
      </c>
      <c r="AD139" s="82"/>
      <c r="AE139" s="80"/>
      <c r="AF139" s="78"/>
      <c r="AG139" s="88" t="str">
        <f aca="false">IF($C139="","",IF(COUNTIFS('Tax Lots'!$B$6:$B$205,$B139,'Tax Lots'!$C$6:$C$205,$C139)=0,"",SUMIFS('Tax Lots'!$P$6:$P$205,'Tax Lots'!$B$6:$B$205,$B139,'Tax Lots'!$C$6:$C$205,$C139)))</f>
        <v/>
      </c>
      <c r="AH139" s="79" t="str">
        <f aca="false">IF($A139&amp;$B139&amp;$C139="","",IF($A139="","Missing ID",IF(COUNTIF($A$6:$A$205,$A139)&gt;1,"Duplicate ID",IF($AI139="","Unknown account",IF($AJ139="","Unknown security",IF(COUNTIFS($B$6:$B$205,$B139,$C$6:$C$205,$C139)&gt;1,"Same security twice in one account",IF(AND(ISNUMBER($J139),ISNUMBER($K139),N($K139)&lt;N($J139)),"Last date before first",IF(NOT(ISNUMBER($R139)),"No market value",IF(OR(N($J139)&gt;ValDate,N($K139)&gt;ValDate),"Date after valuation",IF(AND(ISNUMBER($AG139),ABS(N($L139)-N($AG139))&gt;0.001),"Lot quantity differs",IF(AND(ISNUMBER($AG139),ABS(N($M139)-SUMIFS('Tax Lots'!$Q$6:$Q$205,'Tax Lots'!$B$6:$B$205,$B139,'Tax Lots'!$C$6:$C$205,$C139))&gt;1),"Lot cost differs",IF(AND(ISNUMBER($AG139),ABS(N($V139)-SUMIFS('Tax Lots'!$AA$6:$AA$205,'Tax Lots'!$B$6:$B$205,$B139,'Tax Lots'!$C$6:$C$205,$C139))&gt;1),"Lot realised gain differs","OK"))))))))))))</f>
        <v/>
      </c>
      <c r="AI139" s="89" t="str">
        <f aca="false">IF($B139="","",IFERROR(MATCH($B139,Accounts!$A$6:$A$55,0),""))</f>
        <v/>
      </c>
      <c r="AJ139" s="89" t="str">
        <f aca="false">IF($C139="","",IFERROR(MATCH($C139,Securities!$A$6:$A$105,0),""))</f>
        <v/>
      </c>
      <c r="AK139" s="89" t="str">
        <f aca="false">IF($AI139="","",INDEX(Accounts!$B$6:$B$55,$AI139)&amp;"")</f>
        <v/>
      </c>
      <c r="AL139" s="89" t="str">
        <f aca="false">IF(OR($C139="",$I139="",NOT(ISNUMBER($R139))),"",$I139&amp;"|"&amp;(SUMPRODUCT(($I$6:$I$205=$I139)*ISNUMBER($R$6:$R$205)*($R$6:$R$205&gt;$R139))+SUMPRODUCT(($I$6:$I139=$I139)*ISNUMBER($R$6:$R139)*($R$6:$R139=$R139))))</f>
        <v/>
      </c>
      <c r="AM139" s="89" t="n">
        <f aca="false">IF(AND(ISNUMBER($R139),$W139&lt;&gt;"",$Z139&lt;&gt;"",$AB139="XIRR"),$R139*$W139,0)</f>
        <v>0</v>
      </c>
      <c r="AN139" s="89" t="n">
        <f aca="false">IF(AND(ISNUMBER($R139),$W139&lt;&gt;"",$Z139&lt;&gt;"",$AB139="XIRR"),$R139,0)</f>
        <v>0</v>
      </c>
      <c r="AO139" s="89" t="n">
        <f aca="false">IF(AND(ISNUMBER($R139),$W139&lt;&gt;"",$Z139&lt;&gt;"",$AB139="XIRR"),$R139*$Z139,0)</f>
        <v>0</v>
      </c>
      <c r="AP139" s="89" t="n">
        <f aca="false">IF(AND(ISNUMBER($M139),$Y139&lt;&gt;"",ISNUMBER($T139)),$M139*$Y139,0)</f>
        <v>0</v>
      </c>
      <c r="AQ139" s="89" t="n">
        <f aca="false">IF(AND(ISNUMBER($M139),$Y139&lt;&gt;"",ISNUMBER($T139)),$M139,0)</f>
        <v>0</v>
      </c>
    </row>
    <row r="140" customFormat="false" ht="15" hidden="false" customHeight="false" outlineLevel="0" collapsed="false">
      <c r="A140" s="77"/>
      <c r="B140" s="78"/>
      <c r="C140" s="78"/>
      <c r="D140" s="79" t="str">
        <f aca="false">IF($AI140="","",INDEX(Accounts!$C$6:$C$55,$AI140)&amp;"")</f>
        <v/>
      </c>
      <c r="E140" s="79" t="str">
        <f aca="false">IF($AI140="","",INDEX(Accounts!$F$6:$F$55,$AI140)&amp;"")</f>
        <v/>
      </c>
      <c r="F140" s="79" t="str">
        <f aca="false">IF($AJ140="","",INDEX(Securities!$B$6:$B$105,$AJ140)&amp;"")</f>
        <v/>
      </c>
      <c r="G140" s="79" t="str">
        <f aca="false">IF($AJ140="","",INDEX(Securities!$F$6:$F$105,$AJ140)&amp;"")</f>
        <v/>
      </c>
      <c r="H140" s="79" t="str">
        <f aca="false">IF($AJ140="","",INDEX(Securities!$E$6:$E$105,$AJ140)&amp;"")</f>
        <v/>
      </c>
      <c r="I140" s="79" t="str">
        <f aca="false">IF($AJ140="","",INDEX(Securities!$H$6:$H$105,$AJ140)&amp;"")</f>
        <v/>
      </c>
      <c r="J140" s="80"/>
      <c r="K140" s="80"/>
      <c r="L140" s="81"/>
      <c r="M140" s="82"/>
      <c r="N140" s="83" t="str">
        <f aca="false">IF(OR($L140="",$M140=""),"",IF(N($L140)=0,"",$M140/$L140))</f>
        <v/>
      </c>
      <c r="O140" s="84" t="str">
        <f aca="false">IF($AJ140="","",IF(INDEX(Securities!$O$6:$O$105,$AJ140)="","",INDEX(Securities!$O$6:$O$105,$AJ140)))</f>
        <v/>
      </c>
      <c r="P140" s="79" t="str">
        <f aca="false">IF($AJ140="","",INDEX(Securities!$N$6:$N$105,$AJ140)&amp;"")</f>
        <v/>
      </c>
      <c r="Q140" s="82"/>
      <c r="R140" s="85" t="str">
        <f aca="false">IF($C140="","",IF($Q140&lt;&gt;"",$Q140,IF($P140="At cost",IF($M140="","",$M140),IF(OR($O140="",$L140=""),"",$L140*$O140))))</f>
        <v/>
      </c>
      <c r="S140" s="85" t="str">
        <f aca="false">IF(OR(NOT(ISNUMBER($R140)),$M140=""),"",$R140-$M140)</f>
        <v/>
      </c>
      <c r="T140" s="86" t="str">
        <f aca="false">IF(OR($S140="",N($M140)=0),"",$S140/$M140)</f>
        <v/>
      </c>
      <c r="U140" s="82"/>
      <c r="V140" s="82"/>
      <c r="W140" s="87"/>
      <c r="X140" s="79" t="str">
        <f aca="false">IF($AJ140="","",INDEX(Securities!$L$6:$L$105,$AJ140)&amp;"")</f>
        <v/>
      </c>
      <c r="Y140" s="87"/>
      <c r="Z140" s="87"/>
      <c r="AA140" s="86" t="str">
        <f aca="false">IF(OR($W140="",$Z140=""),"",$W140-$Z140)</f>
        <v/>
      </c>
      <c r="AB140" s="79" t="str">
        <f aca="false">IF($C140="","",IF($P140="At cost","At cost",IF(NOT(ISNUMBER($J140)),"No date",IF(ValDate-$J140&lt;365,"Absolute",IF($W140="","XIRR missing","XIRR")))))</f>
        <v/>
      </c>
      <c r="AC140" s="86" t="str">
        <f aca="false">IF(NOT(ISNUMBER($R140)),"",IF(SUM($R$6:$R$205)=0,"",$R140/SUM($R$6:$R$205)))</f>
        <v/>
      </c>
      <c r="AD140" s="82"/>
      <c r="AE140" s="80"/>
      <c r="AF140" s="78"/>
      <c r="AG140" s="88" t="str">
        <f aca="false">IF($C140="","",IF(COUNTIFS('Tax Lots'!$B$6:$B$205,$B140,'Tax Lots'!$C$6:$C$205,$C140)=0,"",SUMIFS('Tax Lots'!$P$6:$P$205,'Tax Lots'!$B$6:$B$205,$B140,'Tax Lots'!$C$6:$C$205,$C140)))</f>
        <v/>
      </c>
      <c r="AH140" s="79" t="str">
        <f aca="false">IF($A140&amp;$B140&amp;$C140="","",IF($A140="","Missing ID",IF(COUNTIF($A$6:$A$205,$A140)&gt;1,"Duplicate ID",IF($AI140="","Unknown account",IF($AJ140="","Unknown security",IF(COUNTIFS($B$6:$B$205,$B140,$C$6:$C$205,$C140)&gt;1,"Same security twice in one account",IF(AND(ISNUMBER($J140),ISNUMBER($K140),N($K140)&lt;N($J140)),"Last date before first",IF(NOT(ISNUMBER($R140)),"No market value",IF(OR(N($J140)&gt;ValDate,N($K140)&gt;ValDate),"Date after valuation",IF(AND(ISNUMBER($AG140),ABS(N($L140)-N($AG140))&gt;0.001),"Lot quantity differs",IF(AND(ISNUMBER($AG140),ABS(N($M140)-SUMIFS('Tax Lots'!$Q$6:$Q$205,'Tax Lots'!$B$6:$B$205,$B140,'Tax Lots'!$C$6:$C$205,$C140))&gt;1),"Lot cost differs",IF(AND(ISNUMBER($AG140),ABS(N($V140)-SUMIFS('Tax Lots'!$AA$6:$AA$205,'Tax Lots'!$B$6:$B$205,$B140,'Tax Lots'!$C$6:$C$205,$C140))&gt;1),"Lot realised gain differs","OK"))))))))))))</f>
        <v/>
      </c>
      <c r="AI140" s="89" t="str">
        <f aca="false">IF($B140="","",IFERROR(MATCH($B140,Accounts!$A$6:$A$55,0),""))</f>
        <v/>
      </c>
      <c r="AJ140" s="89" t="str">
        <f aca="false">IF($C140="","",IFERROR(MATCH($C140,Securities!$A$6:$A$105,0),""))</f>
        <v/>
      </c>
      <c r="AK140" s="89" t="str">
        <f aca="false">IF($AI140="","",INDEX(Accounts!$B$6:$B$55,$AI140)&amp;"")</f>
        <v/>
      </c>
      <c r="AL140" s="89" t="str">
        <f aca="false">IF(OR($C140="",$I140="",NOT(ISNUMBER($R140))),"",$I140&amp;"|"&amp;(SUMPRODUCT(($I$6:$I$205=$I140)*ISNUMBER($R$6:$R$205)*($R$6:$R$205&gt;$R140))+SUMPRODUCT(($I$6:$I140=$I140)*ISNUMBER($R$6:$R140)*($R$6:$R140=$R140))))</f>
        <v/>
      </c>
      <c r="AM140" s="89" t="n">
        <f aca="false">IF(AND(ISNUMBER($R140),$W140&lt;&gt;"",$Z140&lt;&gt;"",$AB140="XIRR"),$R140*$W140,0)</f>
        <v>0</v>
      </c>
      <c r="AN140" s="89" t="n">
        <f aca="false">IF(AND(ISNUMBER($R140),$W140&lt;&gt;"",$Z140&lt;&gt;"",$AB140="XIRR"),$R140,0)</f>
        <v>0</v>
      </c>
      <c r="AO140" s="89" t="n">
        <f aca="false">IF(AND(ISNUMBER($R140),$W140&lt;&gt;"",$Z140&lt;&gt;"",$AB140="XIRR"),$R140*$Z140,0)</f>
        <v>0</v>
      </c>
      <c r="AP140" s="89" t="n">
        <f aca="false">IF(AND(ISNUMBER($M140),$Y140&lt;&gt;"",ISNUMBER($T140)),$M140*$Y140,0)</f>
        <v>0</v>
      </c>
      <c r="AQ140" s="89" t="n">
        <f aca="false">IF(AND(ISNUMBER($M140),$Y140&lt;&gt;"",ISNUMBER($T140)),$M140,0)</f>
        <v>0</v>
      </c>
    </row>
    <row r="141" customFormat="false" ht="15" hidden="false" customHeight="false" outlineLevel="0" collapsed="false">
      <c r="A141" s="77"/>
      <c r="B141" s="78"/>
      <c r="C141" s="78"/>
      <c r="D141" s="79" t="str">
        <f aca="false">IF($AI141="","",INDEX(Accounts!$C$6:$C$55,$AI141)&amp;"")</f>
        <v/>
      </c>
      <c r="E141" s="79" t="str">
        <f aca="false">IF($AI141="","",INDEX(Accounts!$F$6:$F$55,$AI141)&amp;"")</f>
        <v/>
      </c>
      <c r="F141" s="79" t="str">
        <f aca="false">IF($AJ141="","",INDEX(Securities!$B$6:$B$105,$AJ141)&amp;"")</f>
        <v/>
      </c>
      <c r="G141" s="79" t="str">
        <f aca="false">IF($AJ141="","",INDEX(Securities!$F$6:$F$105,$AJ141)&amp;"")</f>
        <v/>
      </c>
      <c r="H141" s="79" t="str">
        <f aca="false">IF($AJ141="","",INDEX(Securities!$E$6:$E$105,$AJ141)&amp;"")</f>
        <v/>
      </c>
      <c r="I141" s="79" t="str">
        <f aca="false">IF($AJ141="","",INDEX(Securities!$H$6:$H$105,$AJ141)&amp;"")</f>
        <v/>
      </c>
      <c r="J141" s="80"/>
      <c r="K141" s="80"/>
      <c r="L141" s="81"/>
      <c r="M141" s="82"/>
      <c r="N141" s="83" t="str">
        <f aca="false">IF(OR($L141="",$M141=""),"",IF(N($L141)=0,"",$M141/$L141))</f>
        <v/>
      </c>
      <c r="O141" s="84" t="str">
        <f aca="false">IF($AJ141="","",IF(INDEX(Securities!$O$6:$O$105,$AJ141)="","",INDEX(Securities!$O$6:$O$105,$AJ141)))</f>
        <v/>
      </c>
      <c r="P141" s="79" t="str">
        <f aca="false">IF($AJ141="","",INDEX(Securities!$N$6:$N$105,$AJ141)&amp;"")</f>
        <v/>
      </c>
      <c r="Q141" s="82"/>
      <c r="R141" s="85" t="str">
        <f aca="false">IF($C141="","",IF($Q141&lt;&gt;"",$Q141,IF($P141="At cost",IF($M141="","",$M141),IF(OR($O141="",$L141=""),"",$L141*$O141))))</f>
        <v/>
      </c>
      <c r="S141" s="85" t="str">
        <f aca="false">IF(OR(NOT(ISNUMBER($R141)),$M141=""),"",$R141-$M141)</f>
        <v/>
      </c>
      <c r="T141" s="86" t="str">
        <f aca="false">IF(OR($S141="",N($M141)=0),"",$S141/$M141)</f>
        <v/>
      </c>
      <c r="U141" s="82"/>
      <c r="V141" s="82"/>
      <c r="W141" s="87"/>
      <c r="X141" s="79" t="str">
        <f aca="false">IF($AJ141="","",INDEX(Securities!$L$6:$L$105,$AJ141)&amp;"")</f>
        <v/>
      </c>
      <c r="Y141" s="87"/>
      <c r="Z141" s="87"/>
      <c r="AA141" s="86" t="str">
        <f aca="false">IF(OR($W141="",$Z141=""),"",$W141-$Z141)</f>
        <v/>
      </c>
      <c r="AB141" s="79" t="str">
        <f aca="false">IF($C141="","",IF($P141="At cost","At cost",IF(NOT(ISNUMBER($J141)),"No date",IF(ValDate-$J141&lt;365,"Absolute",IF($W141="","XIRR missing","XIRR")))))</f>
        <v/>
      </c>
      <c r="AC141" s="86" t="str">
        <f aca="false">IF(NOT(ISNUMBER($R141)),"",IF(SUM($R$6:$R$205)=0,"",$R141/SUM($R$6:$R$205)))</f>
        <v/>
      </c>
      <c r="AD141" s="82"/>
      <c r="AE141" s="80"/>
      <c r="AF141" s="78"/>
      <c r="AG141" s="88" t="str">
        <f aca="false">IF($C141="","",IF(COUNTIFS('Tax Lots'!$B$6:$B$205,$B141,'Tax Lots'!$C$6:$C$205,$C141)=0,"",SUMIFS('Tax Lots'!$P$6:$P$205,'Tax Lots'!$B$6:$B$205,$B141,'Tax Lots'!$C$6:$C$205,$C141)))</f>
        <v/>
      </c>
      <c r="AH141" s="79" t="str">
        <f aca="false">IF($A141&amp;$B141&amp;$C141="","",IF($A141="","Missing ID",IF(COUNTIF($A$6:$A$205,$A141)&gt;1,"Duplicate ID",IF($AI141="","Unknown account",IF($AJ141="","Unknown security",IF(COUNTIFS($B$6:$B$205,$B141,$C$6:$C$205,$C141)&gt;1,"Same security twice in one account",IF(AND(ISNUMBER($J141),ISNUMBER($K141),N($K141)&lt;N($J141)),"Last date before first",IF(NOT(ISNUMBER($R141)),"No market value",IF(OR(N($J141)&gt;ValDate,N($K141)&gt;ValDate),"Date after valuation",IF(AND(ISNUMBER($AG141),ABS(N($L141)-N($AG141))&gt;0.001),"Lot quantity differs",IF(AND(ISNUMBER($AG141),ABS(N($M141)-SUMIFS('Tax Lots'!$Q$6:$Q$205,'Tax Lots'!$B$6:$B$205,$B141,'Tax Lots'!$C$6:$C$205,$C141))&gt;1),"Lot cost differs",IF(AND(ISNUMBER($AG141),ABS(N($V141)-SUMIFS('Tax Lots'!$AA$6:$AA$205,'Tax Lots'!$B$6:$B$205,$B141,'Tax Lots'!$C$6:$C$205,$C141))&gt;1),"Lot realised gain differs","OK"))))))))))))</f>
        <v/>
      </c>
      <c r="AI141" s="89" t="str">
        <f aca="false">IF($B141="","",IFERROR(MATCH($B141,Accounts!$A$6:$A$55,0),""))</f>
        <v/>
      </c>
      <c r="AJ141" s="89" t="str">
        <f aca="false">IF($C141="","",IFERROR(MATCH($C141,Securities!$A$6:$A$105,0),""))</f>
        <v/>
      </c>
      <c r="AK141" s="89" t="str">
        <f aca="false">IF($AI141="","",INDEX(Accounts!$B$6:$B$55,$AI141)&amp;"")</f>
        <v/>
      </c>
      <c r="AL141" s="89" t="str">
        <f aca="false">IF(OR($C141="",$I141="",NOT(ISNUMBER($R141))),"",$I141&amp;"|"&amp;(SUMPRODUCT(($I$6:$I$205=$I141)*ISNUMBER($R$6:$R$205)*($R$6:$R$205&gt;$R141))+SUMPRODUCT(($I$6:$I141=$I141)*ISNUMBER($R$6:$R141)*($R$6:$R141=$R141))))</f>
        <v/>
      </c>
      <c r="AM141" s="89" t="n">
        <f aca="false">IF(AND(ISNUMBER($R141),$W141&lt;&gt;"",$Z141&lt;&gt;"",$AB141="XIRR"),$R141*$W141,0)</f>
        <v>0</v>
      </c>
      <c r="AN141" s="89" t="n">
        <f aca="false">IF(AND(ISNUMBER($R141),$W141&lt;&gt;"",$Z141&lt;&gt;"",$AB141="XIRR"),$R141,0)</f>
        <v>0</v>
      </c>
      <c r="AO141" s="89" t="n">
        <f aca="false">IF(AND(ISNUMBER($R141),$W141&lt;&gt;"",$Z141&lt;&gt;"",$AB141="XIRR"),$R141*$Z141,0)</f>
        <v>0</v>
      </c>
      <c r="AP141" s="89" t="n">
        <f aca="false">IF(AND(ISNUMBER($M141),$Y141&lt;&gt;"",ISNUMBER($T141)),$M141*$Y141,0)</f>
        <v>0</v>
      </c>
      <c r="AQ141" s="89" t="n">
        <f aca="false">IF(AND(ISNUMBER($M141),$Y141&lt;&gt;"",ISNUMBER($T141)),$M141,0)</f>
        <v>0</v>
      </c>
    </row>
    <row r="142" customFormat="false" ht="15" hidden="false" customHeight="false" outlineLevel="0" collapsed="false">
      <c r="A142" s="77"/>
      <c r="B142" s="78"/>
      <c r="C142" s="78"/>
      <c r="D142" s="79" t="str">
        <f aca="false">IF($AI142="","",INDEX(Accounts!$C$6:$C$55,$AI142)&amp;"")</f>
        <v/>
      </c>
      <c r="E142" s="79" t="str">
        <f aca="false">IF($AI142="","",INDEX(Accounts!$F$6:$F$55,$AI142)&amp;"")</f>
        <v/>
      </c>
      <c r="F142" s="79" t="str">
        <f aca="false">IF($AJ142="","",INDEX(Securities!$B$6:$B$105,$AJ142)&amp;"")</f>
        <v/>
      </c>
      <c r="G142" s="79" t="str">
        <f aca="false">IF($AJ142="","",INDEX(Securities!$F$6:$F$105,$AJ142)&amp;"")</f>
        <v/>
      </c>
      <c r="H142" s="79" t="str">
        <f aca="false">IF($AJ142="","",INDEX(Securities!$E$6:$E$105,$AJ142)&amp;"")</f>
        <v/>
      </c>
      <c r="I142" s="79" t="str">
        <f aca="false">IF($AJ142="","",INDEX(Securities!$H$6:$H$105,$AJ142)&amp;"")</f>
        <v/>
      </c>
      <c r="J142" s="80"/>
      <c r="K142" s="80"/>
      <c r="L142" s="81"/>
      <c r="M142" s="82"/>
      <c r="N142" s="83" t="str">
        <f aca="false">IF(OR($L142="",$M142=""),"",IF(N($L142)=0,"",$M142/$L142))</f>
        <v/>
      </c>
      <c r="O142" s="84" t="str">
        <f aca="false">IF($AJ142="","",IF(INDEX(Securities!$O$6:$O$105,$AJ142)="","",INDEX(Securities!$O$6:$O$105,$AJ142)))</f>
        <v/>
      </c>
      <c r="P142" s="79" t="str">
        <f aca="false">IF($AJ142="","",INDEX(Securities!$N$6:$N$105,$AJ142)&amp;"")</f>
        <v/>
      </c>
      <c r="Q142" s="82"/>
      <c r="R142" s="85" t="str">
        <f aca="false">IF($C142="","",IF($Q142&lt;&gt;"",$Q142,IF($P142="At cost",IF($M142="","",$M142),IF(OR($O142="",$L142=""),"",$L142*$O142))))</f>
        <v/>
      </c>
      <c r="S142" s="85" t="str">
        <f aca="false">IF(OR(NOT(ISNUMBER($R142)),$M142=""),"",$R142-$M142)</f>
        <v/>
      </c>
      <c r="T142" s="86" t="str">
        <f aca="false">IF(OR($S142="",N($M142)=0),"",$S142/$M142)</f>
        <v/>
      </c>
      <c r="U142" s="82"/>
      <c r="V142" s="82"/>
      <c r="W142" s="87"/>
      <c r="X142" s="79" t="str">
        <f aca="false">IF($AJ142="","",INDEX(Securities!$L$6:$L$105,$AJ142)&amp;"")</f>
        <v/>
      </c>
      <c r="Y142" s="87"/>
      <c r="Z142" s="87"/>
      <c r="AA142" s="86" t="str">
        <f aca="false">IF(OR($W142="",$Z142=""),"",$W142-$Z142)</f>
        <v/>
      </c>
      <c r="AB142" s="79" t="str">
        <f aca="false">IF($C142="","",IF($P142="At cost","At cost",IF(NOT(ISNUMBER($J142)),"No date",IF(ValDate-$J142&lt;365,"Absolute",IF($W142="","XIRR missing","XIRR")))))</f>
        <v/>
      </c>
      <c r="AC142" s="86" t="str">
        <f aca="false">IF(NOT(ISNUMBER($R142)),"",IF(SUM($R$6:$R$205)=0,"",$R142/SUM($R$6:$R$205)))</f>
        <v/>
      </c>
      <c r="AD142" s="82"/>
      <c r="AE142" s="80"/>
      <c r="AF142" s="78"/>
      <c r="AG142" s="88" t="str">
        <f aca="false">IF($C142="","",IF(COUNTIFS('Tax Lots'!$B$6:$B$205,$B142,'Tax Lots'!$C$6:$C$205,$C142)=0,"",SUMIFS('Tax Lots'!$P$6:$P$205,'Tax Lots'!$B$6:$B$205,$B142,'Tax Lots'!$C$6:$C$205,$C142)))</f>
        <v/>
      </c>
      <c r="AH142" s="79" t="str">
        <f aca="false">IF($A142&amp;$B142&amp;$C142="","",IF($A142="","Missing ID",IF(COUNTIF($A$6:$A$205,$A142)&gt;1,"Duplicate ID",IF($AI142="","Unknown account",IF($AJ142="","Unknown security",IF(COUNTIFS($B$6:$B$205,$B142,$C$6:$C$205,$C142)&gt;1,"Same security twice in one account",IF(AND(ISNUMBER($J142),ISNUMBER($K142),N($K142)&lt;N($J142)),"Last date before first",IF(NOT(ISNUMBER($R142)),"No market value",IF(OR(N($J142)&gt;ValDate,N($K142)&gt;ValDate),"Date after valuation",IF(AND(ISNUMBER($AG142),ABS(N($L142)-N($AG142))&gt;0.001),"Lot quantity differs",IF(AND(ISNUMBER($AG142),ABS(N($M142)-SUMIFS('Tax Lots'!$Q$6:$Q$205,'Tax Lots'!$B$6:$B$205,$B142,'Tax Lots'!$C$6:$C$205,$C142))&gt;1),"Lot cost differs",IF(AND(ISNUMBER($AG142),ABS(N($V142)-SUMIFS('Tax Lots'!$AA$6:$AA$205,'Tax Lots'!$B$6:$B$205,$B142,'Tax Lots'!$C$6:$C$205,$C142))&gt;1),"Lot realised gain differs","OK"))))))))))))</f>
        <v/>
      </c>
      <c r="AI142" s="89" t="str">
        <f aca="false">IF($B142="","",IFERROR(MATCH($B142,Accounts!$A$6:$A$55,0),""))</f>
        <v/>
      </c>
      <c r="AJ142" s="89" t="str">
        <f aca="false">IF($C142="","",IFERROR(MATCH($C142,Securities!$A$6:$A$105,0),""))</f>
        <v/>
      </c>
      <c r="AK142" s="89" t="str">
        <f aca="false">IF($AI142="","",INDEX(Accounts!$B$6:$B$55,$AI142)&amp;"")</f>
        <v/>
      </c>
      <c r="AL142" s="89" t="str">
        <f aca="false">IF(OR($C142="",$I142="",NOT(ISNUMBER($R142))),"",$I142&amp;"|"&amp;(SUMPRODUCT(($I$6:$I$205=$I142)*ISNUMBER($R$6:$R$205)*($R$6:$R$205&gt;$R142))+SUMPRODUCT(($I$6:$I142=$I142)*ISNUMBER($R$6:$R142)*($R$6:$R142=$R142))))</f>
        <v/>
      </c>
      <c r="AM142" s="89" t="n">
        <f aca="false">IF(AND(ISNUMBER($R142),$W142&lt;&gt;"",$Z142&lt;&gt;"",$AB142="XIRR"),$R142*$W142,0)</f>
        <v>0</v>
      </c>
      <c r="AN142" s="89" t="n">
        <f aca="false">IF(AND(ISNUMBER($R142),$W142&lt;&gt;"",$Z142&lt;&gt;"",$AB142="XIRR"),$R142,0)</f>
        <v>0</v>
      </c>
      <c r="AO142" s="89" t="n">
        <f aca="false">IF(AND(ISNUMBER($R142),$W142&lt;&gt;"",$Z142&lt;&gt;"",$AB142="XIRR"),$R142*$Z142,0)</f>
        <v>0</v>
      </c>
      <c r="AP142" s="89" t="n">
        <f aca="false">IF(AND(ISNUMBER($M142),$Y142&lt;&gt;"",ISNUMBER($T142)),$M142*$Y142,0)</f>
        <v>0</v>
      </c>
      <c r="AQ142" s="89" t="n">
        <f aca="false">IF(AND(ISNUMBER($M142),$Y142&lt;&gt;"",ISNUMBER($T142)),$M142,0)</f>
        <v>0</v>
      </c>
    </row>
    <row r="143" customFormat="false" ht="15" hidden="false" customHeight="false" outlineLevel="0" collapsed="false">
      <c r="A143" s="77"/>
      <c r="B143" s="78"/>
      <c r="C143" s="78"/>
      <c r="D143" s="79" t="str">
        <f aca="false">IF($AI143="","",INDEX(Accounts!$C$6:$C$55,$AI143)&amp;"")</f>
        <v/>
      </c>
      <c r="E143" s="79" t="str">
        <f aca="false">IF($AI143="","",INDEX(Accounts!$F$6:$F$55,$AI143)&amp;"")</f>
        <v/>
      </c>
      <c r="F143" s="79" t="str">
        <f aca="false">IF($AJ143="","",INDEX(Securities!$B$6:$B$105,$AJ143)&amp;"")</f>
        <v/>
      </c>
      <c r="G143" s="79" t="str">
        <f aca="false">IF($AJ143="","",INDEX(Securities!$F$6:$F$105,$AJ143)&amp;"")</f>
        <v/>
      </c>
      <c r="H143" s="79" t="str">
        <f aca="false">IF($AJ143="","",INDEX(Securities!$E$6:$E$105,$AJ143)&amp;"")</f>
        <v/>
      </c>
      <c r="I143" s="79" t="str">
        <f aca="false">IF($AJ143="","",INDEX(Securities!$H$6:$H$105,$AJ143)&amp;"")</f>
        <v/>
      </c>
      <c r="J143" s="80"/>
      <c r="K143" s="80"/>
      <c r="L143" s="81"/>
      <c r="M143" s="82"/>
      <c r="N143" s="83" t="str">
        <f aca="false">IF(OR($L143="",$M143=""),"",IF(N($L143)=0,"",$M143/$L143))</f>
        <v/>
      </c>
      <c r="O143" s="84" t="str">
        <f aca="false">IF($AJ143="","",IF(INDEX(Securities!$O$6:$O$105,$AJ143)="","",INDEX(Securities!$O$6:$O$105,$AJ143)))</f>
        <v/>
      </c>
      <c r="P143" s="79" t="str">
        <f aca="false">IF($AJ143="","",INDEX(Securities!$N$6:$N$105,$AJ143)&amp;"")</f>
        <v/>
      </c>
      <c r="Q143" s="82"/>
      <c r="R143" s="85" t="str">
        <f aca="false">IF($C143="","",IF($Q143&lt;&gt;"",$Q143,IF($P143="At cost",IF($M143="","",$M143),IF(OR($O143="",$L143=""),"",$L143*$O143))))</f>
        <v/>
      </c>
      <c r="S143" s="85" t="str">
        <f aca="false">IF(OR(NOT(ISNUMBER($R143)),$M143=""),"",$R143-$M143)</f>
        <v/>
      </c>
      <c r="T143" s="86" t="str">
        <f aca="false">IF(OR($S143="",N($M143)=0),"",$S143/$M143)</f>
        <v/>
      </c>
      <c r="U143" s="82"/>
      <c r="V143" s="82"/>
      <c r="W143" s="87"/>
      <c r="X143" s="79" t="str">
        <f aca="false">IF($AJ143="","",INDEX(Securities!$L$6:$L$105,$AJ143)&amp;"")</f>
        <v/>
      </c>
      <c r="Y143" s="87"/>
      <c r="Z143" s="87"/>
      <c r="AA143" s="86" t="str">
        <f aca="false">IF(OR($W143="",$Z143=""),"",$W143-$Z143)</f>
        <v/>
      </c>
      <c r="AB143" s="79" t="str">
        <f aca="false">IF($C143="","",IF($P143="At cost","At cost",IF(NOT(ISNUMBER($J143)),"No date",IF(ValDate-$J143&lt;365,"Absolute",IF($W143="","XIRR missing","XIRR")))))</f>
        <v/>
      </c>
      <c r="AC143" s="86" t="str">
        <f aca="false">IF(NOT(ISNUMBER($R143)),"",IF(SUM($R$6:$R$205)=0,"",$R143/SUM($R$6:$R$205)))</f>
        <v/>
      </c>
      <c r="AD143" s="82"/>
      <c r="AE143" s="80"/>
      <c r="AF143" s="78"/>
      <c r="AG143" s="88" t="str">
        <f aca="false">IF($C143="","",IF(COUNTIFS('Tax Lots'!$B$6:$B$205,$B143,'Tax Lots'!$C$6:$C$205,$C143)=0,"",SUMIFS('Tax Lots'!$P$6:$P$205,'Tax Lots'!$B$6:$B$205,$B143,'Tax Lots'!$C$6:$C$205,$C143)))</f>
        <v/>
      </c>
      <c r="AH143" s="79" t="str">
        <f aca="false">IF($A143&amp;$B143&amp;$C143="","",IF($A143="","Missing ID",IF(COUNTIF($A$6:$A$205,$A143)&gt;1,"Duplicate ID",IF($AI143="","Unknown account",IF($AJ143="","Unknown security",IF(COUNTIFS($B$6:$B$205,$B143,$C$6:$C$205,$C143)&gt;1,"Same security twice in one account",IF(AND(ISNUMBER($J143),ISNUMBER($K143),N($K143)&lt;N($J143)),"Last date before first",IF(NOT(ISNUMBER($R143)),"No market value",IF(OR(N($J143)&gt;ValDate,N($K143)&gt;ValDate),"Date after valuation",IF(AND(ISNUMBER($AG143),ABS(N($L143)-N($AG143))&gt;0.001),"Lot quantity differs",IF(AND(ISNUMBER($AG143),ABS(N($M143)-SUMIFS('Tax Lots'!$Q$6:$Q$205,'Tax Lots'!$B$6:$B$205,$B143,'Tax Lots'!$C$6:$C$205,$C143))&gt;1),"Lot cost differs",IF(AND(ISNUMBER($AG143),ABS(N($V143)-SUMIFS('Tax Lots'!$AA$6:$AA$205,'Tax Lots'!$B$6:$B$205,$B143,'Tax Lots'!$C$6:$C$205,$C143))&gt;1),"Lot realised gain differs","OK"))))))))))))</f>
        <v/>
      </c>
      <c r="AI143" s="89" t="str">
        <f aca="false">IF($B143="","",IFERROR(MATCH($B143,Accounts!$A$6:$A$55,0),""))</f>
        <v/>
      </c>
      <c r="AJ143" s="89" t="str">
        <f aca="false">IF($C143="","",IFERROR(MATCH($C143,Securities!$A$6:$A$105,0),""))</f>
        <v/>
      </c>
      <c r="AK143" s="89" t="str">
        <f aca="false">IF($AI143="","",INDEX(Accounts!$B$6:$B$55,$AI143)&amp;"")</f>
        <v/>
      </c>
      <c r="AL143" s="89" t="str">
        <f aca="false">IF(OR($C143="",$I143="",NOT(ISNUMBER($R143))),"",$I143&amp;"|"&amp;(SUMPRODUCT(($I$6:$I$205=$I143)*ISNUMBER($R$6:$R$205)*($R$6:$R$205&gt;$R143))+SUMPRODUCT(($I$6:$I143=$I143)*ISNUMBER($R$6:$R143)*($R$6:$R143=$R143))))</f>
        <v/>
      </c>
      <c r="AM143" s="89" t="n">
        <f aca="false">IF(AND(ISNUMBER($R143),$W143&lt;&gt;"",$Z143&lt;&gt;"",$AB143="XIRR"),$R143*$W143,0)</f>
        <v>0</v>
      </c>
      <c r="AN143" s="89" t="n">
        <f aca="false">IF(AND(ISNUMBER($R143),$W143&lt;&gt;"",$Z143&lt;&gt;"",$AB143="XIRR"),$R143,0)</f>
        <v>0</v>
      </c>
      <c r="AO143" s="89" t="n">
        <f aca="false">IF(AND(ISNUMBER($R143),$W143&lt;&gt;"",$Z143&lt;&gt;"",$AB143="XIRR"),$R143*$Z143,0)</f>
        <v>0</v>
      </c>
      <c r="AP143" s="89" t="n">
        <f aca="false">IF(AND(ISNUMBER($M143),$Y143&lt;&gt;"",ISNUMBER($T143)),$M143*$Y143,0)</f>
        <v>0</v>
      </c>
      <c r="AQ143" s="89" t="n">
        <f aca="false">IF(AND(ISNUMBER($M143),$Y143&lt;&gt;"",ISNUMBER($T143)),$M143,0)</f>
        <v>0</v>
      </c>
    </row>
    <row r="144" customFormat="false" ht="15" hidden="false" customHeight="false" outlineLevel="0" collapsed="false">
      <c r="A144" s="77"/>
      <c r="B144" s="78"/>
      <c r="C144" s="78"/>
      <c r="D144" s="79" t="str">
        <f aca="false">IF($AI144="","",INDEX(Accounts!$C$6:$C$55,$AI144)&amp;"")</f>
        <v/>
      </c>
      <c r="E144" s="79" t="str">
        <f aca="false">IF($AI144="","",INDEX(Accounts!$F$6:$F$55,$AI144)&amp;"")</f>
        <v/>
      </c>
      <c r="F144" s="79" t="str">
        <f aca="false">IF($AJ144="","",INDEX(Securities!$B$6:$B$105,$AJ144)&amp;"")</f>
        <v/>
      </c>
      <c r="G144" s="79" t="str">
        <f aca="false">IF($AJ144="","",INDEX(Securities!$F$6:$F$105,$AJ144)&amp;"")</f>
        <v/>
      </c>
      <c r="H144" s="79" t="str">
        <f aca="false">IF($AJ144="","",INDEX(Securities!$E$6:$E$105,$AJ144)&amp;"")</f>
        <v/>
      </c>
      <c r="I144" s="79" t="str">
        <f aca="false">IF($AJ144="","",INDEX(Securities!$H$6:$H$105,$AJ144)&amp;"")</f>
        <v/>
      </c>
      <c r="J144" s="80"/>
      <c r="K144" s="80"/>
      <c r="L144" s="81"/>
      <c r="M144" s="82"/>
      <c r="N144" s="83" t="str">
        <f aca="false">IF(OR($L144="",$M144=""),"",IF(N($L144)=0,"",$M144/$L144))</f>
        <v/>
      </c>
      <c r="O144" s="84" t="str">
        <f aca="false">IF($AJ144="","",IF(INDEX(Securities!$O$6:$O$105,$AJ144)="","",INDEX(Securities!$O$6:$O$105,$AJ144)))</f>
        <v/>
      </c>
      <c r="P144" s="79" t="str">
        <f aca="false">IF($AJ144="","",INDEX(Securities!$N$6:$N$105,$AJ144)&amp;"")</f>
        <v/>
      </c>
      <c r="Q144" s="82"/>
      <c r="R144" s="85" t="str">
        <f aca="false">IF($C144="","",IF($Q144&lt;&gt;"",$Q144,IF($P144="At cost",IF($M144="","",$M144),IF(OR($O144="",$L144=""),"",$L144*$O144))))</f>
        <v/>
      </c>
      <c r="S144" s="85" t="str">
        <f aca="false">IF(OR(NOT(ISNUMBER($R144)),$M144=""),"",$R144-$M144)</f>
        <v/>
      </c>
      <c r="T144" s="86" t="str">
        <f aca="false">IF(OR($S144="",N($M144)=0),"",$S144/$M144)</f>
        <v/>
      </c>
      <c r="U144" s="82"/>
      <c r="V144" s="82"/>
      <c r="W144" s="87"/>
      <c r="X144" s="79" t="str">
        <f aca="false">IF($AJ144="","",INDEX(Securities!$L$6:$L$105,$AJ144)&amp;"")</f>
        <v/>
      </c>
      <c r="Y144" s="87"/>
      <c r="Z144" s="87"/>
      <c r="AA144" s="86" t="str">
        <f aca="false">IF(OR($W144="",$Z144=""),"",$W144-$Z144)</f>
        <v/>
      </c>
      <c r="AB144" s="79" t="str">
        <f aca="false">IF($C144="","",IF($P144="At cost","At cost",IF(NOT(ISNUMBER($J144)),"No date",IF(ValDate-$J144&lt;365,"Absolute",IF($W144="","XIRR missing","XIRR")))))</f>
        <v/>
      </c>
      <c r="AC144" s="86" t="str">
        <f aca="false">IF(NOT(ISNUMBER($R144)),"",IF(SUM($R$6:$R$205)=0,"",$R144/SUM($R$6:$R$205)))</f>
        <v/>
      </c>
      <c r="AD144" s="82"/>
      <c r="AE144" s="80"/>
      <c r="AF144" s="78"/>
      <c r="AG144" s="88" t="str">
        <f aca="false">IF($C144="","",IF(COUNTIFS('Tax Lots'!$B$6:$B$205,$B144,'Tax Lots'!$C$6:$C$205,$C144)=0,"",SUMIFS('Tax Lots'!$P$6:$P$205,'Tax Lots'!$B$6:$B$205,$B144,'Tax Lots'!$C$6:$C$205,$C144)))</f>
        <v/>
      </c>
      <c r="AH144" s="79" t="str">
        <f aca="false">IF($A144&amp;$B144&amp;$C144="","",IF($A144="","Missing ID",IF(COUNTIF($A$6:$A$205,$A144)&gt;1,"Duplicate ID",IF($AI144="","Unknown account",IF($AJ144="","Unknown security",IF(COUNTIFS($B$6:$B$205,$B144,$C$6:$C$205,$C144)&gt;1,"Same security twice in one account",IF(AND(ISNUMBER($J144),ISNUMBER($K144),N($K144)&lt;N($J144)),"Last date before first",IF(NOT(ISNUMBER($R144)),"No market value",IF(OR(N($J144)&gt;ValDate,N($K144)&gt;ValDate),"Date after valuation",IF(AND(ISNUMBER($AG144),ABS(N($L144)-N($AG144))&gt;0.001),"Lot quantity differs",IF(AND(ISNUMBER($AG144),ABS(N($M144)-SUMIFS('Tax Lots'!$Q$6:$Q$205,'Tax Lots'!$B$6:$B$205,$B144,'Tax Lots'!$C$6:$C$205,$C144))&gt;1),"Lot cost differs",IF(AND(ISNUMBER($AG144),ABS(N($V144)-SUMIFS('Tax Lots'!$AA$6:$AA$205,'Tax Lots'!$B$6:$B$205,$B144,'Tax Lots'!$C$6:$C$205,$C144))&gt;1),"Lot realised gain differs","OK"))))))))))))</f>
        <v/>
      </c>
      <c r="AI144" s="89" t="str">
        <f aca="false">IF($B144="","",IFERROR(MATCH($B144,Accounts!$A$6:$A$55,0),""))</f>
        <v/>
      </c>
      <c r="AJ144" s="89" t="str">
        <f aca="false">IF($C144="","",IFERROR(MATCH($C144,Securities!$A$6:$A$105,0),""))</f>
        <v/>
      </c>
      <c r="AK144" s="89" t="str">
        <f aca="false">IF($AI144="","",INDEX(Accounts!$B$6:$B$55,$AI144)&amp;"")</f>
        <v/>
      </c>
      <c r="AL144" s="89" t="str">
        <f aca="false">IF(OR($C144="",$I144="",NOT(ISNUMBER($R144))),"",$I144&amp;"|"&amp;(SUMPRODUCT(($I$6:$I$205=$I144)*ISNUMBER($R$6:$R$205)*($R$6:$R$205&gt;$R144))+SUMPRODUCT(($I$6:$I144=$I144)*ISNUMBER($R$6:$R144)*($R$6:$R144=$R144))))</f>
        <v/>
      </c>
      <c r="AM144" s="89" t="n">
        <f aca="false">IF(AND(ISNUMBER($R144),$W144&lt;&gt;"",$Z144&lt;&gt;"",$AB144="XIRR"),$R144*$W144,0)</f>
        <v>0</v>
      </c>
      <c r="AN144" s="89" t="n">
        <f aca="false">IF(AND(ISNUMBER($R144),$W144&lt;&gt;"",$Z144&lt;&gt;"",$AB144="XIRR"),$R144,0)</f>
        <v>0</v>
      </c>
      <c r="AO144" s="89" t="n">
        <f aca="false">IF(AND(ISNUMBER($R144),$W144&lt;&gt;"",$Z144&lt;&gt;"",$AB144="XIRR"),$R144*$Z144,0)</f>
        <v>0</v>
      </c>
      <c r="AP144" s="89" t="n">
        <f aca="false">IF(AND(ISNUMBER($M144),$Y144&lt;&gt;"",ISNUMBER($T144)),$M144*$Y144,0)</f>
        <v>0</v>
      </c>
      <c r="AQ144" s="89" t="n">
        <f aca="false">IF(AND(ISNUMBER($M144),$Y144&lt;&gt;"",ISNUMBER($T144)),$M144,0)</f>
        <v>0</v>
      </c>
    </row>
    <row r="145" customFormat="false" ht="15" hidden="false" customHeight="false" outlineLevel="0" collapsed="false">
      <c r="A145" s="77"/>
      <c r="B145" s="78"/>
      <c r="C145" s="78"/>
      <c r="D145" s="79" t="str">
        <f aca="false">IF($AI145="","",INDEX(Accounts!$C$6:$C$55,$AI145)&amp;"")</f>
        <v/>
      </c>
      <c r="E145" s="79" t="str">
        <f aca="false">IF($AI145="","",INDEX(Accounts!$F$6:$F$55,$AI145)&amp;"")</f>
        <v/>
      </c>
      <c r="F145" s="79" t="str">
        <f aca="false">IF($AJ145="","",INDEX(Securities!$B$6:$B$105,$AJ145)&amp;"")</f>
        <v/>
      </c>
      <c r="G145" s="79" t="str">
        <f aca="false">IF($AJ145="","",INDEX(Securities!$F$6:$F$105,$AJ145)&amp;"")</f>
        <v/>
      </c>
      <c r="H145" s="79" t="str">
        <f aca="false">IF($AJ145="","",INDEX(Securities!$E$6:$E$105,$AJ145)&amp;"")</f>
        <v/>
      </c>
      <c r="I145" s="79" t="str">
        <f aca="false">IF($AJ145="","",INDEX(Securities!$H$6:$H$105,$AJ145)&amp;"")</f>
        <v/>
      </c>
      <c r="J145" s="80"/>
      <c r="K145" s="80"/>
      <c r="L145" s="81"/>
      <c r="M145" s="82"/>
      <c r="N145" s="83" t="str">
        <f aca="false">IF(OR($L145="",$M145=""),"",IF(N($L145)=0,"",$M145/$L145))</f>
        <v/>
      </c>
      <c r="O145" s="84" t="str">
        <f aca="false">IF($AJ145="","",IF(INDEX(Securities!$O$6:$O$105,$AJ145)="","",INDEX(Securities!$O$6:$O$105,$AJ145)))</f>
        <v/>
      </c>
      <c r="P145" s="79" t="str">
        <f aca="false">IF($AJ145="","",INDEX(Securities!$N$6:$N$105,$AJ145)&amp;"")</f>
        <v/>
      </c>
      <c r="Q145" s="82"/>
      <c r="R145" s="85" t="str">
        <f aca="false">IF($C145="","",IF($Q145&lt;&gt;"",$Q145,IF($P145="At cost",IF($M145="","",$M145),IF(OR($O145="",$L145=""),"",$L145*$O145))))</f>
        <v/>
      </c>
      <c r="S145" s="85" t="str">
        <f aca="false">IF(OR(NOT(ISNUMBER($R145)),$M145=""),"",$R145-$M145)</f>
        <v/>
      </c>
      <c r="T145" s="86" t="str">
        <f aca="false">IF(OR($S145="",N($M145)=0),"",$S145/$M145)</f>
        <v/>
      </c>
      <c r="U145" s="82"/>
      <c r="V145" s="82"/>
      <c r="W145" s="87"/>
      <c r="X145" s="79" t="str">
        <f aca="false">IF($AJ145="","",INDEX(Securities!$L$6:$L$105,$AJ145)&amp;"")</f>
        <v/>
      </c>
      <c r="Y145" s="87"/>
      <c r="Z145" s="87"/>
      <c r="AA145" s="86" t="str">
        <f aca="false">IF(OR($W145="",$Z145=""),"",$W145-$Z145)</f>
        <v/>
      </c>
      <c r="AB145" s="79" t="str">
        <f aca="false">IF($C145="","",IF($P145="At cost","At cost",IF(NOT(ISNUMBER($J145)),"No date",IF(ValDate-$J145&lt;365,"Absolute",IF($W145="","XIRR missing","XIRR")))))</f>
        <v/>
      </c>
      <c r="AC145" s="86" t="str">
        <f aca="false">IF(NOT(ISNUMBER($R145)),"",IF(SUM($R$6:$R$205)=0,"",$R145/SUM($R$6:$R$205)))</f>
        <v/>
      </c>
      <c r="AD145" s="82"/>
      <c r="AE145" s="80"/>
      <c r="AF145" s="78"/>
      <c r="AG145" s="88" t="str">
        <f aca="false">IF($C145="","",IF(COUNTIFS('Tax Lots'!$B$6:$B$205,$B145,'Tax Lots'!$C$6:$C$205,$C145)=0,"",SUMIFS('Tax Lots'!$P$6:$P$205,'Tax Lots'!$B$6:$B$205,$B145,'Tax Lots'!$C$6:$C$205,$C145)))</f>
        <v/>
      </c>
      <c r="AH145" s="79" t="str">
        <f aca="false">IF($A145&amp;$B145&amp;$C145="","",IF($A145="","Missing ID",IF(COUNTIF($A$6:$A$205,$A145)&gt;1,"Duplicate ID",IF($AI145="","Unknown account",IF($AJ145="","Unknown security",IF(COUNTIFS($B$6:$B$205,$B145,$C$6:$C$205,$C145)&gt;1,"Same security twice in one account",IF(AND(ISNUMBER($J145),ISNUMBER($K145),N($K145)&lt;N($J145)),"Last date before first",IF(NOT(ISNUMBER($R145)),"No market value",IF(OR(N($J145)&gt;ValDate,N($K145)&gt;ValDate),"Date after valuation",IF(AND(ISNUMBER($AG145),ABS(N($L145)-N($AG145))&gt;0.001),"Lot quantity differs",IF(AND(ISNUMBER($AG145),ABS(N($M145)-SUMIFS('Tax Lots'!$Q$6:$Q$205,'Tax Lots'!$B$6:$B$205,$B145,'Tax Lots'!$C$6:$C$205,$C145))&gt;1),"Lot cost differs",IF(AND(ISNUMBER($AG145),ABS(N($V145)-SUMIFS('Tax Lots'!$AA$6:$AA$205,'Tax Lots'!$B$6:$B$205,$B145,'Tax Lots'!$C$6:$C$205,$C145))&gt;1),"Lot realised gain differs","OK"))))))))))))</f>
        <v/>
      </c>
      <c r="AI145" s="89" t="str">
        <f aca="false">IF($B145="","",IFERROR(MATCH($B145,Accounts!$A$6:$A$55,0),""))</f>
        <v/>
      </c>
      <c r="AJ145" s="89" t="str">
        <f aca="false">IF($C145="","",IFERROR(MATCH($C145,Securities!$A$6:$A$105,0),""))</f>
        <v/>
      </c>
      <c r="AK145" s="89" t="str">
        <f aca="false">IF($AI145="","",INDEX(Accounts!$B$6:$B$55,$AI145)&amp;"")</f>
        <v/>
      </c>
      <c r="AL145" s="89" t="str">
        <f aca="false">IF(OR($C145="",$I145="",NOT(ISNUMBER($R145))),"",$I145&amp;"|"&amp;(SUMPRODUCT(($I$6:$I$205=$I145)*ISNUMBER($R$6:$R$205)*($R$6:$R$205&gt;$R145))+SUMPRODUCT(($I$6:$I145=$I145)*ISNUMBER($R$6:$R145)*($R$6:$R145=$R145))))</f>
        <v/>
      </c>
      <c r="AM145" s="89" t="n">
        <f aca="false">IF(AND(ISNUMBER($R145),$W145&lt;&gt;"",$Z145&lt;&gt;"",$AB145="XIRR"),$R145*$W145,0)</f>
        <v>0</v>
      </c>
      <c r="AN145" s="89" t="n">
        <f aca="false">IF(AND(ISNUMBER($R145),$W145&lt;&gt;"",$Z145&lt;&gt;"",$AB145="XIRR"),$R145,0)</f>
        <v>0</v>
      </c>
      <c r="AO145" s="89" t="n">
        <f aca="false">IF(AND(ISNUMBER($R145),$W145&lt;&gt;"",$Z145&lt;&gt;"",$AB145="XIRR"),$R145*$Z145,0)</f>
        <v>0</v>
      </c>
      <c r="AP145" s="89" t="n">
        <f aca="false">IF(AND(ISNUMBER($M145),$Y145&lt;&gt;"",ISNUMBER($T145)),$M145*$Y145,0)</f>
        <v>0</v>
      </c>
      <c r="AQ145" s="89" t="n">
        <f aca="false">IF(AND(ISNUMBER($M145),$Y145&lt;&gt;"",ISNUMBER($T145)),$M145,0)</f>
        <v>0</v>
      </c>
    </row>
    <row r="146" customFormat="false" ht="15" hidden="false" customHeight="false" outlineLevel="0" collapsed="false">
      <c r="A146" s="77"/>
      <c r="B146" s="78"/>
      <c r="C146" s="78"/>
      <c r="D146" s="79" t="str">
        <f aca="false">IF($AI146="","",INDEX(Accounts!$C$6:$C$55,$AI146)&amp;"")</f>
        <v/>
      </c>
      <c r="E146" s="79" t="str">
        <f aca="false">IF($AI146="","",INDEX(Accounts!$F$6:$F$55,$AI146)&amp;"")</f>
        <v/>
      </c>
      <c r="F146" s="79" t="str">
        <f aca="false">IF($AJ146="","",INDEX(Securities!$B$6:$B$105,$AJ146)&amp;"")</f>
        <v/>
      </c>
      <c r="G146" s="79" t="str">
        <f aca="false">IF($AJ146="","",INDEX(Securities!$F$6:$F$105,$AJ146)&amp;"")</f>
        <v/>
      </c>
      <c r="H146" s="79" t="str">
        <f aca="false">IF($AJ146="","",INDEX(Securities!$E$6:$E$105,$AJ146)&amp;"")</f>
        <v/>
      </c>
      <c r="I146" s="79" t="str">
        <f aca="false">IF($AJ146="","",INDEX(Securities!$H$6:$H$105,$AJ146)&amp;"")</f>
        <v/>
      </c>
      <c r="J146" s="80"/>
      <c r="K146" s="80"/>
      <c r="L146" s="81"/>
      <c r="M146" s="82"/>
      <c r="N146" s="83" t="str">
        <f aca="false">IF(OR($L146="",$M146=""),"",IF(N($L146)=0,"",$M146/$L146))</f>
        <v/>
      </c>
      <c r="O146" s="84" t="str">
        <f aca="false">IF($AJ146="","",IF(INDEX(Securities!$O$6:$O$105,$AJ146)="","",INDEX(Securities!$O$6:$O$105,$AJ146)))</f>
        <v/>
      </c>
      <c r="P146" s="79" t="str">
        <f aca="false">IF($AJ146="","",INDEX(Securities!$N$6:$N$105,$AJ146)&amp;"")</f>
        <v/>
      </c>
      <c r="Q146" s="82"/>
      <c r="R146" s="85" t="str">
        <f aca="false">IF($C146="","",IF($Q146&lt;&gt;"",$Q146,IF($P146="At cost",IF($M146="","",$M146),IF(OR($O146="",$L146=""),"",$L146*$O146))))</f>
        <v/>
      </c>
      <c r="S146" s="85" t="str">
        <f aca="false">IF(OR(NOT(ISNUMBER($R146)),$M146=""),"",$R146-$M146)</f>
        <v/>
      </c>
      <c r="T146" s="86" t="str">
        <f aca="false">IF(OR($S146="",N($M146)=0),"",$S146/$M146)</f>
        <v/>
      </c>
      <c r="U146" s="82"/>
      <c r="V146" s="82"/>
      <c r="W146" s="87"/>
      <c r="X146" s="79" t="str">
        <f aca="false">IF($AJ146="","",INDEX(Securities!$L$6:$L$105,$AJ146)&amp;"")</f>
        <v/>
      </c>
      <c r="Y146" s="87"/>
      <c r="Z146" s="87"/>
      <c r="AA146" s="86" t="str">
        <f aca="false">IF(OR($W146="",$Z146=""),"",$W146-$Z146)</f>
        <v/>
      </c>
      <c r="AB146" s="79" t="str">
        <f aca="false">IF($C146="","",IF($P146="At cost","At cost",IF(NOT(ISNUMBER($J146)),"No date",IF(ValDate-$J146&lt;365,"Absolute",IF($W146="","XIRR missing","XIRR")))))</f>
        <v/>
      </c>
      <c r="AC146" s="86" t="str">
        <f aca="false">IF(NOT(ISNUMBER($R146)),"",IF(SUM($R$6:$R$205)=0,"",$R146/SUM($R$6:$R$205)))</f>
        <v/>
      </c>
      <c r="AD146" s="82"/>
      <c r="AE146" s="80"/>
      <c r="AF146" s="78"/>
      <c r="AG146" s="88" t="str">
        <f aca="false">IF($C146="","",IF(COUNTIFS('Tax Lots'!$B$6:$B$205,$B146,'Tax Lots'!$C$6:$C$205,$C146)=0,"",SUMIFS('Tax Lots'!$P$6:$P$205,'Tax Lots'!$B$6:$B$205,$B146,'Tax Lots'!$C$6:$C$205,$C146)))</f>
        <v/>
      </c>
      <c r="AH146" s="79" t="str">
        <f aca="false">IF($A146&amp;$B146&amp;$C146="","",IF($A146="","Missing ID",IF(COUNTIF($A$6:$A$205,$A146)&gt;1,"Duplicate ID",IF($AI146="","Unknown account",IF($AJ146="","Unknown security",IF(COUNTIFS($B$6:$B$205,$B146,$C$6:$C$205,$C146)&gt;1,"Same security twice in one account",IF(AND(ISNUMBER($J146),ISNUMBER($K146),N($K146)&lt;N($J146)),"Last date before first",IF(NOT(ISNUMBER($R146)),"No market value",IF(OR(N($J146)&gt;ValDate,N($K146)&gt;ValDate),"Date after valuation",IF(AND(ISNUMBER($AG146),ABS(N($L146)-N($AG146))&gt;0.001),"Lot quantity differs",IF(AND(ISNUMBER($AG146),ABS(N($M146)-SUMIFS('Tax Lots'!$Q$6:$Q$205,'Tax Lots'!$B$6:$B$205,$B146,'Tax Lots'!$C$6:$C$205,$C146))&gt;1),"Lot cost differs",IF(AND(ISNUMBER($AG146),ABS(N($V146)-SUMIFS('Tax Lots'!$AA$6:$AA$205,'Tax Lots'!$B$6:$B$205,$B146,'Tax Lots'!$C$6:$C$205,$C146))&gt;1),"Lot realised gain differs","OK"))))))))))))</f>
        <v/>
      </c>
      <c r="AI146" s="89" t="str">
        <f aca="false">IF($B146="","",IFERROR(MATCH($B146,Accounts!$A$6:$A$55,0),""))</f>
        <v/>
      </c>
      <c r="AJ146" s="89" t="str">
        <f aca="false">IF($C146="","",IFERROR(MATCH($C146,Securities!$A$6:$A$105,0),""))</f>
        <v/>
      </c>
      <c r="AK146" s="89" t="str">
        <f aca="false">IF($AI146="","",INDEX(Accounts!$B$6:$B$55,$AI146)&amp;"")</f>
        <v/>
      </c>
      <c r="AL146" s="89" t="str">
        <f aca="false">IF(OR($C146="",$I146="",NOT(ISNUMBER($R146))),"",$I146&amp;"|"&amp;(SUMPRODUCT(($I$6:$I$205=$I146)*ISNUMBER($R$6:$R$205)*($R$6:$R$205&gt;$R146))+SUMPRODUCT(($I$6:$I146=$I146)*ISNUMBER($R$6:$R146)*($R$6:$R146=$R146))))</f>
        <v/>
      </c>
      <c r="AM146" s="89" t="n">
        <f aca="false">IF(AND(ISNUMBER($R146),$W146&lt;&gt;"",$Z146&lt;&gt;"",$AB146="XIRR"),$R146*$W146,0)</f>
        <v>0</v>
      </c>
      <c r="AN146" s="89" t="n">
        <f aca="false">IF(AND(ISNUMBER($R146),$W146&lt;&gt;"",$Z146&lt;&gt;"",$AB146="XIRR"),$R146,0)</f>
        <v>0</v>
      </c>
      <c r="AO146" s="89" t="n">
        <f aca="false">IF(AND(ISNUMBER($R146),$W146&lt;&gt;"",$Z146&lt;&gt;"",$AB146="XIRR"),$R146*$Z146,0)</f>
        <v>0</v>
      </c>
      <c r="AP146" s="89" t="n">
        <f aca="false">IF(AND(ISNUMBER($M146),$Y146&lt;&gt;"",ISNUMBER($T146)),$M146*$Y146,0)</f>
        <v>0</v>
      </c>
      <c r="AQ146" s="89" t="n">
        <f aca="false">IF(AND(ISNUMBER($M146),$Y146&lt;&gt;"",ISNUMBER($T146)),$M146,0)</f>
        <v>0</v>
      </c>
    </row>
    <row r="147" customFormat="false" ht="15" hidden="false" customHeight="false" outlineLevel="0" collapsed="false">
      <c r="A147" s="77"/>
      <c r="B147" s="78"/>
      <c r="C147" s="78"/>
      <c r="D147" s="79" t="str">
        <f aca="false">IF($AI147="","",INDEX(Accounts!$C$6:$C$55,$AI147)&amp;"")</f>
        <v/>
      </c>
      <c r="E147" s="79" t="str">
        <f aca="false">IF($AI147="","",INDEX(Accounts!$F$6:$F$55,$AI147)&amp;"")</f>
        <v/>
      </c>
      <c r="F147" s="79" t="str">
        <f aca="false">IF($AJ147="","",INDEX(Securities!$B$6:$B$105,$AJ147)&amp;"")</f>
        <v/>
      </c>
      <c r="G147" s="79" t="str">
        <f aca="false">IF($AJ147="","",INDEX(Securities!$F$6:$F$105,$AJ147)&amp;"")</f>
        <v/>
      </c>
      <c r="H147" s="79" t="str">
        <f aca="false">IF($AJ147="","",INDEX(Securities!$E$6:$E$105,$AJ147)&amp;"")</f>
        <v/>
      </c>
      <c r="I147" s="79" t="str">
        <f aca="false">IF($AJ147="","",INDEX(Securities!$H$6:$H$105,$AJ147)&amp;"")</f>
        <v/>
      </c>
      <c r="J147" s="80"/>
      <c r="K147" s="80"/>
      <c r="L147" s="81"/>
      <c r="M147" s="82"/>
      <c r="N147" s="83" t="str">
        <f aca="false">IF(OR($L147="",$M147=""),"",IF(N($L147)=0,"",$M147/$L147))</f>
        <v/>
      </c>
      <c r="O147" s="84" t="str">
        <f aca="false">IF($AJ147="","",IF(INDEX(Securities!$O$6:$O$105,$AJ147)="","",INDEX(Securities!$O$6:$O$105,$AJ147)))</f>
        <v/>
      </c>
      <c r="P147" s="79" t="str">
        <f aca="false">IF($AJ147="","",INDEX(Securities!$N$6:$N$105,$AJ147)&amp;"")</f>
        <v/>
      </c>
      <c r="Q147" s="82"/>
      <c r="R147" s="85" t="str">
        <f aca="false">IF($C147="","",IF($Q147&lt;&gt;"",$Q147,IF($P147="At cost",IF($M147="","",$M147),IF(OR($O147="",$L147=""),"",$L147*$O147))))</f>
        <v/>
      </c>
      <c r="S147" s="85" t="str">
        <f aca="false">IF(OR(NOT(ISNUMBER($R147)),$M147=""),"",$R147-$M147)</f>
        <v/>
      </c>
      <c r="T147" s="86" t="str">
        <f aca="false">IF(OR($S147="",N($M147)=0),"",$S147/$M147)</f>
        <v/>
      </c>
      <c r="U147" s="82"/>
      <c r="V147" s="82"/>
      <c r="W147" s="87"/>
      <c r="X147" s="79" t="str">
        <f aca="false">IF($AJ147="","",INDEX(Securities!$L$6:$L$105,$AJ147)&amp;"")</f>
        <v/>
      </c>
      <c r="Y147" s="87"/>
      <c r="Z147" s="87"/>
      <c r="AA147" s="86" t="str">
        <f aca="false">IF(OR($W147="",$Z147=""),"",$W147-$Z147)</f>
        <v/>
      </c>
      <c r="AB147" s="79" t="str">
        <f aca="false">IF($C147="","",IF($P147="At cost","At cost",IF(NOT(ISNUMBER($J147)),"No date",IF(ValDate-$J147&lt;365,"Absolute",IF($W147="","XIRR missing","XIRR")))))</f>
        <v/>
      </c>
      <c r="AC147" s="86" t="str">
        <f aca="false">IF(NOT(ISNUMBER($R147)),"",IF(SUM($R$6:$R$205)=0,"",$R147/SUM($R$6:$R$205)))</f>
        <v/>
      </c>
      <c r="AD147" s="82"/>
      <c r="AE147" s="80"/>
      <c r="AF147" s="78"/>
      <c r="AG147" s="88" t="str">
        <f aca="false">IF($C147="","",IF(COUNTIFS('Tax Lots'!$B$6:$B$205,$B147,'Tax Lots'!$C$6:$C$205,$C147)=0,"",SUMIFS('Tax Lots'!$P$6:$P$205,'Tax Lots'!$B$6:$B$205,$B147,'Tax Lots'!$C$6:$C$205,$C147)))</f>
        <v/>
      </c>
      <c r="AH147" s="79" t="str">
        <f aca="false">IF($A147&amp;$B147&amp;$C147="","",IF($A147="","Missing ID",IF(COUNTIF($A$6:$A$205,$A147)&gt;1,"Duplicate ID",IF($AI147="","Unknown account",IF($AJ147="","Unknown security",IF(COUNTIFS($B$6:$B$205,$B147,$C$6:$C$205,$C147)&gt;1,"Same security twice in one account",IF(AND(ISNUMBER($J147),ISNUMBER($K147),N($K147)&lt;N($J147)),"Last date before first",IF(NOT(ISNUMBER($R147)),"No market value",IF(OR(N($J147)&gt;ValDate,N($K147)&gt;ValDate),"Date after valuation",IF(AND(ISNUMBER($AG147),ABS(N($L147)-N($AG147))&gt;0.001),"Lot quantity differs",IF(AND(ISNUMBER($AG147),ABS(N($M147)-SUMIFS('Tax Lots'!$Q$6:$Q$205,'Tax Lots'!$B$6:$B$205,$B147,'Tax Lots'!$C$6:$C$205,$C147))&gt;1),"Lot cost differs",IF(AND(ISNUMBER($AG147),ABS(N($V147)-SUMIFS('Tax Lots'!$AA$6:$AA$205,'Tax Lots'!$B$6:$B$205,$B147,'Tax Lots'!$C$6:$C$205,$C147))&gt;1),"Lot realised gain differs","OK"))))))))))))</f>
        <v/>
      </c>
      <c r="AI147" s="89" t="str">
        <f aca="false">IF($B147="","",IFERROR(MATCH($B147,Accounts!$A$6:$A$55,0),""))</f>
        <v/>
      </c>
      <c r="AJ147" s="89" t="str">
        <f aca="false">IF($C147="","",IFERROR(MATCH($C147,Securities!$A$6:$A$105,0),""))</f>
        <v/>
      </c>
      <c r="AK147" s="89" t="str">
        <f aca="false">IF($AI147="","",INDEX(Accounts!$B$6:$B$55,$AI147)&amp;"")</f>
        <v/>
      </c>
      <c r="AL147" s="89" t="str">
        <f aca="false">IF(OR($C147="",$I147="",NOT(ISNUMBER($R147))),"",$I147&amp;"|"&amp;(SUMPRODUCT(($I$6:$I$205=$I147)*ISNUMBER($R$6:$R$205)*($R$6:$R$205&gt;$R147))+SUMPRODUCT(($I$6:$I147=$I147)*ISNUMBER($R$6:$R147)*($R$6:$R147=$R147))))</f>
        <v/>
      </c>
      <c r="AM147" s="89" t="n">
        <f aca="false">IF(AND(ISNUMBER($R147),$W147&lt;&gt;"",$Z147&lt;&gt;"",$AB147="XIRR"),$R147*$W147,0)</f>
        <v>0</v>
      </c>
      <c r="AN147" s="89" t="n">
        <f aca="false">IF(AND(ISNUMBER($R147),$W147&lt;&gt;"",$Z147&lt;&gt;"",$AB147="XIRR"),$R147,0)</f>
        <v>0</v>
      </c>
      <c r="AO147" s="89" t="n">
        <f aca="false">IF(AND(ISNUMBER($R147),$W147&lt;&gt;"",$Z147&lt;&gt;"",$AB147="XIRR"),$R147*$Z147,0)</f>
        <v>0</v>
      </c>
      <c r="AP147" s="89" t="n">
        <f aca="false">IF(AND(ISNUMBER($M147),$Y147&lt;&gt;"",ISNUMBER($T147)),$M147*$Y147,0)</f>
        <v>0</v>
      </c>
      <c r="AQ147" s="89" t="n">
        <f aca="false">IF(AND(ISNUMBER($M147),$Y147&lt;&gt;"",ISNUMBER($T147)),$M147,0)</f>
        <v>0</v>
      </c>
    </row>
    <row r="148" customFormat="false" ht="15" hidden="false" customHeight="false" outlineLevel="0" collapsed="false">
      <c r="A148" s="77"/>
      <c r="B148" s="78"/>
      <c r="C148" s="78"/>
      <c r="D148" s="79" t="str">
        <f aca="false">IF($AI148="","",INDEX(Accounts!$C$6:$C$55,$AI148)&amp;"")</f>
        <v/>
      </c>
      <c r="E148" s="79" t="str">
        <f aca="false">IF($AI148="","",INDEX(Accounts!$F$6:$F$55,$AI148)&amp;"")</f>
        <v/>
      </c>
      <c r="F148" s="79" t="str">
        <f aca="false">IF($AJ148="","",INDEX(Securities!$B$6:$B$105,$AJ148)&amp;"")</f>
        <v/>
      </c>
      <c r="G148" s="79" t="str">
        <f aca="false">IF($AJ148="","",INDEX(Securities!$F$6:$F$105,$AJ148)&amp;"")</f>
        <v/>
      </c>
      <c r="H148" s="79" t="str">
        <f aca="false">IF($AJ148="","",INDEX(Securities!$E$6:$E$105,$AJ148)&amp;"")</f>
        <v/>
      </c>
      <c r="I148" s="79" t="str">
        <f aca="false">IF($AJ148="","",INDEX(Securities!$H$6:$H$105,$AJ148)&amp;"")</f>
        <v/>
      </c>
      <c r="J148" s="80"/>
      <c r="K148" s="80"/>
      <c r="L148" s="81"/>
      <c r="M148" s="82"/>
      <c r="N148" s="83" t="str">
        <f aca="false">IF(OR($L148="",$M148=""),"",IF(N($L148)=0,"",$M148/$L148))</f>
        <v/>
      </c>
      <c r="O148" s="84" t="str">
        <f aca="false">IF($AJ148="","",IF(INDEX(Securities!$O$6:$O$105,$AJ148)="","",INDEX(Securities!$O$6:$O$105,$AJ148)))</f>
        <v/>
      </c>
      <c r="P148" s="79" t="str">
        <f aca="false">IF($AJ148="","",INDEX(Securities!$N$6:$N$105,$AJ148)&amp;"")</f>
        <v/>
      </c>
      <c r="Q148" s="82"/>
      <c r="R148" s="85" t="str">
        <f aca="false">IF($C148="","",IF($Q148&lt;&gt;"",$Q148,IF($P148="At cost",IF($M148="","",$M148),IF(OR($O148="",$L148=""),"",$L148*$O148))))</f>
        <v/>
      </c>
      <c r="S148" s="85" t="str">
        <f aca="false">IF(OR(NOT(ISNUMBER($R148)),$M148=""),"",$R148-$M148)</f>
        <v/>
      </c>
      <c r="T148" s="86" t="str">
        <f aca="false">IF(OR($S148="",N($M148)=0),"",$S148/$M148)</f>
        <v/>
      </c>
      <c r="U148" s="82"/>
      <c r="V148" s="82"/>
      <c r="W148" s="87"/>
      <c r="X148" s="79" t="str">
        <f aca="false">IF($AJ148="","",INDEX(Securities!$L$6:$L$105,$AJ148)&amp;"")</f>
        <v/>
      </c>
      <c r="Y148" s="87"/>
      <c r="Z148" s="87"/>
      <c r="AA148" s="86" t="str">
        <f aca="false">IF(OR($W148="",$Z148=""),"",$W148-$Z148)</f>
        <v/>
      </c>
      <c r="AB148" s="79" t="str">
        <f aca="false">IF($C148="","",IF($P148="At cost","At cost",IF(NOT(ISNUMBER($J148)),"No date",IF(ValDate-$J148&lt;365,"Absolute",IF($W148="","XIRR missing","XIRR")))))</f>
        <v/>
      </c>
      <c r="AC148" s="86" t="str">
        <f aca="false">IF(NOT(ISNUMBER($R148)),"",IF(SUM($R$6:$R$205)=0,"",$R148/SUM($R$6:$R$205)))</f>
        <v/>
      </c>
      <c r="AD148" s="82"/>
      <c r="AE148" s="80"/>
      <c r="AF148" s="78"/>
      <c r="AG148" s="88" t="str">
        <f aca="false">IF($C148="","",IF(COUNTIFS('Tax Lots'!$B$6:$B$205,$B148,'Tax Lots'!$C$6:$C$205,$C148)=0,"",SUMIFS('Tax Lots'!$P$6:$P$205,'Tax Lots'!$B$6:$B$205,$B148,'Tax Lots'!$C$6:$C$205,$C148)))</f>
        <v/>
      </c>
      <c r="AH148" s="79" t="str">
        <f aca="false">IF($A148&amp;$B148&amp;$C148="","",IF($A148="","Missing ID",IF(COUNTIF($A$6:$A$205,$A148)&gt;1,"Duplicate ID",IF($AI148="","Unknown account",IF($AJ148="","Unknown security",IF(COUNTIFS($B$6:$B$205,$B148,$C$6:$C$205,$C148)&gt;1,"Same security twice in one account",IF(AND(ISNUMBER($J148),ISNUMBER($K148),N($K148)&lt;N($J148)),"Last date before first",IF(NOT(ISNUMBER($R148)),"No market value",IF(OR(N($J148)&gt;ValDate,N($K148)&gt;ValDate),"Date after valuation",IF(AND(ISNUMBER($AG148),ABS(N($L148)-N($AG148))&gt;0.001),"Lot quantity differs",IF(AND(ISNUMBER($AG148),ABS(N($M148)-SUMIFS('Tax Lots'!$Q$6:$Q$205,'Tax Lots'!$B$6:$B$205,$B148,'Tax Lots'!$C$6:$C$205,$C148))&gt;1),"Lot cost differs",IF(AND(ISNUMBER($AG148),ABS(N($V148)-SUMIFS('Tax Lots'!$AA$6:$AA$205,'Tax Lots'!$B$6:$B$205,$B148,'Tax Lots'!$C$6:$C$205,$C148))&gt;1),"Lot realised gain differs","OK"))))))))))))</f>
        <v/>
      </c>
      <c r="AI148" s="89" t="str">
        <f aca="false">IF($B148="","",IFERROR(MATCH($B148,Accounts!$A$6:$A$55,0),""))</f>
        <v/>
      </c>
      <c r="AJ148" s="89" t="str">
        <f aca="false">IF($C148="","",IFERROR(MATCH($C148,Securities!$A$6:$A$105,0),""))</f>
        <v/>
      </c>
      <c r="AK148" s="89" t="str">
        <f aca="false">IF($AI148="","",INDEX(Accounts!$B$6:$B$55,$AI148)&amp;"")</f>
        <v/>
      </c>
      <c r="AL148" s="89" t="str">
        <f aca="false">IF(OR($C148="",$I148="",NOT(ISNUMBER($R148))),"",$I148&amp;"|"&amp;(SUMPRODUCT(($I$6:$I$205=$I148)*ISNUMBER($R$6:$R$205)*($R$6:$R$205&gt;$R148))+SUMPRODUCT(($I$6:$I148=$I148)*ISNUMBER($R$6:$R148)*($R$6:$R148=$R148))))</f>
        <v/>
      </c>
      <c r="AM148" s="89" t="n">
        <f aca="false">IF(AND(ISNUMBER($R148),$W148&lt;&gt;"",$Z148&lt;&gt;"",$AB148="XIRR"),$R148*$W148,0)</f>
        <v>0</v>
      </c>
      <c r="AN148" s="89" t="n">
        <f aca="false">IF(AND(ISNUMBER($R148),$W148&lt;&gt;"",$Z148&lt;&gt;"",$AB148="XIRR"),$R148,0)</f>
        <v>0</v>
      </c>
      <c r="AO148" s="89" t="n">
        <f aca="false">IF(AND(ISNUMBER($R148),$W148&lt;&gt;"",$Z148&lt;&gt;"",$AB148="XIRR"),$R148*$Z148,0)</f>
        <v>0</v>
      </c>
      <c r="AP148" s="89" t="n">
        <f aca="false">IF(AND(ISNUMBER($M148),$Y148&lt;&gt;"",ISNUMBER($T148)),$M148*$Y148,0)</f>
        <v>0</v>
      </c>
      <c r="AQ148" s="89" t="n">
        <f aca="false">IF(AND(ISNUMBER($M148),$Y148&lt;&gt;"",ISNUMBER($T148)),$M148,0)</f>
        <v>0</v>
      </c>
    </row>
    <row r="149" customFormat="false" ht="15" hidden="false" customHeight="false" outlineLevel="0" collapsed="false">
      <c r="A149" s="77"/>
      <c r="B149" s="78"/>
      <c r="C149" s="78"/>
      <c r="D149" s="79" t="str">
        <f aca="false">IF($AI149="","",INDEX(Accounts!$C$6:$C$55,$AI149)&amp;"")</f>
        <v/>
      </c>
      <c r="E149" s="79" t="str">
        <f aca="false">IF($AI149="","",INDEX(Accounts!$F$6:$F$55,$AI149)&amp;"")</f>
        <v/>
      </c>
      <c r="F149" s="79" t="str">
        <f aca="false">IF($AJ149="","",INDEX(Securities!$B$6:$B$105,$AJ149)&amp;"")</f>
        <v/>
      </c>
      <c r="G149" s="79" t="str">
        <f aca="false">IF($AJ149="","",INDEX(Securities!$F$6:$F$105,$AJ149)&amp;"")</f>
        <v/>
      </c>
      <c r="H149" s="79" t="str">
        <f aca="false">IF($AJ149="","",INDEX(Securities!$E$6:$E$105,$AJ149)&amp;"")</f>
        <v/>
      </c>
      <c r="I149" s="79" t="str">
        <f aca="false">IF($AJ149="","",INDEX(Securities!$H$6:$H$105,$AJ149)&amp;"")</f>
        <v/>
      </c>
      <c r="J149" s="80"/>
      <c r="K149" s="80"/>
      <c r="L149" s="81"/>
      <c r="M149" s="82"/>
      <c r="N149" s="83" t="str">
        <f aca="false">IF(OR($L149="",$M149=""),"",IF(N($L149)=0,"",$M149/$L149))</f>
        <v/>
      </c>
      <c r="O149" s="84" t="str">
        <f aca="false">IF($AJ149="","",IF(INDEX(Securities!$O$6:$O$105,$AJ149)="","",INDEX(Securities!$O$6:$O$105,$AJ149)))</f>
        <v/>
      </c>
      <c r="P149" s="79" t="str">
        <f aca="false">IF($AJ149="","",INDEX(Securities!$N$6:$N$105,$AJ149)&amp;"")</f>
        <v/>
      </c>
      <c r="Q149" s="82"/>
      <c r="R149" s="85" t="str">
        <f aca="false">IF($C149="","",IF($Q149&lt;&gt;"",$Q149,IF($P149="At cost",IF($M149="","",$M149),IF(OR($O149="",$L149=""),"",$L149*$O149))))</f>
        <v/>
      </c>
      <c r="S149" s="85" t="str">
        <f aca="false">IF(OR(NOT(ISNUMBER($R149)),$M149=""),"",$R149-$M149)</f>
        <v/>
      </c>
      <c r="T149" s="86" t="str">
        <f aca="false">IF(OR($S149="",N($M149)=0),"",$S149/$M149)</f>
        <v/>
      </c>
      <c r="U149" s="82"/>
      <c r="V149" s="82"/>
      <c r="W149" s="87"/>
      <c r="X149" s="79" t="str">
        <f aca="false">IF($AJ149="","",INDEX(Securities!$L$6:$L$105,$AJ149)&amp;"")</f>
        <v/>
      </c>
      <c r="Y149" s="87"/>
      <c r="Z149" s="87"/>
      <c r="AA149" s="86" t="str">
        <f aca="false">IF(OR($W149="",$Z149=""),"",$W149-$Z149)</f>
        <v/>
      </c>
      <c r="AB149" s="79" t="str">
        <f aca="false">IF($C149="","",IF($P149="At cost","At cost",IF(NOT(ISNUMBER($J149)),"No date",IF(ValDate-$J149&lt;365,"Absolute",IF($W149="","XIRR missing","XIRR")))))</f>
        <v/>
      </c>
      <c r="AC149" s="86" t="str">
        <f aca="false">IF(NOT(ISNUMBER($R149)),"",IF(SUM($R$6:$R$205)=0,"",$R149/SUM($R$6:$R$205)))</f>
        <v/>
      </c>
      <c r="AD149" s="82"/>
      <c r="AE149" s="80"/>
      <c r="AF149" s="78"/>
      <c r="AG149" s="88" t="str">
        <f aca="false">IF($C149="","",IF(COUNTIFS('Tax Lots'!$B$6:$B$205,$B149,'Tax Lots'!$C$6:$C$205,$C149)=0,"",SUMIFS('Tax Lots'!$P$6:$P$205,'Tax Lots'!$B$6:$B$205,$B149,'Tax Lots'!$C$6:$C$205,$C149)))</f>
        <v/>
      </c>
      <c r="AH149" s="79" t="str">
        <f aca="false">IF($A149&amp;$B149&amp;$C149="","",IF($A149="","Missing ID",IF(COUNTIF($A$6:$A$205,$A149)&gt;1,"Duplicate ID",IF($AI149="","Unknown account",IF($AJ149="","Unknown security",IF(COUNTIFS($B$6:$B$205,$B149,$C$6:$C$205,$C149)&gt;1,"Same security twice in one account",IF(AND(ISNUMBER($J149),ISNUMBER($K149),N($K149)&lt;N($J149)),"Last date before first",IF(NOT(ISNUMBER($R149)),"No market value",IF(OR(N($J149)&gt;ValDate,N($K149)&gt;ValDate),"Date after valuation",IF(AND(ISNUMBER($AG149),ABS(N($L149)-N($AG149))&gt;0.001),"Lot quantity differs",IF(AND(ISNUMBER($AG149),ABS(N($M149)-SUMIFS('Tax Lots'!$Q$6:$Q$205,'Tax Lots'!$B$6:$B$205,$B149,'Tax Lots'!$C$6:$C$205,$C149))&gt;1),"Lot cost differs",IF(AND(ISNUMBER($AG149),ABS(N($V149)-SUMIFS('Tax Lots'!$AA$6:$AA$205,'Tax Lots'!$B$6:$B$205,$B149,'Tax Lots'!$C$6:$C$205,$C149))&gt;1),"Lot realised gain differs","OK"))))))))))))</f>
        <v/>
      </c>
      <c r="AI149" s="89" t="str">
        <f aca="false">IF($B149="","",IFERROR(MATCH($B149,Accounts!$A$6:$A$55,0),""))</f>
        <v/>
      </c>
      <c r="AJ149" s="89" t="str">
        <f aca="false">IF($C149="","",IFERROR(MATCH($C149,Securities!$A$6:$A$105,0),""))</f>
        <v/>
      </c>
      <c r="AK149" s="89" t="str">
        <f aca="false">IF($AI149="","",INDEX(Accounts!$B$6:$B$55,$AI149)&amp;"")</f>
        <v/>
      </c>
      <c r="AL149" s="89" t="str">
        <f aca="false">IF(OR($C149="",$I149="",NOT(ISNUMBER($R149))),"",$I149&amp;"|"&amp;(SUMPRODUCT(($I$6:$I$205=$I149)*ISNUMBER($R$6:$R$205)*($R$6:$R$205&gt;$R149))+SUMPRODUCT(($I$6:$I149=$I149)*ISNUMBER($R$6:$R149)*($R$6:$R149=$R149))))</f>
        <v/>
      </c>
      <c r="AM149" s="89" t="n">
        <f aca="false">IF(AND(ISNUMBER($R149),$W149&lt;&gt;"",$Z149&lt;&gt;"",$AB149="XIRR"),$R149*$W149,0)</f>
        <v>0</v>
      </c>
      <c r="AN149" s="89" t="n">
        <f aca="false">IF(AND(ISNUMBER($R149),$W149&lt;&gt;"",$Z149&lt;&gt;"",$AB149="XIRR"),$R149,0)</f>
        <v>0</v>
      </c>
      <c r="AO149" s="89" t="n">
        <f aca="false">IF(AND(ISNUMBER($R149),$W149&lt;&gt;"",$Z149&lt;&gt;"",$AB149="XIRR"),$R149*$Z149,0)</f>
        <v>0</v>
      </c>
      <c r="AP149" s="89" t="n">
        <f aca="false">IF(AND(ISNUMBER($M149),$Y149&lt;&gt;"",ISNUMBER($T149)),$M149*$Y149,0)</f>
        <v>0</v>
      </c>
      <c r="AQ149" s="89" t="n">
        <f aca="false">IF(AND(ISNUMBER($M149),$Y149&lt;&gt;"",ISNUMBER($T149)),$M149,0)</f>
        <v>0</v>
      </c>
    </row>
    <row r="150" customFormat="false" ht="15" hidden="false" customHeight="false" outlineLevel="0" collapsed="false">
      <c r="A150" s="77"/>
      <c r="B150" s="78"/>
      <c r="C150" s="78"/>
      <c r="D150" s="79" t="str">
        <f aca="false">IF($AI150="","",INDEX(Accounts!$C$6:$C$55,$AI150)&amp;"")</f>
        <v/>
      </c>
      <c r="E150" s="79" t="str">
        <f aca="false">IF($AI150="","",INDEX(Accounts!$F$6:$F$55,$AI150)&amp;"")</f>
        <v/>
      </c>
      <c r="F150" s="79" t="str">
        <f aca="false">IF($AJ150="","",INDEX(Securities!$B$6:$B$105,$AJ150)&amp;"")</f>
        <v/>
      </c>
      <c r="G150" s="79" t="str">
        <f aca="false">IF($AJ150="","",INDEX(Securities!$F$6:$F$105,$AJ150)&amp;"")</f>
        <v/>
      </c>
      <c r="H150" s="79" t="str">
        <f aca="false">IF($AJ150="","",INDEX(Securities!$E$6:$E$105,$AJ150)&amp;"")</f>
        <v/>
      </c>
      <c r="I150" s="79" t="str">
        <f aca="false">IF($AJ150="","",INDEX(Securities!$H$6:$H$105,$AJ150)&amp;"")</f>
        <v/>
      </c>
      <c r="J150" s="80"/>
      <c r="K150" s="80"/>
      <c r="L150" s="81"/>
      <c r="M150" s="82"/>
      <c r="N150" s="83" t="str">
        <f aca="false">IF(OR($L150="",$M150=""),"",IF(N($L150)=0,"",$M150/$L150))</f>
        <v/>
      </c>
      <c r="O150" s="84" t="str">
        <f aca="false">IF($AJ150="","",IF(INDEX(Securities!$O$6:$O$105,$AJ150)="","",INDEX(Securities!$O$6:$O$105,$AJ150)))</f>
        <v/>
      </c>
      <c r="P150" s="79" t="str">
        <f aca="false">IF($AJ150="","",INDEX(Securities!$N$6:$N$105,$AJ150)&amp;"")</f>
        <v/>
      </c>
      <c r="Q150" s="82"/>
      <c r="R150" s="85" t="str">
        <f aca="false">IF($C150="","",IF($Q150&lt;&gt;"",$Q150,IF($P150="At cost",IF($M150="","",$M150),IF(OR($O150="",$L150=""),"",$L150*$O150))))</f>
        <v/>
      </c>
      <c r="S150" s="85" t="str">
        <f aca="false">IF(OR(NOT(ISNUMBER($R150)),$M150=""),"",$R150-$M150)</f>
        <v/>
      </c>
      <c r="T150" s="86" t="str">
        <f aca="false">IF(OR($S150="",N($M150)=0),"",$S150/$M150)</f>
        <v/>
      </c>
      <c r="U150" s="82"/>
      <c r="V150" s="82"/>
      <c r="W150" s="87"/>
      <c r="X150" s="79" t="str">
        <f aca="false">IF($AJ150="","",INDEX(Securities!$L$6:$L$105,$AJ150)&amp;"")</f>
        <v/>
      </c>
      <c r="Y150" s="87"/>
      <c r="Z150" s="87"/>
      <c r="AA150" s="86" t="str">
        <f aca="false">IF(OR($W150="",$Z150=""),"",$W150-$Z150)</f>
        <v/>
      </c>
      <c r="AB150" s="79" t="str">
        <f aca="false">IF($C150="","",IF($P150="At cost","At cost",IF(NOT(ISNUMBER($J150)),"No date",IF(ValDate-$J150&lt;365,"Absolute",IF($W150="","XIRR missing","XIRR")))))</f>
        <v/>
      </c>
      <c r="AC150" s="86" t="str">
        <f aca="false">IF(NOT(ISNUMBER($R150)),"",IF(SUM($R$6:$R$205)=0,"",$R150/SUM($R$6:$R$205)))</f>
        <v/>
      </c>
      <c r="AD150" s="82"/>
      <c r="AE150" s="80"/>
      <c r="AF150" s="78"/>
      <c r="AG150" s="88" t="str">
        <f aca="false">IF($C150="","",IF(COUNTIFS('Tax Lots'!$B$6:$B$205,$B150,'Tax Lots'!$C$6:$C$205,$C150)=0,"",SUMIFS('Tax Lots'!$P$6:$P$205,'Tax Lots'!$B$6:$B$205,$B150,'Tax Lots'!$C$6:$C$205,$C150)))</f>
        <v/>
      </c>
      <c r="AH150" s="79" t="str">
        <f aca="false">IF($A150&amp;$B150&amp;$C150="","",IF($A150="","Missing ID",IF(COUNTIF($A$6:$A$205,$A150)&gt;1,"Duplicate ID",IF($AI150="","Unknown account",IF($AJ150="","Unknown security",IF(COUNTIFS($B$6:$B$205,$B150,$C$6:$C$205,$C150)&gt;1,"Same security twice in one account",IF(AND(ISNUMBER($J150),ISNUMBER($K150),N($K150)&lt;N($J150)),"Last date before first",IF(NOT(ISNUMBER($R150)),"No market value",IF(OR(N($J150)&gt;ValDate,N($K150)&gt;ValDate),"Date after valuation",IF(AND(ISNUMBER($AG150),ABS(N($L150)-N($AG150))&gt;0.001),"Lot quantity differs",IF(AND(ISNUMBER($AG150),ABS(N($M150)-SUMIFS('Tax Lots'!$Q$6:$Q$205,'Tax Lots'!$B$6:$B$205,$B150,'Tax Lots'!$C$6:$C$205,$C150))&gt;1),"Lot cost differs",IF(AND(ISNUMBER($AG150),ABS(N($V150)-SUMIFS('Tax Lots'!$AA$6:$AA$205,'Tax Lots'!$B$6:$B$205,$B150,'Tax Lots'!$C$6:$C$205,$C150))&gt;1),"Lot realised gain differs","OK"))))))))))))</f>
        <v/>
      </c>
      <c r="AI150" s="89" t="str">
        <f aca="false">IF($B150="","",IFERROR(MATCH($B150,Accounts!$A$6:$A$55,0),""))</f>
        <v/>
      </c>
      <c r="AJ150" s="89" t="str">
        <f aca="false">IF($C150="","",IFERROR(MATCH($C150,Securities!$A$6:$A$105,0),""))</f>
        <v/>
      </c>
      <c r="AK150" s="89" t="str">
        <f aca="false">IF($AI150="","",INDEX(Accounts!$B$6:$B$55,$AI150)&amp;"")</f>
        <v/>
      </c>
      <c r="AL150" s="89" t="str">
        <f aca="false">IF(OR($C150="",$I150="",NOT(ISNUMBER($R150))),"",$I150&amp;"|"&amp;(SUMPRODUCT(($I$6:$I$205=$I150)*ISNUMBER($R$6:$R$205)*($R$6:$R$205&gt;$R150))+SUMPRODUCT(($I$6:$I150=$I150)*ISNUMBER($R$6:$R150)*($R$6:$R150=$R150))))</f>
        <v/>
      </c>
      <c r="AM150" s="89" t="n">
        <f aca="false">IF(AND(ISNUMBER($R150),$W150&lt;&gt;"",$Z150&lt;&gt;"",$AB150="XIRR"),$R150*$W150,0)</f>
        <v>0</v>
      </c>
      <c r="AN150" s="89" t="n">
        <f aca="false">IF(AND(ISNUMBER($R150),$W150&lt;&gt;"",$Z150&lt;&gt;"",$AB150="XIRR"),$R150,0)</f>
        <v>0</v>
      </c>
      <c r="AO150" s="89" t="n">
        <f aca="false">IF(AND(ISNUMBER($R150),$W150&lt;&gt;"",$Z150&lt;&gt;"",$AB150="XIRR"),$R150*$Z150,0)</f>
        <v>0</v>
      </c>
      <c r="AP150" s="89" t="n">
        <f aca="false">IF(AND(ISNUMBER($M150),$Y150&lt;&gt;"",ISNUMBER($T150)),$M150*$Y150,0)</f>
        <v>0</v>
      </c>
      <c r="AQ150" s="89" t="n">
        <f aca="false">IF(AND(ISNUMBER($M150),$Y150&lt;&gt;"",ISNUMBER($T150)),$M150,0)</f>
        <v>0</v>
      </c>
    </row>
    <row r="151" customFormat="false" ht="15" hidden="false" customHeight="false" outlineLevel="0" collapsed="false">
      <c r="A151" s="77"/>
      <c r="B151" s="78"/>
      <c r="C151" s="78"/>
      <c r="D151" s="79" t="str">
        <f aca="false">IF($AI151="","",INDEX(Accounts!$C$6:$C$55,$AI151)&amp;"")</f>
        <v/>
      </c>
      <c r="E151" s="79" t="str">
        <f aca="false">IF($AI151="","",INDEX(Accounts!$F$6:$F$55,$AI151)&amp;"")</f>
        <v/>
      </c>
      <c r="F151" s="79" t="str">
        <f aca="false">IF($AJ151="","",INDEX(Securities!$B$6:$B$105,$AJ151)&amp;"")</f>
        <v/>
      </c>
      <c r="G151" s="79" t="str">
        <f aca="false">IF($AJ151="","",INDEX(Securities!$F$6:$F$105,$AJ151)&amp;"")</f>
        <v/>
      </c>
      <c r="H151" s="79" t="str">
        <f aca="false">IF($AJ151="","",INDEX(Securities!$E$6:$E$105,$AJ151)&amp;"")</f>
        <v/>
      </c>
      <c r="I151" s="79" t="str">
        <f aca="false">IF($AJ151="","",INDEX(Securities!$H$6:$H$105,$AJ151)&amp;"")</f>
        <v/>
      </c>
      <c r="J151" s="80"/>
      <c r="K151" s="80"/>
      <c r="L151" s="81"/>
      <c r="M151" s="82"/>
      <c r="N151" s="83" t="str">
        <f aca="false">IF(OR($L151="",$M151=""),"",IF(N($L151)=0,"",$M151/$L151))</f>
        <v/>
      </c>
      <c r="O151" s="84" t="str">
        <f aca="false">IF($AJ151="","",IF(INDEX(Securities!$O$6:$O$105,$AJ151)="","",INDEX(Securities!$O$6:$O$105,$AJ151)))</f>
        <v/>
      </c>
      <c r="P151" s="79" t="str">
        <f aca="false">IF($AJ151="","",INDEX(Securities!$N$6:$N$105,$AJ151)&amp;"")</f>
        <v/>
      </c>
      <c r="Q151" s="82"/>
      <c r="R151" s="85" t="str">
        <f aca="false">IF($C151="","",IF($Q151&lt;&gt;"",$Q151,IF($P151="At cost",IF($M151="","",$M151),IF(OR($O151="",$L151=""),"",$L151*$O151))))</f>
        <v/>
      </c>
      <c r="S151" s="85" t="str">
        <f aca="false">IF(OR(NOT(ISNUMBER($R151)),$M151=""),"",$R151-$M151)</f>
        <v/>
      </c>
      <c r="T151" s="86" t="str">
        <f aca="false">IF(OR($S151="",N($M151)=0),"",$S151/$M151)</f>
        <v/>
      </c>
      <c r="U151" s="82"/>
      <c r="V151" s="82"/>
      <c r="W151" s="87"/>
      <c r="X151" s="79" t="str">
        <f aca="false">IF($AJ151="","",INDEX(Securities!$L$6:$L$105,$AJ151)&amp;"")</f>
        <v/>
      </c>
      <c r="Y151" s="87"/>
      <c r="Z151" s="87"/>
      <c r="AA151" s="86" t="str">
        <f aca="false">IF(OR($W151="",$Z151=""),"",$W151-$Z151)</f>
        <v/>
      </c>
      <c r="AB151" s="79" t="str">
        <f aca="false">IF($C151="","",IF($P151="At cost","At cost",IF(NOT(ISNUMBER($J151)),"No date",IF(ValDate-$J151&lt;365,"Absolute",IF($W151="","XIRR missing","XIRR")))))</f>
        <v/>
      </c>
      <c r="AC151" s="86" t="str">
        <f aca="false">IF(NOT(ISNUMBER($R151)),"",IF(SUM($R$6:$R$205)=0,"",$R151/SUM($R$6:$R$205)))</f>
        <v/>
      </c>
      <c r="AD151" s="82"/>
      <c r="AE151" s="80"/>
      <c r="AF151" s="78"/>
      <c r="AG151" s="88" t="str">
        <f aca="false">IF($C151="","",IF(COUNTIFS('Tax Lots'!$B$6:$B$205,$B151,'Tax Lots'!$C$6:$C$205,$C151)=0,"",SUMIFS('Tax Lots'!$P$6:$P$205,'Tax Lots'!$B$6:$B$205,$B151,'Tax Lots'!$C$6:$C$205,$C151)))</f>
        <v/>
      </c>
      <c r="AH151" s="79" t="str">
        <f aca="false">IF($A151&amp;$B151&amp;$C151="","",IF($A151="","Missing ID",IF(COUNTIF($A$6:$A$205,$A151)&gt;1,"Duplicate ID",IF($AI151="","Unknown account",IF($AJ151="","Unknown security",IF(COUNTIFS($B$6:$B$205,$B151,$C$6:$C$205,$C151)&gt;1,"Same security twice in one account",IF(AND(ISNUMBER($J151),ISNUMBER($K151),N($K151)&lt;N($J151)),"Last date before first",IF(NOT(ISNUMBER($R151)),"No market value",IF(OR(N($J151)&gt;ValDate,N($K151)&gt;ValDate),"Date after valuation",IF(AND(ISNUMBER($AG151),ABS(N($L151)-N($AG151))&gt;0.001),"Lot quantity differs",IF(AND(ISNUMBER($AG151),ABS(N($M151)-SUMIFS('Tax Lots'!$Q$6:$Q$205,'Tax Lots'!$B$6:$B$205,$B151,'Tax Lots'!$C$6:$C$205,$C151))&gt;1),"Lot cost differs",IF(AND(ISNUMBER($AG151),ABS(N($V151)-SUMIFS('Tax Lots'!$AA$6:$AA$205,'Tax Lots'!$B$6:$B$205,$B151,'Tax Lots'!$C$6:$C$205,$C151))&gt;1),"Lot realised gain differs","OK"))))))))))))</f>
        <v/>
      </c>
      <c r="AI151" s="89" t="str">
        <f aca="false">IF($B151="","",IFERROR(MATCH($B151,Accounts!$A$6:$A$55,0),""))</f>
        <v/>
      </c>
      <c r="AJ151" s="89" t="str">
        <f aca="false">IF($C151="","",IFERROR(MATCH($C151,Securities!$A$6:$A$105,0),""))</f>
        <v/>
      </c>
      <c r="AK151" s="89" t="str">
        <f aca="false">IF($AI151="","",INDEX(Accounts!$B$6:$B$55,$AI151)&amp;"")</f>
        <v/>
      </c>
      <c r="AL151" s="89" t="str">
        <f aca="false">IF(OR($C151="",$I151="",NOT(ISNUMBER($R151))),"",$I151&amp;"|"&amp;(SUMPRODUCT(($I$6:$I$205=$I151)*ISNUMBER($R$6:$R$205)*($R$6:$R$205&gt;$R151))+SUMPRODUCT(($I$6:$I151=$I151)*ISNUMBER($R$6:$R151)*($R$6:$R151=$R151))))</f>
        <v/>
      </c>
      <c r="AM151" s="89" t="n">
        <f aca="false">IF(AND(ISNUMBER($R151),$W151&lt;&gt;"",$Z151&lt;&gt;"",$AB151="XIRR"),$R151*$W151,0)</f>
        <v>0</v>
      </c>
      <c r="AN151" s="89" t="n">
        <f aca="false">IF(AND(ISNUMBER($R151),$W151&lt;&gt;"",$Z151&lt;&gt;"",$AB151="XIRR"),$R151,0)</f>
        <v>0</v>
      </c>
      <c r="AO151" s="89" t="n">
        <f aca="false">IF(AND(ISNUMBER($R151),$W151&lt;&gt;"",$Z151&lt;&gt;"",$AB151="XIRR"),$R151*$Z151,0)</f>
        <v>0</v>
      </c>
      <c r="AP151" s="89" t="n">
        <f aca="false">IF(AND(ISNUMBER($M151),$Y151&lt;&gt;"",ISNUMBER($T151)),$M151*$Y151,0)</f>
        <v>0</v>
      </c>
      <c r="AQ151" s="89" t="n">
        <f aca="false">IF(AND(ISNUMBER($M151),$Y151&lt;&gt;"",ISNUMBER($T151)),$M151,0)</f>
        <v>0</v>
      </c>
    </row>
    <row r="152" customFormat="false" ht="15" hidden="false" customHeight="false" outlineLevel="0" collapsed="false">
      <c r="A152" s="77"/>
      <c r="B152" s="78"/>
      <c r="C152" s="78"/>
      <c r="D152" s="79" t="str">
        <f aca="false">IF($AI152="","",INDEX(Accounts!$C$6:$C$55,$AI152)&amp;"")</f>
        <v/>
      </c>
      <c r="E152" s="79" t="str">
        <f aca="false">IF($AI152="","",INDEX(Accounts!$F$6:$F$55,$AI152)&amp;"")</f>
        <v/>
      </c>
      <c r="F152" s="79" t="str">
        <f aca="false">IF($AJ152="","",INDEX(Securities!$B$6:$B$105,$AJ152)&amp;"")</f>
        <v/>
      </c>
      <c r="G152" s="79" t="str">
        <f aca="false">IF($AJ152="","",INDEX(Securities!$F$6:$F$105,$AJ152)&amp;"")</f>
        <v/>
      </c>
      <c r="H152" s="79" t="str">
        <f aca="false">IF($AJ152="","",INDEX(Securities!$E$6:$E$105,$AJ152)&amp;"")</f>
        <v/>
      </c>
      <c r="I152" s="79" t="str">
        <f aca="false">IF($AJ152="","",INDEX(Securities!$H$6:$H$105,$AJ152)&amp;"")</f>
        <v/>
      </c>
      <c r="J152" s="80"/>
      <c r="K152" s="80"/>
      <c r="L152" s="81"/>
      <c r="M152" s="82"/>
      <c r="N152" s="83" t="str">
        <f aca="false">IF(OR($L152="",$M152=""),"",IF(N($L152)=0,"",$M152/$L152))</f>
        <v/>
      </c>
      <c r="O152" s="84" t="str">
        <f aca="false">IF($AJ152="","",IF(INDEX(Securities!$O$6:$O$105,$AJ152)="","",INDEX(Securities!$O$6:$O$105,$AJ152)))</f>
        <v/>
      </c>
      <c r="P152" s="79" t="str">
        <f aca="false">IF($AJ152="","",INDEX(Securities!$N$6:$N$105,$AJ152)&amp;"")</f>
        <v/>
      </c>
      <c r="Q152" s="82"/>
      <c r="R152" s="85" t="str">
        <f aca="false">IF($C152="","",IF($Q152&lt;&gt;"",$Q152,IF($P152="At cost",IF($M152="","",$M152),IF(OR($O152="",$L152=""),"",$L152*$O152))))</f>
        <v/>
      </c>
      <c r="S152" s="85" t="str">
        <f aca="false">IF(OR(NOT(ISNUMBER($R152)),$M152=""),"",$R152-$M152)</f>
        <v/>
      </c>
      <c r="T152" s="86" t="str">
        <f aca="false">IF(OR($S152="",N($M152)=0),"",$S152/$M152)</f>
        <v/>
      </c>
      <c r="U152" s="82"/>
      <c r="V152" s="82"/>
      <c r="W152" s="87"/>
      <c r="X152" s="79" t="str">
        <f aca="false">IF($AJ152="","",INDEX(Securities!$L$6:$L$105,$AJ152)&amp;"")</f>
        <v/>
      </c>
      <c r="Y152" s="87"/>
      <c r="Z152" s="87"/>
      <c r="AA152" s="86" t="str">
        <f aca="false">IF(OR($W152="",$Z152=""),"",$W152-$Z152)</f>
        <v/>
      </c>
      <c r="AB152" s="79" t="str">
        <f aca="false">IF($C152="","",IF($P152="At cost","At cost",IF(NOT(ISNUMBER($J152)),"No date",IF(ValDate-$J152&lt;365,"Absolute",IF($W152="","XIRR missing","XIRR")))))</f>
        <v/>
      </c>
      <c r="AC152" s="86" t="str">
        <f aca="false">IF(NOT(ISNUMBER($R152)),"",IF(SUM($R$6:$R$205)=0,"",$R152/SUM($R$6:$R$205)))</f>
        <v/>
      </c>
      <c r="AD152" s="82"/>
      <c r="AE152" s="80"/>
      <c r="AF152" s="78"/>
      <c r="AG152" s="88" t="str">
        <f aca="false">IF($C152="","",IF(COUNTIFS('Tax Lots'!$B$6:$B$205,$B152,'Tax Lots'!$C$6:$C$205,$C152)=0,"",SUMIFS('Tax Lots'!$P$6:$P$205,'Tax Lots'!$B$6:$B$205,$B152,'Tax Lots'!$C$6:$C$205,$C152)))</f>
        <v/>
      </c>
      <c r="AH152" s="79" t="str">
        <f aca="false">IF($A152&amp;$B152&amp;$C152="","",IF($A152="","Missing ID",IF(COUNTIF($A$6:$A$205,$A152)&gt;1,"Duplicate ID",IF($AI152="","Unknown account",IF($AJ152="","Unknown security",IF(COUNTIFS($B$6:$B$205,$B152,$C$6:$C$205,$C152)&gt;1,"Same security twice in one account",IF(AND(ISNUMBER($J152),ISNUMBER($K152),N($K152)&lt;N($J152)),"Last date before first",IF(NOT(ISNUMBER($R152)),"No market value",IF(OR(N($J152)&gt;ValDate,N($K152)&gt;ValDate),"Date after valuation",IF(AND(ISNUMBER($AG152),ABS(N($L152)-N($AG152))&gt;0.001),"Lot quantity differs",IF(AND(ISNUMBER($AG152),ABS(N($M152)-SUMIFS('Tax Lots'!$Q$6:$Q$205,'Tax Lots'!$B$6:$B$205,$B152,'Tax Lots'!$C$6:$C$205,$C152))&gt;1),"Lot cost differs",IF(AND(ISNUMBER($AG152),ABS(N($V152)-SUMIFS('Tax Lots'!$AA$6:$AA$205,'Tax Lots'!$B$6:$B$205,$B152,'Tax Lots'!$C$6:$C$205,$C152))&gt;1),"Lot realised gain differs","OK"))))))))))))</f>
        <v/>
      </c>
      <c r="AI152" s="89" t="str">
        <f aca="false">IF($B152="","",IFERROR(MATCH($B152,Accounts!$A$6:$A$55,0),""))</f>
        <v/>
      </c>
      <c r="AJ152" s="89" t="str">
        <f aca="false">IF($C152="","",IFERROR(MATCH($C152,Securities!$A$6:$A$105,0),""))</f>
        <v/>
      </c>
      <c r="AK152" s="89" t="str">
        <f aca="false">IF($AI152="","",INDEX(Accounts!$B$6:$B$55,$AI152)&amp;"")</f>
        <v/>
      </c>
      <c r="AL152" s="89" t="str">
        <f aca="false">IF(OR($C152="",$I152="",NOT(ISNUMBER($R152))),"",$I152&amp;"|"&amp;(SUMPRODUCT(($I$6:$I$205=$I152)*ISNUMBER($R$6:$R$205)*($R$6:$R$205&gt;$R152))+SUMPRODUCT(($I$6:$I152=$I152)*ISNUMBER($R$6:$R152)*($R$6:$R152=$R152))))</f>
        <v/>
      </c>
      <c r="AM152" s="89" t="n">
        <f aca="false">IF(AND(ISNUMBER($R152),$W152&lt;&gt;"",$Z152&lt;&gt;"",$AB152="XIRR"),$R152*$W152,0)</f>
        <v>0</v>
      </c>
      <c r="AN152" s="89" t="n">
        <f aca="false">IF(AND(ISNUMBER($R152),$W152&lt;&gt;"",$Z152&lt;&gt;"",$AB152="XIRR"),$R152,0)</f>
        <v>0</v>
      </c>
      <c r="AO152" s="89" t="n">
        <f aca="false">IF(AND(ISNUMBER($R152),$W152&lt;&gt;"",$Z152&lt;&gt;"",$AB152="XIRR"),$R152*$Z152,0)</f>
        <v>0</v>
      </c>
      <c r="AP152" s="89" t="n">
        <f aca="false">IF(AND(ISNUMBER($M152),$Y152&lt;&gt;"",ISNUMBER($T152)),$M152*$Y152,0)</f>
        <v>0</v>
      </c>
      <c r="AQ152" s="89" t="n">
        <f aca="false">IF(AND(ISNUMBER($M152),$Y152&lt;&gt;"",ISNUMBER($T152)),$M152,0)</f>
        <v>0</v>
      </c>
    </row>
    <row r="153" customFormat="false" ht="15" hidden="false" customHeight="false" outlineLevel="0" collapsed="false">
      <c r="A153" s="77"/>
      <c r="B153" s="78"/>
      <c r="C153" s="78"/>
      <c r="D153" s="79" t="str">
        <f aca="false">IF($AI153="","",INDEX(Accounts!$C$6:$C$55,$AI153)&amp;"")</f>
        <v/>
      </c>
      <c r="E153" s="79" t="str">
        <f aca="false">IF($AI153="","",INDEX(Accounts!$F$6:$F$55,$AI153)&amp;"")</f>
        <v/>
      </c>
      <c r="F153" s="79" t="str">
        <f aca="false">IF($AJ153="","",INDEX(Securities!$B$6:$B$105,$AJ153)&amp;"")</f>
        <v/>
      </c>
      <c r="G153" s="79" t="str">
        <f aca="false">IF($AJ153="","",INDEX(Securities!$F$6:$F$105,$AJ153)&amp;"")</f>
        <v/>
      </c>
      <c r="H153" s="79" t="str">
        <f aca="false">IF($AJ153="","",INDEX(Securities!$E$6:$E$105,$AJ153)&amp;"")</f>
        <v/>
      </c>
      <c r="I153" s="79" t="str">
        <f aca="false">IF($AJ153="","",INDEX(Securities!$H$6:$H$105,$AJ153)&amp;"")</f>
        <v/>
      </c>
      <c r="J153" s="80"/>
      <c r="K153" s="80"/>
      <c r="L153" s="81"/>
      <c r="M153" s="82"/>
      <c r="N153" s="83" t="str">
        <f aca="false">IF(OR($L153="",$M153=""),"",IF(N($L153)=0,"",$M153/$L153))</f>
        <v/>
      </c>
      <c r="O153" s="84" t="str">
        <f aca="false">IF($AJ153="","",IF(INDEX(Securities!$O$6:$O$105,$AJ153)="","",INDEX(Securities!$O$6:$O$105,$AJ153)))</f>
        <v/>
      </c>
      <c r="P153" s="79" t="str">
        <f aca="false">IF($AJ153="","",INDEX(Securities!$N$6:$N$105,$AJ153)&amp;"")</f>
        <v/>
      </c>
      <c r="Q153" s="82"/>
      <c r="R153" s="85" t="str">
        <f aca="false">IF($C153="","",IF($Q153&lt;&gt;"",$Q153,IF($P153="At cost",IF($M153="","",$M153),IF(OR($O153="",$L153=""),"",$L153*$O153))))</f>
        <v/>
      </c>
      <c r="S153" s="85" t="str">
        <f aca="false">IF(OR(NOT(ISNUMBER($R153)),$M153=""),"",$R153-$M153)</f>
        <v/>
      </c>
      <c r="T153" s="86" t="str">
        <f aca="false">IF(OR($S153="",N($M153)=0),"",$S153/$M153)</f>
        <v/>
      </c>
      <c r="U153" s="82"/>
      <c r="V153" s="82"/>
      <c r="W153" s="87"/>
      <c r="X153" s="79" t="str">
        <f aca="false">IF($AJ153="","",INDEX(Securities!$L$6:$L$105,$AJ153)&amp;"")</f>
        <v/>
      </c>
      <c r="Y153" s="87"/>
      <c r="Z153" s="87"/>
      <c r="AA153" s="86" t="str">
        <f aca="false">IF(OR($W153="",$Z153=""),"",$W153-$Z153)</f>
        <v/>
      </c>
      <c r="AB153" s="79" t="str">
        <f aca="false">IF($C153="","",IF($P153="At cost","At cost",IF(NOT(ISNUMBER($J153)),"No date",IF(ValDate-$J153&lt;365,"Absolute",IF($W153="","XIRR missing","XIRR")))))</f>
        <v/>
      </c>
      <c r="AC153" s="86" t="str">
        <f aca="false">IF(NOT(ISNUMBER($R153)),"",IF(SUM($R$6:$R$205)=0,"",$R153/SUM($R$6:$R$205)))</f>
        <v/>
      </c>
      <c r="AD153" s="82"/>
      <c r="AE153" s="80"/>
      <c r="AF153" s="78"/>
      <c r="AG153" s="88" t="str">
        <f aca="false">IF($C153="","",IF(COUNTIFS('Tax Lots'!$B$6:$B$205,$B153,'Tax Lots'!$C$6:$C$205,$C153)=0,"",SUMIFS('Tax Lots'!$P$6:$P$205,'Tax Lots'!$B$6:$B$205,$B153,'Tax Lots'!$C$6:$C$205,$C153)))</f>
        <v/>
      </c>
      <c r="AH153" s="79" t="str">
        <f aca="false">IF($A153&amp;$B153&amp;$C153="","",IF($A153="","Missing ID",IF(COUNTIF($A$6:$A$205,$A153)&gt;1,"Duplicate ID",IF($AI153="","Unknown account",IF($AJ153="","Unknown security",IF(COUNTIFS($B$6:$B$205,$B153,$C$6:$C$205,$C153)&gt;1,"Same security twice in one account",IF(AND(ISNUMBER($J153),ISNUMBER($K153),N($K153)&lt;N($J153)),"Last date before first",IF(NOT(ISNUMBER($R153)),"No market value",IF(OR(N($J153)&gt;ValDate,N($K153)&gt;ValDate),"Date after valuation",IF(AND(ISNUMBER($AG153),ABS(N($L153)-N($AG153))&gt;0.001),"Lot quantity differs",IF(AND(ISNUMBER($AG153),ABS(N($M153)-SUMIFS('Tax Lots'!$Q$6:$Q$205,'Tax Lots'!$B$6:$B$205,$B153,'Tax Lots'!$C$6:$C$205,$C153))&gt;1),"Lot cost differs",IF(AND(ISNUMBER($AG153),ABS(N($V153)-SUMIFS('Tax Lots'!$AA$6:$AA$205,'Tax Lots'!$B$6:$B$205,$B153,'Tax Lots'!$C$6:$C$205,$C153))&gt;1),"Lot realised gain differs","OK"))))))))))))</f>
        <v/>
      </c>
      <c r="AI153" s="89" t="str">
        <f aca="false">IF($B153="","",IFERROR(MATCH($B153,Accounts!$A$6:$A$55,0),""))</f>
        <v/>
      </c>
      <c r="AJ153" s="89" t="str">
        <f aca="false">IF($C153="","",IFERROR(MATCH($C153,Securities!$A$6:$A$105,0),""))</f>
        <v/>
      </c>
      <c r="AK153" s="89" t="str">
        <f aca="false">IF($AI153="","",INDEX(Accounts!$B$6:$B$55,$AI153)&amp;"")</f>
        <v/>
      </c>
      <c r="AL153" s="89" t="str">
        <f aca="false">IF(OR($C153="",$I153="",NOT(ISNUMBER($R153))),"",$I153&amp;"|"&amp;(SUMPRODUCT(($I$6:$I$205=$I153)*ISNUMBER($R$6:$R$205)*($R$6:$R$205&gt;$R153))+SUMPRODUCT(($I$6:$I153=$I153)*ISNUMBER($R$6:$R153)*($R$6:$R153=$R153))))</f>
        <v/>
      </c>
      <c r="AM153" s="89" t="n">
        <f aca="false">IF(AND(ISNUMBER($R153),$W153&lt;&gt;"",$Z153&lt;&gt;"",$AB153="XIRR"),$R153*$W153,0)</f>
        <v>0</v>
      </c>
      <c r="AN153" s="89" t="n">
        <f aca="false">IF(AND(ISNUMBER($R153),$W153&lt;&gt;"",$Z153&lt;&gt;"",$AB153="XIRR"),$R153,0)</f>
        <v>0</v>
      </c>
      <c r="AO153" s="89" t="n">
        <f aca="false">IF(AND(ISNUMBER($R153),$W153&lt;&gt;"",$Z153&lt;&gt;"",$AB153="XIRR"),$R153*$Z153,0)</f>
        <v>0</v>
      </c>
      <c r="AP153" s="89" t="n">
        <f aca="false">IF(AND(ISNUMBER($M153),$Y153&lt;&gt;"",ISNUMBER($T153)),$M153*$Y153,0)</f>
        <v>0</v>
      </c>
      <c r="AQ153" s="89" t="n">
        <f aca="false">IF(AND(ISNUMBER($M153),$Y153&lt;&gt;"",ISNUMBER($T153)),$M153,0)</f>
        <v>0</v>
      </c>
    </row>
    <row r="154" customFormat="false" ht="15" hidden="false" customHeight="false" outlineLevel="0" collapsed="false">
      <c r="A154" s="77"/>
      <c r="B154" s="78"/>
      <c r="C154" s="78"/>
      <c r="D154" s="79" t="str">
        <f aca="false">IF($AI154="","",INDEX(Accounts!$C$6:$C$55,$AI154)&amp;"")</f>
        <v/>
      </c>
      <c r="E154" s="79" t="str">
        <f aca="false">IF($AI154="","",INDEX(Accounts!$F$6:$F$55,$AI154)&amp;"")</f>
        <v/>
      </c>
      <c r="F154" s="79" t="str">
        <f aca="false">IF($AJ154="","",INDEX(Securities!$B$6:$B$105,$AJ154)&amp;"")</f>
        <v/>
      </c>
      <c r="G154" s="79" t="str">
        <f aca="false">IF($AJ154="","",INDEX(Securities!$F$6:$F$105,$AJ154)&amp;"")</f>
        <v/>
      </c>
      <c r="H154" s="79" t="str">
        <f aca="false">IF($AJ154="","",INDEX(Securities!$E$6:$E$105,$AJ154)&amp;"")</f>
        <v/>
      </c>
      <c r="I154" s="79" t="str">
        <f aca="false">IF($AJ154="","",INDEX(Securities!$H$6:$H$105,$AJ154)&amp;"")</f>
        <v/>
      </c>
      <c r="J154" s="80"/>
      <c r="K154" s="80"/>
      <c r="L154" s="81"/>
      <c r="M154" s="82"/>
      <c r="N154" s="83" t="str">
        <f aca="false">IF(OR($L154="",$M154=""),"",IF(N($L154)=0,"",$M154/$L154))</f>
        <v/>
      </c>
      <c r="O154" s="84" t="str">
        <f aca="false">IF($AJ154="","",IF(INDEX(Securities!$O$6:$O$105,$AJ154)="","",INDEX(Securities!$O$6:$O$105,$AJ154)))</f>
        <v/>
      </c>
      <c r="P154" s="79" t="str">
        <f aca="false">IF($AJ154="","",INDEX(Securities!$N$6:$N$105,$AJ154)&amp;"")</f>
        <v/>
      </c>
      <c r="Q154" s="82"/>
      <c r="R154" s="85" t="str">
        <f aca="false">IF($C154="","",IF($Q154&lt;&gt;"",$Q154,IF($P154="At cost",IF($M154="","",$M154),IF(OR($O154="",$L154=""),"",$L154*$O154))))</f>
        <v/>
      </c>
      <c r="S154" s="85" t="str">
        <f aca="false">IF(OR(NOT(ISNUMBER($R154)),$M154=""),"",$R154-$M154)</f>
        <v/>
      </c>
      <c r="T154" s="86" t="str">
        <f aca="false">IF(OR($S154="",N($M154)=0),"",$S154/$M154)</f>
        <v/>
      </c>
      <c r="U154" s="82"/>
      <c r="V154" s="82"/>
      <c r="W154" s="87"/>
      <c r="X154" s="79" t="str">
        <f aca="false">IF($AJ154="","",INDEX(Securities!$L$6:$L$105,$AJ154)&amp;"")</f>
        <v/>
      </c>
      <c r="Y154" s="87"/>
      <c r="Z154" s="87"/>
      <c r="AA154" s="86" t="str">
        <f aca="false">IF(OR($W154="",$Z154=""),"",$W154-$Z154)</f>
        <v/>
      </c>
      <c r="AB154" s="79" t="str">
        <f aca="false">IF($C154="","",IF($P154="At cost","At cost",IF(NOT(ISNUMBER($J154)),"No date",IF(ValDate-$J154&lt;365,"Absolute",IF($W154="","XIRR missing","XIRR")))))</f>
        <v/>
      </c>
      <c r="AC154" s="86" t="str">
        <f aca="false">IF(NOT(ISNUMBER($R154)),"",IF(SUM($R$6:$R$205)=0,"",$R154/SUM($R$6:$R$205)))</f>
        <v/>
      </c>
      <c r="AD154" s="82"/>
      <c r="AE154" s="80"/>
      <c r="AF154" s="78"/>
      <c r="AG154" s="88" t="str">
        <f aca="false">IF($C154="","",IF(COUNTIFS('Tax Lots'!$B$6:$B$205,$B154,'Tax Lots'!$C$6:$C$205,$C154)=0,"",SUMIFS('Tax Lots'!$P$6:$P$205,'Tax Lots'!$B$6:$B$205,$B154,'Tax Lots'!$C$6:$C$205,$C154)))</f>
        <v/>
      </c>
      <c r="AH154" s="79" t="str">
        <f aca="false">IF($A154&amp;$B154&amp;$C154="","",IF($A154="","Missing ID",IF(COUNTIF($A$6:$A$205,$A154)&gt;1,"Duplicate ID",IF($AI154="","Unknown account",IF($AJ154="","Unknown security",IF(COUNTIFS($B$6:$B$205,$B154,$C$6:$C$205,$C154)&gt;1,"Same security twice in one account",IF(AND(ISNUMBER($J154),ISNUMBER($K154),N($K154)&lt;N($J154)),"Last date before first",IF(NOT(ISNUMBER($R154)),"No market value",IF(OR(N($J154)&gt;ValDate,N($K154)&gt;ValDate),"Date after valuation",IF(AND(ISNUMBER($AG154),ABS(N($L154)-N($AG154))&gt;0.001),"Lot quantity differs",IF(AND(ISNUMBER($AG154),ABS(N($M154)-SUMIFS('Tax Lots'!$Q$6:$Q$205,'Tax Lots'!$B$6:$B$205,$B154,'Tax Lots'!$C$6:$C$205,$C154))&gt;1),"Lot cost differs",IF(AND(ISNUMBER($AG154),ABS(N($V154)-SUMIFS('Tax Lots'!$AA$6:$AA$205,'Tax Lots'!$B$6:$B$205,$B154,'Tax Lots'!$C$6:$C$205,$C154))&gt;1),"Lot realised gain differs","OK"))))))))))))</f>
        <v/>
      </c>
      <c r="AI154" s="89" t="str">
        <f aca="false">IF($B154="","",IFERROR(MATCH($B154,Accounts!$A$6:$A$55,0),""))</f>
        <v/>
      </c>
      <c r="AJ154" s="89" t="str">
        <f aca="false">IF($C154="","",IFERROR(MATCH($C154,Securities!$A$6:$A$105,0),""))</f>
        <v/>
      </c>
      <c r="AK154" s="89" t="str">
        <f aca="false">IF($AI154="","",INDEX(Accounts!$B$6:$B$55,$AI154)&amp;"")</f>
        <v/>
      </c>
      <c r="AL154" s="89" t="str">
        <f aca="false">IF(OR($C154="",$I154="",NOT(ISNUMBER($R154))),"",$I154&amp;"|"&amp;(SUMPRODUCT(($I$6:$I$205=$I154)*ISNUMBER($R$6:$R$205)*($R$6:$R$205&gt;$R154))+SUMPRODUCT(($I$6:$I154=$I154)*ISNUMBER($R$6:$R154)*($R$6:$R154=$R154))))</f>
        <v/>
      </c>
      <c r="AM154" s="89" t="n">
        <f aca="false">IF(AND(ISNUMBER($R154),$W154&lt;&gt;"",$Z154&lt;&gt;"",$AB154="XIRR"),$R154*$W154,0)</f>
        <v>0</v>
      </c>
      <c r="AN154" s="89" t="n">
        <f aca="false">IF(AND(ISNUMBER($R154),$W154&lt;&gt;"",$Z154&lt;&gt;"",$AB154="XIRR"),$R154,0)</f>
        <v>0</v>
      </c>
      <c r="AO154" s="89" t="n">
        <f aca="false">IF(AND(ISNUMBER($R154),$W154&lt;&gt;"",$Z154&lt;&gt;"",$AB154="XIRR"),$R154*$Z154,0)</f>
        <v>0</v>
      </c>
      <c r="AP154" s="89" t="n">
        <f aca="false">IF(AND(ISNUMBER($M154),$Y154&lt;&gt;"",ISNUMBER($T154)),$M154*$Y154,0)</f>
        <v>0</v>
      </c>
      <c r="AQ154" s="89" t="n">
        <f aca="false">IF(AND(ISNUMBER($M154),$Y154&lt;&gt;"",ISNUMBER($T154)),$M154,0)</f>
        <v>0</v>
      </c>
    </row>
    <row r="155" customFormat="false" ht="15" hidden="false" customHeight="false" outlineLevel="0" collapsed="false">
      <c r="A155" s="77"/>
      <c r="B155" s="78"/>
      <c r="C155" s="78"/>
      <c r="D155" s="79" t="str">
        <f aca="false">IF($AI155="","",INDEX(Accounts!$C$6:$C$55,$AI155)&amp;"")</f>
        <v/>
      </c>
      <c r="E155" s="79" t="str">
        <f aca="false">IF($AI155="","",INDEX(Accounts!$F$6:$F$55,$AI155)&amp;"")</f>
        <v/>
      </c>
      <c r="F155" s="79" t="str">
        <f aca="false">IF($AJ155="","",INDEX(Securities!$B$6:$B$105,$AJ155)&amp;"")</f>
        <v/>
      </c>
      <c r="G155" s="79" t="str">
        <f aca="false">IF($AJ155="","",INDEX(Securities!$F$6:$F$105,$AJ155)&amp;"")</f>
        <v/>
      </c>
      <c r="H155" s="79" t="str">
        <f aca="false">IF($AJ155="","",INDEX(Securities!$E$6:$E$105,$AJ155)&amp;"")</f>
        <v/>
      </c>
      <c r="I155" s="79" t="str">
        <f aca="false">IF($AJ155="","",INDEX(Securities!$H$6:$H$105,$AJ155)&amp;"")</f>
        <v/>
      </c>
      <c r="J155" s="80"/>
      <c r="K155" s="80"/>
      <c r="L155" s="81"/>
      <c r="M155" s="82"/>
      <c r="N155" s="83" t="str">
        <f aca="false">IF(OR($L155="",$M155=""),"",IF(N($L155)=0,"",$M155/$L155))</f>
        <v/>
      </c>
      <c r="O155" s="84" t="str">
        <f aca="false">IF($AJ155="","",IF(INDEX(Securities!$O$6:$O$105,$AJ155)="","",INDEX(Securities!$O$6:$O$105,$AJ155)))</f>
        <v/>
      </c>
      <c r="P155" s="79" t="str">
        <f aca="false">IF($AJ155="","",INDEX(Securities!$N$6:$N$105,$AJ155)&amp;"")</f>
        <v/>
      </c>
      <c r="Q155" s="82"/>
      <c r="R155" s="85" t="str">
        <f aca="false">IF($C155="","",IF($Q155&lt;&gt;"",$Q155,IF($P155="At cost",IF($M155="","",$M155),IF(OR($O155="",$L155=""),"",$L155*$O155))))</f>
        <v/>
      </c>
      <c r="S155" s="85" t="str">
        <f aca="false">IF(OR(NOT(ISNUMBER($R155)),$M155=""),"",$R155-$M155)</f>
        <v/>
      </c>
      <c r="T155" s="86" t="str">
        <f aca="false">IF(OR($S155="",N($M155)=0),"",$S155/$M155)</f>
        <v/>
      </c>
      <c r="U155" s="82"/>
      <c r="V155" s="82"/>
      <c r="W155" s="87"/>
      <c r="X155" s="79" t="str">
        <f aca="false">IF($AJ155="","",INDEX(Securities!$L$6:$L$105,$AJ155)&amp;"")</f>
        <v/>
      </c>
      <c r="Y155" s="87"/>
      <c r="Z155" s="87"/>
      <c r="AA155" s="86" t="str">
        <f aca="false">IF(OR($W155="",$Z155=""),"",$W155-$Z155)</f>
        <v/>
      </c>
      <c r="AB155" s="79" t="str">
        <f aca="false">IF($C155="","",IF($P155="At cost","At cost",IF(NOT(ISNUMBER($J155)),"No date",IF(ValDate-$J155&lt;365,"Absolute",IF($W155="","XIRR missing","XIRR")))))</f>
        <v/>
      </c>
      <c r="AC155" s="86" t="str">
        <f aca="false">IF(NOT(ISNUMBER($R155)),"",IF(SUM($R$6:$R$205)=0,"",$R155/SUM($R$6:$R$205)))</f>
        <v/>
      </c>
      <c r="AD155" s="82"/>
      <c r="AE155" s="80"/>
      <c r="AF155" s="78"/>
      <c r="AG155" s="88" t="str">
        <f aca="false">IF($C155="","",IF(COUNTIFS('Tax Lots'!$B$6:$B$205,$B155,'Tax Lots'!$C$6:$C$205,$C155)=0,"",SUMIFS('Tax Lots'!$P$6:$P$205,'Tax Lots'!$B$6:$B$205,$B155,'Tax Lots'!$C$6:$C$205,$C155)))</f>
        <v/>
      </c>
      <c r="AH155" s="79" t="str">
        <f aca="false">IF($A155&amp;$B155&amp;$C155="","",IF($A155="","Missing ID",IF(COUNTIF($A$6:$A$205,$A155)&gt;1,"Duplicate ID",IF($AI155="","Unknown account",IF($AJ155="","Unknown security",IF(COUNTIFS($B$6:$B$205,$B155,$C$6:$C$205,$C155)&gt;1,"Same security twice in one account",IF(AND(ISNUMBER($J155),ISNUMBER($K155),N($K155)&lt;N($J155)),"Last date before first",IF(NOT(ISNUMBER($R155)),"No market value",IF(OR(N($J155)&gt;ValDate,N($K155)&gt;ValDate),"Date after valuation",IF(AND(ISNUMBER($AG155),ABS(N($L155)-N($AG155))&gt;0.001),"Lot quantity differs",IF(AND(ISNUMBER($AG155),ABS(N($M155)-SUMIFS('Tax Lots'!$Q$6:$Q$205,'Tax Lots'!$B$6:$B$205,$B155,'Tax Lots'!$C$6:$C$205,$C155))&gt;1),"Lot cost differs",IF(AND(ISNUMBER($AG155),ABS(N($V155)-SUMIFS('Tax Lots'!$AA$6:$AA$205,'Tax Lots'!$B$6:$B$205,$B155,'Tax Lots'!$C$6:$C$205,$C155))&gt;1),"Lot realised gain differs","OK"))))))))))))</f>
        <v/>
      </c>
      <c r="AI155" s="89" t="str">
        <f aca="false">IF($B155="","",IFERROR(MATCH($B155,Accounts!$A$6:$A$55,0),""))</f>
        <v/>
      </c>
      <c r="AJ155" s="89" t="str">
        <f aca="false">IF($C155="","",IFERROR(MATCH($C155,Securities!$A$6:$A$105,0),""))</f>
        <v/>
      </c>
      <c r="AK155" s="89" t="str">
        <f aca="false">IF($AI155="","",INDEX(Accounts!$B$6:$B$55,$AI155)&amp;"")</f>
        <v/>
      </c>
      <c r="AL155" s="89" t="str">
        <f aca="false">IF(OR($C155="",$I155="",NOT(ISNUMBER($R155))),"",$I155&amp;"|"&amp;(SUMPRODUCT(($I$6:$I$205=$I155)*ISNUMBER($R$6:$R$205)*($R$6:$R$205&gt;$R155))+SUMPRODUCT(($I$6:$I155=$I155)*ISNUMBER($R$6:$R155)*($R$6:$R155=$R155))))</f>
        <v/>
      </c>
      <c r="AM155" s="89" t="n">
        <f aca="false">IF(AND(ISNUMBER($R155),$W155&lt;&gt;"",$Z155&lt;&gt;"",$AB155="XIRR"),$R155*$W155,0)</f>
        <v>0</v>
      </c>
      <c r="AN155" s="89" t="n">
        <f aca="false">IF(AND(ISNUMBER($R155),$W155&lt;&gt;"",$Z155&lt;&gt;"",$AB155="XIRR"),$R155,0)</f>
        <v>0</v>
      </c>
      <c r="AO155" s="89" t="n">
        <f aca="false">IF(AND(ISNUMBER($R155),$W155&lt;&gt;"",$Z155&lt;&gt;"",$AB155="XIRR"),$R155*$Z155,0)</f>
        <v>0</v>
      </c>
      <c r="AP155" s="89" t="n">
        <f aca="false">IF(AND(ISNUMBER($M155),$Y155&lt;&gt;"",ISNUMBER($T155)),$M155*$Y155,0)</f>
        <v>0</v>
      </c>
      <c r="AQ155" s="89" t="n">
        <f aca="false">IF(AND(ISNUMBER($M155),$Y155&lt;&gt;"",ISNUMBER($T155)),$M155,0)</f>
        <v>0</v>
      </c>
    </row>
    <row r="156" customFormat="false" ht="15" hidden="false" customHeight="false" outlineLevel="0" collapsed="false">
      <c r="A156" s="77"/>
      <c r="B156" s="78"/>
      <c r="C156" s="78"/>
      <c r="D156" s="79" t="str">
        <f aca="false">IF($AI156="","",INDEX(Accounts!$C$6:$C$55,$AI156)&amp;"")</f>
        <v/>
      </c>
      <c r="E156" s="79" t="str">
        <f aca="false">IF($AI156="","",INDEX(Accounts!$F$6:$F$55,$AI156)&amp;"")</f>
        <v/>
      </c>
      <c r="F156" s="79" t="str">
        <f aca="false">IF($AJ156="","",INDEX(Securities!$B$6:$B$105,$AJ156)&amp;"")</f>
        <v/>
      </c>
      <c r="G156" s="79" t="str">
        <f aca="false">IF($AJ156="","",INDEX(Securities!$F$6:$F$105,$AJ156)&amp;"")</f>
        <v/>
      </c>
      <c r="H156" s="79" t="str">
        <f aca="false">IF($AJ156="","",INDEX(Securities!$E$6:$E$105,$AJ156)&amp;"")</f>
        <v/>
      </c>
      <c r="I156" s="79" t="str">
        <f aca="false">IF($AJ156="","",INDEX(Securities!$H$6:$H$105,$AJ156)&amp;"")</f>
        <v/>
      </c>
      <c r="J156" s="80"/>
      <c r="K156" s="80"/>
      <c r="L156" s="81"/>
      <c r="M156" s="82"/>
      <c r="N156" s="83" t="str">
        <f aca="false">IF(OR($L156="",$M156=""),"",IF(N($L156)=0,"",$M156/$L156))</f>
        <v/>
      </c>
      <c r="O156" s="84" t="str">
        <f aca="false">IF($AJ156="","",IF(INDEX(Securities!$O$6:$O$105,$AJ156)="","",INDEX(Securities!$O$6:$O$105,$AJ156)))</f>
        <v/>
      </c>
      <c r="P156" s="79" t="str">
        <f aca="false">IF($AJ156="","",INDEX(Securities!$N$6:$N$105,$AJ156)&amp;"")</f>
        <v/>
      </c>
      <c r="Q156" s="82"/>
      <c r="R156" s="85" t="str">
        <f aca="false">IF($C156="","",IF($Q156&lt;&gt;"",$Q156,IF($P156="At cost",IF($M156="","",$M156),IF(OR($O156="",$L156=""),"",$L156*$O156))))</f>
        <v/>
      </c>
      <c r="S156" s="85" t="str">
        <f aca="false">IF(OR(NOT(ISNUMBER($R156)),$M156=""),"",$R156-$M156)</f>
        <v/>
      </c>
      <c r="T156" s="86" t="str">
        <f aca="false">IF(OR($S156="",N($M156)=0),"",$S156/$M156)</f>
        <v/>
      </c>
      <c r="U156" s="82"/>
      <c r="V156" s="82"/>
      <c r="W156" s="87"/>
      <c r="X156" s="79" t="str">
        <f aca="false">IF($AJ156="","",INDEX(Securities!$L$6:$L$105,$AJ156)&amp;"")</f>
        <v/>
      </c>
      <c r="Y156" s="87"/>
      <c r="Z156" s="87"/>
      <c r="AA156" s="86" t="str">
        <f aca="false">IF(OR($W156="",$Z156=""),"",$W156-$Z156)</f>
        <v/>
      </c>
      <c r="AB156" s="79" t="str">
        <f aca="false">IF($C156="","",IF($P156="At cost","At cost",IF(NOT(ISNUMBER($J156)),"No date",IF(ValDate-$J156&lt;365,"Absolute",IF($W156="","XIRR missing","XIRR")))))</f>
        <v/>
      </c>
      <c r="AC156" s="86" t="str">
        <f aca="false">IF(NOT(ISNUMBER($R156)),"",IF(SUM($R$6:$R$205)=0,"",$R156/SUM($R$6:$R$205)))</f>
        <v/>
      </c>
      <c r="AD156" s="82"/>
      <c r="AE156" s="80"/>
      <c r="AF156" s="78"/>
      <c r="AG156" s="88" t="str">
        <f aca="false">IF($C156="","",IF(COUNTIFS('Tax Lots'!$B$6:$B$205,$B156,'Tax Lots'!$C$6:$C$205,$C156)=0,"",SUMIFS('Tax Lots'!$P$6:$P$205,'Tax Lots'!$B$6:$B$205,$B156,'Tax Lots'!$C$6:$C$205,$C156)))</f>
        <v/>
      </c>
      <c r="AH156" s="79" t="str">
        <f aca="false">IF($A156&amp;$B156&amp;$C156="","",IF($A156="","Missing ID",IF(COUNTIF($A$6:$A$205,$A156)&gt;1,"Duplicate ID",IF($AI156="","Unknown account",IF($AJ156="","Unknown security",IF(COUNTIFS($B$6:$B$205,$B156,$C$6:$C$205,$C156)&gt;1,"Same security twice in one account",IF(AND(ISNUMBER($J156),ISNUMBER($K156),N($K156)&lt;N($J156)),"Last date before first",IF(NOT(ISNUMBER($R156)),"No market value",IF(OR(N($J156)&gt;ValDate,N($K156)&gt;ValDate),"Date after valuation",IF(AND(ISNUMBER($AG156),ABS(N($L156)-N($AG156))&gt;0.001),"Lot quantity differs",IF(AND(ISNUMBER($AG156),ABS(N($M156)-SUMIFS('Tax Lots'!$Q$6:$Q$205,'Tax Lots'!$B$6:$B$205,$B156,'Tax Lots'!$C$6:$C$205,$C156))&gt;1),"Lot cost differs",IF(AND(ISNUMBER($AG156),ABS(N($V156)-SUMIFS('Tax Lots'!$AA$6:$AA$205,'Tax Lots'!$B$6:$B$205,$B156,'Tax Lots'!$C$6:$C$205,$C156))&gt;1),"Lot realised gain differs","OK"))))))))))))</f>
        <v/>
      </c>
      <c r="AI156" s="89" t="str">
        <f aca="false">IF($B156="","",IFERROR(MATCH($B156,Accounts!$A$6:$A$55,0),""))</f>
        <v/>
      </c>
      <c r="AJ156" s="89" t="str">
        <f aca="false">IF($C156="","",IFERROR(MATCH($C156,Securities!$A$6:$A$105,0),""))</f>
        <v/>
      </c>
      <c r="AK156" s="89" t="str">
        <f aca="false">IF($AI156="","",INDEX(Accounts!$B$6:$B$55,$AI156)&amp;"")</f>
        <v/>
      </c>
      <c r="AL156" s="89" t="str">
        <f aca="false">IF(OR($C156="",$I156="",NOT(ISNUMBER($R156))),"",$I156&amp;"|"&amp;(SUMPRODUCT(($I$6:$I$205=$I156)*ISNUMBER($R$6:$R$205)*($R$6:$R$205&gt;$R156))+SUMPRODUCT(($I$6:$I156=$I156)*ISNUMBER($R$6:$R156)*($R$6:$R156=$R156))))</f>
        <v/>
      </c>
      <c r="AM156" s="89" t="n">
        <f aca="false">IF(AND(ISNUMBER($R156),$W156&lt;&gt;"",$Z156&lt;&gt;"",$AB156="XIRR"),$R156*$W156,0)</f>
        <v>0</v>
      </c>
      <c r="AN156" s="89" t="n">
        <f aca="false">IF(AND(ISNUMBER($R156),$W156&lt;&gt;"",$Z156&lt;&gt;"",$AB156="XIRR"),$R156,0)</f>
        <v>0</v>
      </c>
      <c r="AO156" s="89" t="n">
        <f aca="false">IF(AND(ISNUMBER($R156),$W156&lt;&gt;"",$Z156&lt;&gt;"",$AB156="XIRR"),$R156*$Z156,0)</f>
        <v>0</v>
      </c>
      <c r="AP156" s="89" t="n">
        <f aca="false">IF(AND(ISNUMBER($M156),$Y156&lt;&gt;"",ISNUMBER($T156)),$M156*$Y156,0)</f>
        <v>0</v>
      </c>
      <c r="AQ156" s="89" t="n">
        <f aca="false">IF(AND(ISNUMBER($M156),$Y156&lt;&gt;"",ISNUMBER($T156)),$M156,0)</f>
        <v>0</v>
      </c>
    </row>
    <row r="157" customFormat="false" ht="15" hidden="false" customHeight="false" outlineLevel="0" collapsed="false">
      <c r="A157" s="77"/>
      <c r="B157" s="78"/>
      <c r="C157" s="78"/>
      <c r="D157" s="79" t="str">
        <f aca="false">IF($AI157="","",INDEX(Accounts!$C$6:$C$55,$AI157)&amp;"")</f>
        <v/>
      </c>
      <c r="E157" s="79" t="str">
        <f aca="false">IF($AI157="","",INDEX(Accounts!$F$6:$F$55,$AI157)&amp;"")</f>
        <v/>
      </c>
      <c r="F157" s="79" t="str">
        <f aca="false">IF($AJ157="","",INDEX(Securities!$B$6:$B$105,$AJ157)&amp;"")</f>
        <v/>
      </c>
      <c r="G157" s="79" t="str">
        <f aca="false">IF($AJ157="","",INDEX(Securities!$F$6:$F$105,$AJ157)&amp;"")</f>
        <v/>
      </c>
      <c r="H157" s="79" t="str">
        <f aca="false">IF($AJ157="","",INDEX(Securities!$E$6:$E$105,$AJ157)&amp;"")</f>
        <v/>
      </c>
      <c r="I157" s="79" t="str">
        <f aca="false">IF($AJ157="","",INDEX(Securities!$H$6:$H$105,$AJ157)&amp;"")</f>
        <v/>
      </c>
      <c r="J157" s="80"/>
      <c r="K157" s="80"/>
      <c r="L157" s="81"/>
      <c r="M157" s="82"/>
      <c r="N157" s="83" t="str">
        <f aca="false">IF(OR($L157="",$M157=""),"",IF(N($L157)=0,"",$M157/$L157))</f>
        <v/>
      </c>
      <c r="O157" s="84" t="str">
        <f aca="false">IF($AJ157="","",IF(INDEX(Securities!$O$6:$O$105,$AJ157)="","",INDEX(Securities!$O$6:$O$105,$AJ157)))</f>
        <v/>
      </c>
      <c r="P157" s="79" t="str">
        <f aca="false">IF($AJ157="","",INDEX(Securities!$N$6:$N$105,$AJ157)&amp;"")</f>
        <v/>
      </c>
      <c r="Q157" s="82"/>
      <c r="R157" s="85" t="str">
        <f aca="false">IF($C157="","",IF($Q157&lt;&gt;"",$Q157,IF($P157="At cost",IF($M157="","",$M157),IF(OR($O157="",$L157=""),"",$L157*$O157))))</f>
        <v/>
      </c>
      <c r="S157" s="85" t="str">
        <f aca="false">IF(OR(NOT(ISNUMBER($R157)),$M157=""),"",$R157-$M157)</f>
        <v/>
      </c>
      <c r="T157" s="86" t="str">
        <f aca="false">IF(OR($S157="",N($M157)=0),"",$S157/$M157)</f>
        <v/>
      </c>
      <c r="U157" s="82"/>
      <c r="V157" s="82"/>
      <c r="W157" s="87"/>
      <c r="X157" s="79" t="str">
        <f aca="false">IF($AJ157="","",INDEX(Securities!$L$6:$L$105,$AJ157)&amp;"")</f>
        <v/>
      </c>
      <c r="Y157" s="87"/>
      <c r="Z157" s="87"/>
      <c r="AA157" s="86" t="str">
        <f aca="false">IF(OR($W157="",$Z157=""),"",$W157-$Z157)</f>
        <v/>
      </c>
      <c r="AB157" s="79" t="str">
        <f aca="false">IF($C157="","",IF($P157="At cost","At cost",IF(NOT(ISNUMBER($J157)),"No date",IF(ValDate-$J157&lt;365,"Absolute",IF($W157="","XIRR missing","XIRR")))))</f>
        <v/>
      </c>
      <c r="AC157" s="86" t="str">
        <f aca="false">IF(NOT(ISNUMBER($R157)),"",IF(SUM($R$6:$R$205)=0,"",$R157/SUM($R$6:$R$205)))</f>
        <v/>
      </c>
      <c r="AD157" s="82"/>
      <c r="AE157" s="80"/>
      <c r="AF157" s="78"/>
      <c r="AG157" s="88" t="str">
        <f aca="false">IF($C157="","",IF(COUNTIFS('Tax Lots'!$B$6:$B$205,$B157,'Tax Lots'!$C$6:$C$205,$C157)=0,"",SUMIFS('Tax Lots'!$P$6:$P$205,'Tax Lots'!$B$6:$B$205,$B157,'Tax Lots'!$C$6:$C$205,$C157)))</f>
        <v/>
      </c>
      <c r="AH157" s="79" t="str">
        <f aca="false">IF($A157&amp;$B157&amp;$C157="","",IF($A157="","Missing ID",IF(COUNTIF($A$6:$A$205,$A157)&gt;1,"Duplicate ID",IF($AI157="","Unknown account",IF($AJ157="","Unknown security",IF(COUNTIFS($B$6:$B$205,$B157,$C$6:$C$205,$C157)&gt;1,"Same security twice in one account",IF(AND(ISNUMBER($J157),ISNUMBER($K157),N($K157)&lt;N($J157)),"Last date before first",IF(NOT(ISNUMBER($R157)),"No market value",IF(OR(N($J157)&gt;ValDate,N($K157)&gt;ValDate),"Date after valuation",IF(AND(ISNUMBER($AG157),ABS(N($L157)-N($AG157))&gt;0.001),"Lot quantity differs",IF(AND(ISNUMBER($AG157),ABS(N($M157)-SUMIFS('Tax Lots'!$Q$6:$Q$205,'Tax Lots'!$B$6:$B$205,$B157,'Tax Lots'!$C$6:$C$205,$C157))&gt;1),"Lot cost differs",IF(AND(ISNUMBER($AG157),ABS(N($V157)-SUMIFS('Tax Lots'!$AA$6:$AA$205,'Tax Lots'!$B$6:$B$205,$B157,'Tax Lots'!$C$6:$C$205,$C157))&gt;1),"Lot realised gain differs","OK"))))))))))))</f>
        <v/>
      </c>
      <c r="AI157" s="89" t="str">
        <f aca="false">IF($B157="","",IFERROR(MATCH($B157,Accounts!$A$6:$A$55,0),""))</f>
        <v/>
      </c>
      <c r="AJ157" s="89" t="str">
        <f aca="false">IF($C157="","",IFERROR(MATCH($C157,Securities!$A$6:$A$105,0),""))</f>
        <v/>
      </c>
      <c r="AK157" s="89" t="str">
        <f aca="false">IF($AI157="","",INDEX(Accounts!$B$6:$B$55,$AI157)&amp;"")</f>
        <v/>
      </c>
      <c r="AL157" s="89" t="str">
        <f aca="false">IF(OR($C157="",$I157="",NOT(ISNUMBER($R157))),"",$I157&amp;"|"&amp;(SUMPRODUCT(($I$6:$I$205=$I157)*ISNUMBER($R$6:$R$205)*($R$6:$R$205&gt;$R157))+SUMPRODUCT(($I$6:$I157=$I157)*ISNUMBER($R$6:$R157)*($R$6:$R157=$R157))))</f>
        <v/>
      </c>
      <c r="AM157" s="89" t="n">
        <f aca="false">IF(AND(ISNUMBER($R157),$W157&lt;&gt;"",$Z157&lt;&gt;"",$AB157="XIRR"),$R157*$W157,0)</f>
        <v>0</v>
      </c>
      <c r="AN157" s="89" t="n">
        <f aca="false">IF(AND(ISNUMBER($R157),$W157&lt;&gt;"",$Z157&lt;&gt;"",$AB157="XIRR"),$R157,0)</f>
        <v>0</v>
      </c>
      <c r="AO157" s="89" t="n">
        <f aca="false">IF(AND(ISNUMBER($R157),$W157&lt;&gt;"",$Z157&lt;&gt;"",$AB157="XIRR"),$R157*$Z157,0)</f>
        <v>0</v>
      </c>
      <c r="AP157" s="89" t="n">
        <f aca="false">IF(AND(ISNUMBER($M157),$Y157&lt;&gt;"",ISNUMBER($T157)),$M157*$Y157,0)</f>
        <v>0</v>
      </c>
      <c r="AQ157" s="89" t="n">
        <f aca="false">IF(AND(ISNUMBER($M157),$Y157&lt;&gt;"",ISNUMBER($T157)),$M157,0)</f>
        <v>0</v>
      </c>
    </row>
    <row r="158" customFormat="false" ht="15" hidden="false" customHeight="false" outlineLevel="0" collapsed="false">
      <c r="A158" s="77"/>
      <c r="B158" s="78"/>
      <c r="C158" s="78"/>
      <c r="D158" s="79" t="str">
        <f aca="false">IF($AI158="","",INDEX(Accounts!$C$6:$C$55,$AI158)&amp;"")</f>
        <v/>
      </c>
      <c r="E158" s="79" t="str">
        <f aca="false">IF($AI158="","",INDEX(Accounts!$F$6:$F$55,$AI158)&amp;"")</f>
        <v/>
      </c>
      <c r="F158" s="79" t="str">
        <f aca="false">IF($AJ158="","",INDEX(Securities!$B$6:$B$105,$AJ158)&amp;"")</f>
        <v/>
      </c>
      <c r="G158" s="79" t="str">
        <f aca="false">IF($AJ158="","",INDEX(Securities!$F$6:$F$105,$AJ158)&amp;"")</f>
        <v/>
      </c>
      <c r="H158" s="79" t="str">
        <f aca="false">IF($AJ158="","",INDEX(Securities!$E$6:$E$105,$AJ158)&amp;"")</f>
        <v/>
      </c>
      <c r="I158" s="79" t="str">
        <f aca="false">IF($AJ158="","",INDEX(Securities!$H$6:$H$105,$AJ158)&amp;"")</f>
        <v/>
      </c>
      <c r="J158" s="80"/>
      <c r="K158" s="80"/>
      <c r="L158" s="81"/>
      <c r="M158" s="82"/>
      <c r="N158" s="83" t="str">
        <f aca="false">IF(OR($L158="",$M158=""),"",IF(N($L158)=0,"",$M158/$L158))</f>
        <v/>
      </c>
      <c r="O158" s="84" t="str">
        <f aca="false">IF($AJ158="","",IF(INDEX(Securities!$O$6:$O$105,$AJ158)="","",INDEX(Securities!$O$6:$O$105,$AJ158)))</f>
        <v/>
      </c>
      <c r="P158" s="79" t="str">
        <f aca="false">IF($AJ158="","",INDEX(Securities!$N$6:$N$105,$AJ158)&amp;"")</f>
        <v/>
      </c>
      <c r="Q158" s="82"/>
      <c r="R158" s="85" t="str">
        <f aca="false">IF($C158="","",IF($Q158&lt;&gt;"",$Q158,IF($P158="At cost",IF($M158="","",$M158),IF(OR($O158="",$L158=""),"",$L158*$O158))))</f>
        <v/>
      </c>
      <c r="S158" s="85" t="str">
        <f aca="false">IF(OR(NOT(ISNUMBER($R158)),$M158=""),"",$R158-$M158)</f>
        <v/>
      </c>
      <c r="T158" s="86" t="str">
        <f aca="false">IF(OR($S158="",N($M158)=0),"",$S158/$M158)</f>
        <v/>
      </c>
      <c r="U158" s="82"/>
      <c r="V158" s="82"/>
      <c r="W158" s="87"/>
      <c r="X158" s="79" t="str">
        <f aca="false">IF($AJ158="","",INDEX(Securities!$L$6:$L$105,$AJ158)&amp;"")</f>
        <v/>
      </c>
      <c r="Y158" s="87"/>
      <c r="Z158" s="87"/>
      <c r="AA158" s="86" t="str">
        <f aca="false">IF(OR($W158="",$Z158=""),"",$W158-$Z158)</f>
        <v/>
      </c>
      <c r="AB158" s="79" t="str">
        <f aca="false">IF($C158="","",IF($P158="At cost","At cost",IF(NOT(ISNUMBER($J158)),"No date",IF(ValDate-$J158&lt;365,"Absolute",IF($W158="","XIRR missing","XIRR")))))</f>
        <v/>
      </c>
      <c r="AC158" s="86" t="str">
        <f aca="false">IF(NOT(ISNUMBER($R158)),"",IF(SUM($R$6:$R$205)=0,"",$R158/SUM($R$6:$R$205)))</f>
        <v/>
      </c>
      <c r="AD158" s="82"/>
      <c r="AE158" s="80"/>
      <c r="AF158" s="78"/>
      <c r="AG158" s="88" t="str">
        <f aca="false">IF($C158="","",IF(COUNTIFS('Tax Lots'!$B$6:$B$205,$B158,'Tax Lots'!$C$6:$C$205,$C158)=0,"",SUMIFS('Tax Lots'!$P$6:$P$205,'Tax Lots'!$B$6:$B$205,$B158,'Tax Lots'!$C$6:$C$205,$C158)))</f>
        <v/>
      </c>
      <c r="AH158" s="79" t="str">
        <f aca="false">IF($A158&amp;$B158&amp;$C158="","",IF($A158="","Missing ID",IF(COUNTIF($A$6:$A$205,$A158)&gt;1,"Duplicate ID",IF($AI158="","Unknown account",IF($AJ158="","Unknown security",IF(COUNTIFS($B$6:$B$205,$B158,$C$6:$C$205,$C158)&gt;1,"Same security twice in one account",IF(AND(ISNUMBER($J158),ISNUMBER($K158),N($K158)&lt;N($J158)),"Last date before first",IF(NOT(ISNUMBER($R158)),"No market value",IF(OR(N($J158)&gt;ValDate,N($K158)&gt;ValDate),"Date after valuation",IF(AND(ISNUMBER($AG158),ABS(N($L158)-N($AG158))&gt;0.001),"Lot quantity differs",IF(AND(ISNUMBER($AG158),ABS(N($M158)-SUMIFS('Tax Lots'!$Q$6:$Q$205,'Tax Lots'!$B$6:$B$205,$B158,'Tax Lots'!$C$6:$C$205,$C158))&gt;1),"Lot cost differs",IF(AND(ISNUMBER($AG158),ABS(N($V158)-SUMIFS('Tax Lots'!$AA$6:$AA$205,'Tax Lots'!$B$6:$B$205,$B158,'Tax Lots'!$C$6:$C$205,$C158))&gt;1),"Lot realised gain differs","OK"))))))))))))</f>
        <v/>
      </c>
      <c r="AI158" s="89" t="str">
        <f aca="false">IF($B158="","",IFERROR(MATCH($B158,Accounts!$A$6:$A$55,0),""))</f>
        <v/>
      </c>
      <c r="AJ158" s="89" t="str">
        <f aca="false">IF($C158="","",IFERROR(MATCH($C158,Securities!$A$6:$A$105,0),""))</f>
        <v/>
      </c>
      <c r="AK158" s="89" t="str">
        <f aca="false">IF($AI158="","",INDEX(Accounts!$B$6:$B$55,$AI158)&amp;"")</f>
        <v/>
      </c>
      <c r="AL158" s="89" t="str">
        <f aca="false">IF(OR($C158="",$I158="",NOT(ISNUMBER($R158))),"",$I158&amp;"|"&amp;(SUMPRODUCT(($I$6:$I$205=$I158)*ISNUMBER($R$6:$R$205)*($R$6:$R$205&gt;$R158))+SUMPRODUCT(($I$6:$I158=$I158)*ISNUMBER($R$6:$R158)*($R$6:$R158=$R158))))</f>
        <v/>
      </c>
      <c r="AM158" s="89" t="n">
        <f aca="false">IF(AND(ISNUMBER($R158),$W158&lt;&gt;"",$Z158&lt;&gt;"",$AB158="XIRR"),$R158*$W158,0)</f>
        <v>0</v>
      </c>
      <c r="AN158" s="89" t="n">
        <f aca="false">IF(AND(ISNUMBER($R158),$W158&lt;&gt;"",$Z158&lt;&gt;"",$AB158="XIRR"),$R158,0)</f>
        <v>0</v>
      </c>
      <c r="AO158" s="89" t="n">
        <f aca="false">IF(AND(ISNUMBER($R158),$W158&lt;&gt;"",$Z158&lt;&gt;"",$AB158="XIRR"),$R158*$Z158,0)</f>
        <v>0</v>
      </c>
      <c r="AP158" s="89" t="n">
        <f aca="false">IF(AND(ISNUMBER($M158),$Y158&lt;&gt;"",ISNUMBER($T158)),$M158*$Y158,0)</f>
        <v>0</v>
      </c>
      <c r="AQ158" s="89" t="n">
        <f aca="false">IF(AND(ISNUMBER($M158),$Y158&lt;&gt;"",ISNUMBER($T158)),$M158,0)</f>
        <v>0</v>
      </c>
    </row>
    <row r="159" customFormat="false" ht="15" hidden="false" customHeight="false" outlineLevel="0" collapsed="false">
      <c r="A159" s="77"/>
      <c r="B159" s="78"/>
      <c r="C159" s="78"/>
      <c r="D159" s="79" t="str">
        <f aca="false">IF($AI159="","",INDEX(Accounts!$C$6:$C$55,$AI159)&amp;"")</f>
        <v/>
      </c>
      <c r="E159" s="79" t="str">
        <f aca="false">IF($AI159="","",INDEX(Accounts!$F$6:$F$55,$AI159)&amp;"")</f>
        <v/>
      </c>
      <c r="F159" s="79" t="str">
        <f aca="false">IF($AJ159="","",INDEX(Securities!$B$6:$B$105,$AJ159)&amp;"")</f>
        <v/>
      </c>
      <c r="G159" s="79" t="str">
        <f aca="false">IF($AJ159="","",INDEX(Securities!$F$6:$F$105,$AJ159)&amp;"")</f>
        <v/>
      </c>
      <c r="H159" s="79" t="str">
        <f aca="false">IF($AJ159="","",INDEX(Securities!$E$6:$E$105,$AJ159)&amp;"")</f>
        <v/>
      </c>
      <c r="I159" s="79" t="str">
        <f aca="false">IF($AJ159="","",INDEX(Securities!$H$6:$H$105,$AJ159)&amp;"")</f>
        <v/>
      </c>
      <c r="J159" s="80"/>
      <c r="K159" s="80"/>
      <c r="L159" s="81"/>
      <c r="M159" s="82"/>
      <c r="N159" s="83" t="str">
        <f aca="false">IF(OR($L159="",$M159=""),"",IF(N($L159)=0,"",$M159/$L159))</f>
        <v/>
      </c>
      <c r="O159" s="84" t="str">
        <f aca="false">IF($AJ159="","",IF(INDEX(Securities!$O$6:$O$105,$AJ159)="","",INDEX(Securities!$O$6:$O$105,$AJ159)))</f>
        <v/>
      </c>
      <c r="P159" s="79" t="str">
        <f aca="false">IF($AJ159="","",INDEX(Securities!$N$6:$N$105,$AJ159)&amp;"")</f>
        <v/>
      </c>
      <c r="Q159" s="82"/>
      <c r="R159" s="85" t="str">
        <f aca="false">IF($C159="","",IF($Q159&lt;&gt;"",$Q159,IF($P159="At cost",IF($M159="","",$M159),IF(OR($O159="",$L159=""),"",$L159*$O159))))</f>
        <v/>
      </c>
      <c r="S159" s="85" t="str">
        <f aca="false">IF(OR(NOT(ISNUMBER($R159)),$M159=""),"",$R159-$M159)</f>
        <v/>
      </c>
      <c r="T159" s="86" t="str">
        <f aca="false">IF(OR($S159="",N($M159)=0),"",$S159/$M159)</f>
        <v/>
      </c>
      <c r="U159" s="82"/>
      <c r="V159" s="82"/>
      <c r="W159" s="87"/>
      <c r="X159" s="79" t="str">
        <f aca="false">IF($AJ159="","",INDEX(Securities!$L$6:$L$105,$AJ159)&amp;"")</f>
        <v/>
      </c>
      <c r="Y159" s="87"/>
      <c r="Z159" s="87"/>
      <c r="AA159" s="86" t="str">
        <f aca="false">IF(OR($W159="",$Z159=""),"",$W159-$Z159)</f>
        <v/>
      </c>
      <c r="AB159" s="79" t="str">
        <f aca="false">IF($C159="","",IF($P159="At cost","At cost",IF(NOT(ISNUMBER($J159)),"No date",IF(ValDate-$J159&lt;365,"Absolute",IF($W159="","XIRR missing","XIRR")))))</f>
        <v/>
      </c>
      <c r="AC159" s="86" t="str">
        <f aca="false">IF(NOT(ISNUMBER($R159)),"",IF(SUM($R$6:$R$205)=0,"",$R159/SUM($R$6:$R$205)))</f>
        <v/>
      </c>
      <c r="AD159" s="82"/>
      <c r="AE159" s="80"/>
      <c r="AF159" s="78"/>
      <c r="AG159" s="88" t="str">
        <f aca="false">IF($C159="","",IF(COUNTIFS('Tax Lots'!$B$6:$B$205,$B159,'Tax Lots'!$C$6:$C$205,$C159)=0,"",SUMIFS('Tax Lots'!$P$6:$P$205,'Tax Lots'!$B$6:$B$205,$B159,'Tax Lots'!$C$6:$C$205,$C159)))</f>
        <v/>
      </c>
      <c r="AH159" s="79" t="str">
        <f aca="false">IF($A159&amp;$B159&amp;$C159="","",IF($A159="","Missing ID",IF(COUNTIF($A$6:$A$205,$A159)&gt;1,"Duplicate ID",IF($AI159="","Unknown account",IF($AJ159="","Unknown security",IF(COUNTIFS($B$6:$B$205,$B159,$C$6:$C$205,$C159)&gt;1,"Same security twice in one account",IF(AND(ISNUMBER($J159),ISNUMBER($K159),N($K159)&lt;N($J159)),"Last date before first",IF(NOT(ISNUMBER($R159)),"No market value",IF(OR(N($J159)&gt;ValDate,N($K159)&gt;ValDate),"Date after valuation",IF(AND(ISNUMBER($AG159),ABS(N($L159)-N($AG159))&gt;0.001),"Lot quantity differs",IF(AND(ISNUMBER($AG159),ABS(N($M159)-SUMIFS('Tax Lots'!$Q$6:$Q$205,'Tax Lots'!$B$6:$B$205,$B159,'Tax Lots'!$C$6:$C$205,$C159))&gt;1),"Lot cost differs",IF(AND(ISNUMBER($AG159),ABS(N($V159)-SUMIFS('Tax Lots'!$AA$6:$AA$205,'Tax Lots'!$B$6:$B$205,$B159,'Tax Lots'!$C$6:$C$205,$C159))&gt;1),"Lot realised gain differs","OK"))))))))))))</f>
        <v/>
      </c>
      <c r="AI159" s="89" t="str">
        <f aca="false">IF($B159="","",IFERROR(MATCH($B159,Accounts!$A$6:$A$55,0),""))</f>
        <v/>
      </c>
      <c r="AJ159" s="89" t="str">
        <f aca="false">IF($C159="","",IFERROR(MATCH($C159,Securities!$A$6:$A$105,0),""))</f>
        <v/>
      </c>
      <c r="AK159" s="89" t="str">
        <f aca="false">IF($AI159="","",INDEX(Accounts!$B$6:$B$55,$AI159)&amp;"")</f>
        <v/>
      </c>
      <c r="AL159" s="89" t="str">
        <f aca="false">IF(OR($C159="",$I159="",NOT(ISNUMBER($R159))),"",$I159&amp;"|"&amp;(SUMPRODUCT(($I$6:$I$205=$I159)*ISNUMBER($R$6:$R$205)*($R$6:$R$205&gt;$R159))+SUMPRODUCT(($I$6:$I159=$I159)*ISNUMBER($R$6:$R159)*($R$6:$R159=$R159))))</f>
        <v/>
      </c>
      <c r="AM159" s="89" t="n">
        <f aca="false">IF(AND(ISNUMBER($R159),$W159&lt;&gt;"",$Z159&lt;&gt;"",$AB159="XIRR"),$R159*$W159,0)</f>
        <v>0</v>
      </c>
      <c r="AN159" s="89" t="n">
        <f aca="false">IF(AND(ISNUMBER($R159),$W159&lt;&gt;"",$Z159&lt;&gt;"",$AB159="XIRR"),$R159,0)</f>
        <v>0</v>
      </c>
      <c r="AO159" s="89" t="n">
        <f aca="false">IF(AND(ISNUMBER($R159),$W159&lt;&gt;"",$Z159&lt;&gt;"",$AB159="XIRR"),$R159*$Z159,0)</f>
        <v>0</v>
      </c>
      <c r="AP159" s="89" t="n">
        <f aca="false">IF(AND(ISNUMBER($M159),$Y159&lt;&gt;"",ISNUMBER($T159)),$M159*$Y159,0)</f>
        <v>0</v>
      </c>
      <c r="AQ159" s="89" t="n">
        <f aca="false">IF(AND(ISNUMBER($M159),$Y159&lt;&gt;"",ISNUMBER($T159)),$M159,0)</f>
        <v>0</v>
      </c>
    </row>
    <row r="160" customFormat="false" ht="15" hidden="false" customHeight="false" outlineLevel="0" collapsed="false">
      <c r="A160" s="77"/>
      <c r="B160" s="78"/>
      <c r="C160" s="78"/>
      <c r="D160" s="79" t="str">
        <f aca="false">IF($AI160="","",INDEX(Accounts!$C$6:$C$55,$AI160)&amp;"")</f>
        <v/>
      </c>
      <c r="E160" s="79" t="str">
        <f aca="false">IF($AI160="","",INDEX(Accounts!$F$6:$F$55,$AI160)&amp;"")</f>
        <v/>
      </c>
      <c r="F160" s="79" t="str">
        <f aca="false">IF($AJ160="","",INDEX(Securities!$B$6:$B$105,$AJ160)&amp;"")</f>
        <v/>
      </c>
      <c r="G160" s="79" t="str">
        <f aca="false">IF($AJ160="","",INDEX(Securities!$F$6:$F$105,$AJ160)&amp;"")</f>
        <v/>
      </c>
      <c r="H160" s="79" t="str">
        <f aca="false">IF($AJ160="","",INDEX(Securities!$E$6:$E$105,$AJ160)&amp;"")</f>
        <v/>
      </c>
      <c r="I160" s="79" t="str">
        <f aca="false">IF($AJ160="","",INDEX(Securities!$H$6:$H$105,$AJ160)&amp;"")</f>
        <v/>
      </c>
      <c r="J160" s="80"/>
      <c r="K160" s="80"/>
      <c r="L160" s="81"/>
      <c r="M160" s="82"/>
      <c r="N160" s="83" t="str">
        <f aca="false">IF(OR($L160="",$M160=""),"",IF(N($L160)=0,"",$M160/$L160))</f>
        <v/>
      </c>
      <c r="O160" s="84" t="str">
        <f aca="false">IF($AJ160="","",IF(INDEX(Securities!$O$6:$O$105,$AJ160)="","",INDEX(Securities!$O$6:$O$105,$AJ160)))</f>
        <v/>
      </c>
      <c r="P160" s="79" t="str">
        <f aca="false">IF($AJ160="","",INDEX(Securities!$N$6:$N$105,$AJ160)&amp;"")</f>
        <v/>
      </c>
      <c r="Q160" s="82"/>
      <c r="R160" s="85" t="str">
        <f aca="false">IF($C160="","",IF($Q160&lt;&gt;"",$Q160,IF($P160="At cost",IF($M160="","",$M160),IF(OR($O160="",$L160=""),"",$L160*$O160))))</f>
        <v/>
      </c>
      <c r="S160" s="85" t="str">
        <f aca="false">IF(OR(NOT(ISNUMBER($R160)),$M160=""),"",$R160-$M160)</f>
        <v/>
      </c>
      <c r="T160" s="86" t="str">
        <f aca="false">IF(OR($S160="",N($M160)=0),"",$S160/$M160)</f>
        <v/>
      </c>
      <c r="U160" s="82"/>
      <c r="V160" s="82"/>
      <c r="W160" s="87"/>
      <c r="X160" s="79" t="str">
        <f aca="false">IF($AJ160="","",INDEX(Securities!$L$6:$L$105,$AJ160)&amp;"")</f>
        <v/>
      </c>
      <c r="Y160" s="87"/>
      <c r="Z160" s="87"/>
      <c r="AA160" s="86" t="str">
        <f aca="false">IF(OR($W160="",$Z160=""),"",$W160-$Z160)</f>
        <v/>
      </c>
      <c r="AB160" s="79" t="str">
        <f aca="false">IF($C160="","",IF($P160="At cost","At cost",IF(NOT(ISNUMBER($J160)),"No date",IF(ValDate-$J160&lt;365,"Absolute",IF($W160="","XIRR missing","XIRR")))))</f>
        <v/>
      </c>
      <c r="AC160" s="86" t="str">
        <f aca="false">IF(NOT(ISNUMBER($R160)),"",IF(SUM($R$6:$R$205)=0,"",$R160/SUM($R$6:$R$205)))</f>
        <v/>
      </c>
      <c r="AD160" s="82"/>
      <c r="AE160" s="80"/>
      <c r="AF160" s="78"/>
      <c r="AG160" s="88" t="str">
        <f aca="false">IF($C160="","",IF(COUNTIFS('Tax Lots'!$B$6:$B$205,$B160,'Tax Lots'!$C$6:$C$205,$C160)=0,"",SUMIFS('Tax Lots'!$P$6:$P$205,'Tax Lots'!$B$6:$B$205,$B160,'Tax Lots'!$C$6:$C$205,$C160)))</f>
        <v/>
      </c>
      <c r="AH160" s="79" t="str">
        <f aca="false">IF($A160&amp;$B160&amp;$C160="","",IF($A160="","Missing ID",IF(COUNTIF($A$6:$A$205,$A160)&gt;1,"Duplicate ID",IF($AI160="","Unknown account",IF($AJ160="","Unknown security",IF(COUNTIFS($B$6:$B$205,$B160,$C$6:$C$205,$C160)&gt;1,"Same security twice in one account",IF(AND(ISNUMBER($J160),ISNUMBER($K160),N($K160)&lt;N($J160)),"Last date before first",IF(NOT(ISNUMBER($R160)),"No market value",IF(OR(N($J160)&gt;ValDate,N($K160)&gt;ValDate),"Date after valuation",IF(AND(ISNUMBER($AG160),ABS(N($L160)-N($AG160))&gt;0.001),"Lot quantity differs",IF(AND(ISNUMBER($AG160),ABS(N($M160)-SUMIFS('Tax Lots'!$Q$6:$Q$205,'Tax Lots'!$B$6:$B$205,$B160,'Tax Lots'!$C$6:$C$205,$C160))&gt;1),"Lot cost differs",IF(AND(ISNUMBER($AG160),ABS(N($V160)-SUMIFS('Tax Lots'!$AA$6:$AA$205,'Tax Lots'!$B$6:$B$205,$B160,'Tax Lots'!$C$6:$C$205,$C160))&gt;1),"Lot realised gain differs","OK"))))))))))))</f>
        <v/>
      </c>
      <c r="AI160" s="89" t="str">
        <f aca="false">IF($B160="","",IFERROR(MATCH($B160,Accounts!$A$6:$A$55,0),""))</f>
        <v/>
      </c>
      <c r="AJ160" s="89" t="str">
        <f aca="false">IF($C160="","",IFERROR(MATCH($C160,Securities!$A$6:$A$105,0),""))</f>
        <v/>
      </c>
      <c r="AK160" s="89" t="str">
        <f aca="false">IF($AI160="","",INDEX(Accounts!$B$6:$B$55,$AI160)&amp;"")</f>
        <v/>
      </c>
      <c r="AL160" s="89" t="str">
        <f aca="false">IF(OR($C160="",$I160="",NOT(ISNUMBER($R160))),"",$I160&amp;"|"&amp;(SUMPRODUCT(($I$6:$I$205=$I160)*ISNUMBER($R$6:$R$205)*($R$6:$R$205&gt;$R160))+SUMPRODUCT(($I$6:$I160=$I160)*ISNUMBER($R$6:$R160)*($R$6:$R160=$R160))))</f>
        <v/>
      </c>
      <c r="AM160" s="89" t="n">
        <f aca="false">IF(AND(ISNUMBER($R160),$W160&lt;&gt;"",$Z160&lt;&gt;"",$AB160="XIRR"),$R160*$W160,0)</f>
        <v>0</v>
      </c>
      <c r="AN160" s="89" t="n">
        <f aca="false">IF(AND(ISNUMBER($R160),$W160&lt;&gt;"",$Z160&lt;&gt;"",$AB160="XIRR"),$R160,0)</f>
        <v>0</v>
      </c>
      <c r="AO160" s="89" t="n">
        <f aca="false">IF(AND(ISNUMBER($R160),$W160&lt;&gt;"",$Z160&lt;&gt;"",$AB160="XIRR"),$R160*$Z160,0)</f>
        <v>0</v>
      </c>
      <c r="AP160" s="89" t="n">
        <f aca="false">IF(AND(ISNUMBER($M160),$Y160&lt;&gt;"",ISNUMBER($T160)),$M160*$Y160,0)</f>
        <v>0</v>
      </c>
      <c r="AQ160" s="89" t="n">
        <f aca="false">IF(AND(ISNUMBER($M160),$Y160&lt;&gt;"",ISNUMBER($T160)),$M160,0)</f>
        <v>0</v>
      </c>
    </row>
    <row r="161" customFormat="false" ht="15" hidden="false" customHeight="false" outlineLevel="0" collapsed="false">
      <c r="A161" s="77"/>
      <c r="B161" s="78"/>
      <c r="C161" s="78"/>
      <c r="D161" s="79" t="str">
        <f aca="false">IF($AI161="","",INDEX(Accounts!$C$6:$C$55,$AI161)&amp;"")</f>
        <v/>
      </c>
      <c r="E161" s="79" t="str">
        <f aca="false">IF($AI161="","",INDEX(Accounts!$F$6:$F$55,$AI161)&amp;"")</f>
        <v/>
      </c>
      <c r="F161" s="79" t="str">
        <f aca="false">IF($AJ161="","",INDEX(Securities!$B$6:$B$105,$AJ161)&amp;"")</f>
        <v/>
      </c>
      <c r="G161" s="79" t="str">
        <f aca="false">IF($AJ161="","",INDEX(Securities!$F$6:$F$105,$AJ161)&amp;"")</f>
        <v/>
      </c>
      <c r="H161" s="79" t="str">
        <f aca="false">IF($AJ161="","",INDEX(Securities!$E$6:$E$105,$AJ161)&amp;"")</f>
        <v/>
      </c>
      <c r="I161" s="79" t="str">
        <f aca="false">IF($AJ161="","",INDEX(Securities!$H$6:$H$105,$AJ161)&amp;"")</f>
        <v/>
      </c>
      <c r="J161" s="80"/>
      <c r="K161" s="80"/>
      <c r="L161" s="81"/>
      <c r="M161" s="82"/>
      <c r="N161" s="83" t="str">
        <f aca="false">IF(OR($L161="",$M161=""),"",IF(N($L161)=0,"",$M161/$L161))</f>
        <v/>
      </c>
      <c r="O161" s="84" t="str">
        <f aca="false">IF($AJ161="","",IF(INDEX(Securities!$O$6:$O$105,$AJ161)="","",INDEX(Securities!$O$6:$O$105,$AJ161)))</f>
        <v/>
      </c>
      <c r="P161" s="79" t="str">
        <f aca="false">IF($AJ161="","",INDEX(Securities!$N$6:$N$105,$AJ161)&amp;"")</f>
        <v/>
      </c>
      <c r="Q161" s="82"/>
      <c r="R161" s="85" t="str">
        <f aca="false">IF($C161="","",IF($Q161&lt;&gt;"",$Q161,IF($P161="At cost",IF($M161="","",$M161),IF(OR($O161="",$L161=""),"",$L161*$O161))))</f>
        <v/>
      </c>
      <c r="S161" s="85" t="str">
        <f aca="false">IF(OR(NOT(ISNUMBER($R161)),$M161=""),"",$R161-$M161)</f>
        <v/>
      </c>
      <c r="T161" s="86" t="str">
        <f aca="false">IF(OR($S161="",N($M161)=0),"",$S161/$M161)</f>
        <v/>
      </c>
      <c r="U161" s="82"/>
      <c r="V161" s="82"/>
      <c r="W161" s="87"/>
      <c r="X161" s="79" t="str">
        <f aca="false">IF($AJ161="","",INDEX(Securities!$L$6:$L$105,$AJ161)&amp;"")</f>
        <v/>
      </c>
      <c r="Y161" s="87"/>
      <c r="Z161" s="87"/>
      <c r="AA161" s="86" t="str">
        <f aca="false">IF(OR($W161="",$Z161=""),"",$W161-$Z161)</f>
        <v/>
      </c>
      <c r="AB161" s="79" t="str">
        <f aca="false">IF($C161="","",IF($P161="At cost","At cost",IF(NOT(ISNUMBER($J161)),"No date",IF(ValDate-$J161&lt;365,"Absolute",IF($W161="","XIRR missing","XIRR")))))</f>
        <v/>
      </c>
      <c r="AC161" s="86" t="str">
        <f aca="false">IF(NOT(ISNUMBER($R161)),"",IF(SUM($R$6:$R$205)=0,"",$R161/SUM($R$6:$R$205)))</f>
        <v/>
      </c>
      <c r="AD161" s="82"/>
      <c r="AE161" s="80"/>
      <c r="AF161" s="78"/>
      <c r="AG161" s="88" t="str">
        <f aca="false">IF($C161="","",IF(COUNTIFS('Tax Lots'!$B$6:$B$205,$B161,'Tax Lots'!$C$6:$C$205,$C161)=0,"",SUMIFS('Tax Lots'!$P$6:$P$205,'Tax Lots'!$B$6:$B$205,$B161,'Tax Lots'!$C$6:$C$205,$C161)))</f>
        <v/>
      </c>
      <c r="AH161" s="79" t="str">
        <f aca="false">IF($A161&amp;$B161&amp;$C161="","",IF($A161="","Missing ID",IF(COUNTIF($A$6:$A$205,$A161)&gt;1,"Duplicate ID",IF($AI161="","Unknown account",IF($AJ161="","Unknown security",IF(COUNTIFS($B$6:$B$205,$B161,$C$6:$C$205,$C161)&gt;1,"Same security twice in one account",IF(AND(ISNUMBER($J161),ISNUMBER($K161),N($K161)&lt;N($J161)),"Last date before first",IF(NOT(ISNUMBER($R161)),"No market value",IF(OR(N($J161)&gt;ValDate,N($K161)&gt;ValDate),"Date after valuation",IF(AND(ISNUMBER($AG161),ABS(N($L161)-N($AG161))&gt;0.001),"Lot quantity differs",IF(AND(ISNUMBER($AG161),ABS(N($M161)-SUMIFS('Tax Lots'!$Q$6:$Q$205,'Tax Lots'!$B$6:$B$205,$B161,'Tax Lots'!$C$6:$C$205,$C161))&gt;1),"Lot cost differs",IF(AND(ISNUMBER($AG161),ABS(N($V161)-SUMIFS('Tax Lots'!$AA$6:$AA$205,'Tax Lots'!$B$6:$B$205,$B161,'Tax Lots'!$C$6:$C$205,$C161))&gt;1),"Lot realised gain differs","OK"))))))))))))</f>
        <v/>
      </c>
      <c r="AI161" s="89" t="str">
        <f aca="false">IF($B161="","",IFERROR(MATCH($B161,Accounts!$A$6:$A$55,0),""))</f>
        <v/>
      </c>
      <c r="AJ161" s="89" t="str">
        <f aca="false">IF($C161="","",IFERROR(MATCH($C161,Securities!$A$6:$A$105,0),""))</f>
        <v/>
      </c>
      <c r="AK161" s="89" t="str">
        <f aca="false">IF($AI161="","",INDEX(Accounts!$B$6:$B$55,$AI161)&amp;"")</f>
        <v/>
      </c>
      <c r="AL161" s="89" t="str">
        <f aca="false">IF(OR($C161="",$I161="",NOT(ISNUMBER($R161))),"",$I161&amp;"|"&amp;(SUMPRODUCT(($I$6:$I$205=$I161)*ISNUMBER($R$6:$R$205)*($R$6:$R$205&gt;$R161))+SUMPRODUCT(($I$6:$I161=$I161)*ISNUMBER($R$6:$R161)*($R$6:$R161=$R161))))</f>
        <v/>
      </c>
      <c r="AM161" s="89" t="n">
        <f aca="false">IF(AND(ISNUMBER($R161),$W161&lt;&gt;"",$Z161&lt;&gt;"",$AB161="XIRR"),$R161*$W161,0)</f>
        <v>0</v>
      </c>
      <c r="AN161" s="89" t="n">
        <f aca="false">IF(AND(ISNUMBER($R161),$W161&lt;&gt;"",$Z161&lt;&gt;"",$AB161="XIRR"),$R161,0)</f>
        <v>0</v>
      </c>
      <c r="AO161" s="89" t="n">
        <f aca="false">IF(AND(ISNUMBER($R161),$W161&lt;&gt;"",$Z161&lt;&gt;"",$AB161="XIRR"),$R161*$Z161,0)</f>
        <v>0</v>
      </c>
      <c r="AP161" s="89" t="n">
        <f aca="false">IF(AND(ISNUMBER($M161),$Y161&lt;&gt;"",ISNUMBER($T161)),$M161*$Y161,0)</f>
        <v>0</v>
      </c>
      <c r="AQ161" s="89" t="n">
        <f aca="false">IF(AND(ISNUMBER($M161),$Y161&lt;&gt;"",ISNUMBER($T161)),$M161,0)</f>
        <v>0</v>
      </c>
    </row>
    <row r="162" customFormat="false" ht="15" hidden="false" customHeight="false" outlineLevel="0" collapsed="false">
      <c r="A162" s="77"/>
      <c r="B162" s="78"/>
      <c r="C162" s="78"/>
      <c r="D162" s="79" t="str">
        <f aca="false">IF($AI162="","",INDEX(Accounts!$C$6:$C$55,$AI162)&amp;"")</f>
        <v/>
      </c>
      <c r="E162" s="79" t="str">
        <f aca="false">IF($AI162="","",INDEX(Accounts!$F$6:$F$55,$AI162)&amp;"")</f>
        <v/>
      </c>
      <c r="F162" s="79" t="str">
        <f aca="false">IF($AJ162="","",INDEX(Securities!$B$6:$B$105,$AJ162)&amp;"")</f>
        <v/>
      </c>
      <c r="G162" s="79" t="str">
        <f aca="false">IF($AJ162="","",INDEX(Securities!$F$6:$F$105,$AJ162)&amp;"")</f>
        <v/>
      </c>
      <c r="H162" s="79" t="str">
        <f aca="false">IF($AJ162="","",INDEX(Securities!$E$6:$E$105,$AJ162)&amp;"")</f>
        <v/>
      </c>
      <c r="I162" s="79" t="str">
        <f aca="false">IF($AJ162="","",INDEX(Securities!$H$6:$H$105,$AJ162)&amp;"")</f>
        <v/>
      </c>
      <c r="J162" s="80"/>
      <c r="K162" s="80"/>
      <c r="L162" s="81"/>
      <c r="M162" s="82"/>
      <c r="N162" s="83" t="str">
        <f aca="false">IF(OR($L162="",$M162=""),"",IF(N($L162)=0,"",$M162/$L162))</f>
        <v/>
      </c>
      <c r="O162" s="84" t="str">
        <f aca="false">IF($AJ162="","",IF(INDEX(Securities!$O$6:$O$105,$AJ162)="","",INDEX(Securities!$O$6:$O$105,$AJ162)))</f>
        <v/>
      </c>
      <c r="P162" s="79" t="str">
        <f aca="false">IF($AJ162="","",INDEX(Securities!$N$6:$N$105,$AJ162)&amp;"")</f>
        <v/>
      </c>
      <c r="Q162" s="82"/>
      <c r="R162" s="85" t="str">
        <f aca="false">IF($C162="","",IF($Q162&lt;&gt;"",$Q162,IF($P162="At cost",IF($M162="","",$M162),IF(OR($O162="",$L162=""),"",$L162*$O162))))</f>
        <v/>
      </c>
      <c r="S162" s="85" t="str">
        <f aca="false">IF(OR(NOT(ISNUMBER($R162)),$M162=""),"",$R162-$M162)</f>
        <v/>
      </c>
      <c r="T162" s="86" t="str">
        <f aca="false">IF(OR($S162="",N($M162)=0),"",$S162/$M162)</f>
        <v/>
      </c>
      <c r="U162" s="82"/>
      <c r="V162" s="82"/>
      <c r="W162" s="87"/>
      <c r="X162" s="79" t="str">
        <f aca="false">IF($AJ162="","",INDEX(Securities!$L$6:$L$105,$AJ162)&amp;"")</f>
        <v/>
      </c>
      <c r="Y162" s="87"/>
      <c r="Z162" s="87"/>
      <c r="AA162" s="86" t="str">
        <f aca="false">IF(OR($W162="",$Z162=""),"",$W162-$Z162)</f>
        <v/>
      </c>
      <c r="AB162" s="79" t="str">
        <f aca="false">IF($C162="","",IF($P162="At cost","At cost",IF(NOT(ISNUMBER($J162)),"No date",IF(ValDate-$J162&lt;365,"Absolute",IF($W162="","XIRR missing","XIRR")))))</f>
        <v/>
      </c>
      <c r="AC162" s="86" t="str">
        <f aca="false">IF(NOT(ISNUMBER($R162)),"",IF(SUM($R$6:$R$205)=0,"",$R162/SUM($R$6:$R$205)))</f>
        <v/>
      </c>
      <c r="AD162" s="82"/>
      <c r="AE162" s="80"/>
      <c r="AF162" s="78"/>
      <c r="AG162" s="88" t="str">
        <f aca="false">IF($C162="","",IF(COUNTIFS('Tax Lots'!$B$6:$B$205,$B162,'Tax Lots'!$C$6:$C$205,$C162)=0,"",SUMIFS('Tax Lots'!$P$6:$P$205,'Tax Lots'!$B$6:$B$205,$B162,'Tax Lots'!$C$6:$C$205,$C162)))</f>
        <v/>
      </c>
      <c r="AH162" s="79" t="str">
        <f aca="false">IF($A162&amp;$B162&amp;$C162="","",IF($A162="","Missing ID",IF(COUNTIF($A$6:$A$205,$A162)&gt;1,"Duplicate ID",IF($AI162="","Unknown account",IF($AJ162="","Unknown security",IF(COUNTIFS($B$6:$B$205,$B162,$C$6:$C$205,$C162)&gt;1,"Same security twice in one account",IF(AND(ISNUMBER($J162),ISNUMBER($K162),N($K162)&lt;N($J162)),"Last date before first",IF(NOT(ISNUMBER($R162)),"No market value",IF(OR(N($J162)&gt;ValDate,N($K162)&gt;ValDate),"Date after valuation",IF(AND(ISNUMBER($AG162),ABS(N($L162)-N($AG162))&gt;0.001),"Lot quantity differs",IF(AND(ISNUMBER($AG162),ABS(N($M162)-SUMIFS('Tax Lots'!$Q$6:$Q$205,'Tax Lots'!$B$6:$B$205,$B162,'Tax Lots'!$C$6:$C$205,$C162))&gt;1),"Lot cost differs",IF(AND(ISNUMBER($AG162),ABS(N($V162)-SUMIFS('Tax Lots'!$AA$6:$AA$205,'Tax Lots'!$B$6:$B$205,$B162,'Tax Lots'!$C$6:$C$205,$C162))&gt;1),"Lot realised gain differs","OK"))))))))))))</f>
        <v/>
      </c>
      <c r="AI162" s="89" t="str">
        <f aca="false">IF($B162="","",IFERROR(MATCH($B162,Accounts!$A$6:$A$55,0),""))</f>
        <v/>
      </c>
      <c r="AJ162" s="89" t="str">
        <f aca="false">IF($C162="","",IFERROR(MATCH($C162,Securities!$A$6:$A$105,0),""))</f>
        <v/>
      </c>
      <c r="AK162" s="89" t="str">
        <f aca="false">IF($AI162="","",INDEX(Accounts!$B$6:$B$55,$AI162)&amp;"")</f>
        <v/>
      </c>
      <c r="AL162" s="89" t="str">
        <f aca="false">IF(OR($C162="",$I162="",NOT(ISNUMBER($R162))),"",$I162&amp;"|"&amp;(SUMPRODUCT(($I$6:$I$205=$I162)*ISNUMBER($R$6:$R$205)*($R$6:$R$205&gt;$R162))+SUMPRODUCT(($I$6:$I162=$I162)*ISNUMBER($R$6:$R162)*($R$6:$R162=$R162))))</f>
        <v/>
      </c>
      <c r="AM162" s="89" t="n">
        <f aca="false">IF(AND(ISNUMBER($R162),$W162&lt;&gt;"",$Z162&lt;&gt;"",$AB162="XIRR"),$R162*$W162,0)</f>
        <v>0</v>
      </c>
      <c r="AN162" s="89" t="n">
        <f aca="false">IF(AND(ISNUMBER($R162),$W162&lt;&gt;"",$Z162&lt;&gt;"",$AB162="XIRR"),$R162,0)</f>
        <v>0</v>
      </c>
      <c r="AO162" s="89" t="n">
        <f aca="false">IF(AND(ISNUMBER($R162),$W162&lt;&gt;"",$Z162&lt;&gt;"",$AB162="XIRR"),$R162*$Z162,0)</f>
        <v>0</v>
      </c>
      <c r="AP162" s="89" t="n">
        <f aca="false">IF(AND(ISNUMBER($M162),$Y162&lt;&gt;"",ISNUMBER($T162)),$M162*$Y162,0)</f>
        <v>0</v>
      </c>
      <c r="AQ162" s="89" t="n">
        <f aca="false">IF(AND(ISNUMBER($M162),$Y162&lt;&gt;"",ISNUMBER($T162)),$M162,0)</f>
        <v>0</v>
      </c>
    </row>
    <row r="163" customFormat="false" ht="15" hidden="false" customHeight="false" outlineLevel="0" collapsed="false">
      <c r="A163" s="77"/>
      <c r="B163" s="78"/>
      <c r="C163" s="78"/>
      <c r="D163" s="79" t="str">
        <f aca="false">IF($AI163="","",INDEX(Accounts!$C$6:$C$55,$AI163)&amp;"")</f>
        <v/>
      </c>
      <c r="E163" s="79" t="str">
        <f aca="false">IF($AI163="","",INDEX(Accounts!$F$6:$F$55,$AI163)&amp;"")</f>
        <v/>
      </c>
      <c r="F163" s="79" t="str">
        <f aca="false">IF($AJ163="","",INDEX(Securities!$B$6:$B$105,$AJ163)&amp;"")</f>
        <v/>
      </c>
      <c r="G163" s="79" t="str">
        <f aca="false">IF($AJ163="","",INDEX(Securities!$F$6:$F$105,$AJ163)&amp;"")</f>
        <v/>
      </c>
      <c r="H163" s="79" t="str">
        <f aca="false">IF($AJ163="","",INDEX(Securities!$E$6:$E$105,$AJ163)&amp;"")</f>
        <v/>
      </c>
      <c r="I163" s="79" t="str">
        <f aca="false">IF($AJ163="","",INDEX(Securities!$H$6:$H$105,$AJ163)&amp;"")</f>
        <v/>
      </c>
      <c r="J163" s="80"/>
      <c r="K163" s="80"/>
      <c r="L163" s="81"/>
      <c r="M163" s="82"/>
      <c r="N163" s="83" t="str">
        <f aca="false">IF(OR($L163="",$M163=""),"",IF(N($L163)=0,"",$M163/$L163))</f>
        <v/>
      </c>
      <c r="O163" s="84" t="str">
        <f aca="false">IF($AJ163="","",IF(INDEX(Securities!$O$6:$O$105,$AJ163)="","",INDEX(Securities!$O$6:$O$105,$AJ163)))</f>
        <v/>
      </c>
      <c r="P163" s="79" t="str">
        <f aca="false">IF($AJ163="","",INDEX(Securities!$N$6:$N$105,$AJ163)&amp;"")</f>
        <v/>
      </c>
      <c r="Q163" s="82"/>
      <c r="R163" s="85" t="str">
        <f aca="false">IF($C163="","",IF($Q163&lt;&gt;"",$Q163,IF($P163="At cost",IF($M163="","",$M163),IF(OR($O163="",$L163=""),"",$L163*$O163))))</f>
        <v/>
      </c>
      <c r="S163" s="85" t="str">
        <f aca="false">IF(OR(NOT(ISNUMBER($R163)),$M163=""),"",$R163-$M163)</f>
        <v/>
      </c>
      <c r="T163" s="86" t="str">
        <f aca="false">IF(OR($S163="",N($M163)=0),"",$S163/$M163)</f>
        <v/>
      </c>
      <c r="U163" s="82"/>
      <c r="V163" s="82"/>
      <c r="W163" s="87"/>
      <c r="X163" s="79" t="str">
        <f aca="false">IF($AJ163="","",INDEX(Securities!$L$6:$L$105,$AJ163)&amp;"")</f>
        <v/>
      </c>
      <c r="Y163" s="87"/>
      <c r="Z163" s="87"/>
      <c r="AA163" s="86" t="str">
        <f aca="false">IF(OR($W163="",$Z163=""),"",$W163-$Z163)</f>
        <v/>
      </c>
      <c r="AB163" s="79" t="str">
        <f aca="false">IF($C163="","",IF($P163="At cost","At cost",IF(NOT(ISNUMBER($J163)),"No date",IF(ValDate-$J163&lt;365,"Absolute",IF($W163="","XIRR missing","XIRR")))))</f>
        <v/>
      </c>
      <c r="AC163" s="86" t="str">
        <f aca="false">IF(NOT(ISNUMBER($R163)),"",IF(SUM($R$6:$R$205)=0,"",$R163/SUM($R$6:$R$205)))</f>
        <v/>
      </c>
      <c r="AD163" s="82"/>
      <c r="AE163" s="80"/>
      <c r="AF163" s="78"/>
      <c r="AG163" s="88" t="str">
        <f aca="false">IF($C163="","",IF(COUNTIFS('Tax Lots'!$B$6:$B$205,$B163,'Tax Lots'!$C$6:$C$205,$C163)=0,"",SUMIFS('Tax Lots'!$P$6:$P$205,'Tax Lots'!$B$6:$B$205,$B163,'Tax Lots'!$C$6:$C$205,$C163)))</f>
        <v/>
      </c>
      <c r="AH163" s="79" t="str">
        <f aca="false">IF($A163&amp;$B163&amp;$C163="","",IF($A163="","Missing ID",IF(COUNTIF($A$6:$A$205,$A163)&gt;1,"Duplicate ID",IF($AI163="","Unknown account",IF($AJ163="","Unknown security",IF(COUNTIFS($B$6:$B$205,$B163,$C$6:$C$205,$C163)&gt;1,"Same security twice in one account",IF(AND(ISNUMBER($J163),ISNUMBER($K163),N($K163)&lt;N($J163)),"Last date before first",IF(NOT(ISNUMBER($R163)),"No market value",IF(OR(N($J163)&gt;ValDate,N($K163)&gt;ValDate),"Date after valuation",IF(AND(ISNUMBER($AG163),ABS(N($L163)-N($AG163))&gt;0.001),"Lot quantity differs",IF(AND(ISNUMBER($AG163),ABS(N($M163)-SUMIFS('Tax Lots'!$Q$6:$Q$205,'Tax Lots'!$B$6:$B$205,$B163,'Tax Lots'!$C$6:$C$205,$C163))&gt;1),"Lot cost differs",IF(AND(ISNUMBER($AG163),ABS(N($V163)-SUMIFS('Tax Lots'!$AA$6:$AA$205,'Tax Lots'!$B$6:$B$205,$B163,'Tax Lots'!$C$6:$C$205,$C163))&gt;1),"Lot realised gain differs","OK"))))))))))))</f>
        <v/>
      </c>
      <c r="AI163" s="89" t="str">
        <f aca="false">IF($B163="","",IFERROR(MATCH($B163,Accounts!$A$6:$A$55,0),""))</f>
        <v/>
      </c>
      <c r="AJ163" s="89" t="str">
        <f aca="false">IF($C163="","",IFERROR(MATCH($C163,Securities!$A$6:$A$105,0),""))</f>
        <v/>
      </c>
      <c r="AK163" s="89" t="str">
        <f aca="false">IF($AI163="","",INDEX(Accounts!$B$6:$B$55,$AI163)&amp;"")</f>
        <v/>
      </c>
      <c r="AL163" s="89" t="str">
        <f aca="false">IF(OR($C163="",$I163="",NOT(ISNUMBER($R163))),"",$I163&amp;"|"&amp;(SUMPRODUCT(($I$6:$I$205=$I163)*ISNUMBER($R$6:$R$205)*($R$6:$R$205&gt;$R163))+SUMPRODUCT(($I$6:$I163=$I163)*ISNUMBER($R$6:$R163)*($R$6:$R163=$R163))))</f>
        <v/>
      </c>
      <c r="AM163" s="89" t="n">
        <f aca="false">IF(AND(ISNUMBER($R163),$W163&lt;&gt;"",$Z163&lt;&gt;"",$AB163="XIRR"),$R163*$W163,0)</f>
        <v>0</v>
      </c>
      <c r="AN163" s="89" t="n">
        <f aca="false">IF(AND(ISNUMBER($R163),$W163&lt;&gt;"",$Z163&lt;&gt;"",$AB163="XIRR"),$R163,0)</f>
        <v>0</v>
      </c>
      <c r="AO163" s="89" t="n">
        <f aca="false">IF(AND(ISNUMBER($R163),$W163&lt;&gt;"",$Z163&lt;&gt;"",$AB163="XIRR"),$R163*$Z163,0)</f>
        <v>0</v>
      </c>
      <c r="AP163" s="89" t="n">
        <f aca="false">IF(AND(ISNUMBER($M163),$Y163&lt;&gt;"",ISNUMBER($T163)),$M163*$Y163,0)</f>
        <v>0</v>
      </c>
      <c r="AQ163" s="89" t="n">
        <f aca="false">IF(AND(ISNUMBER($M163),$Y163&lt;&gt;"",ISNUMBER($T163)),$M163,0)</f>
        <v>0</v>
      </c>
    </row>
    <row r="164" customFormat="false" ht="15" hidden="false" customHeight="false" outlineLevel="0" collapsed="false">
      <c r="A164" s="77"/>
      <c r="B164" s="78"/>
      <c r="C164" s="78"/>
      <c r="D164" s="79" t="str">
        <f aca="false">IF($AI164="","",INDEX(Accounts!$C$6:$C$55,$AI164)&amp;"")</f>
        <v/>
      </c>
      <c r="E164" s="79" t="str">
        <f aca="false">IF($AI164="","",INDEX(Accounts!$F$6:$F$55,$AI164)&amp;"")</f>
        <v/>
      </c>
      <c r="F164" s="79" t="str">
        <f aca="false">IF($AJ164="","",INDEX(Securities!$B$6:$B$105,$AJ164)&amp;"")</f>
        <v/>
      </c>
      <c r="G164" s="79" t="str">
        <f aca="false">IF($AJ164="","",INDEX(Securities!$F$6:$F$105,$AJ164)&amp;"")</f>
        <v/>
      </c>
      <c r="H164" s="79" t="str">
        <f aca="false">IF($AJ164="","",INDEX(Securities!$E$6:$E$105,$AJ164)&amp;"")</f>
        <v/>
      </c>
      <c r="I164" s="79" t="str">
        <f aca="false">IF($AJ164="","",INDEX(Securities!$H$6:$H$105,$AJ164)&amp;"")</f>
        <v/>
      </c>
      <c r="J164" s="80"/>
      <c r="K164" s="80"/>
      <c r="L164" s="81"/>
      <c r="M164" s="82"/>
      <c r="N164" s="83" t="str">
        <f aca="false">IF(OR($L164="",$M164=""),"",IF(N($L164)=0,"",$M164/$L164))</f>
        <v/>
      </c>
      <c r="O164" s="84" t="str">
        <f aca="false">IF($AJ164="","",IF(INDEX(Securities!$O$6:$O$105,$AJ164)="","",INDEX(Securities!$O$6:$O$105,$AJ164)))</f>
        <v/>
      </c>
      <c r="P164" s="79" t="str">
        <f aca="false">IF($AJ164="","",INDEX(Securities!$N$6:$N$105,$AJ164)&amp;"")</f>
        <v/>
      </c>
      <c r="Q164" s="82"/>
      <c r="R164" s="85" t="str">
        <f aca="false">IF($C164="","",IF($Q164&lt;&gt;"",$Q164,IF($P164="At cost",IF($M164="","",$M164),IF(OR($O164="",$L164=""),"",$L164*$O164))))</f>
        <v/>
      </c>
      <c r="S164" s="85" t="str">
        <f aca="false">IF(OR(NOT(ISNUMBER($R164)),$M164=""),"",$R164-$M164)</f>
        <v/>
      </c>
      <c r="T164" s="86" t="str">
        <f aca="false">IF(OR($S164="",N($M164)=0),"",$S164/$M164)</f>
        <v/>
      </c>
      <c r="U164" s="82"/>
      <c r="V164" s="82"/>
      <c r="W164" s="87"/>
      <c r="X164" s="79" t="str">
        <f aca="false">IF($AJ164="","",INDEX(Securities!$L$6:$L$105,$AJ164)&amp;"")</f>
        <v/>
      </c>
      <c r="Y164" s="87"/>
      <c r="Z164" s="87"/>
      <c r="AA164" s="86" t="str">
        <f aca="false">IF(OR($W164="",$Z164=""),"",$W164-$Z164)</f>
        <v/>
      </c>
      <c r="AB164" s="79" t="str">
        <f aca="false">IF($C164="","",IF($P164="At cost","At cost",IF(NOT(ISNUMBER($J164)),"No date",IF(ValDate-$J164&lt;365,"Absolute",IF($W164="","XIRR missing","XIRR")))))</f>
        <v/>
      </c>
      <c r="AC164" s="86" t="str">
        <f aca="false">IF(NOT(ISNUMBER($R164)),"",IF(SUM($R$6:$R$205)=0,"",$R164/SUM($R$6:$R$205)))</f>
        <v/>
      </c>
      <c r="AD164" s="82"/>
      <c r="AE164" s="80"/>
      <c r="AF164" s="78"/>
      <c r="AG164" s="88" t="str">
        <f aca="false">IF($C164="","",IF(COUNTIFS('Tax Lots'!$B$6:$B$205,$B164,'Tax Lots'!$C$6:$C$205,$C164)=0,"",SUMIFS('Tax Lots'!$P$6:$P$205,'Tax Lots'!$B$6:$B$205,$B164,'Tax Lots'!$C$6:$C$205,$C164)))</f>
        <v/>
      </c>
      <c r="AH164" s="79" t="str">
        <f aca="false">IF($A164&amp;$B164&amp;$C164="","",IF($A164="","Missing ID",IF(COUNTIF($A$6:$A$205,$A164)&gt;1,"Duplicate ID",IF($AI164="","Unknown account",IF($AJ164="","Unknown security",IF(COUNTIFS($B$6:$B$205,$B164,$C$6:$C$205,$C164)&gt;1,"Same security twice in one account",IF(AND(ISNUMBER($J164),ISNUMBER($K164),N($K164)&lt;N($J164)),"Last date before first",IF(NOT(ISNUMBER($R164)),"No market value",IF(OR(N($J164)&gt;ValDate,N($K164)&gt;ValDate),"Date after valuation",IF(AND(ISNUMBER($AG164),ABS(N($L164)-N($AG164))&gt;0.001),"Lot quantity differs",IF(AND(ISNUMBER($AG164),ABS(N($M164)-SUMIFS('Tax Lots'!$Q$6:$Q$205,'Tax Lots'!$B$6:$B$205,$B164,'Tax Lots'!$C$6:$C$205,$C164))&gt;1),"Lot cost differs",IF(AND(ISNUMBER($AG164),ABS(N($V164)-SUMIFS('Tax Lots'!$AA$6:$AA$205,'Tax Lots'!$B$6:$B$205,$B164,'Tax Lots'!$C$6:$C$205,$C164))&gt;1),"Lot realised gain differs","OK"))))))))))))</f>
        <v/>
      </c>
      <c r="AI164" s="89" t="str">
        <f aca="false">IF($B164="","",IFERROR(MATCH($B164,Accounts!$A$6:$A$55,0),""))</f>
        <v/>
      </c>
      <c r="AJ164" s="89" t="str">
        <f aca="false">IF($C164="","",IFERROR(MATCH($C164,Securities!$A$6:$A$105,0),""))</f>
        <v/>
      </c>
      <c r="AK164" s="89" t="str">
        <f aca="false">IF($AI164="","",INDEX(Accounts!$B$6:$B$55,$AI164)&amp;"")</f>
        <v/>
      </c>
      <c r="AL164" s="89" t="str">
        <f aca="false">IF(OR($C164="",$I164="",NOT(ISNUMBER($R164))),"",$I164&amp;"|"&amp;(SUMPRODUCT(($I$6:$I$205=$I164)*ISNUMBER($R$6:$R$205)*($R$6:$R$205&gt;$R164))+SUMPRODUCT(($I$6:$I164=$I164)*ISNUMBER($R$6:$R164)*($R$6:$R164=$R164))))</f>
        <v/>
      </c>
      <c r="AM164" s="89" t="n">
        <f aca="false">IF(AND(ISNUMBER($R164),$W164&lt;&gt;"",$Z164&lt;&gt;"",$AB164="XIRR"),$R164*$W164,0)</f>
        <v>0</v>
      </c>
      <c r="AN164" s="89" t="n">
        <f aca="false">IF(AND(ISNUMBER($R164),$W164&lt;&gt;"",$Z164&lt;&gt;"",$AB164="XIRR"),$R164,0)</f>
        <v>0</v>
      </c>
      <c r="AO164" s="89" t="n">
        <f aca="false">IF(AND(ISNUMBER($R164),$W164&lt;&gt;"",$Z164&lt;&gt;"",$AB164="XIRR"),$R164*$Z164,0)</f>
        <v>0</v>
      </c>
      <c r="AP164" s="89" t="n">
        <f aca="false">IF(AND(ISNUMBER($M164),$Y164&lt;&gt;"",ISNUMBER($T164)),$M164*$Y164,0)</f>
        <v>0</v>
      </c>
      <c r="AQ164" s="89" t="n">
        <f aca="false">IF(AND(ISNUMBER($M164),$Y164&lt;&gt;"",ISNUMBER($T164)),$M164,0)</f>
        <v>0</v>
      </c>
    </row>
    <row r="165" customFormat="false" ht="15" hidden="false" customHeight="false" outlineLevel="0" collapsed="false">
      <c r="A165" s="77"/>
      <c r="B165" s="78"/>
      <c r="C165" s="78"/>
      <c r="D165" s="79" t="str">
        <f aca="false">IF($AI165="","",INDEX(Accounts!$C$6:$C$55,$AI165)&amp;"")</f>
        <v/>
      </c>
      <c r="E165" s="79" t="str">
        <f aca="false">IF($AI165="","",INDEX(Accounts!$F$6:$F$55,$AI165)&amp;"")</f>
        <v/>
      </c>
      <c r="F165" s="79" t="str">
        <f aca="false">IF($AJ165="","",INDEX(Securities!$B$6:$B$105,$AJ165)&amp;"")</f>
        <v/>
      </c>
      <c r="G165" s="79" t="str">
        <f aca="false">IF($AJ165="","",INDEX(Securities!$F$6:$F$105,$AJ165)&amp;"")</f>
        <v/>
      </c>
      <c r="H165" s="79" t="str">
        <f aca="false">IF($AJ165="","",INDEX(Securities!$E$6:$E$105,$AJ165)&amp;"")</f>
        <v/>
      </c>
      <c r="I165" s="79" t="str">
        <f aca="false">IF($AJ165="","",INDEX(Securities!$H$6:$H$105,$AJ165)&amp;"")</f>
        <v/>
      </c>
      <c r="J165" s="80"/>
      <c r="K165" s="80"/>
      <c r="L165" s="81"/>
      <c r="M165" s="82"/>
      <c r="N165" s="83" t="str">
        <f aca="false">IF(OR($L165="",$M165=""),"",IF(N($L165)=0,"",$M165/$L165))</f>
        <v/>
      </c>
      <c r="O165" s="84" t="str">
        <f aca="false">IF($AJ165="","",IF(INDEX(Securities!$O$6:$O$105,$AJ165)="","",INDEX(Securities!$O$6:$O$105,$AJ165)))</f>
        <v/>
      </c>
      <c r="P165" s="79" t="str">
        <f aca="false">IF($AJ165="","",INDEX(Securities!$N$6:$N$105,$AJ165)&amp;"")</f>
        <v/>
      </c>
      <c r="Q165" s="82"/>
      <c r="R165" s="85" t="str">
        <f aca="false">IF($C165="","",IF($Q165&lt;&gt;"",$Q165,IF($P165="At cost",IF($M165="","",$M165),IF(OR($O165="",$L165=""),"",$L165*$O165))))</f>
        <v/>
      </c>
      <c r="S165" s="85" t="str">
        <f aca="false">IF(OR(NOT(ISNUMBER($R165)),$M165=""),"",$R165-$M165)</f>
        <v/>
      </c>
      <c r="T165" s="86" t="str">
        <f aca="false">IF(OR($S165="",N($M165)=0),"",$S165/$M165)</f>
        <v/>
      </c>
      <c r="U165" s="82"/>
      <c r="V165" s="82"/>
      <c r="W165" s="87"/>
      <c r="X165" s="79" t="str">
        <f aca="false">IF($AJ165="","",INDEX(Securities!$L$6:$L$105,$AJ165)&amp;"")</f>
        <v/>
      </c>
      <c r="Y165" s="87"/>
      <c r="Z165" s="87"/>
      <c r="AA165" s="86" t="str">
        <f aca="false">IF(OR($W165="",$Z165=""),"",$W165-$Z165)</f>
        <v/>
      </c>
      <c r="AB165" s="79" t="str">
        <f aca="false">IF($C165="","",IF($P165="At cost","At cost",IF(NOT(ISNUMBER($J165)),"No date",IF(ValDate-$J165&lt;365,"Absolute",IF($W165="","XIRR missing","XIRR")))))</f>
        <v/>
      </c>
      <c r="AC165" s="86" t="str">
        <f aca="false">IF(NOT(ISNUMBER($R165)),"",IF(SUM($R$6:$R$205)=0,"",$R165/SUM($R$6:$R$205)))</f>
        <v/>
      </c>
      <c r="AD165" s="82"/>
      <c r="AE165" s="80"/>
      <c r="AF165" s="78"/>
      <c r="AG165" s="88" t="str">
        <f aca="false">IF($C165="","",IF(COUNTIFS('Tax Lots'!$B$6:$B$205,$B165,'Tax Lots'!$C$6:$C$205,$C165)=0,"",SUMIFS('Tax Lots'!$P$6:$P$205,'Tax Lots'!$B$6:$B$205,$B165,'Tax Lots'!$C$6:$C$205,$C165)))</f>
        <v/>
      </c>
      <c r="AH165" s="79" t="str">
        <f aca="false">IF($A165&amp;$B165&amp;$C165="","",IF($A165="","Missing ID",IF(COUNTIF($A$6:$A$205,$A165)&gt;1,"Duplicate ID",IF($AI165="","Unknown account",IF($AJ165="","Unknown security",IF(COUNTIFS($B$6:$B$205,$B165,$C$6:$C$205,$C165)&gt;1,"Same security twice in one account",IF(AND(ISNUMBER($J165),ISNUMBER($K165),N($K165)&lt;N($J165)),"Last date before first",IF(NOT(ISNUMBER($R165)),"No market value",IF(OR(N($J165)&gt;ValDate,N($K165)&gt;ValDate),"Date after valuation",IF(AND(ISNUMBER($AG165),ABS(N($L165)-N($AG165))&gt;0.001),"Lot quantity differs",IF(AND(ISNUMBER($AG165),ABS(N($M165)-SUMIFS('Tax Lots'!$Q$6:$Q$205,'Tax Lots'!$B$6:$B$205,$B165,'Tax Lots'!$C$6:$C$205,$C165))&gt;1),"Lot cost differs",IF(AND(ISNUMBER($AG165),ABS(N($V165)-SUMIFS('Tax Lots'!$AA$6:$AA$205,'Tax Lots'!$B$6:$B$205,$B165,'Tax Lots'!$C$6:$C$205,$C165))&gt;1),"Lot realised gain differs","OK"))))))))))))</f>
        <v/>
      </c>
      <c r="AI165" s="89" t="str">
        <f aca="false">IF($B165="","",IFERROR(MATCH($B165,Accounts!$A$6:$A$55,0),""))</f>
        <v/>
      </c>
      <c r="AJ165" s="89" t="str">
        <f aca="false">IF($C165="","",IFERROR(MATCH($C165,Securities!$A$6:$A$105,0),""))</f>
        <v/>
      </c>
      <c r="AK165" s="89" t="str">
        <f aca="false">IF($AI165="","",INDEX(Accounts!$B$6:$B$55,$AI165)&amp;"")</f>
        <v/>
      </c>
      <c r="AL165" s="89" t="str">
        <f aca="false">IF(OR($C165="",$I165="",NOT(ISNUMBER($R165))),"",$I165&amp;"|"&amp;(SUMPRODUCT(($I$6:$I$205=$I165)*ISNUMBER($R$6:$R$205)*($R$6:$R$205&gt;$R165))+SUMPRODUCT(($I$6:$I165=$I165)*ISNUMBER($R$6:$R165)*($R$6:$R165=$R165))))</f>
        <v/>
      </c>
      <c r="AM165" s="89" t="n">
        <f aca="false">IF(AND(ISNUMBER($R165),$W165&lt;&gt;"",$Z165&lt;&gt;"",$AB165="XIRR"),$R165*$W165,0)</f>
        <v>0</v>
      </c>
      <c r="AN165" s="89" t="n">
        <f aca="false">IF(AND(ISNUMBER($R165),$W165&lt;&gt;"",$Z165&lt;&gt;"",$AB165="XIRR"),$R165,0)</f>
        <v>0</v>
      </c>
      <c r="AO165" s="89" t="n">
        <f aca="false">IF(AND(ISNUMBER($R165),$W165&lt;&gt;"",$Z165&lt;&gt;"",$AB165="XIRR"),$R165*$Z165,0)</f>
        <v>0</v>
      </c>
      <c r="AP165" s="89" t="n">
        <f aca="false">IF(AND(ISNUMBER($M165),$Y165&lt;&gt;"",ISNUMBER($T165)),$M165*$Y165,0)</f>
        <v>0</v>
      </c>
      <c r="AQ165" s="89" t="n">
        <f aca="false">IF(AND(ISNUMBER($M165),$Y165&lt;&gt;"",ISNUMBER($T165)),$M165,0)</f>
        <v>0</v>
      </c>
    </row>
    <row r="166" customFormat="false" ht="15" hidden="false" customHeight="false" outlineLevel="0" collapsed="false">
      <c r="A166" s="77"/>
      <c r="B166" s="78"/>
      <c r="C166" s="78"/>
      <c r="D166" s="79" t="str">
        <f aca="false">IF($AI166="","",INDEX(Accounts!$C$6:$C$55,$AI166)&amp;"")</f>
        <v/>
      </c>
      <c r="E166" s="79" t="str">
        <f aca="false">IF($AI166="","",INDEX(Accounts!$F$6:$F$55,$AI166)&amp;"")</f>
        <v/>
      </c>
      <c r="F166" s="79" t="str">
        <f aca="false">IF($AJ166="","",INDEX(Securities!$B$6:$B$105,$AJ166)&amp;"")</f>
        <v/>
      </c>
      <c r="G166" s="79" t="str">
        <f aca="false">IF($AJ166="","",INDEX(Securities!$F$6:$F$105,$AJ166)&amp;"")</f>
        <v/>
      </c>
      <c r="H166" s="79" t="str">
        <f aca="false">IF($AJ166="","",INDEX(Securities!$E$6:$E$105,$AJ166)&amp;"")</f>
        <v/>
      </c>
      <c r="I166" s="79" t="str">
        <f aca="false">IF($AJ166="","",INDEX(Securities!$H$6:$H$105,$AJ166)&amp;"")</f>
        <v/>
      </c>
      <c r="J166" s="80"/>
      <c r="K166" s="80"/>
      <c r="L166" s="81"/>
      <c r="M166" s="82"/>
      <c r="N166" s="83" t="str">
        <f aca="false">IF(OR($L166="",$M166=""),"",IF(N($L166)=0,"",$M166/$L166))</f>
        <v/>
      </c>
      <c r="O166" s="84" t="str">
        <f aca="false">IF($AJ166="","",IF(INDEX(Securities!$O$6:$O$105,$AJ166)="","",INDEX(Securities!$O$6:$O$105,$AJ166)))</f>
        <v/>
      </c>
      <c r="P166" s="79" t="str">
        <f aca="false">IF($AJ166="","",INDEX(Securities!$N$6:$N$105,$AJ166)&amp;"")</f>
        <v/>
      </c>
      <c r="Q166" s="82"/>
      <c r="R166" s="85" t="str">
        <f aca="false">IF($C166="","",IF($Q166&lt;&gt;"",$Q166,IF($P166="At cost",IF($M166="","",$M166),IF(OR($O166="",$L166=""),"",$L166*$O166))))</f>
        <v/>
      </c>
      <c r="S166" s="85" t="str">
        <f aca="false">IF(OR(NOT(ISNUMBER($R166)),$M166=""),"",$R166-$M166)</f>
        <v/>
      </c>
      <c r="T166" s="86" t="str">
        <f aca="false">IF(OR($S166="",N($M166)=0),"",$S166/$M166)</f>
        <v/>
      </c>
      <c r="U166" s="82"/>
      <c r="V166" s="82"/>
      <c r="W166" s="87"/>
      <c r="X166" s="79" t="str">
        <f aca="false">IF($AJ166="","",INDEX(Securities!$L$6:$L$105,$AJ166)&amp;"")</f>
        <v/>
      </c>
      <c r="Y166" s="87"/>
      <c r="Z166" s="87"/>
      <c r="AA166" s="86" t="str">
        <f aca="false">IF(OR($W166="",$Z166=""),"",$W166-$Z166)</f>
        <v/>
      </c>
      <c r="AB166" s="79" t="str">
        <f aca="false">IF($C166="","",IF($P166="At cost","At cost",IF(NOT(ISNUMBER($J166)),"No date",IF(ValDate-$J166&lt;365,"Absolute",IF($W166="","XIRR missing","XIRR")))))</f>
        <v/>
      </c>
      <c r="AC166" s="86" t="str">
        <f aca="false">IF(NOT(ISNUMBER($R166)),"",IF(SUM($R$6:$R$205)=0,"",$R166/SUM($R$6:$R$205)))</f>
        <v/>
      </c>
      <c r="AD166" s="82"/>
      <c r="AE166" s="80"/>
      <c r="AF166" s="78"/>
      <c r="AG166" s="88" t="str">
        <f aca="false">IF($C166="","",IF(COUNTIFS('Tax Lots'!$B$6:$B$205,$B166,'Tax Lots'!$C$6:$C$205,$C166)=0,"",SUMIFS('Tax Lots'!$P$6:$P$205,'Tax Lots'!$B$6:$B$205,$B166,'Tax Lots'!$C$6:$C$205,$C166)))</f>
        <v/>
      </c>
      <c r="AH166" s="79" t="str">
        <f aca="false">IF($A166&amp;$B166&amp;$C166="","",IF($A166="","Missing ID",IF(COUNTIF($A$6:$A$205,$A166)&gt;1,"Duplicate ID",IF($AI166="","Unknown account",IF($AJ166="","Unknown security",IF(COUNTIFS($B$6:$B$205,$B166,$C$6:$C$205,$C166)&gt;1,"Same security twice in one account",IF(AND(ISNUMBER($J166),ISNUMBER($K166),N($K166)&lt;N($J166)),"Last date before first",IF(NOT(ISNUMBER($R166)),"No market value",IF(OR(N($J166)&gt;ValDate,N($K166)&gt;ValDate),"Date after valuation",IF(AND(ISNUMBER($AG166),ABS(N($L166)-N($AG166))&gt;0.001),"Lot quantity differs",IF(AND(ISNUMBER($AG166),ABS(N($M166)-SUMIFS('Tax Lots'!$Q$6:$Q$205,'Tax Lots'!$B$6:$B$205,$B166,'Tax Lots'!$C$6:$C$205,$C166))&gt;1),"Lot cost differs",IF(AND(ISNUMBER($AG166),ABS(N($V166)-SUMIFS('Tax Lots'!$AA$6:$AA$205,'Tax Lots'!$B$6:$B$205,$B166,'Tax Lots'!$C$6:$C$205,$C166))&gt;1),"Lot realised gain differs","OK"))))))))))))</f>
        <v/>
      </c>
      <c r="AI166" s="89" t="str">
        <f aca="false">IF($B166="","",IFERROR(MATCH($B166,Accounts!$A$6:$A$55,0),""))</f>
        <v/>
      </c>
      <c r="AJ166" s="89" t="str">
        <f aca="false">IF($C166="","",IFERROR(MATCH($C166,Securities!$A$6:$A$105,0),""))</f>
        <v/>
      </c>
      <c r="AK166" s="89" t="str">
        <f aca="false">IF($AI166="","",INDEX(Accounts!$B$6:$B$55,$AI166)&amp;"")</f>
        <v/>
      </c>
      <c r="AL166" s="89" t="str">
        <f aca="false">IF(OR($C166="",$I166="",NOT(ISNUMBER($R166))),"",$I166&amp;"|"&amp;(SUMPRODUCT(($I$6:$I$205=$I166)*ISNUMBER($R$6:$R$205)*($R$6:$R$205&gt;$R166))+SUMPRODUCT(($I$6:$I166=$I166)*ISNUMBER($R$6:$R166)*($R$6:$R166=$R166))))</f>
        <v/>
      </c>
      <c r="AM166" s="89" t="n">
        <f aca="false">IF(AND(ISNUMBER($R166),$W166&lt;&gt;"",$Z166&lt;&gt;"",$AB166="XIRR"),$R166*$W166,0)</f>
        <v>0</v>
      </c>
      <c r="AN166" s="89" t="n">
        <f aca="false">IF(AND(ISNUMBER($R166),$W166&lt;&gt;"",$Z166&lt;&gt;"",$AB166="XIRR"),$R166,0)</f>
        <v>0</v>
      </c>
      <c r="AO166" s="89" t="n">
        <f aca="false">IF(AND(ISNUMBER($R166),$W166&lt;&gt;"",$Z166&lt;&gt;"",$AB166="XIRR"),$R166*$Z166,0)</f>
        <v>0</v>
      </c>
      <c r="AP166" s="89" t="n">
        <f aca="false">IF(AND(ISNUMBER($M166),$Y166&lt;&gt;"",ISNUMBER($T166)),$M166*$Y166,0)</f>
        <v>0</v>
      </c>
      <c r="AQ166" s="89" t="n">
        <f aca="false">IF(AND(ISNUMBER($M166),$Y166&lt;&gt;"",ISNUMBER($T166)),$M166,0)</f>
        <v>0</v>
      </c>
    </row>
    <row r="167" customFormat="false" ht="15" hidden="false" customHeight="false" outlineLevel="0" collapsed="false">
      <c r="A167" s="77"/>
      <c r="B167" s="78"/>
      <c r="C167" s="78"/>
      <c r="D167" s="79" t="str">
        <f aca="false">IF($AI167="","",INDEX(Accounts!$C$6:$C$55,$AI167)&amp;"")</f>
        <v/>
      </c>
      <c r="E167" s="79" t="str">
        <f aca="false">IF($AI167="","",INDEX(Accounts!$F$6:$F$55,$AI167)&amp;"")</f>
        <v/>
      </c>
      <c r="F167" s="79" t="str">
        <f aca="false">IF($AJ167="","",INDEX(Securities!$B$6:$B$105,$AJ167)&amp;"")</f>
        <v/>
      </c>
      <c r="G167" s="79" t="str">
        <f aca="false">IF($AJ167="","",INDEX(Securities!$F$6:$F$105,$AJ167)&amp;"")</f>
        <v/>
      </c>
      <c r="H167" s="79" t="str">
        <f aca="false">IF($AJ167="","",INDEX(Securities!$E$6:$E$105,$AJ167)&amp;"")</f>
        <v/>
      </c>
      <c r="I167" s="79" t="str">
        <f aca="false">IF($AJ167="","",INDEX(Securities!$H$6:$H$105,$AJ167)&amp;"")</f>
        <v/>
      </c>
      <c r="J167" s="80"/>
      <c r="K167" s="80"/>
      <c r="L167" s="81"/>
      <c r="M167" s="82"/>
      <c r="N167" s="83" t="str">
        <f aca="false">IF(OR($L167="",$M167=""),"",IF(N($L167)=0,"",$M167/$L167))</f>
        <v/>
      </c>
      <c r="O167" s="84" t="str">
        <f aca="false">IF($AJ167="","",IF(INDEX(Securities!$O$6:$O$105,$AJ167)="","",INDEX(Securities!$O$6:$O$105,$AJ167)))</f>
        <v/>
      </c>
      <c r="P167" s="79" t="str">
        <f aca="false">IF($AJ167="","",INDEX(Securities!$N$6:$N$105,$AJ167)&amp;"")</f>
        <v/>
      </c>
      <c r="Q167" s="82"/>
      <c r="R167" s="85" t="str">
        <f aca="false">IF($C167="","",IF($Q167&lt;&gt;"",$Q167,IF($P167="At cost",IF($M167="","",$M167),IF(OR($O167="",$L167=""),"",$L167*$O167))))</f>
        <v/>
      </c>
      <c r="S167" s="85" t="str">
        <f aca="false">IF(OR(NOT(ISNUMBER($R167)),$M167=""),"",$R167-$M167)</f>
        <v/>
      </c>
      <c r="T167" s="86" t="str">
        <f aca="false">IF(OR($S167="",N($M167)=0),"",$S167/$M167)</f>
        <v/>
      </c>
      <c r="U167" s="82"/>
      <c r="V167" s="82"/>
      <c r="W167" s="87"/>
      <c r="X167" s="79" t="str">
        <f aca="false">IF($AJ167="","",INDEX(Securities!$L$6:$L$105,$AJ167)&amp;"")</f>
        <v/>
      </c>
      <c r="Y167" s="87"/>
      <c r="Z167" s="87"/>
      <c r="AA167" s="86" t="str">
        <f aca="false">IF(OR($W167="",$Z167=""),"",$W167-$Z167)</f>
        <v/>
      </c>
      <c r="AB167" s="79" t="str">
        <f aca="false">IF($C167="","",IF($P167="At cost","At cost",IF(NOT(ISNUMBER($J167)),"No date",IF(ValDate-$J167&lt;365,"Absolute",IF($W167="","XIRR missing","XIRR")))))</f>
        <v/>
      </c>
      <c r="AC167" s="86" t="str">
        <f aca="false">IF(NOT(ISNUMBER($R167)),"",IF(SUM($R$6:$R$205)=0,"",$R167/SUM($R$6:$R$205)))</f>
        <v/>
      </c>
      <c r="AD167" s="82"/>
      <c r="AE167" s="80"/>
      <c r="AF167" s="78"/>
      <c r="AG167" s="88" t="str">
        <f aca="false">IF($C167="","",IF(COUNTIFS('Tax Lots'!$B$6:$B$205,$B167,'Tax Lots'!$C$6:$C$205,$C167)=0,"",SUMIFS('Tax Lots'!$P$6:$P$205,'Tax Lots'!$B$6:$B$205,$B167,'Tax Lots'!$C$6:$C$205,$C167)))</f>
        <v/>
      </c>
      <c r="AH167" s="79" t="str">
        <f aca="false">IF($A167&amp;$B167&amp;$C167="","",IF($A167="","Missing ID",IF(COUNTIF($A$6:$A$205,$A167)&gt;1,"Duplicate ID",IF($AI167="","Unknown account",IF($AJ167="","Unknown security",IF(COUNTIFS($B$6:$B$205,$B167,$C$6:$C$205,$C167)&gt;1,"Same security twice in one account",IF(AND(ISNUMBER($J167),ISNUMBER($K167),N($K167)&lt;N($J167)),"Last date before first",IF(NOT(ISNUMBER($R167)),"No market value",IF(OR(N($J167)&gt;ValDate,N($K167)&gt;ValDate),"Date after valuation",IF(AND(ISNUMBER($AG167),ABS(N($L167)-N($AG167))&gt;0.001),"Lot quantity differs",IF(AND(ISNUMBER($AG167),ABS(N($M167)-SUMIFS('Tax Lots'!$Q$6:$Q$205,'Tax Lots'!$B$6:$B$205,$B167,'Tax Lots'!$C$6:$C$205,$C167))&gt;1),"Lot cost differs",IF(AND(ISNUMBER($AG167),ABS(N($V167)-SUMIFS('Tax Lots'!$AA$6:$AA$205,'Tax Lots'!$B$6:$B$205,$B167,'Tax Lots'!$C$6:$C$205,$C167))&gt;1),"Lot realised gain differs","OK"))))))))))))</f>
        <v/>
      </c>
      <c r="AI167" s="89" t="str">
        <f aca="false">IF($B167="","",IFERROR(MATCH($B167,Accounts!$A$6:$A$55,0),""))</f>
        <v/>
      </c>
      <c r="AJ167" s="89" t="str">
        <f aca="false">IF($C167="","",IFERROR(MATCH($C167,Securities!$A$6:$A$105,0),""))</f>
        <v/>
      </c>
      <c r="AK167" s="89" t="str">
        <f aca="false">IF($AI167="","",INDEX(Accounts!$B$6:$B$55,$AI167)&amp;"")</f>
        <v/>
      </c>
      <c r="AL167" s="89" t="str">
        <f aca="false">IF(OR($C167="",$I167="",NOT(ISNUMBER($R167))),"",$I167&amp;"|"&amp;(SUMPRODUCT(($I$6:$I$205=$I167)*ISNUMBER($R$6:$R$205)*($R$6:$R$205&gt;$R167))+SUMPRODUCT(($I$6:$I167=$I167)*ISNUMBER($R$6:$R167)*($R$6:$R167=$R167))))</f>
        <v/>
      </c>
      <c r="AM167" s="89" t="n">
        <f aca="false">IF(AND(ISNUMBER($R167),$W167&lt;&gt;"",$Z167&lt;&gt;"",$AB167="XIRR"),$R167*$W167,0)</f>
        <v>0</v>
      </c>
      <c r="AN167" s="89" t="n">
        <f aca="false">IF(AND(ISNUMBER($R167),$W167&lt;&gt;"",$Z167&lt;&gt;"",$AB167="XIRR"),$R167,0)</f>
        <v>0</v>
      </c>
      <c r="AO167" s="89" t="n">
        <f aca="false">IF(AND(ISNUMBER($R167),$W167&lt;&gt;"",$Z167&lt;&gt;"",$AB167="XIRR"),$R167*$Z167,0)</f>
        <v>0</v>
      </c>
      <c r="AP167" s="89" t="n">
        <f aca="false">IF(AND(ISNUMBER($M167),$Y167&lt;&gt;"",ISNUMBER($T167)),$M167*$Y167,0)</f>
        <v>0</v>
      </c>
      <c r="AQ167" s="89" t="n">
        <f aca="false">IF(AND(ISNUMBER($M167),$Y167&lt;&gt;"",ISNUMBER($T167)),$M167,0)</f>
        <v>0</v>
      </c>
    </row>
    <row r="168" customFormat="false" ht="15" hidden="false" customHeight="false" outlineLevel="0" collapsed="false">
      <c r="A168" s="77"/>
      <c r="B168" s="78"/>
      <c r="C168" s="78"/>
      <c r="D168" s="79" t="str">
        <f aca="false">IF($AI168="","",INDEX(Accounts!$C$6:$C$55,$AI168)&amp;"")</f>
        <v/>
      </c>
      <c r="E168" s="79" t="str">
        <f aca="false">IF($AI168="","",INDEX(Accounts!$F$6:$F$55,$AI168)&amp;"")</f>
        <v/>
      </c>
      <c r="F168" s="79" t="str">
        <f aca="false">IF($AJ168="","",INDEX(Securities!$B$6:$B$105,$AJ168)&amp;"")</f>
        <v/>
      </c>
      <c r="G168" s="79" t="str">
        <f aca="false">IF($AJ168="","",INDEX(Securities!$F$6:$F$105,$AJ168)&amp;"")</f>
        <v/>
      </c>
      <c r="H168" s="79" t="str">
        <f aca="false">IF($AJ168="","",INDEX(Securities!$E$6:$E$105,$AJ168)&amp;"")</f>
        <v/>
      </c>
      <c r="I168" s="79" t="str">
        <f aca="false">IF($AJ168="","",INDEX(Securities!$H$6:$H$105,$AJ168)&amp;"")</f>
        <v/>
      </c>
      <c r="J168" s="80"/>
      <c r="K168" s="80"/>
      <c r="L168" s="81"/>
      <c r="M168" s="82"/>
      <c r="N168" s="83" t="str">
        <f aca="false">IF(OR($L168="",$M168=""),"",IF(N($L168)=0,"",$M168/$L168))</f>
        <v/>
      </c>
      <c r="O168" s="84" t="str">
        <f aca="false">IF($AJ168="","",IF(INDEX(Securities!$O$6:$O$105,$AJ168)="","",INDEX(Securities!$O$6:$O$105,$AJ168)))</f>
        <v/>
      </c>
      <c r="P168" s="79" t="str">
        <f aca="false">IF($AJ168="","",INDEX(Securities!$N$6:$N$105,$AJ168)&amp;"")</f>
        <v/>
      </c>
      <c r="Q168" s="82"/>
      <c r="R168" s="85" t="str">
        <f aca="false">IF($C168="","",IF($Q168&lt;&gt;"",$Q168,IF($P168="At cost",IF($M168="","",$M168),IF(OR($O168="",$L168=""),"",$L168*$O168))))</f>
        <v/>
      </c>
      <c r="S168" s="85" t="str">
        <f aca="false">IF(OR(NOT(ISNUMBER($R168)),$M168=""),"",$R168-$M168)</f>
        <v/>
      </c>
      <c r="T168" s="86" t="str">
        <f aca="false">IF(OR($S168="",N($M168)=0),"",$S168/$M168)</f>
        <v/>
      </c>
      <c r="U168" s="82"/>
      <c r="V168" s="82"/>
      <c r="W168" s="87"/>
      <c r="X168" s="79" t="str">
        <f aca="false">IF($AJ168="","",INDEX(Securities!$L$6:$L$105,$AJ168)&amp;"")</f>
        <v/>
      </c>
      <c r="Y168" s="87"/>
      <c r="Z168" s="87"/>
      <c r="AA168" s="86" t="str">
        <f aca="false">IF(OR($W168="",$Z168=""),"",$W168-$Z168)</f>
        <v/>
      </c>
      <c r="AB168" s="79" t="str">
        <f aca="false">IF($C168="","",IF($P168="At cost","At cost",IF(NOT(ISNUMBER($J168)),"No date",IF(ValDate-$J168&lt;365,"Absolute",IF($W168="","XIRR missing","XIRR")))))</f>
        <v/>
      </c>
      <c r="AC168" s="86" t="str">
        <f aca="false">IF(NOT(ISNUMBER($R168)),"",IF(SUM($R$6:$R$205)=0,"",$R168/SUM($R$6:$R$205)))</f>
        <v/>
      </c>
      <c r="AD168" s="82"/>
      <c r="AE168" s="80"/>
      <c r="AF168" s="78"/>
      <c r="AG168" s="88" t="str">
        <f aca="false">IF($C168="","",IF(COUNTIFS('Tax Lots'!$B$6:$B$205,$B168,'Tax Lots'!$C$6:$C$205,$C168)=0,"",SUMIFS('Tax Lots'!$P$6:$P$205,'Tax Lots'!$B$6:$B$205,$B168,'Tax Lots'!$C$6:$C$205,$C168)))</f>
        <v/>
      </c>
      <c r="AH168" s="79" t="str">
        <f aca="false">IF($A168&amp;$B168&amp;$C168="","",IF($A168="","Missing ID",IF(COUNTIF($A$6:$A$205,$A168)&gt;1,"Duplicate ID",IF($AI168="","Unknown account",IF($AJ168="","Unknown security",IF(COUNTIFS($B$6:$B$205,$B168,$C$6:$C$205,$C168)&gt;1,"Same security twice in one account",IF(AND(ISNUMBER($J168),ISNUMBER($K168),N($K168)&lt;N($J168)),"Last date before first",IF(NOT(ISNUMBER($R168)),"No market value",IF(OR(N($J168)&gt;ValDate,N($K168)&gt;ValDate),"Date after valuation",IF(AND(ISNUMBER($AG168),ABS(N($L168)-N($AG168))&gt;0.001),"Lot quantity differs",IF(AND(ISNUMBER($AG168),ABS(N($M168)-SUMIFS('Tax Lots'!$Q$6:$Q$205,'Tax Lots'!$B$6:$B$205,$B168,'Tax Lots'!$C$6:$C$205,$C168))&gt;1),"Lot cost differs",IF(AND(ISNUMBER($AG168),ABS(N($V168)-SUMIFS('Tax Lots'!$AA$6:$AA$205,'Tax Lots'!$B$6:$B$205,$B168,'Tax Lots'!$C$6:$C$205,$C168))&gt;1),"Lot realised gain differs","OK"))))))))))))</f>
        <v/>
      </c>
      <c r="AI168" s="89" t="str">
        <f aca="false">IF($B168="","",IFERROR(MATCH($B168,Accounts!$A$6:$A$55,0),""))</f>
        <v/>
      </c>
      <c r="AJ168" s="89" t="str">
        <f aca="false">IF($C168="","",IFERROR(MATCH($C168,Securities!$A$6:$A$105,0),""))</f>
        <v/>
      </c>
      <c r="AK168" s="89" t="str">
        <f aca="false">IF($AI168="","",INDEX(Accounts!$B$6:$B$55,$AI168)&amp;"")</f>
        <v/>
      </c>
      <c r="AL168" s="89" t="str">
        <f aca="false">IF(OR($C168="",$I168="",NOT(ISNUMBER($R168))),"",$I168&amp;"|"&amp;(SUMPRODUCT(($I$6:$I$205=$I168)*ISNUMBER($R$6:$R$205)*($R$6:$R$205&gt;$R168))+SUMPRODUCT(($I$6:$I168=$I168)*ISNUMBER($R$6:$R168)*($R$6:$R168=$R168))))</f>
        <v/>
      </c>
      <c r="AM168" s="89" t="n">
        <f aca="false">IF(AND(ISNUMBER($R168),$W168&lt;&gt;"",$Z168&lt;&gt;"",$AB168="XIRR"),$R168*$W168,0)</f>
        <v>0</v>
      </c>
      <c r="AN168" s="89" t="n">
        <f aca="false">IF(AND(ISNUMBER($R168),$W168&lt;&gt;"",$Z168&lt;&gt;"",$AB168="XIRR"),$R168,0)</f>
        <v>0</v>
      </c>
      <c r="AO168" s="89" t="n">
        <f aca="false">IF(AND(ISNUMBER($R168),$W168&lt;&gt;"",$Z168&lt;&gt;"",$AB168="XIRR"),$R168*$Z168,0)</f>
        <v>0</v>
      </c>
      <c r="AP168" s="89" t="n">
        <f aca="false">IF(AND(ISNUMBER($M168),$Y168&lt;&gt;"",ISNUMBER($T168)),$M168*$Y168,0)</f>
        <v>0</v>
      </c>
      <c r="AQ168" s="89" t="n">
        <f aca="false">IF(AND(ISNUMBER($M168),$Y168&lt;&gt;"",ISNUMBER($T168)),$M168,0)</f>
        <v>0</v>
      </c>
    </row>
    <row r="169" customFormat="false" ht="15" hidden="false" customHeight="false" outlineLevel="0" collapsed="false">
      <c r="A169" s="77"/>
      <c r="B169" s="78"/>
      <c r="C169" s="78"/>
      <c r="D169" s="79" t="str">
        <f aca="false">IF($AI169="","",INDEX(Accounts!$C$6:$C$55,$AI169)&amp;"")</f>
        <v/>
      </c>
      <c r="E169" s="79" t="str">
        <f aca="false">IF($AI169="","",INDEX(Accounts!$F$6:$F$55,$AI169)&amp;"")</f>
        <v/>
      </c>
      <c r="F169" s="79" t="str">
        <f aca="false">IF($AJ169="","",INDEX(Securities!$B$6:$B$105,$AJ169)&amp;"")</f>
        <v/>
      </c>
      <c r="G169" s="79" t="str">
        <f aca="false">IF($AJ169="","",INDEX(Securities!$F$6:$F$105,$AJ169)&amp;"")</f>
        <v/>
      </c>
      <c r="H169" s="79" t="str">
        <f aca="false">IF($AJ169="","",INDEX(Securities!$E$6:$E$105,$AJ169)&amp;"")</f>
        <v/>
      </c>
      <c r="I169" s="79" t="str">
        <f aca="false">IF($AJ169="","",INDEX(Securities!$H$6:$H$105,$AJ169)&amp;"")</f>
        <v/>
      </c>
      <c r="J169" s="80"/>
      <c r="K169" s="80"/>
      <c r="L169" s="81"/>
      <c r="M169" s="82"/>
      <c r="N169" s="83" t="str">
        <f aca="false">IF(OR($L169="",$M169=""),"",IF(N($L169)=0,"",$M169/$L169))</f>
        <v/>
      </c>
      <c r="O169" s="84" t="str">
        <f aca="false">IF($AJ169="","",IF(INDEX(Securities!$O$6:$O$105,$AJ169)="","",INDEX(Securities!$O$6:$O$105,$AJ169)))</f>
        <v/>
      </c>
      <c r="P169" s="79" t="str">
        <f aca="false">IF($AJ169="","",INDEX(Securities!$N$6:$N$105,$AJ169)&amp;"")</f>
        <v/>
      </c>
      <c r="Q169" s="82"/>
      <c r="R169" s="85" t="str">
        <f aca="false">IF($C169="","",IF($Q169&lt;&gt;"",$Q169,IF($P169="At cost",IF($M169="","",$M169),IF(OR($O169="",$L169=""),"",$L169*$O169))))</f>
        <v/>
      </c>
      <c r="S169" s="85" t="str">
        <f aca="false">IF(OR(NOT(ISNUMBER($R169)),$M169=""),"",$R169-$M169)</f>
        <v/>
      </c>
      <c r="T169" s="86" t="str">
        <f aca="false">IF(OR($S169="",N($M169)=0),"",$S169/$M169)</f>
        <v/>
      </c>
      <c r="U169" s="82"/>
      <c r="V169" s="82"/>
      <c r="W169" s="87"/>
      <c r="X169" s="79" t="str">
        <f aca="false">IF($AJ169="","",INDEX(Securities!$L$6:$L$105,$AJ169)&amp;"")</f>
        <v/>
      </c>
      <c r="Y169" s="87"/>
      <c r="Z169" s="87"/>
      <c r="AA169" s="86" t="str">
        <f aca="false">IF(OR($W169="",$Z169=""),"",$W169-$Z169)</f>
        <v/>
      </c>
      <c r="AB169" s="79" t="str">
        <f aca="false">IF($C169="","",IF($P169="At cost","At cost",IF(NOT(ISNUMBER($J169)),"No date",IF(ValDate-$J169&lt;365,"Absolute",IF($W169="","XIRR missing","XIRR")))))</f>
        <v/>
      </c>
      <c r="AC169" s="86" t="str">
        <f aca="false">IF(NOT(ISNUMBER($R169)),"",IF(SUM($R$6:$R$205)=0,"",$R169/SUM($R$6:$R$205)))</f>
        <v/>
      </c>
      <c r="AD169" s="82"/>
      <c r="AE169" s="80"/>
      <c r="AF169" s="78"/>
      <c r="AG169" s="88" t="str">
        <f aca="false">IF($C169="","",IF(COUNTIFS('Tax Lots'!$B$6:$B$205,$B169,'Tax Lots'!$C$6:$C$205,$C169)=0,"",SUMIFS('Tax Lots'!$P$6:$P$205,'Tax Lots'!$B$6:$B$205,$B169,'Tax Lots'!$C$6:$C$205,$C169)))</f>
        <v/>
      </c>
      <c r="AH169" s="79" t="str">
        <f aca="false">IF($A169&amp;$B169&amp;$C169="","",IF($A169="","Missing ID",IF(COUNTIF($A$6:$A$205,$A169)&gt;1,"Duplicate ID",IF($AI169="","Unknown account",IF($AJ169="","Unknown security",IF(COUNTIFS($B$6:$B$205,$B169,$C$6:$C$205,$C169)&gt;1,"Same security twice in one account",IF(AND(ISNUMBER($J169),ISNUMBER($K169),N($K169)&lt;N($J169)),"Last date before first",IF(NOT(ISNUMBER($R169)),"No market value",IF(OR(N($J169)&gt;ValDate,N($K169)&gt;ValDate),"Date after valuation",IF(AND(ISNUMBER($AG169),ABS(N($L169)-N($AG169))&gt;0.001),"Lot quantity differs",IF(AND(ISNUMBER($AG169),ABS(N($M169)-SUMIFS('Tax Lots'!$Q$6:$Q$205,'Tax Lots'!$B$6:$B$205,$B169,'Tax Lots'!$C$6:$C$205,$C169))&gt;1),"Lot cost differs",IF(AND(ISNUMBER($AG169),ABS(N($V169)-SUMIFS('Tax Lots'!$AA$6:$AA$205,'Tax Lots'!$B$6:$B$205,$B169,'Tax Lots'!$C$6:$C$205,$C169))&gt;1),"Lot realised gain differs","OK"))))))))))))</f>
        <v/>
      </c>
      <c r="AI169" s="89" t="str">
        <f aca="false">IF($B169="","",IFERROR(MATCH($B169,Accounts!$A$6:$A$55,0),""))</f>
        <v/>
      </c>
      <c r="AJ169" s="89" t="str">
        <f aca="false">IF($C169="","",IFERROR(MATCH($C169,Securities!$A$6:$A$105,0),""))</f>
        <v/>
      </c>
      <c r="AK169" s="89" t="str">
        <f aca="false">IF($AI169="","",INDEX(Accounts!$B$6:$B$55,$AI169)&amp;"")</f>
        <v/>
      </c>
      <c r="AL169" s="89" t="str">
        <f aca="false">IF(OR($C169="",$I169="",NOT(ISNUMBER($R169))),"",$I169&amp;"|"&amp;(SUMPRODUCT(($I$6:$I$205=$I169)*ISNUMBER($R$6:$R$205)*($R$6:$R$205&gt;$R169))+SUMPRODUCT(($I$6:$I169=$I169)*ISNUMBER($R$6:$R169)*($R$6:$R169=$R169))))</f>
        <v/>
      </c>
      <c r="AM169" s="89" t="n">
        <f aca="false">IF(AND(ISNUMBER($R169),$W169&lt;&gt;"",$Z169&lt;&gt;"",$AB169="XIRR"),$R169*$W169,0)</f>
        <v>0</v>
      </c>
      <c r="AN169" s="89" t="n">
        <f aca="false">IF(AND(ISNUMBER($R169),$W169&lt;&gt;"",$Z169&lt;&gt;"",$AB169="XIRR"),$R169,0)</f>
        <v>0</v>
      </c>
      <c r="AO169" s="89" t="n">
        <f aca="false">IF(AND(ISNUMBER($R169),$W169&lt;&gt;"",$Z169&lt;&gt;"",$AB169="XIRR"),$R169*$Z169,0)</f>
        <v>0</v>
      </c>
      <c r="AP169" s="89" t="n">
        <f aca="false">IF(AND(ISNUMBER($M169),$Y169&lt;&gt;"",ISNUMBER($T169)),$M169*$Y169,0)</f>
        <v>0</v>
      </c>
      <c r="AQ169" s="89" t="n">
        <f aca="false">IF(AND(ISNUMBER($M169),$Y169&lt;&gt;"",ISNUMBER($T169)),$M169,0)</f>
        <v>0</v>
      </c>
    </row>
    <row r="170" customFormat="false" ht="15" hidden="false" customHeight="false" outlineLevel="0" collapsed="false">
      <c r="A170" s="77"/>
      <c r="B170" s="78"/>
      <c r="C170" s="78"/>
      <c r="D170" s="79" t="str">
        <f aca="false">IF($AI170="","",INDEX(Accounts!$C$6:$C$55,$AI170)&amp;"")</f>
        <v/>
      </c>
      <c r="E170" s="79" t="str">
        <f aca="false">IF($AI170="","",INDEX(Accounts!$F$6:$F$55,$AI170)&amp;"")</f>
        <v/>
      </c>
      <c r="F170" s="79" t="str">
        <f aca="false">IF($AJ170="","",INDEX(Securities!$B$6:$B$105,$AJ170)&amp;"")</f>
        <v/>
      </c>
      <c r="G170" s="79" t="str">
        <f aca="false">IF($AJ170="","",INDEX(Securities!$F$6:$F$105,$AJ170)&amp;"")</f>
        <v/>
      </c>
      <c r="H170" s="79" t="str">
        <f aca="false">IF($AJ170="","",INDEX(Securities!$E$6:$E$105,$AJ170)&amp;"")</f>
        <v/>
      </c>
      <c r="I170" s="79" t="str">
        <f aca="false">IF($AJ170="","",INDEX(Securities!$H$6:$H$105,$AJ170)&amp;"")</f>
        <v/>
      </c>
      <c r="J170" s="80"/>
      <c r="K170" s="80"/>
      <c r="L170" s="81"/>
      <c r="M170" s="82"/>
      <c r="N170" s="83" t="str">
        <f aca="false">IF(OR($L170="",$M170=""),"",IF(N($L170)=0,"",$M170/$L170))</f>
        <v/>
      </c>
      <c r="O170" s="84" t="str">
        <f aca="false">IF($AJ170="","",IF(INDEX(Securities!$O$6:$O$105,$AJ170)="","",INDEX(Securities!$O$6:$O$105,$AJ170)))</f>
        <v/>
      </c>
      <c r="P170" s="79" t="str">
        <f aca="false">IF($AJ170="","",INDEX(Securities!$N$6:$N$105,$AJ170)&amp;"")</f>
        <v/>
      </c>
      <c r="Q170" s="82"/>
      <c r="R170" s="85" t="str">
        <f aca="false">IF($C170="","",IF($Q170&lt;&gt;"",$Q170,IF($P170="At cost",IF($M170="","",$M170),IF(OR($O170="",$L170=""),"",$L170*$O170))))</f>
        <v/>
      </c>
      <c r="S170" s="85" t="str">
        <f aca="false">IF(OR(NOT(ISNUMBER($R170)),$M170=""),"",$R170-$M170)</f>
        <v/>
      </c>
      <c r="T170" s="86" t="str">
        <f aca="false">IF(OR($S170="",N($M170)=0),"",$S170/$M170)</f>
        <v/>
      </c>
      <c r="U170" s="82"/>
      <c r="V170" s="82"/>
      <c r="W170" s="87"/>
      <c r="X170" s="79" t="str">
        <f aca="false">IF($AJ170="","",INDEX(Securities!$L$6:$L$105,$AJ170)&amp;"")</f>
        <v/>
      </c>
      <c r="Y170" s="87"/>
      <c r="Z170" s="87"/>
      <c r="AA170" s="86" t="str">
        <f aca="false">IF(OR($W170="",$Z170=""),"",$W170-$Z170)</f>
        <v/>
      </c>
      <c r="AB170" s="79" t="str">
        <f aca="false">IF($C170="","",IF($P170="At cost","At cost",IF(NOT(ISNUMBER($J170)),"No date",IF(ValDate-$J170&lt;365,"Absolute",IF($W170="","XIRR missing","XIRR")))))</f>
        <v/>
      </c>
      <c r="AC170" s="86" t="str">
        <f aca="false">IF(NOT(ISNUMBER($R170)),"",IF(SUM($R$6:$R$205)=0,"",$R170/SUM($R$6:$R$205)))</f>
        <v/>
      </c>
      <c r="AD170" s="82"/>
      <c r="AE170" s="80"/>
      <c r="AF170" s="78"/>
      <c r="AG170" s="88" t="str">
        <f aca="false">IF($C170="","",IF(COUNTIFS('Tax Lots'!$B$6:$B$205,$B170,'Tax Lots'!$C$6:$C$205,$C170)=0,"",SUMIFS('Tax Lots'!$P$6:$P$205,'Tax Lots'!$B$6:$B$205,$B170,'Tax Lots'!$C$6:$C$205,$C170)))</f>
        <v/>
      </c>
      <c r="AH170" s="79" t="str">
        <f aca="false">IF($A170&amp;$B170&amp;$C170="","",IF($A170="","Missing ID",IF(COUNTIF($A$6:$A$205,$A170)&gt;1,"Duplicate ID",IF($AI170="","Unknown account",IF($AJ170="","Unknown security",IF(COUNTIFS($B$6:$B$205,$B170,$C$6:$C$205,$C170)&gt;1,"Same security twice in one account",IF(AND(ISNUMBER($J170),ISNUMBER($K170),N($K170)&lt;N($J170)),"Last date before first",IF(NOT(ISNUMBER($R170)),"No market value",IF(OR(N($J170)&gt;ValDate,N($K170)&gt;ValDate),"Date after valuation",IF(AND(ISNUMBER($AG170),ABS(N($L170)-N($AG170))&gt;0.001),"Lot quantity differs",IF(AND(ISNUMBER($AG170),ABS(N($M170)-SUMIFS('Tax Lots'!$Q$6:$Q$205,'Tax Lots'!$B$6:$B$205,$B170,'Tax Lots'!$C$6:$C$205,$C170))&gt;1),"Lot cost differs",IF(AND(ISNUMBER($AG170),ABS(N($V170)-SUMIFS('Tax Lots'!$AA$6:$AA$205,'Tax Lots'!$B$6:$B$205,$B170,'Tax Lots'!$C$6:$C$205,$C170))&gt;1),"Lot realised gain differs","OK"))))))))))))</f>
        <v/>
      </c>
      <c r="AI170" s="89" t="str">
        <f aca="false">IF($B170="","",IFERROR(MATCH($B170,Accounts!$A$6:$A$55,0),""))</f>
        <v/>
      </c>
      <c r="AJ170" s="89" t="str">
        <f aca="false">IF($C170="","",IFERROR(MATCH($C170,Securities!$A$6:$A$105,0),""))</f>
        <v/>
      </c>
      <c r="AK170" s="89" t="str">
        <f aca="false">IF($AI170="","",INDEX(Accounts!$B$6:$B$55,$AI170)&amp;"")</f>
        <v/>
      </c>
      <c r="AL170" s="89" t="str">
        <f aca="false">IF(OR($C170="",$I170="",NOT(ISNUMBER($R170))),"",$I170&amp;"|"&amp;(SUMPRODUCT(($I$6:$I$205=$I170)*ISNUMBER($R$6:$R$205)*($R$6:$R$205&gt;$R170))+SUMPRODUCT(($I$6:$I170=$I170)*ISNUMBER($R$6:$R170)*($R$6:$R170=$R170))))</f>
        <v/>
      </c>
      <c r="AM170" s="89" t="n">
        <f aca="false">IF(AND(ISNUMBER($R170),$W170&lt;&gt;"",$Z170&lt;&gt;"",$AB170="XIRR"),$R170*$W170,0)</f>
        <v>0</v>
      </c>
      <c r="AN170" s="89" t="n">
        <f aca="false">IF(AND(ISNUMBER($R170),$W170&lt;&gt;"",$Z170&lt;&gt;"",$AB170="XIRR"),$R170,0)</f>
        <v>0</v>
      </c>
      <c r="AO170" s="89" t="n">
        <f aca="false">IF(AND(ISNUMBER($R170),$W170&lt;&gt;"",$Z170&lt;&gt;"",$AB170="XIRR"),$R170*$Z170,0)</f>
        <v>0</v>
      </c>
      <c r="AP170" s="89" t="n">
        <f aca="false">IF(AND(ISNUMBER($M170),$Y170&lt;&gt;"",ISNUMBER($T170)),$M170*$Y170,0)</f>
        <v>0</v>
      </c>
      <c r="AQ170" s="89" t="n">
        <f aca="false">IF(AND(ISNUMBER($M170),$Y170&lt;&gt;"",ISNUMBER($T170)),$M170,0)</f>
        <v>0</v>
      </c>
    </row>
    <row r="171" customFormat="false" ht="15" hidden="false" customHeight="false" outlineLevel="0" collapsed="false">
      <c r="A171" s="77"/>
      <c r="B171" s="78"/>
      <c r="C171" s="78"/>
      <c r="D171" s="79" t="str">
        <f aca="false">IF($AI171="","",INDEX(Accounts!$C$6:$C$55,$AI171)&amp;"")</f>
        <v/>
      </c>
      <c r="E171" s="79" t="str">
        <f aca="false">IF($AI171="","",INDEX(Accounts!$F$6:$F$55,$AI171)&amp;"")</f>
        <v/>
      </c>
      <c r="F171" s="79" t="str">
        <f aca="false">IF($AJ171="","",INDEX(Securities!$B$6:$B$105,$AJ171)&amp;"")</f>
        <v/>
      </c>
      <c r="G171" s="79" t="str">
        <f aca="false">IF($AJ171="","",INDEX(Securities!$F$6:$F$105,$AJ171)&amp;"")</f>
        <v/>
      </c>
      <c r="H171" s="79" t="str">
        <f aca="false">IF($AJ171="","",INDEX(Securities!$E$6:$E$105,$AJ171)&amp;"")</f>
        <v/>
      </c>
      <c r="I171" s="79" t="str">
        <f aca="false">IF($AJ171="","",INDEX(Securities!$H$6:$H$105,$AJ171)&amp;"")</f>
        <v/>
      </c>
      <c r="J171" s="80"/>
      <c r="K171" s="80"/>
      <c r="L171" s="81"/>
      <c r="M171" s="82"/>
      <c r="N171" s="83" t="str">
        <f aca="false">IF(OR($L171="",$M171=""),"",IF(N($L171)=0,"",$M171/$L171))</f>
        <v/>
      </c>
      <c r="O171" s="84" t="str">
        <f aca="false">IF($AJ171="","",IF(INDEX(Securities!$O$6:$O$105,$AJ171)="","",INDEX(Securities!$O$6:$O$105,$AJ171)))</f>
        <v/>
      </c>
      <c r="P171" s="79" t="str">
        <f aca="false">IF($AJ171="","",INDEX(Securities!$N$6:$N$105,$AJ171)&amp;"")</f>
        <v/>
      </c>
      <c r="Q171" s="82"/>
      <c r="R171" s="85" t="str">
        <f aca="false">IF($C171="","",IF($Q171&lt;&gt;"",$Q171,IF($P171="At cost",IF($M171="","",$M171),IF(OR($O171="",$L171=""),"",$L171*$O171))))</f>
        <v/>
      </c>
      <c r="S171" s="85" t="str">
        <f aca="false">IF(OR(NOT(ISNUMBER($R171)),$M171=""),"",$R171-$M171)</f>
        <v/>
      </c>
      <c r="T171" s="86" t="str">
        <f aca="false">IF(OR($S171="",N($M171)=0),"",$S171/$M171)</f>
        <v/>
      </c>
      <c r="U171" s="82"/>
      <c r="V171" s="82"/>
      <c r="W171" s="87"/>
      <c r="X171" s="79" t="str">
        <f aca="false">IF($AJ171="","",INDEX(Securities!$L$6:$L$105,$AJ171)&amp;"")</f>
        <v/>
      </c>
      <c r="Y171" s="87"/>
      <c r="Z171" s="87"/>
      <c r="AA171" s="86" t="str">
        <f aca="false">IF(OR($W171="",$Z171=""),"",$W171-$Z171)</f>
        <v/>
      </c>
      <c r="AB171" s="79" t="str">
        <f aca="false">IF($C171="","",IF($P171="At cost","At cost",IF(NOT(ISNUMBER($J171)),"No date",IF(ValDate-$J171&lt;365,"Absolute",IF($W171="","XIRR missing","XIRR")))))</f>
        <v/>
      </c>
      <c r="AC171" s="86" t="str">
        <f aca="false">IF(NOT(ISNUMBER($R171)),"",IF(SUM($R$6:$R$205)=0,"",$R171/SUM($R$6:$R$205)))</f>
        <v/>
      </c>
      <c r="AD171" s="82"/>
      <c r="AE171" s="80"/>
      <c r="AF171" s="78"/>
      <c r="AG171" s="88" t="str">
        <f aca="false">IF($C171="","",IF(COUNTIFS('Tax Lots'!$B$6:$B$205,$B171,'Tax Lots'!$C$6:$C$205,$C171)=0,"",SUMIFS('Tax Lots'!$P$6:$P$205,'Tax Lots'!$B$6:$B$205,$B171,'Tax Lots'!$C$6:$C$205,$C171)))</f>
        <v/>
      </c>
      <c r="AH171" s="79" t="str">
        <f aca="false">IF($A171&amp;$B171&amp;$C171="","",IF($A171="","Missing ID",IF(COUNTIF($A$6:$A$205,$A171)&gt;1,"Duplicate ID",IF($AI171="","Unknown account",IF($AJ171="","Unknown security",IF(COUNTIFS($B$6:$B$205,$B171,$C$6:$C$205,$C171)&gt;1,"Same security twice in one account",IF(AND(ISNUMBER($J171),ISNUMBER($K171),N($K171)&lt;N($J171)),"Last date before first",IF(NOT(ISNUMBER($R171)),"No market value",IF(OR(N($J171)&gt;ValDate,N($K171)&gt;ValDate),"Date after valuation",IF(AND(ISNUMBER($AG171),ABS(N($L171)-N($AG171))&gt;0.001),"Lot quantity differs",IF(AND(ISNUMBER($AG171),ABS(N($M171)-SUMIFS('Tax Lots'!$Q$6:$Q$205,'Tax Lots'!$B$6:$B$205,$B171,'Tax Lots'!$C$6:$C$205,$C171))&gt;1),"Lot cost differs",IF(AND(ISNUMBER($AG171),ABS(N($V171)-SUMIFS('Tax Lots'!$AA$6:$AA$205,'Tax Lots'!$B$6:$B$205,$B171,'Tax Lots'!$C$6:$C$205,$C171))&gt;1),"Lot realised gain differs","OK"))))))))))))</f>
        <v/>
      </c>
      <c r="AI171" s="89" t="str">
        <f aca="false">IF($B171="","",IFERROR(MATCH($B171,Accounts!$A$6:$A$55,0),""))</f>
        <v/>
      </c>
      <c r="AJ171" s="89" t="str">
        <f aca="false">IF($C171="","",IFERROR(MATCH($C171,Securities!$A$6:$A$105,0),""))</f>
        <v/>
      </c>
      <c r="AK171" s="89" t="str">
        <f aca="false">IF($AI171="","",INDEX(Accounts!$B$6:$B$55,$AI171)&amp;"")</f>
        <v/>
      </c>
      <c r="AL171" s="89" t="str">
        <f aca="false">IF(OR($C171="",$I171="",NOT(ISNUMBER($R171))),"",$I171&amp;"|"&amp;(SUMPRODUCT(($I$6:$I$205=$I171)*ISNUMBER($R$6:$R$205)*($R$6:$R$205&gt;$R171))+SUMPRODUCT(($I$6:$I171=$I171)*ISNUMBER($R$6:$R171)*($R$6:$R171=$R171))))</f>
        <v/>
      </c>
      <c r="AM171" s="89" t="n">
        <f aca="false">IF(AND(ISNUMBER($R171),$W171&lt;&gt;"",$Z171&lt;&gt;"",$AB171="XIRR"),$R171*$W171,0)</f>
        <v>0</v>
      </c>
      <c r="AN171" s="89" t="n">
        <f aca="false">IF(AND(ISNUMBER($R171),$W171&lt;&gt;"",$Z171&lt;&gt;"",$AB171="XIRR"),$R171,0)</f>
        <v>0</v>
      </c>
      <c r="AO171" s="89" t="n">
        <f aca="false">IF(AND(ISNUMBER($R171),$W171&lt;&gt;"",$Z171&lt;&gt;"",$AB171="XIRR"),$R171*$Z171,0)</f>
        <v>0</v>
      </c>
      <c r="AP171" s="89" t="n">
        <f aca="false">IF(AND(ISNUMBER($M171),$Y171&lt;&gt;"",ISNUMBER($T171)),$M171*$Y171,0)</f>
        <v>0</v>
      </c>
      <c r="AQ171" s="89" t="n">
        <f aca="false">IF(AND(ISNUMBER($M171),$Y171&lt;&gt;"",ISNUMBER($T171)),$M171,0)</f>
        <v>0</v>
      </c>
    </row>
    <row r="172" customFormat="false" ht="15" hidden="false" customHeight="false" outlineLevel="0" collapsed="false">
      <c r="A172" s="77"/>
      <c r="B172" s="78"/>
      <c r="C172" s="78"/>
      <c r="D172" s="79" t="str">
        <f aca="false">IF($AI172="","",INDEX(Accounts!$C$6:$C$55,$AI172)&amp;"")</f>
        <v/>
      </c>
      <c r="E172" s="79" t="str">
        <f aca="false">IF($AI172="","",INDEX(Accounts!$F$6:$F$55,$AI172)&amp;"")</f>
        <v/>
      </c>
      <c r="F172" s="79" t="str">
        <f aca="false">IF($AJ172="","",INDEX(Securities!$B$6:$B$105,$AJ172)&amp;"")</f>
        <v/>
      </c>
      <c r="G172" s="79" t="str">
        <f aca="false">IF($AJ172="","",INDEX(Securities!$F$6:$F$105,$AJ172)&amp;"")</f>
        <v/>
      </c>
      <c r="H172" s="79" t="str">
        <f aca="false">IF($AJ172="","",INDEX(Securities!$E$6:$E$105,$AJ172)&amp;"")</f>
        <v/>
      </c>
      <c r="I172" s="79" t="str">
        <f aca="false">IF($AJ172="","",INDEX(Securities!$H$6:$H$105,$AJ172)&amp;"")</f>
        <v/>
      </c>
      <c r="J172" s="80"/>
      <c r="K172" s="80"/>
      <c r="L172" s="81"/>
      <c r="M172" s="82"/>
      <c r="N172" s="83" t="str">
        <f aca="false">IF(OR($L172="",$M172=""),"",IF(N($L172)=0,"",$M172/$L172))</f>
        <v/>
      </c>
      <c r="O172" s="84" t="str">
        <f aca="false">IF($AJ172="","",IF(INDEX(Securities!$O$6:$O$105,$AJ172)="","",INDEX(Securities!$O$6:$O$105,$AJ172)))</f>
        <v/>
      </c>
      <c r="P172" s="79" t="str">
        <f aca="false">IF($AJ172="","",INDEX(Securities!$N$6:$N$105,$AJ172)&amp;"")</f>
        <v/>
      </c>
      <c r="Q172" s="82"/>
      <c r="R172" s="85" t="str">
        <f aca="false">IF($C172="","",IF($Q172&lt;&gt;"",$Q172,IF($P172="At cost",IF($M172="","",$M172),IF(OR($O172="",$L172=""),"",$L172*$O172))))</f>
        <v/>
      </c>
      <c r="S172" s="85" t="str">
        <f aca="false">IF(OR(NOT(ISNUMBER($R172)),$M172=""),"",$R172-$M172)</f>
        <v/>
      </c>
      <c r="T172" s="86" t="str">
        <f aca="false">IF(OR($S172="",N($M172)=0),"",$S172/$M172)</f>
        <v/>
      </c>
      <c r="U172" s="82"/>
      <c r="V172" s="82"/>
      <c r="W172" s="87"/>
      <c r="X172" s="79" t="str">
        <f aca="false">IF($AJ172="","",INDEX(Securities!$L$6:$L$105,$AJ172)&amp;"")</f>
        <v/>
      </c>
      <c r="Y172" s="87"/>
      <c r="Z172" s="87"/>
      <c r="AA172" s="86" t="str">
        <f aca="false">IF(OR($W172="",$Z172=""),"",$W172-$Z172)</f>
        <v/>
      </c>
      <c r="AB172" s="79" t="str">
        <f aca="false">IF($C172="","",IF($P172="At cost","At cost",IF(NOT(ISNUMBER($J172)),"No date",IF(ValDate-$J172&lt;365,"Absolute",IF($W172="","XIRR missing","XIRR")))))</f>
        <v/>
      </c>
      <c r="AC172" s="86" t="str">
        <f aca="false">IF(NOT(ISNUMBER($R172)),"",IF(SUM($R$6:$R$205)=0,"",$R172/SUM($R$6:$R$205)))</f>
        <v/>
      </c>
      <c r="AD172" s="82"/>
      <c r="AE172" s="80"/>
      <c r="AF172" s="78"/>
      <c r="AG172" s="88" t="str">
        <f aca="false">IF($C172="","",IF(COUNTIFS('Tax Lots'!$B$6:$B$205,$B172,'Tax Lots'!$C$6:$C$205,$C172)=0,"",SUMIFS('Tax Lots'!$P$6:$P$205,'Tax Lots'!$B$6:$B$205,$B172,'Tax Lots'!$C$6:$C$205,$C172)))</f>
        <v/>
      </c>
      <c r="AH172" s="79" t="str">
        <f aca="false">IF($A172&amp;$B172&amp;$C172="","",IF($A172="","Missing ID",IF(COUNTIF($A$6:$A$205,$A172)&gt;1,"Duplicate ID",IF($AI172="","Unknown account",IF($AJ172="","Unknown security",IF(COUNTIFS($B$6:$B$205,$B172,$C$6:$C$205,$C172)&gt;1,"Same security twice in one account",IF(AND(ISNUMBER($J172),ISNUMBER($K172),N($K172)&lt;N($J172)),"Last date before first",IF(NOT(ISNUMBER($R172)),"No market value",IF(OR(N($J172)&gt;ValDate,N($K172)&gt;ValDate),"Date after valuation",IF(AND(ISNUMBER($AG172),ABS(N($L172)-N($AG172))&gt;0.001),"Lot quantity differs",IF(AND(ISNUMBER($AG172),ABS(N($M172)-SUMIFS('Tax Lots'!$Q$6:$Q$205,'Tax Lots'!$B$6:$B$205,$B172,'Tax Lots'!$C$6:$C$205,$C172))&gt;1),"Lot cost differs",IF(AND(ISNUMBER($AG172),ABS(N($V172)-SUMIFS('Tax Lots'!$AA$6:$AA$205,'Tax Lots'!$B$6:$B$205,$B172,'Tax Lots'!$C$6:$C$205,$C172))&gt;1),"Lot realised gain differs","OK"))))))))))))</f>
        <v/>
      </c>
      <c r="AI172" s="89" t="str">
        <f aca="false">IF($B172="","",IFERROR(MATCH($B172,Accounts!$A$6:$A$55,0),""))</f>
        <v/>
      </c>
      <c r="AJ172" s="89" t="str">
        <f aca="false">IF($C172="","",IFERROR(MATCH($C172,Securities!$A$6:$A$105,0),""))</f>
        <v/>
      </c>
      <c r="AK172" s="89" t="str">
        <f aca="false">IF($AI172="","",INDEX(Accounts!$B$6:$B$55,$AI172)&amp;"")</f>
        <v/>
      </c>
      <c r="AL172" s="89" t="str">
        <f aca="false">IF(OR($C172="",$I172="",NOT(ISNUMBER($R172))),"",$I172&amp;"|"&amp;(SUMPRODUCT(($I$6:$I$205=$I172)*ISNUMBER($R$6:$R$205)*($R$6:$R$205&gt;$R172))+SUMPRODUCT(($I$6:$I172=$I172)*ISNUMBER($R$6:$R172)*($R$6:$R172=$R172))))</f>
        <v/>
      </c>
      <c r="AM172" s="89" t="n">
        <f aca="false">IF(AND(ISNUMBER($R172),$W172&lt;&gt;"",$Z172&lt;&gt;"",$AB172="XIRR"),$R172*$W172,0)</f>
        <v>0</v>
      </c>
      <c r="AN172" s="89" t="n">
        <f aca="false">IF(AND(ISNUMBER($R172),$W172&lt;&gt;"",$Z172&lt;&gt;"",$AB172="XIRR"),$R172,0)</f>
        <v>0</v>
      </c>
      <c r="AO172" s="89" t="n">
        <f aca="false">IF(AND(ISNUMBER($R172),$W172&lt;&gt;"",$Z172&lt;&gt;"",$AB172="XIRR"),$R172*$Z172,0)</f>
        <v>0</v>
      </c>
      <c r="AP172" s="89" t="n">
        <f aca="false">IF(AND(ISNUMBER($M172),$Y172&lt;&gt;"",ISNUMBER($T172)),$M172*$Y172,0)</f>
        <v>0</v>
      </c>
      <c r="AQ172" s="89" t="n">
        <f aca="false">IF(AND(ISNUMBER($M172),$Y172&lt;&gt;"",ISNUMBER($T172)),$M172,0)</f>
        <v>0</v>
      </c>
    </row>
    <row r="173" customFormat="false" ht="15" hidden="false" customHeight="false" outlineLevel="0" collapsed="false">
      <c r="A173" s="77"/>
      <c r="B173" s="78"/>
      <c r="C173" s="78"/>
      <c r="D173" s="79" t="str">
        <f aca="false">IF($AI173="","",INDEX(Accounts!$C$6:$C$55,$AI173)&amp;"")</f>
        <v/>
      </c>
      <c r="E173" s="79" t="str">
        <f aca="false">IF($AI173="","",INDEX(Accounts!$F$6:$F$55,$AI173)&amp;"")</f>
        <v/>
      </c>
      <c r="F173" s="79" t="str">
        <f aca="false">IF($AJ173="","",INDEX(Securities!$B$6:$B$105,$AJ173)&amp;"")</f>
        <v/>
      </c>
      <c r="G173" s="79" t="str">
        <f aca="false">IF($AJ173="","",INDEX(Securities!$F$6:$F$105,$AJ173)&amp;"")</f>
        <v/>
      </c>
      <c r="H173" s="79" t="str">
        <f aca="false">IF($AJ173="","",INDEX(Securities!$E$6:$E$105,$AJ173)&amp;"")</f>
        <v/>
      </c>
      <c r="I173" s="79" t="str">
        <f aca="false">IF($AJ173="","",INDEX(Securities!$H$6:$H$105,$AJ173)&amp;"")</f>
        <v/>
      </c>
      <c r="J173" s="80"/>
      <c r="K173" s="80"/>
      <c r="L173" s="81"/>
      <c r="M173" s="82"/>
      <c r="N173" s="83" t="str">
        <f aca="false">IF(OR($L173="",$M173=""),"",IF(N($L173)=0,"",$M173/$L173))</f>
        <v/>
      </c>
      <c r="O173" s="84" t="str">
        <f aca="false">IF($AJ173="","",IF(INDEX(Securities!$O$6:$O$105,$AJ173)="","",INDEX(Securities!$O$6:$O$105,$AJ173)))</f>
        <v/>
      </c>
      <c r="P173" s="79" t="str">
        <f aca="false">IF($AJ173="","",INDEX(Securities!$N$6:$N$105,$AJ173)&amp;"")</f>
        <v/>
      </c>
      <c r="Q173" s="82"/>
      <c r="R173" s="85" t="str">
        <f aca="false">IF($C173="","",IF($Q173&lt;&gt;"",$Q173,IF($P173="At cost",IF($M173="","",$M173),IF(OR($O173="",$L173=""),"",$L173*$O173))))</f>
        <v/>
      </c>
      <c r="S173" s="85" t="str">
        <f aca="false">IF(OR(NOT(ISNUMBER($R173)),$M173=""),"",$R173-$M173)</f>
        <v/>
      </c>
      <c r="T173" s="86" t="str">
        <f aca="false">IF(OR($S173="",N($M173)=0),"",$S173/$M173)</f>
        <v/>
      </c>
      <c r="U173" s="82"/>
      <c r="V173" s="82"/>
      <c r="W173" s="87"/>
      <c r="X173" s="79" t="str">
        <f aca="false">IF($AJ173="","",INDEX(Securities!$L$6:$L$105,$AJ173)&amp;"")</f>
        <v/>
      </c>
      <c r="Y173" s="87"/>
      <c r="Z173" s="87"/>
      <c r="AA173" s="86" t="str">
        <f aca="false">IF(OR($W173="",$Z173=""),"",$W173-$Z173)</f>
        <v/>
      </c>
      <c r="AB173" s="79" t="str">
        <f aca="false">IF($C173="","",IF($P173="At cost","At cost",IF(NOT(ISNUMBER($J173)),"No date",IF(ValDate-$J173&lt;365,"Absolute",IF($W173="","XIRR missing","XIRR")))))</f>
        <v/>
      </c>
      <c r="AC173" s="86" t="str">
        <f aca="false">IF(NOT(ISNUMBER($R173)),"",IF(SUM($R$6:$R$205)=0,"",$R173/SUM($R$6:$R$205)))</f>
        <v/>
      </c>
      <c r="AD173" s="82"/>
      <c r="AE173" s="80"/>
      <c r="AF173" s="78"/>
      <c r="AG173" s="88" t="str">
        <f aca="false">IF($C173="","",IF(COUNTIFS('Tax Lots'!$B$6:$B$205,$B173,'Tax Lots'!$C$6:$C$205,$C173)=0,"",SUMIFS('Tax Lots'!$P$6:$P$205,'Tax Lots'!$B$6:$B$205,$B173,'Tax Lots'!$C$6:$C$205,$C173)))</f>
        <v/>
      </c>
      <c r="AH173" s="79" t="str">
        <f aca="false">IF($A173&amp;$B173&amp;$C173="","",IF($A173="","Missing ID",IF(COUNTIF($A$6:$A$205,$A173)&gt;1,"Duplicate ID",IF($AI173="","Unknown account",IF($AJ173="","Unknown security",IF(COUNTIFS($B$6:$B$205,$B173,$C$6:$C$205,$C173)&gt;1,"Same security twice in one account",IF(AND(ISNUMBER($J173),ISNUMBER($K173),N($K173)&lt;N($J173)),"Last date before first",IF(NOT(ISNUMBER($R173)),"No market value",IF(OR(N($J173)&gt;ValDate,N($K173)&gt;ValDate),"Date after valuation",IF(AND(ISNUMBER($AG173),ABS(N($L173)-N($AG173))&gt;0.001),"Lot quantity differs",IF(AND(ISNUMBER($AG173),ABS(N($M173)-SUMIFS('Tax Lots'!$Q$6:$Q$205,'Tax Lots'!$B$6:$B$205,$B173,'Tax Lots'!$C$6:$C$205,$C173))&gt;1),"Lot cost differs",IF(AND(ISNUMBER($AG173),ABS(N($V173)-SUMIFS('Tax Lots'!$AA$6:$AA$205,'Tax Lots'!$B$6:$B$205,$B173,'Tax Lots'!$C$6:$C$205,$C173))&gt;1),"Lot realised gain differs","OK"))))))))))))</f>
        <v/>
      </c>
      <c r="AI173" s="89" t="str">
        <f aca="false">IF($B173="","",IFERROR(MATCH($B173,Accounts!$A$6:$A$55,0),""))</f>
        <v/>
      </c>
      <c r="AJ173" s="89" t="str">
        <f aca="false">IF($C173="","",IFERROR(MATCH($C173,Securities!$A$6:$A$105,0),""))</f>
        <v/>
      </c>
      <c r="AK173" s="89" t="str">
        <f aca="false">IF($AI173="","",INDEX(Accounts!$B$6:$B$55,$AI173)&amp;"")</f>
        <v/>
      </c>
      <c r="AL173" s="89" t="str">
        <f aca="false">IF(OR($C173="",$I173="",NOT(ISNUMBER($R173))),"",$I173&amp;"|"&amp;(SUMPRODUCT(($I$6:$I$205=$I173)*ISNUMBER($R$6:$R$205)*($R$6:$R$205&gt;$R173))+SUMPRODUCT(($I$6:$I173=$I173)*ISNUMBER($R$6:$R173)*($R$6:$R173=$R173))))</f>
        <v/>
      </c>
      <c r="AM173" s="89" t="n">
        <f aca="false">IF(AND(ISNUMBER($R173),$W173&lt;&gt;"",$Z173&lt;&gt;"",$AB173="XIRR"),$R173*$W173,0)</f>
        <v>0</v>
      </c>
      <c r="AN173" s="89" t="n">
        <f aca="false">IF(AND(ISNUMBER($R173),$W173&lt;&gt;"",$Z173&lt;&gt;"",$AB173="XIRR"),$R173,0)</f>
        <v>0</v>
      </c>
      <c r="AO173" s="89" t="n">
        <f aca="false">IF(AND(ISNUMBER($R173),$W173&lt;&gt;"",$Z173&lt;&gt;"",$AB173="XIRR"),$R173*$Z173,0)</f>
        <v>0</v>
      </c>
      <c r="AP173" s="89" t="n">
        <f aca="false">IF(AND(ISNUMBER($M173),$Y173&lt;&gt;"",ISNUMBER($T173)),$M173*$Y173,0)</f>
        <v>0</v>
      </c>
      <c r="AQ173" s="89" t="n">
        <f aca="false">IF(AND(ISNUMBER($M173),$Y173&lt;&gt;"",ISNUMBER($T173)),$M173,0)</f>
        <v>0</v>
      </c>
    </row>
    <row r="174" customFormat="false" ht="15" hidden="false" customHeight="false" outlineLevel="0" collapsed="false">
      <c r="A174" s="77"/>
      <c r="B174" s="78"/>
      <c r="C174" s="78"/>
      <c r="D174" s="79" t="str">
        <f aca="false">IF($AI174="","",INDEX(Accounts!$C$6:$C$55,$AI174)&amp;"")</f>
        <v/>
      </c>
      <c r="E174" s="79" t="str">
        <f aca="false">IF($AI174="","",INDEX(Accounts!$F$6:$F$55,$AI174)&amp;"")</f>
        <v/>
      </c>
      <c r="F174" s="79" t="str">
        <f aca="false">IF($AJ174="","",INDEX(Securities!$B$6:$B$105,$AJ174)&amp;"")</f>
        <v/>
      </c>
      <c r="G174" s="79" t="str">
        <f aca="false">IF($AJ174="","",INDEX(Securities!$F$6:$F$105,$AJ174)&amp;"")</f>
        <v/>
      </c>
      <c r="H174" s="79" t="str">
        <f aca="false">IF($AJ174="","",INDEX(Securities!$E$6:$E$105,$AJ174)&amp;"")</f>
        <v/>
      </c>
      <c r="I174" s="79" t="str">
        <f aca="false">IF($AJ174="","",INDEX(Securities!$H$6:$H$105,$AJ174)&amp;"")</f>
        <v/>
      </c>
      <c r="J174" s="80"/>
      <c r="K174" s="80"/>
      <c r="L174" s="81"/>
      <c r="M174" s="82"/>
      <c r="N174" s="83" t="str">
        <f aca="false">IF(OR($L174="",$M174=""),"",IF(N($L174)=0,"",$M174/$L174))</f>
        <v/>
      </c>
      <c r="O174" s="84" t="str">
        <f aca="false">IF($AJ174="","",IF(INDEX(Securities!$O$6:$O$105,$AJ174)="","",INDEX(Securities!$O$6:$O$105,$AJ174)))</f>
        <v/>
      </c>
      <c r="P174" s="79" t="str">
        <f aca="false">IF($AJ174="","",INDEX(Securities!$N$6:$N$105,$AJ174)&amp;"")</f>
        <v/>
      </c>
      <c r="Q174" s="82"/>
      <c r="R174" s="85" t="str">
        <f aca="false">IF($C174="","",IF($Q174&lt;&gt;"",$Q174,IF($P174="At cost",IF($M174="","",$M174),IF(OR($O174="",$L174=""),"",$L174*$O174))))</f>
        <v/>
      </c>
      <c r="S174" s="85" t="str">
        <f aca="false">IF(OR(NOT(ISNUMBER($R174)),$M174=""),"",$R174-$M174)</f>
        <v/>
      </c>
      <c r="T174" s="86" t="str">
        <f aca="false">IF(OR($S174="",N($M174)=0),"",$S174/$M174)</f>
        <v/>
      </c>
      <c r="U174" s="82"/>
      <c r="V174" s="82"/>
      <c r="W174" s="87"/>
      <c r="X174" s="79" t="str">
        <f aca="false">IF($AJ174="","",INDEX(Securities!$L$6:$L$105,$AJ174)&amp;"")</f>
        <v/>
      </c>
      <c r="Y174" s="87"/>
      <c r="Z174" s="87"/>
      <c r="AA174" s="86" t="str">
        <f aca="false">IF(OR($W174="",$Z174=""),"",$W174-$Z174)</f>
        <v/>
      </c>
      <c r="AB174" s="79" t="str">
        <f aca="false">IF($C174="","",IF($P174="At cost","At cost",IF(NOT(ISNUMBER($J174)),"No date",IF(ValDate-$J174&lt;365,"Absolute",IF($W174="","XIRR missing","XIRR")))))</f>
        <v/>
      </c>
      <c r="AC174" s="86" t="str">
        <f aca="false">IF(NOT(ISNUMBER($R174)),"",IF(SUM($R$6:$R$205)=0,"",$R174/SUM($R$6:$R$205)))</f>
        <v/>
      </c>
      <c r="AD174" s="82"/>
      <c r="AE174" s="80"/>
      <c r="AF174" s="78"/>
      <c r="AG174" s="88" t="str">
        <f aca="false">IF($C174="","",IF(COUNTIFS('Tax Lots'!$B$6:$B$205,$B174,'Tax Lots'!$C$6:$C$205,$C174)=0,"",SUMIFS('Tax Lots'!$P$6:$P$205,'Tax Lots'!$B$6:$B$205,$B174,'Tax Lots'!$C$6:$C$205,$C174)))</f>
        <v/>
      </c>
      <c r="AH174" s="79" t="str">
        <f aca="false">IF($A174&amp;$B174&amp;$C174="","",IF($A174="","Missing ID",IF(COUNTIF($A$6:$A$205,$A174)&gt;1,"Duplicate ID",IF($AI174="","Unknown account",IF($AJ174="","Unknown security",IF(COUNTIFS($B$6:$B$205,$B174,$C$6:$C$205,$C174)&gt;1,"Same security twice in one account",IF(AND(ISNUMBER($J174),ISNUMBER($K174),N($K174)&lt;N($J174)),"Last date before first",IF(NOT(ISNUMBER($R174)),"No market value",IF(OR(N($J174)&gt;ValDate,N($K174)&gt;ValDate),"Date after valuation",IF(AND(ISNUMBER($AG174),ABS(N($L174)-N($AG174))&gt;0.001),"Lot quantity differs",IF(AND(ISNUMBER($AG174),ABS(N($M174)-SUMIFS('Tax Lots'!$Q$6:$Q$205,'Tax Lots'!$B$6:$B$205,$B174,'Tax Lots'!$C$6:$C$205,$C174))&gt;1),"Lot cost differs",IF(AND(ISNUMBER($AG174),ABS(N($V174)-SUMIFS('Tax Lots'!$AA$6:$AA$205,'Tax Lots'!$B$6:$B$205,$B174,'Tax Lots'!$C$6:$C$205,$C174))&gt;1),"Lot realised gain differs","OK"))))))))))))</f>
        <v/>
      </c>
      <c r="AI174" s="89" t="str">
        <f aca="false">IF($B174="","",IFERROR(MATCH($B174,Accounts!$A$6:$A$55,0),""))</f>
        <v/>
      </c>
      <c r="AJ174" s="89" t="str">
        <f aca="false">IF($C174="","",IFERROR(MATCH($C174,Securities!$A$6:$A$105,0),""))</f>
        <v/>
      </c>
      <c r="AK174" s="89" t="str">
        <f aca="false">IF($AI174="","",INDEX(Accounts!$B$6:$B$55,$AI174)&amp;"")</f>
        <v/>
      </c>
      <c r="AL174" s="89" t="str">
        <f aca="false">IF(OR($C174="",$I174="",NOT(ISNUMBER($R174))),"",$I174&amp;"|"&amp;(SUMPRODUCT(($I$6:$I$205=$I174)*ISNUMBER($R$6:$R$205)*($R$6:$R$205&gt;$R174))+SUMPRODUCT(($I$6:$I174=$I174)*ISNUMBER($R$6:$R174)*($R$6:$R174=$R174))))</f>
        <v/>
      </c>
      <c r="AM174" s="89" t="n">
        <f aca="false">IF(AND(ISNUMBER($R174),$W174&lt;&gt;"",$Z174&lt;&gt;"",$AB174="XIRR"),$R174*$W174,0)</f>
        <v>0</v>
      </c>
      <c r="AN174" s="89" t="n">
        <f aca="false">IF(AND(ISNUMBER($R174),$W174&lt;&gt;"",$Z174&lt;&gt;"",$AB174="XIRR"),$R174,0)</f>
        <v>0</v>
      </c>
      <c r="AO174" s="89" t="n">
        <f aca="false">IF(AND(ISNUMBER($R174),$W174&lt;&gt;"",$Z174&lt;&gt;"",$AB174="XIRR"),$R174*$Z174,0)</f>
        <v>0</v>
      </c>
      <c r="AP174" s="89" t="n">
        <f aca="false">IF(AND(ISNUMBER($M174),$Y174&lt;&gt;"",ISNUMBER($T174)),$M174*$Y174,0)</f>
        <v>0</v>
      </c>
      <c r="AQ174" s="89" t="n">
        <f aca="false">IF(AND(ISNUMBER($M174),$Y174&lt;&gt;"",ISNUMBER($T174)),$M174,0)</f>
        <v>0</v>
      </c>
    </row>
    <row r="175" customFormat="false" ht="15" hidden="false" customHeight="false" outlineLevel="0" collapsed="false">
      <c r="A175" s="77"/>
      <c r="B175" s="78"/>
      <c r="C175" s="78"/>
      <c r="D175" s="79" t="str">
        <f aca="false">IF($AI175="","",INDEX(Accounts!$C$6:$C$55,$AI175)&amp;"")</f>
        <v/>
      </c>
      <c r="E175" s="79" t="str">
        <f aca="false">IF($AI175="","",INDEX(Accounts!$F$6:$F$55,$AI175)&amp;"")</f>
        <v/>
      </c>
      <c r="F175" s="79" t="str">
        <f aca="false">IF($AJ175="","",INDEX(Securities!$B$6:$B$105,$AJ175)&amp;"")</f>
        <v/>
      </c>
      <c r="G175" s="79" t="str">
        <f aca="false">IF($AJ175="","",INDEX(Securities!$F$6:$F$105,$AJ175)&amp;"")</f>
        <v/>
      </c>
      <c r="H175" s="79" t="str">
        <f aca="false">IF($AJ175="","",INDEX(Securities!$E$6:$E$105,$AJ175)&amp;"")</f>
        <v/>
      </c>
      <c r="I175" s="79" t="str">
        <f aca="false">IF($AJ175="","",INDEX(Securities!$H$6:$H$105,$AJ175)&amp;"")</f>
        <v/>
      </c>
      <c r="J175" s="80"/>
      <c r="K175" s="80"/>
      <c r="L175" s="81"/>
      <c r="M175" s="82"/>
      <c r="N175" s="83" t="str">
        <f aca="false">IF(OR($L175="",$M175=""),"",IF(N($L175)=0,"",$M175/$L175))</f>
        <v/>
      </c>
      <c r="O175" s="84" t="str">
        <f aca="false">IF($AJ175="","",IF(INDEX(Securities!$O$6:$O$105,$AJ175)="","",INDEX(Securities!$O$6:$O$105,$AJ175)))</f>
        <v/>
      </c>
      <c r="P175" s="79" t="str">
        <f aca="false">IF($AJ175="","",INDEX(Securities!$N$6:$N$105,$AJ175)&amp;"")</f>
        <v/>
      </c>
      <c r="Q175" s="82"/>
      <c r="R175" s="85" t="str">
        <f aca="false">IF($C175="","",IF($Q175&lt;&gt;"",$Q175,IF($P175="At cost",IF($M175="","",$M175),IF(OR($O175="",$L175=""),"",$L175*$O175))))</f>
        <v/>
      </c>
      <c r="S175" s="85" t="str">
        <f aca="false">IF(OR(NOT(ISNUMBER($R175)),$M175=""),"",$R175-$M175)</f>
        <v/>
      </c>
      <c r="T175" s="86" t="str">
        <f aca="false">IF(OR($S175="",N($M175)=0),"",$S175/$M175)</f>
        <v/>
      </c>
      <c r="U175" s="82"/>
      <c r="V175" s="82"/>
      <c r="W175" s="87"/>
      <c r="X175" s="79" t="str">
        <f aca="false">IF($AJ175="","",INDEX(Securities!$L$6:$L$105,$AJ175)&amp;"")</f>
        <v/>
      </c>
      <c r="Y175" s="87"/>
      <c r="Z175" s="87"/>
      <c r="AA175" s="86" t="str">
        <f aca="false">IF(OR($W175="",$Z175=""),"",$W175-$Z175)</f>
        <v/>
      </c>
      <c r="AB175" s="79" t="str">
        <f aca="false">IF($C175="","",IF($P175="At cost","At cost",IF(NOT(ISNUMBER($J175)),"No date",IF(ValDate-$J175&lt;365,"Absolute",IF($W175="","XIRR missing","XIRR")))))</f>
        <v/>
      </c>
      <c r="AC175" s="86" t="str">
        <f aca="false">IF(NOT(ISNUMBER($R175)),"",IF(SUM($R$6:$R$205)=0,"",$R175/SUM($R$6:$R$205)))</f>
        <v/>
      </c>
      <c r="AD175" s="82"/>
      <c r="AE175" s="80"/>
      <c r="AF175" s="78"/>
      <c r="AG175" s="88" t="str">
        <f aca="false">IF($C175="","",IF(COUNTIFS('Tax Lots'!$B$6:$B$205,$B175,'Tax Lots'!$C$6:$C$205,$C175)=0,"",SUMIFS('Tax Lots'!$P$6:$P$205,'Tax Lots'!$B$6:$B$205,$B175,'Tax Lots'!$C$6:$C$205,$C175)))</f>
        <v/>
      </c>
      <c r="AH175" s="79" t="str">
        <f aca="false">IF($A175&amp;$B175&amp;$C175="","",IF($A175="","Missing ID",IF(COUNTIF($A$6:$A$205,$A175)&gt;1,"Duplicate ID",IF($AI175="","Unknown account",IF($AJ175="","Unknown security",IF(COUNTIFS($B$6:$B$205,$B175,$C$6:$C$205,$C175)&gt;1,"Same security twice in one account",IF(AND(ISNUMBER($J175),ISNUMBER($K175),N($K175)&lt;N($J175)),"Last date before first",IF(NOT(ISNUMBER($R175)),"No market value",IF(OR(N($J175)&gt;ValDate,N($K175)&gt;ValDate),"Date after valuation",IF(AND(ISNUMBER($AG175),ABS(N($L175)-N($AG175))&gt;0.001),"Lot quantity differs",IF(AND(ISNUMBER($AG175),ABS(N($M175)-SUMIFS('Tax Lots'!$Q$6:$Q$205,'Tax Lots'!$B$6:$B$205,$B175,'Tax Lots'!$C$6:$C$205,$C175))&gt;1),"Lot cost differs",IF(AND(ISNUMBER($AG175),ABS(N($V175)-SUMIFS('Tax Lots'!$AA$6:$AA$205,'Tax Lots'!$B$6:$B$205,$B175,'Tax Lots'!$C$6:$C$205,$C175))&gt;1),"Lot realised gain differs","OK"))))))))))))</f>
        <v/>
      </c>
      <c r="AI175" s="89" t="str">
        <f aca="false">IF($B175="","",IFERROR(MATCH($B175,Accounts!$A$6:$A$55,0),""))</f>
        <v/>
      </c>
      <c r="AJ175" s="89" t="str">
        <f aca="false">IF($C175="","",IFERROR(MATCH($C175,Securities!$A$6:$A$105,0),""))</f>
        <v/>
      </c>
      <c r="AK175" s="89" t="str">
        <f aca="false">IF($AI175="","",INDEX(Accounts!$B$6:$B$55,$AI175)&amp;"")</f>
        <v/>
      </c>
      <c r="AL175" s="89" t="str">
        <f aca="false">IF(OR($C175="",$I175="",NOT(ISNUMBER($R175))),"",$I175&amp;"|"&amp;(SUMPRODUCT(($I$6:$I$205=$I175)*ISNUMBER($R$6:$R$205)*($R$6:$R$205&gt;$R175))+SUMPRODUCT(($I$6:$I175=$I175)*ISNUMBER($R$6:$R175)*($R$6:$R175=$R175))))</f>
        <v/>
      </c>
      <c r="AM175" s="89" t="n">
        <f aca="false">IF(AND(ISNUMBER($R175),$W175&lt;&gt;"",$Z175&lt;&gt;"",$AB175="XIRR"),$R175*$W175,0)</f>
        <v>0</v>
      </c>
      <c r="AN175" s="89" t="n">
        <f aca="false">IF(AND(ISNUMBER($R175),$W175&lt;&gt;"",$Z175&lt;&gt;"",$AB175="XIRR"),$R175,0)</f>
        <v>0</v>
      </c>
      <c r="AO175" s="89" t="n">
        <f aca="false">IF(AND(ISNUMBER($R175),$W175&lt;&gt;"",$Z175&lt;&gt;"",$AB175="XIRR"),$R175*$Z175,0)</f>
        <v>0</v>
      </c>
      <c r="AP175" s="89" t="n">
        <f aca="false">IF(AND(ISNUMBER($M175),$Y175&lt;&gt;"",ISNUMBER($T175)),$M175*$Y175,0)</f>
        <v>0</v>
      </c>
      <c r="AQ175" s="89" t="n">
        <f aca="false">IF(AND(ISNUMBER($M175),$Y175&lt;&gt;"",ISNUMBER($T175)),$M175,0)</f>
        <v>0</v>
      </c>
    </row>
    <row r="176" customFormat="false" ht="15" hidden="false" customHeight="false" outlineLevel="0" collapsed="false">
      <c r="A176" s="77"/>
      <c r="B176" s="78"/>
      <c r="C176" s="78"/>
      <c r="D176" s="79" t="str">
        <f aca="false">IF($AI176="","",INDEX(Accounts!$C$6:$C$55,$AI176)&amp;"")</f>
        <v/>
      </c>
      <c r="E176" s="79" t="str">
        <f aca="false">IF($AI176="","",INDEX(Accounts!$F$6:$F$55,$AI176)&amp;"")</f>
        <v/>
      </c>
      <c r="F176" s="79" t="str">
        <f aca="false">IF($AJ176="","",INDEX(Securities!$B$6:$B$105,$AJ176)&amp;"")</f>
        <v/>
      </c>
      <c r="G176" s="79" t="str">
        <f aca="false">IF($AJ176="","",INDEX(Securities!$F$6:$F$105,$AJ176)&amp;"")</f>
        <v/>
      </c>
      <c r="H176" s="79" t="str">
        <f aca="false">IF($AJ176="","",INDEX(Securities!$E$6:$E$105,$AJ176)&amp;"")</f>
        <v/>
      </c>
      <c r="I176" s="79" t="str">
        <f aca="false">IF($AJ176="","",INDEX(Securities!$H$6:$H$105,$AJ176)&amp;"")</f>
        <v/>
      </c>
      <c r="J176" s="80"/>
      <c r="K176" s="80"/>
      <c r="L176" s="81"/>
      <c r="M176" s="82"/>
      <c r="N176" s="83" t="str">
        <f aca="false">IF(OR($L176="",$M176=""),"",IF(N($L176)=0,"",$M176/$L176))</f>
        <v/>
      </c>
      <c r="O176" s="84" t="str">
        <f aca="false">IF($AJ176="","",IF(INDEX(Securities!$O$6:$O$105,$AJ176)="","",INDEX(Securities!$O$6:$O$105,$AJ176)))</f>
        <v/>
      </c>
      <c r="P176" s="79" t="str">
        <f aca="false">IF($AJ176="","",INDEX(Securities!$N$6:$N$105,$AJ176)&amp;"")</f>
        <v/>
      </c>
      <c r="Q176" s="82"/>
      <c r="R176" s="85" t="str">
        <f aca="false">IF($C176="","",IF($Q176&lt;&gt;"",$Q176,IF($P176="At cost",IF($M176="","",$M176),IF(OR($O176="",$L176=""),"",$L176*$O176))))</f>
        <v/>
      </c>
      <c r="S176" s="85" t="str">
        <f aca="false">IF(OR(NOT(ISNUMBER($R176)),$M176=""),"",$R176-$M176)</f>
        <v/>
      </c>
      <c r="T176" s="86" t="str">
        <f aca="false">IF(OR($S176="",N($M176)=0),"",$S176/$M176)</f>
        <v/>
      </c>
      <c r="U176" s="82"/>
      <c r="V176" s="82"/>
      <c r="W176" s="87"/>
      <c r="X176" s="79" t="str">
        <f aca="false">IF($AJ176="","",INDEX(Securities!$L$6:$L$105,$AJ176)&amp;"")</f>
        <v/>
      </c>
      <c r="Y176" s="87"/>
      <c r="Z176" s="87"/>
      <c r="AA176" s="86" t="str">
        <f aca="false">IF(OR($W176="",$Z176=""),"",$W176-$Z176)</f>
        <v/>
      </c>
      <c r="AB176" s="79" t="str">
        <f aca="false">IF($C176="","",IF($P176="At cost","At cost",IF(NOT(ISNUMBER($J176)),"No date",IF(ValDate-$J176&lt;365,"Absolute",IF($W176="","XIRR missing","XIRR")))))</f>
        <v/>
      </c>
      <c r="AC176" s="86" t="str">
        <f aca="false">IF(NOT(ISNUMBER($R176)),"",IF(SUM($R$6:$R$205)=0,"",$R176/SUM($R$6:$R$205)))</f>
        <v/>
      </c>
      <c r="AD176" s="82"/>
      <c r="AE176" s="80"/>
      <c r="AF176" s="78"/>
      <c r="AG176" s="88" t="str">
        <f aca="false">IF($C176="","",IF(COUNTIFS('Tax Lots'!$B$6:$B$205,$B176,'Tax Lots'!$C$6:$C$205,$C176)=0,"",SUMIFS('Tax Lots'!$P$6:$P$205,'Tax Lots'!$B$6:$B$205,$B176,'Tax Lots'!$C$6:$C$205,$C176)))</f>
        <v/>
      </c>
      <c r="AH176" s="79" t="str">
        <f aca="false">IF($A176&amp;$B176&amp;$C176="","",IF($A176="","Missing ID",IF(COUNTIF($A$6:$A$205,$A176)&gt;1,"Duplicate ID",IF($AI176="","Unknown account",IF($AJ176="","Unknown security",IF(COUNTIFS($B$6:$B$205,$B176,$C$6:$C$205,$C176)&gt;1,"Same security twice in one account",IF(AND(ISNUMBER($J176),ISNUMBER($K176),N($K176)&lt;N($J176)),"Last date before first",IF(NOT(ISNUMBER($R176)),"No market value",IF(OR(N($J176)&gt;ValDate,N($K176)&gt;ValDate),"Date after valuation",IF(AND(ISNUMBER($AG176),ABS(N($L176)-N($AG176))&gt;0.001),"Lot quantity differs",IF(AND(ISNUMBER($AG176),ABS(N($M176)-SUMIFS('Tax Lots'!$Q$6:$Q$205,'Tax Lots'!$B$6:$B$205,$B176,'Tax Lots'!$C$6:$C$205,$C176))&gt;1),"Lot cost differs",IF(AND(ISNUMBER($AG176),ABS(N($V176)-SUMIFS('Tax Lots'!$AA$6:$AA$205,'Tax Lots'!$B$6:$B$205,$B176,'Tax Lots'!$C$6:$C$205,$C176))&gt;1),"Lot realised gain differs","OK"))))))))))))</f>
        <v/>
      </c>
      <c r="AI176" s="89" t="str">
        <f aca="false">IF($B176="","",IFERROR(MATCH($B176,Accounts!$A$6:$A$55,0),""))</f>
        <v/>
      </c>
      <c r="AJ176" s="89" t="str">
        <f aca="false">IF($C176="","",IFERROR(MATCH($C176,Securities!$A$6:$A$105,0),""))</f>
        <v/>
      </c>
      <c r="AK176" s="89" t="str">
        <f aca="false">IF($AI176="","",INDEX(Accounts!$B$6:$B$55,$AI176)&amp;"")</f>
        <v/>
      </c>
      <c r="AL176" s="89" t="str">
        <f aca="false">IF(OR($C176="",$I176="",NOT(ISNUMBER($R176))),"",$I176&amp;"|"&amp;(SUMPRODUCT(($I$6:$I$205=$I176)*ISNUMBER($R$6:$R$205)*($R$6:$R$205&gt;$R176))+SUMPRODUCT(($I$6:$I176=$I176)*ISNUMBER($R$6:$R176)*($R$6:$R176=$R176))))</f>
        <v/>
      </c>
      <c r="AM176" s="89" t="n">
        <f aca="false">IF(AND(ISNUMBER($R176),$W176&lt;&gt;"",$Z176&lt;&gt;"",$AB176="XIRR"),$R176*$W176,0)</f>
        <v>0</v>
      </c>
      <c r="AN176" s="89" t="n">
        <f aca="false">IF(AND(ISNUMBER($R176),$W176&lt;&gt;"",$Z176&lt;&gt;"",$AB176="XIRR"),$R176,0)</f>
        <v>0</v>
      </c>
      <c r="AO176" s="89" t="n">
        <f aca="false">IF(AND(ISNUMBER($R176),$W176&lt;&gt;"",$Z176&lt;&gt;"",$AB176="XIRR"),$R176*$Z176,0)</f>
        <v>0</v>
      </c>
      <c r="AP176" s="89" t="n">
        <f aca="false">IF(AND(ISNUMBER($M176),$Y176&lt;&gt;"",ISNUMBER($T176)),$M176*$Y176,0)</f>
        <v>0</v>
      </c>
      <c r="AQ176" s="89" t="n">
        <f aca="false">IF(AND(ISNUMBER($M176),$Y176&lt;&gt;"",ISNUMBER($T176)),$M176,0)</f>
        <v>0</v>
      </c>
    </row>
    <row r="177" customFormat="false" ht="15" hidden="false" customHeight="false" outlineLevel="0" collapsed="false">
      <c r="A177" s="77"/>
      <c r="B177" s="78"/>
      <c r="C177" s="78"/>
      <c r="D177" s="79" t="str">
        <f aca="false">IF($AI177="","",INDEX(Accounts!$C$6:$C$55,$AI177)&amp;"")</f>
        <v/>
      </c>
      <c r="E177" s="79" t="str">
        <f aca="false">IF($AI177="","",INDEX(Accounts!$F$6:$F$55,$AI177)&amp;"")</f>
        <v/>
      </c>
      <c r="F177" s="79" t="str">
        <f aca="false">IF($AJ177="","",INDEX(Securities!$B$6:$B$105,$AJ177)&amp;"")</f>
        <v/>
      </c>
      <c r="G177" s="79" t="str">
        <f aca="false">IF($AJ177="","",INDEX(Securities!$F$6:$F$105,$AJ177)&amp;"")</f>
        <v/>
      </c>
      <c r="H177" s="79" t="str">
        <f aca="false">IF($AJ177="","",INDEX(Securities!$E$6:$E$105,$AJ177)&amp;"")</f>
        <v/>
      </c>
      <c r="I177" s="79" t="str">
        <f aca="false">IF($AJ177="","",INDEX(Securities!$H$6:$H$105,$AJ177)&amp;"")</f>
        <v/>
      </c>
      <c r="J177" s="80"/>
      <c r="K177" s="80"/>
      <c r="L177" s="81"/>
      <c r="M177" s="82"/>
      <c r="N177" s="83" t="str">
        <f aca="false">IF(OR($L177="",$M177=""),"",IF(N($L177)=0,"",$M177/$L177))</f>
        <v/>
      </c>
      <c r="O177" s="84" t="str">
        <f aca="false">IF($AJ177="","",IF(INDEX(Securities!$O$6:$O$105,$AJ177)="","",INDEX(Securities!$O$6:$O$105,$AJ177)))</f>
        <v/>
      </c>
      <c r="P177" s="79" t="str">
        <f aca="false">IF($AJ177="","",INDEX(Securities!$N$6:$N$105,$AJ177)&amp;"")</f>
        <v/>
      </c>
      <c r="Q177" s="82"/>
      <c r="R177" s="85" t="str">
        <f aca="false">IF($C177="","",IF($Q177&lt;&gt;"",$Q177,IF($P177="At cost",IF($M177="","",$M177),IF(OR($O177="",$L177=""),"",$L177*$O177))))</f>
        <v/>
      </c>
      <c r="S177" s="85" t="str">
        <f aca="false">IF(OR(NOT(ISNUMBER($R177)),$M177=""),"",$R177-$M177)</f>
        <v/>
      </c>
      <c r="T177" s="86" t="str">
        <f aca="false">IF(OR($S177="",N($M177)=0),"",$S177/$M177)</f>
        <v/>
      </c>
      <c r="U177" s="82"/>
      <c r="V177" s="82"/>
      <c r="W177" s="87"/>
      <c r="X177" s="79" t="str">
        <f aca="false">IF($AJ177="","",INDEX(Securities!$L$6:$L$105,$AJ177)&amp;"")</f>
        <v/>
      </c>
      <c r="Y177" s="87"/>
      <c r="Z177" s="87"/>
      <c r="AA177" s="86" t="str">
        <f aca="false">IF(OR($W177="",$Z177=""),"",$W177-$Z177)</f>
        <v/>
      </c>
      <c r="AB177" s="79" t="str">
        <f aca="false">IF($C177="","",IF($P177="At cost","At cost",IF(NOT(ISNUMBER($J177)),"No date",IF(ValDate-$J177&lt;365,"Absolute",IF($W177="","XIRR missing","XIRR")))))</f>
        <v/>
      </c>
      <c r="AC177" s="86" t="str">
        <f aca="false">IF(NOT(ISNUMBER($R177)),"",IF(SUM($R$6:$R$205)=0,"",$R177/SUM($R$6:$R$205)))</f>
        <v/>
      </c>
      <c r="AD177" s="82"/>
      <c r="AE177" s="80"/>
      <c r="AF177" s="78"/>
      <c r="AG177" s="88" t="str">
        <f aca="false">IF($C177="","",IF(COUNTIFS('Tax Lots'!$B$6:$B$205,$B177,'Tax Lots'!$C$6:$C$205,$C177)=0,"",SUMIFS('Tax Lots'!$P$6:$P$205,'Tax Lots'!$B$6:$B$205,$B177,'Tax Lots'!$C$6:$C$205,$C177)))</f>
        <v/>
      </c>
      <c r="AH177" s="79" t="str">
        <f aca="false">IF($A177&amp;$B177&amp;$C177="","",IF($A177="","Missing ID",IF(COUNTIF($A$6:$A$205,$A177)&gt;1,"Duplicate ID",IF($AI177="","Unknown account",IF($AJ177="","Unknown security",IF(COUNTIFS($B$6:$B$205,$B177,$C$6:$C$205,$C177)&gt;1,"Same security twice in one account",IF(AND(ISNUMBER($J177),ISNUMBER($K177),N($K177)&lt;N($J177)),"Last date before first",IF(NOT(ISNUMBER($R177)),"No market value",IF(OR(N($J177)&gt;ValDate,N($K177)&gt;ValDate),"Date after valuation",IF(AND(ISNUMBER($AG177),ABS(N($L177)-N($AG177))&gt;0.001),"Lot quantity differs",IF(AND(ISNUMBER($AG177),ABS(N($M177)-SUMIFS('Tax Lots'!$Q$6:$Q$205,'Tax Lots'!$B$6:$B$205,$B177,'Tax Lots'!$C$6:$C$205,$C177))&gt;1),"Lot cost differs",IF(AND(ISNUMBER($AG177),ABS(N($V177)-SUMIFS('Tax Lots'!$AA$6:$AA$205,'Tax Lots'!$B$6:$B$205,$B177,'Tax Lots'!$C$6:$C$205,$C177))&gt;1),"Lot realised gain differs","OK"))))))))))))</f>
        <v/>
      </c>
      <c r="AI177" s="89" t="str">
        <f aca="false">IF($B177="","",IFERROR(MATCH($B177,Accounts!$A$6:$A$55,0),""))</f>
        <v/>
      </c>
      <c r="AJ177" s="89" t="str">
        <f aca="false">IF($C177="","",IFERROR(MATCH($C177,Securities!$A$6:$A$105,0),""))</f>
        <v/>
      </c>
      <c r="AK177" s="89" t="str">
        <f aca="false">IF($AI177="","",INDEX(Accounts!$B$6:$B$55,$AI177)&amp;"")</f>
        <v/>
      </c>
      <c r="AL177" s="89" t="str">
        <f aca="false">IF(OR($C177="",$I177="",NOT(ISNUMBER($R177))),"",$I177&amp;"|"&amp;(SUMPRODUCT(($I$6:$I$205=$I177)*ISNUMBER($R$6:$R$205)*($R$6:$R$205&gt;$R177))+SUMPRODUCT(($I$6:$I177=$I177)*ISNUMBER($R$6:$R177)*($R$6:$R177=$R177))))</f>
        <v/>
      </c>
      <c r="AM177" s="89" t="n">
        <f aca="false">IF(AND(ISNUMBER($R177),$W177&lt;&gt;"",$Z177&lt;&gt;"",$AB177="XIRR"),$R177*$W177,0)</f>
        <v>0</v>
      </c>
      <c r="AN177" s="89" t="n">
        <f aca="false">IF(AND(ISNUMBER($R177),$W177&lt;&gt;"",$Z177&lt;&gt;"",$AB177="XIRR"),$R177,0)</f>
        <v>0</v>
      </c>
      <c r="AO177" s="89" t="n">
        <f aca="false">IF(AND(ISNUMBER($R177),$W177&lt;&gt;"",$Z177&lt;&gt;"",$AB177="XIRR"),$R177*$Z177,0)</f>
        <v>0</v>
      </c>
      <c r="AP177" s="89" t="n">
        <f aca="false">IF(AND(ISNUMBER($M177),$Y177&lt;&gt;"",ISNUMBER($T177)),$M177*$Y177,0)</f>
        <v>0</v>
      </c>
      <c r="AQ177" s="89" t="n">
        <f aca="false">IF(AND(ISNUMBER($M177),$Y177&lt;&gt;"",ISNUMBER($T177)),$M177,0)</f>
        <v>0</v>
      </c>
    </row>
    <row r="178" customFormat="false" ht="15" hidden="false" customHeight="false" outlineLevel="0" collapsed="false">
      <c r="A178" s="77"/>
      <c r="B178" s="78"/>
      <c r="C178" s="78"/>
      <c r="D178" s="79" t="str">
        <f aca="false">IF($AI178="","",INDEX(Accounts!$C$6:$C$55,$AI178)&amp;"")</f>
        <v/>
      </c>
      <c r="E178" s="79" t="str">
        <f aca="false">IF($AI178="","",INDEX(Accounts!$F$6:$F$55,$AI178)&amp;"")</f>
        <v/>
      </c>
      <c r="F178" s="79" t="str">
        <f aca="false">IF($AJ178="","",INDEX(Securities!$B$6:$B$105,$AJ178)&amp;"")</f>
        <v/>
      </c>
      <c r="G178" s="79" t="str">
        <f aca="false">IF($AJ178="","",INDEX(Securities!$F$6:$F$105,$AJ178)&amp;"")</f>
        <v/>
      </c>
      <c r="H178" s="79" t="str">
        <f aca="false">IF($AJ178="","",INDEX(Securities!$E$6:$E$105,$AJ178)&amp;"")</f>
        <v/>
      </c>
      <c r="I178" s="79" t="str">
        <f aca="false">IF($AJ178="","",INDEX(Securities!$H$6:$H$105,$AJ178)&amp;"")</f>
        <v/>
      </c>
      <c r="J178" s="80"/>
      <c r="K178" s="80"/>
      <c r="L178" s="81"/>
      <c r="M178" s="82"/>
      <c r="N178" s="83" t="str">
        <f aca="false">IF(OR($L178="",$M178=""),"",IF(N($L178)=0,"",$M178/$L178))</f>
        <v/>
      </c>
      <c r="O178" s="84" t="str">
        <f aca="false">IF($AJ178="","",IF(INDEX(Securities!$O$6:$O$105,$AJ178)="","",INDEX(Securities!$O$6:$O$105,$AJ178)))</f>
        <v/>
      </c>
      <c r="P178" s="79" t="str">
        <f aca="false">IF($AJ178="","",INDEX(Securities!$N$6:$N$105,$AJ178)&amp;"")</f>
        <v/>
      </c>
      <c r="Q178" s="82"/>
      <c r="R178" s="85" t="str">
        <f aca="false">IF($C178="","",IF($Q178&lt;&gt;"",$Q178,IF($P178="At cost",IF($M178="","",$M178),IF(OR($O178="",$L178=""),"",$L178*$O178))))</f>
        <v/>
      </c>
      <c r="S178" s="85" t="str">
        <f aca="false">IF(OR(NOT(ISNUMBER($R178)),$M178=""),"",$R178-$M178)</f>
        <v/>
      </c>
      <c r="T178" s="86" t="str">
        <f aca="false">IF(OR($S178="",N($M178)=0),"",$S178/$M178)</f>
        <v/>
      </c>
      <c r="U178" s="82"/>
      <c r="V178" s="82"/>
      <c r="W178" s="87"/>
      <c r="X178" s="79" t="str">
        <f aca="false">IF($AJ178="","",INDEX(Securities!$L$6:$L$105,$AJ178)&amp;"")</f>
        <v/>
      </c>
      <c r="Y178" s="87"/>
      <c r="Z178" s="87"/>
      <c r="AA178" s="86" t="str">
        <f aca="false">IF(OR($W178="",$Z178=""),"",$W178-$Z178)</f>
        <v/>
      </c>
      <c r="AB178" s="79" t="str">
        <f aca="false">IF($C178="","",IF($P178="At cost","At cost",IF(NOT(ISNUMBER($J178)),"No date",IF(ValDate-$J178&lt;365,"Absolute",IF($W178="","XIRR missing","XIRR")))))</f>
        <v/>
      </c>
      <c r="AC178" s="86" t="str">
        <f aca="false">IF(NOT(ISNUMBER($R178)),"",IF(SUM($R$6:$R$205)=0,"",$R178/SUM($R$6:$R$205)))</f>
        <v/>
      </c>
      <c r="AD178" s="82"/>
      <c r="AE178" s="80"/>
      <c r="AF178" s="78"/>
      <c r="AG178" s="88" t="str">
        <f aca="false">IF($C178="","",IF(COUNTIFS('Tax Lots'!$B$6:$B$205,$B178,'Tax Lots'!$C$6:$C$205,$C178)=0,"",SUMIFS('Tax Lots'!$P$6:$P$205,'Tax Lots'!$B$6:$B$205,$B178,'Tax Lots'!$C$6:$C$205,$C178)))</f>
        <v/>
      </c>
      <c r="AH178" s="79" t="str">
        <f aca="false">IF($A178&amp;$B178&amp;$C178="","",IF($A178="","Missing ID",IF(COUNTIF($A$6:$A$205,$A178)&gt;1,"Duplicate ID",IF($AI178="","Unknown account",IF($AJ178="","Unknown security",IF(COUNTIFS($B$6:$B$205,$B178,$C$6:$C$205,$C178)&gt;1,"Same security twice in one account",IF(AND(ISNUMBER($J178),ISNUMBER($K178),N($K178)&lt;N($J178)),"Last date before first",IF(NOT(ISNUMBER($R178)),"No market value",IF(OR(N($J178)&gt;ValDate,N($K178)&gt;ValDate),"Date after valuation",IF(AND(ISNUMBER($AG178),ABS(N($L178)-N($AG178))&gt;0.001),"Lot quantity differs",IF(AND(ISNUMBER($AG178),ABS(N($M178)-SUMIFS('Tax Lots'!$Q$6:$Q$205,'Tax Lots'!$B$6:$B$205,$B178,'Tax Lots'!$C$6:$C$205,$C178))&gt;1),"Lot cost differs",IF(AND(ISNUMBER($AG178),ABS(N($V178)-SUMIFS('Tax Lots'!$AA$6:$AA$205,'Tax Lots'!$B$6:$B$205,$B178,'Tax Lots'!$C$6:$C$205,$C178))&gt;1),"Lot realised gain differs","OK"))))))))))))</f>
        <v/>
      </c>
      <c r="AI178" s="89" t="str">
        <f aca="false">IF($B178="","",IFERROR(MATCH($B178,Accounts!$A$6:$A$55,0),""))</f>
        <v/>
      </c>
      <c r="AJ178" s="89" t="str">
        <f aca="false">IF($C178="","",IFERROR(MATCH($C178,Securities!$A$6:$A$105,0),""))</f>
        <v/>
      </c>
      <c r="AK178" s="89" t="str">
        <f aca="false">IF($AI178="","",INDEX(Accounts!$B$6:$B$55,$AI178)&amp;"")</f>
        <v/>
      </c>
      <c r="AL178" s="89" t="str">
        <f aca="false">IF(OR($C178="",$I178="",NOT(ISNUMBER($R178))),"",$I178&amp;"|"&amp;(SUMPRODUCT(($I$6:$I$205=$I178)*ISNUMBER($R$6:$R$205)*($R$6:$R$205&gt;$R178))+SUMPRODUCT(($I$6:$I178=$I178)*ISNUMBER($R$6:$R178)*($R$6:$R178=$R178))))</f>
        <v/>
      </c>
      <c r="AM178" s="89" t="n">
        <f aca="false">IF(AND(ISNUMBER($R178),$W178&lt;&gt;"",$Z178&lt;&gt;"",$AB178="XIRR"),$R178*$W178,0)</f>
        <v>0</v>
      </c>
      <c r="AN178" s="89" t="n">
        <f aca="false">IF(AND(ISNUMBER($R178),$W178&lt;&gt;"",$Z178&lt;&gt;"",$AB178="XIRR"),$R178,0)</f>
        <v>0</v>
      </c>
      <c r="AO178" s="89" t="n">
        <f aca="false">IF(AND(ISNUMBER($R178),$W178&lt;&gt;"",$Z178&lt;&gt;"",$AB178="XIRR"),$R178*$Z178,0)</f>
        <v>0</v>
      </c>
      <c r="AP178" s="89" t="n">
        <f aca="false">IF(AND(ISNUMBER($M178),$Y178&lt;&gt;"",ISNUMBER($T178)),$M178*$Y178,0)</f>
        <v>0</v>
      </c>
      <c r="AQ178" s="89" t="n">
        <f aca="false">IF(AND(ISNUMBER($M178),$Y178&lt;&gt;"",ISNUMBER($T178)),$M178,0)</f>
        <v>0</v>
      </c>
    </row>
    <row r="179" customFormat="false" ht="15" hidden="false" customHeight="false" outlineLevel="0" collapsed="false">
      <c r="A179" s="77"/>
      <c r="B179" s="78"/>
      <c r="C179" s="78"/>
      <c r="D179" s="79" t="str">
        <f aca="false">IF($AI179="","",INDEX(Accounts!$C$6:$C$55,$AI179)&amp;"")</f>
        <v/>
      </c>
      <c r="E179" s="79" t="str">
        <f aca="false">IF($AI179="","",INDEX(Accounts!$F$6:$F$55,$AI179)&amp;"")</f>
        <v/>
      </c>
      <c r="F179" s="79" t="str">
        <f aca="false">IF($AJ179="","",INDEX(Securities!$B$6:$B$105,$AJ179)&amp;"")</f>
        <v/>
      </c>
      <c r="G179" s="79" t="str">
        <f aca="false">IF($AJ179="","",INDEX(Securities!$F$6:$F$105,$AJ179)&amp;"")</f>
        <v/>
      </c>
      <c r="H179" s="79" t="str">
        <f aca="false">IF($AJ179="","",INDEX(Securities!$E$6:$E$105,$AJ179)&amp;"")</f>
        <v/>
      </c>
      <c r="I179" s="79" t="str">
        <f aca="false">IF($AJ179="","",INDEX(Securities!$H$6:$H$105,$AJ179)&amp;"")</f>
        <v/>
      </c>
      <c r="J179" s="80"/>
      <c r="K179" s="80"/>
      <c r="L179" s="81"/>
      <c r="M179" s="82"/>
      <c r="N179" s="83" t="str">
        <f aca="false">IF(OR($L179="",$M179=""),"",IF(N($L179)=0,"",$M179/$L179))</f>
        <v/>
      </c>
      <c r="O179" s="84" t="str">
        <f aca="false">IF($AJ179="","",IF(INDEX(Securities!$O$6:$O$105,$AJ179)="","",INDEX(Securities!$O$6:$O$105,$AJ179)))</f>
        <v/>
      </c>
      <c r="P179" s="79" t="str">
        <f aca="false">IF($AJ179="","",INDEX(Securities!$N$6:$N$105,$AJ179)&amp;"")</f>
        <v/>
      </c>
      <c r="Q179" s="82"/>
      <c r="R179" s="85" t="str">
        <f aca="false">IF($C179="","",IF($Q179&lt;&gt;"",$Q179,IF($P179="At cost",IF($M179="","",$M179),IF(OR($O179="",$L179=""),"",$L179*$O179))))</f>
        <v/>
      </c>
      <c r="S179" s="85" t="str">
        <f aca="false">IF(OR(NOT(ISNUMBER($R179)),$M179=""),"",$R179-$M179)</f>
        <v/>
      </c>
      <c r="T179" s="86" t="str">
        <f aca="false">IF(OR($S179="",N($M179)=0),"",$S179/$M179)</f>
        <v/>
      </c>
      <c r="U179" s="82"/>
      <c r="V179" s="82"/>
      <c r="W179" s="87"/>
      <c r="X179" s="79" t="str">
        <f aca="false">IF($AJ179="","",INDEX(Securities!$L$6:$L$105,$AJ179)&amp;"")</f>
        <v/>
      </c>
      <c r="Y179" s="87"/>
      <c r="Z179" s="87"/>
      <c r="AA179" s="86" t="str">
        <f aca="false">IF(OR($W179="",$Z179=""),"",$W179-$Z179)</f>
        <v/>
      </c>
      <c r="AB179" s="79" t="str">
        <f aca="false">IF($C179="","",IF($P179="At cost","At cost",IF(NOT(ISNUMBER($J179)),"No date",IF(ValDate-$J179&lt;365,"Absolute",IF($W179="","XIRR missing","XIRR")))))</f>
        <v/>
      </c>
      <c r="AC179" s="86" t="str">
        <f aca="false">IF(NOT(ISNUMBER($R179)),"",IF(SUM($R$6:$R$205)=0,"",$R179/SUM($R$6:$R$205)))</f>
        <v/>
      </c>
      <c r="AD179" s="82"/>
      <c r="AE179" s="80"/>
      <c r="AF179" s="78"/>
      <c r="AG179" s="88" t="str">
        <f aca="false">IF($C179="","",IF(COUNTIFS('Tax Lots'!$B$6:$B$205,$B179,'Tax Lots'!$C$6:$C$205,$C179)=0,"",SUMIFS('Tax Lots'!$P$6:$P$205,'Tax Lots'!$B$6:$B$205,$B179,'Tax Lots'!$C$6:$C$205,$C179)))</f>
        <v/>
      </c>
      <c r="AH179" s="79" t="str">
        <f aca="false">IF($A179&amp;$B179&amp;$C179="","",IF($A179="","Missing ID",IF(COUNTIF($A$6:$A$205,$A179)&gt;1,"Duplicate ID",IF($AI179="","Unknown account",IF($AJ179="","Unknown security",IF(COUNTIFS($B$6:$B$205,$B179,$C$6:$C$205,$C179)&gt;1,"Same security twice in one account",IF(AND(ISNUMBER($J179),ISNUMBER($K179),N($K179)&lt;N($J179)),"Last date before first",IF(NOT(ISNUMBER($R179)),"No market value",IF(OR(N($J179)&gt;ValDate,N($K179)&gt;ValDate),"Date after valuation",IF(AND(ISNUMBER($AG179),ABS(N($L179)-N($AG179))&gt;0.001),"Lot quantity differs",IF(AND(ISNUMBER($AG179),ABS(N($M179)-SUMIFS('Tax Lots'!$Q$6:$Q$205,'Tax Lots'!$B$6:$B$205,$B179,'Tax Lots'!$C$6:$C$205,$C179))&gt;1),"Lot cost differs",IF(AND(ISNUMBER($AG179),ABS(N($V179)-SUMIFS('Tax Lots'!$AA$6:$AA$205,'Tax Lots'!$B$6:$B$205,$B179,'Tax Lots'!$C$6:$C$205,$C179))&gt;1),"Lot realised gain differs","OK"))))))))))))</f>
        <v/>
      </c>
      <c r="AI179" s="89" t="str">
        <f aca="false">IF($B179="","",IFERROR(MATCH($B179,Accounts!$A$6:$A$55,0),""))</f>
        <v/>
      </c>
      <c r="AJ179" s="89" t="str">
        <f aca="false">IF($C179="","",IFERROR(MATCH($C179,Securities!$A$6:$A$105,0),""))</f>
        <v/>
      </c>
      <c r="AK179" s="89" t="str">
        <f aca="false">IF($AI179="","",INDEX(Accounts!$B$6:$B$55,$AI179)&amp;"")</f>
        <v/>
      </c>
      <c r="AL179" s="89" t="str">
        <f aca="false">IF(OR($C179="",$I179="",NOT(ISNUMBER($R179))),"",$I179&amp;"|"&amp;(SUMPRODUCT(($I$6:$I$205=$I179)*ISNUMBER($R$6:$R$205)*($R$6:$R$205&gt;$R179))+SUMPRODUCT(($I$6:$I179=$I179)*ISNUMBER($R$6:$R179)*($R$6:$R179=$R179))))</f>
        <v/>
      </c>
      <c r="AM179" s="89" t="n">
        <f aca="false">IF(AND(ISNUMBER($R179),$W179&lt;&gt;"",$Z179&lt;&gt;"",$AB179="XIRR"),$R179*$W179,0)</f>
        <v>0</v>
      </c>
      <c r="AN179" s="89" t="n">
        <f aca="false">IF(AND(ISNUMBER($R179),$W179&lt;&gt;"",$Z179&lt;&gt;"",$AB179="XIRR"),$R179,0)</f>
        <v>0</v>
      </c>
      <c r="AO179" s="89" t="n">
        <f aca="false">IF(AND(ISNUMBER($R179),$W179&lt;&gt;"",$Z179&lt;&gt;"",$AB179="XIRR"),$R179*$Z179,0)</f>
        <v>0</v>
      </c>
      <c r="AP179" s="89" t="n">
        <f aca="false">IF(AND(ISNUMBER($M179),$Y179&lt;&gt;"",ISNUMBER($T179)),$M179*$Y179,0)</f>
        <v>0</v>
      </c>
      <c r="AQ179" s="89" t="n">
        <f aca="false">IF(AND(ISNUMBER($M179),$Y179&lt;&gt;"",ISNUMBER($T179)),$M179,0)</f>
        <v>0</v>
      </c>
    </row>
    <row r="180" customFormat="false" ht="15" hidden="false" customHeight="false" outlineLevel="0" collapsed="false">
      <c r="A180" s="77"/>
      <c r="B180" s="78"/>
      <c r="C180" s="78"/>
      <c r="D180" s="79" t="str">
        <f aca="false">IF($AI180="","",INDEX(Accounts!$C$6:$C$55,$AI180)&amp;"")</f>
        <v/>
      </c>
      <c r="E180" s="79" t="str">
        <f aca="false">IF($AI180="","",INDEX(Accounts!$F$6:$F$55,$AI180)&amp;"")</f>
        <v/>
      </c>
      <c r="F180" s="79" t="str">
        <f aca="false">IF($AJ180="","",INDEX(Securities!$B$6:$B$105,$AJ180)&amp;"")</f>
        <v/>
      </c>
      <c r="G180" s="79" t="str">
        <f aca="false">IF($AJ180="","",INDEX(Securities!$F$6:$F$105,$AJ180)&amp;"")</f>
        <v/>
      </c>
      <c r="H180" s="79" t="str">
        <f aca="false">IF($AJ180="","",INDEX(Securities!$E$6:$E$105,$AJ180)&amp;"")</f>
        <v/>
      </c>
      <c r="I180" s="79" t="str">
        <f aca="false">IF($AJ180="","",INDEX(Securities!$H$6:$H$105,$AJ180)&amp;"")</f>
        <v/>
      </c>
      <c r="J180" s="80"/>
      <c r="K180" s="80"/>
      <c r="L180" s="81"/>
      <c r="M180" s="82"/>
      <c r="N180" s="83" t="str">
        <f aca="false">IF(OR($L180="",$M180=""),"",IF(N($L180)=0,"",$M180/$L180))</f>
        <v/>
      </c>
      <c r="O180" s="84" t="str">
        <f aca="false">IF($AJ180="","",IF(INDEX(Securities!$O$6:$O$105,$AJ180)="","",INDEX(Securities!$O$6:$O$105,$AJ180)))</f>
        <v/>
      </c>
      <c r="P180" s="79" t="str">
        <f aca="false">IF($AJ180="","",INDEX(Securities!$N$6:$N$105,$AJ180)&amp;"")</f>
        <v/>
      </c>
      <c r="Q180" s="82"/>
      <c r="R180" s="85" t="str">
        <f aca="false">IF($C180="","",IF($Q180&lt;&gt;"",$Q180,IF($P180="At cost",IF($M180="","",$M180),IF(OR($O180="",$L180=""),"",$L180*$O180))))</f>
        <v/>
      </c>
      <c r="S180" s="85" t="str">
        <f aca="false">IF(OR(NOT(ISNUMBER($R180)),$M180=""),"",$R180-$M180)</f>
        <v/>
      </c>
      <c r="T180" s="86" t="str">
        <f aca="false">IF(OR($S180="",N($M180)=0),"",$S180/$M180)</f>
        <v/>
      </c>
      <c r="U180" s="82"/>
      <c r="V180" s="82"/>
      <c r="W180" s="87"/>
      <c r="X180" s="79" t="str">
        <f aca="false">IF($AJ180="","",INDEX(Securities!$L$6:$L$105,$AJ180)&amp;"")</f>
        <v/>
      </c>
      <c r="Y180" s="87"/>
      <c r="Z180" s="87"/>
      <c r="AA180" s="86" t="str">
        <f aca="false">IF(OR($W180="",$Z180=""),"",$W180-$Z180)</f>
        <v/>
      </c>
      <c r="AB180" s="79" t="str">
        <f aca="false">IF($C180="","",IF($P180="At cost","At cost",IF(NOT(ISNUMBER($J180)),"No date",IF(ValDate-$J180&lt;365,"Absolute",IF($W180="","XIRR missing","XIRR")))))</f>
        <v/>
      </c>
      <c r="AC180" s="86" t="str">
        <f aca="false">IF(NOT(ISNUMBER($R180)),"",IF(SUM($R$6:$R$205)=0,"",$R180/SUM($R$6:$R$205)))</f>
        <v/>
      </c>
      <c r="AD180" s="82"/>
      <c r="AE180" s="80"/>
      <c r="AF180" s="78"/>
      <c r="AG180" s="88" t="str">
        <f aca="false">IF($C180="","",IF(COUNTIFS('Tax Lots'!$B$6:$B$205,$B180,'Tax Lots'!$C$6:$C$205,$C180)=0,"",SUMIFS('Tax Lots'!$P$6:$P$205,'Tax Lots'!$B$6:$B$205,$B180,'Tax Lots'!$C$6:$C$205,$C180)))</f>
        <v/>
      </c>
      <c r="AH180" s="79" t="str">
        <f aca="false">IF($A180&amp;$B180&amp;$C180="","",IF($A180="","Missing ID",IF(COUNTIF($A$6:$A$205,$A180)&gt;1,"Duplicate ID",IF($AI180="","Unknown account",IF($AJ180="","Unknown security",IF(COUNTIFS($B$6:$B$205,$B180,$C$6:$C$205,$C180)&gt;1,"Same security twice in one account",IF(AND(ISNUMBER($J180),ISNUMBER($K180),N($K180)&lt;N($J180)),"Last date before first",IF(NOT(ISNUMBER($R180)),"No market value",IF(OR(N($J180)&gt;ValDate,N($K180)&gt;ValDate),"Date after valuation",IF(AND(ISNUMBER($AG180),ABS(N($L180)-N($AG180))&gt;0.001),"Lot quantity differs",IF(AND(ISNUMBER($AG180),ABS(N($M180)-SUMIFS('Tax Lots'!$Q$6:$Q$205,'Tax Lots'!$B$6:$B$205,$B180,'Tax Lots'!$C$6:$C$205,$C180))&gt;1),"Lot cost differs",IF(AND(ISNUMBER($AG180),ABS(N($V180)-SUMIFS('Tax Lots'!$AA$6:$AA$205,'Tax Lots'!$B$6:$B$205,$B180,'Tax Lots'!$C$6:$C$205,$C180))&gt;1),"Lot realised gain differs","OK"))))))))))))</f>
        <v/>
      </c>
      <c r="AI180" s="89" t="str">
        <f aca="false">IF($B180="","",IFERROR(MATCH($B180,Accounts!$A$6:$A$55,0),""))</f>
        <v/>
      </c>
      <c r="AJ180" s="89" t="str">
        <f aca="false">IF($C180="","",IFERROR(MATCH($C180,Securities!$A$6:$A$105,0),""))</f>
        <v/>
      </c>
      <c r="AK180" s="89" t="str">
        <f aca="false">IF($AI180="","",INDEX(Accounts!$B$6:$B$55,$AI180)&amp;"")</f>
        <v/>
      </c>
      <c r="AL180" s="89" t="str">
        <f aca="false">IF(OR($C180="",$I180="",NOT(ISNUMBER($R180))),"",$I180&amp;"|"&amp;(SUMPRODUCT(($I$6:$I$205=$I180)*ISNUMBER($R$6:$R$205)*($R$6:$R$205&gt;$R180))+SUMPRODUCT(($I$6:$I180=$I180)*ISNUMBER($R$6:$R180)*($R$6:$R180=$R180))))</f>
        <v/>
      </c>
      <c r="AM180" s="89" t="n">
        <f aca="false">IF(AND(ISNUMBER($R180),$W180&lt;&gt;"",$Z180&lt;&gt;"",$AB180="XIRR"),$R180*$W180,0)</f>
        <v>0</v>
      </c>
      <c r="AN180" s="89" t="n">
        <f aca="false">IF(AND(ISNUMBER($R180),$W180&lt;&gt;"",$Z180&lt;&gt;"",$AB180="XIRR"),$R180,0)</f>
        <v>0</v>
      </c>
      <c r="AO180" s="89" t="n">
        <f aca="false">IF(AND(ISNUMBER($R180),$W180&lt;&gt;"",$Z180&lt;&gt;"",$AB180="XIRR"),$R180*$Z180,0)</f>
        <v>0</v>
      </c>
      <c r="AP180" s="89" t="n">
        <f aca="false">IF(AND(ISNUMBER($M180),$Y180&lt;&gt;"",ISNUMBER($T180)),$M180*$Y180,0)</f>
        <v>0</v>
      </c>
      <c r="AQ180" s="89" t="n">
        <f aca="false">IF(AND(ISNUMBER($M180),$Y180&lt;&gt;"",ISNUMBER($T180)),$M180,0)</f>
        <v>0</v>
      </c>
    </row>
    <row r="181" customFormat="false" ht="15" hidden="false" customHeight="false" outlineLevel="0" collapsed="false">
      <c r="A181" s="77"/>
      <c r="B181" s="78"/>
      <c r="C181" s="78"/>
      <c r="D181" s="79" t="str">
        <f aca="false">IF($AI181="","",INDEX(Accounts!$C$6:$C$55,$AI181)&amp;"")</f>
        <v/>
      </c>
      <c r="E181" s="79" t="str">
        <f aca="false">IF($AI181="","",INDEX(Accounts!$F$6:$F$55,$AI181)&amp;"")</f>
        <v/>
      </c>
      <c r="F181" s="79" t="str">
        <f aca="false">IF($AJ181="","",INDEX(Securities!$B$6:$B$105,$AJ181)&amp;"")</f>
        <v/>
      </c>
      <c r="G181" s="79" t="str">
        <f aca="false">IF($AJ181="","",INDEX(Securities!$F$6:$F$105,$AJ181)&amp;"")</f>
        <v/>
      </c>
      <c r="H181" s="79" t="str">
        <f aca="false">IF($AJ181="","",INDEX(Securities!$E$6:$E$105,$AJ181)&amp;"")</f>
        <v/>
      </c>
      <c r="I181" s="79" t="str">
        <f aca="false">IF($AJ181="","",INDEX(Securities!$H$6:$H$105,$AJ181)&amp;"")</f>
        <v/>
      </c>
      <c r="J181" s="80"/>
      <c r="K181" s="80"/>
      <c r="L181" s="81"/>
      <c r="M181" s="82"/>
      <c r="N181" s="83" t="str">
        <f aca="false">IF(OR($L181="",$M181=""),"",IF(N($L181)=0,"",$M181/$L181))</f>
        <v/>
      </c>
      <c r="O181" s="84" t="str">
        <f aca="false">IF($AJ181="","",IF(INDEX(Securities!$O$6:$O$105,$AJ181)="","",INDEX(Securities!$O$6:$O$105,$AJ181)))</f>
        <v/>
      </c>
      <c r="P181" s="79" t="str">
        <f aca="false">IF($AJ181="","",INDEX(Securities!$N$6:$N$105,$AJ181)&amp;"")</f>
        <v/>
      </c>
      <c r="Q181" s="82"/>
      <c r="R181" s="85" t="str">
        <f aca="false">IF($C181="","",IF($Q181&lt;&gt;"",$Q181,IF($P181="At cost",IF($M181="","",$M181),IF(OR($O181="",$L181=""),"",$L181*$O181))))</f>
        <v/>
      </c>
      <c r="S181" s="85" t="str">
        <f aca="false">IF(OR(NOT(ISNUMBER($R181)),$M181=""),"",$R181-$M181)</f>
        <v/>
      </c>
      <c r="T181" s="86" t="str">
        <f aca="false">IF(OR($S181="",N($M181)=0),"",$S181/$M181)</f>
        <v/>
      </c>
      <c r="U181" s="82"/>
      <c r="V181" s="82"/>
      <c r="W181" s="87"/>
      <c r="X181" s="79" t="str">
        <f aca="false">IF($AJ181="","",INDEX(Securities!$L$6:$L$105,$AJ181)&amp;"")</f>
        <v/>
      </c>
      <c r="Y181" s="87"/>
      <c r="Z181" s="87"/>
      <c r="AA181" s="86" t="str">
        <f aca="false">IF(OR($W181="",$Z181=""),"",$W181-$Z181)</f>
        <v/>
      </c>
      <c r="AB181" s="79" t="str">
        <f aca="false">IF($C181="","",IF($P181="At cost","At cost",IF(NOT(ISNUMBER($J181)),"No date",IF(ValDate-$J181&lt;365,"Absolute",IF($W181="","XIRR missing","XIRR")))))</f>
        <v/>
      </c>
      <c r="AC181" s="86" t="str">
        <f aca="false">IF(NOT(ISNUMBER($R181)),"",IF(SUM($R$6:$R$205)=0,"",$R181/SUM($R$6:$R$205)))</f>
        <v/>
      </c>
      <c r="AD181" s="82"/>
      <c r="AE181" s="80"/>
      <c r="AF181" s="78"/>
      <c r="AG181" s="88" t="str">
        <f aca="false">IF($C181="","",IF(COUNTIFS('Tax Lots'!$B$6:$B$205,$B181,'Tax Lots'!$C$6:$C$205,$C181)=0,"",SUMIFS('Tax Lots'!$P$6:$P$205,'Tax Lots'!$B$6:$B$205,$B181,'Tax Lots'!$C$6:$C$205,$C181)))</f>
        <v/>
      </c>
      <c r="AH181" s="79" t="str">
        <f aca="false">IF($A181&amp;$B181&amp;$C181="","",IF($A181="","Missing ID",IF(COUNTIF($A$6:$A$205,$A181)&gt;1,"Duplicate ID",IF($AI181="","Unknown account",IF($AJ181="","Unknown security",IF(COUNTIFS($B$6:$B$205,$B181,$C$6:$C$205,$C181)&gt;1,"Same security twice in one account",IF(AND(ISNUMBER($J181),ISNUMBER($K181),N($K181)&lt;N($J181)),"Last date before first",IF(NOT(ISNUMBER($R181)),"No market value",IF(OR(N($J181)&gt;ValDate,N($K181)&gt;ValDate),"Date after valuation",IF(AND(ISNUMBER($AG181),ABS(N($L181)-N($AG181))&gt;0.001),"Lot quantity differs",IF(AND(ISNUMBER($AG181),ABS(N($M181)-SUMIFS('Tax Lots'!$Q$6:$Q$205,'Tax Lots'!$B$6:$B$205,$B181,'Tax Lots'!$C$6:$C$205,$C181))&gt;1),"Lot cost differs",IF(AND(ISNUMBER($AG181),ABS(N($V181)-SUMIFS('Tax Lots'!$AA$6:$AA$205,'Tax Lots'!$B$6:$B$205,$B181,'Tax Lots'!$C$6:$C$205,$C181))&gt;1),"Lot realised gain differs","OK"))))))))))))</f>
        <v/>
      </c>
      <c r="AI181" s="89" t="str">
        <f aca="false">IF($B181="","",IFERROR(MATCH($B181,Accounts!$A$6:$A$55,0),""))</f>
        <v/>
      </c>
      <c r="AJ181" s="89" t="str">
        <f aca="false">IF($C181="","",IFERROR(MATCH($C181,Securities!$A$6:$A$105,0),""))</f>
        <v/>
      </c>
      <c r="AK181" s="89" t="str">
        <f aca="false">IF($AI181="","",INDEX(Accounts!$B$6:$B$55,$AI181)&amp;"")</f>
        <v/>
      </c>
      <c r="AL181" s="89" t="str">
        <f aca="false">IF(OR($C181="",$I181="",NOT(ISNUMBER($R181))),"",$I181&amp;"|"&amp;(SUMPRODUCT(($I$6:$I$205=$I181)*ISNUMBER($R$6:$R$205)*($R$6:$R$205&gt;$R181))+SUMPRODUCT(($I$6:$I181=$I181)*ISNUMBER($R$6:$R181)*($R$6:$R181=$R181))))</f>
        <v/>
      </c>
      <c r="AM181" s="89" t="n">
        <f aca="false">IF(AND(ISNUMBER($R181),$W181&lt;&gt;"",$Z181&lt;&gt;"",$AB181="XIRR"),$R181*$W181,0)</f>
        <v>0</v>
      </c>
      <c r="AN181" s="89" t="n">
        <f aca="false">IF(AND(ISNUMBER($R181),$W181&lt;&gt;"",$Z181&lt;&gt;"",$AB181="XIRR"),$R181,0)</f>
        <v>0</v>
      </c>
      <c r="AO181" s="89" t="n">
        <f aca="false">IF(AND(ISNUMBER($R181),$W181&lt;&gt;"",$Z181&lt;&gt;"",$AB181="XIRR"),$R181*$Z181,0)</f>
        <v>0</v>
      </c>
      <c r="AP181" s="89" t="n">
        <f aca="false">IF(AND(ISNUMBER($M181),$Y181&lt;&gt;"",ISNUMBER($T181)),$M181*$Y181,0)</f>
        <v>0</v>
      </c>
      <c r="AQ181" s="89" t="n">
        <f aca="false">IF(AND(ISNUMBER($M181),$Y181&lt;&gt;"",ISNUMBER($T181)),$M181,0)</f>
        <v>0</v>
      </c>
    </row>
    <row r="182" customFormat="false" ht="15" hidden="false" customHeight="false" outlineLevel="0" collapsed="false">
      <c r="A182" s="77"/>
      <c r="B182" s="78"/>
      <c r="C182" s="78"/>
      <c r="D182" s="79" t="str">
        <f aca="false">IF($AI182="","",INDEX(Accounts!$C$6:$C$55,$AI182)&amp;"")</f>
        <v/>
      </c>
      <c r="E182" s="79" t="str">
        <f aca="false">IF($AI182="","",INDEX(Accounts!$F$6:$F$55,$AI182)&amp;"")</f>
        <v/>
      </c>
      <c r="F182" s="79" t="str">
        <f aca="false">IF($AJ182="","",INDEX(Securities!$B$6:$B$105,$AJ182)&amp;"")</f>
        <v/>
      </c>
      <c r="G182" s="79" t="str">
        <f aca="false">IF($AJ182="","",INDEX(Securities!$F$6:$F$105,$AJ182)&amp;"")</f>
        <v/>
      </c>
      <c r="H182" s="79" t="str">
        <f aca="false">IF($AJ182="","",INDEX(Securities!$E$6:$E$105,$AJ182)&amp;"")</f>
        <v/>
      </c>
      <c r="I182" s="79" t="str">
        <f aca="false">IF($AJ182="","",INDEX(Securities!$H$6:$H$105,$AJ182)&amp;"")</f>
        <v/>
      </c>
      <c r="J182" s="80"/>
      <c r="K182" s="80"/>
      <c r="L182" s="81"/>
      <c r="M182" s="82"/>
      <c r="N182" s="83" t="str">
        <f aca="false">IF(OR($L182="",$M182=""),"",IF(N($L182)=0,"",$M182/$L182))</f>
        <v/>
      </c>
      <c r="O182" s="84" t="str">
        <f aca="false">IF($AJ182="","",IF(INDEX(Securities!$O$6:$O$105,$AJ182)="","",INDEX(Securities!$O$6:$O$105,$AJ182)))</f>
        <v/>
      </c>
      <c r="P182" s="79" t="str">
        <f aca="false">IF($AJ182="","",INDEX(Securities!$N$6:$N$105,$AJ182)&amp;"")</f>
        <v/>
      </c>
      <c r="Q182" s="82"/>
      <c r="R182" s="85" t="str">
        <f aca="false">IF($C182="","",IF($Q182&lt;&gt;"",$Q182,IF($P182="At cost",IF($M182="","",$M182),IF(OR($O182="",$L182=""),"",$L182*$O182))))</f>
        <v/>
      </c>
      <c r="S182" s="85" t="str">
        <f aca="false">IF(OR(NOT(ISNUMBER($R182)),$M182=""),"",$R182-$M182)</f>
        <v/>
      </c>
      <c r="T182" s="86" t="str">
        <f aca="false">IF(OR($S182="",N($M182)=0),"",$S182/$M182)</f>
        <v/>
      </c>
      <c r="U182" s="82"/>
      <c r="V182" s="82"/>
      <c r="W182" s="87"/>
      <c r="X182" s="79" t="str">
        <f aca="false">IF($AJ182="","",INDEX(Securities!$L$6:$L$105,$AJ182)&amp;"")</f>
        <v/>
      </c>
      <c r="Y182" s="87"/>
      <c r="Z182" s="87"/>
      <c r="AA182" s="86" t="str">
        <f aca="false">IF(OR($W182="",$Z182=""),"",$W182-$Z182)</f>
        <v/>
      </c>
      <c r="AB182" s="79" t="str">
        <f aca="false">IF($C182="","",IF($P182="At cost","At cost",IF(NOT(ISNUMBER($J182)),"No date",IF(ValDate-$J182&lt;365,"Absolute",IF($W182="","XIRR missing","XIRR")))))</f>
        <v/>
      </c>
      <c r="AC182" s="86" t="str">
        <f aca="false">IF(NOT(ISNUMBER($R182)),"",IF(SUM($R$6:$R$205)=0,"",$R182/SUM($R$6:$R$205)))</f>
        <v/>
      </c>
      <c r="AD182" s="82"/>
      <c r="AE182" s="80"/>
      <c r="AF182" s="78"/>
      <c r="AG182" s="88" t="str">
        <f aca="false">IF($C182="","",IF(COUNTIFS('Tax Lots'!$B$6:$B$205,$B182,'Tax Lots'!$C$6:$C$205,$C182)=0,"",SUMIFS('Tax Lots'!$P$6:$P$205,'Tax Lots'!$B$6:$B$205,$B182,'Tax Lots'!$C$6:$C$205,$C182)))</f>
        <v/>
      </c>
      <c r="AH182" s="79" t="str">
        <f aca="false">IF($A182&amp;$B182&amp;$C182="","",IF($A182="","Missing ID",IF(COUNTIF($A$6:$A$205,$A182)&gt;1,"Duplicate ID",IF($AI182="","Unknown account",IF($AJ182="","Unknown security",IF(COUNTIFS($B$6:$B$205,$B182,$C$6:$C$205,$C182)&gt;1,"Same security twice in one account",IF(AND(ISNUMBER($J182),ISNUMBER($K182),N($K182)&lt;N($J182)),"Last date before first",IF(NOT(ISNUMBER($R182)),"No market value",IF(OR(N($J182)&gt;ValDate,N($K182)&gt;ValDate),"Date after valuation",IF(AND(ISNUMBER($AG182),ABS(N($L182)-N($AG182))&gt;0.001),"Lot quantity differs",IF(AND(ISNUMBER($AG182),ABS(N($M182)-SUMIFS('Tax Lots'!$Q$6:$Q$205,'Tax Lots'!$B$6:$B$205,$B182,'Tax Lots'!$C$6:$C$205,$C182))&gt;1),"Lot cost differs",IF(AND(ISNUMBER($AG182),ABS(N($V182)-SUMIFS('Tax Lots'!$AA$6:$AA$205,'Tax Lots'!$B$6:$B$205,$B182,'Tax Lots'!$C$6:$C$205,$C182))&gt;1),"Lot realised gain differs","OK"))))))))))))</f>
        <v/>
      </c>
      <c r="AI182" s="89" t="str">
        <f aca="false">IF($B182="","",IFERROR(MATCH($B182,Accounts!$A$6:$A$55,0),""))</f>
        <v/>
      </c>
      <c r="AJ182" s="89" t="str">
        <f aca="false">IF($C182="","",IFERROR(MATCH($C182,Securities!$A$6:$A$105,0),""))</f>
        <v/>
      </c>
      <c r="AK182" s="89" t="str">
        <f aca="false">IF($AI182="","",INDEX(Accounts!$B$6:$B$55,$AI182)&amp;"")</f>
        <v/>
      </c>
      <c r="AL182" s="89" t="str">
        <f aca="false">IF(OR($C182="",$I182="",NOT(ISNUMBER($R182))),"",$I182&amp;"|"&amp;(SUMPRODUCT(($I$6:$I$205=$I182)*ISNUMBER($R$6:$R$205)*($R$6:$R$205&gt;$R182))+SUMPRODUCT(($I$6:$I182=$I182)*ISNUMBER($R$6:$R182)*($R$6:$R182=$R182))))</f>
        <v/>
      </c>
      <c r="AM182" s="89" t="n">
        <f aca="false">IF(AND(ISNUMBER($R182),$W182&lt;&gt;"",$Z182&lt;&gt;"",$AB182="XIRR"),$R182*$W182,0)</f>
        <v>0</v>
      </c>
      <c r="AN182" s="89" t="n">
        <f aca="false">IF(AND(ISNUMBER($R182),$W182&lt;&gt;"",$Z182&lt;&gt;"",$AB182="XIRR"),$R182,0)</f>
        <v>0</v>
      </c>
      <c r="AO182" s="89" t="n">
        <f aca="false">IF(AND(ISNUMBER($R182),$W182&lt;&gt;"",$Z182&lt;&gt;"",$AB182="XIRR"),$R182*$Z182,0)</f>
        <v>0</v>
      </c>
      <c r="AP182" s="89" t="n">
        <f aca="false">IF(AND(ISNUMBER($M182),$Y182&lt;&gt;"",ISNUMBER($T182)),$M182*$Y182,0)</f>
        <v>0</v>
      </c>
      <c r="AQ182" s="89" t="n">
        <f aca="false">IF(AND(ISNUMBER($M182),$Y182&lt;&gt;"",ISNUMBER($T182)),$M182,0)</f>
        <v>0</v>
      </c>
    </row>
    <row r="183" customFormat="false" ht="15" hidden="false" customHeight="false" outlineLevel="0" collapsed="false">
      <c r="A183" s="77"/>
      <c r="B183" s="78"/>
      <c r="C183" s="78"/>
      <c r="D183" s="79" t="str">
        <f aca="false">IF($AI183="","",INDEX(Accounts!$C$6:$C$55,$AI183)&amp;"")</f>
        <v/>
      </c>
      <c r="E183" s="79" t="str">
        <f aca="false">IF($AI183="","",INDEX(Accounts!$F$6:$F$55,$AI183)&amp;"")</f>
        <v/>
      </c>
      <c r="F183" s="79" t="str">
        <f aca="false">IF($AJ183="","",INDEX(Securities!$B$6:$B$105,$AJ183)&amp;"")</f>
        <v/>
      </c>
      <c r="G183" s="79" t="str">
        <f aca="false">IF($AJ183="","",INDEX(Securities!$F$6:$F$105,$AJ183)&amp;"")</f>
        <v/>
      </c>
      <c r="H183" s="79" t="str">
        <f aca="false">IF($AJ183="","",INDEX(Securities!$E$6:$E$105,$AJ183)&amp;"")</f>
        <v/>
      </c>
      <c r="I183" s="79" t="str">
        <f aca="false">IF($AJ183="","",INDEX(Securities!$H$6:$H$105,$AJ183)&amp;"")</f>
        <v/>
      </c>
      <c r="J183" s="80"/>
      <c r="K183" s="80"/>
      <c r="L183" s="81"/>
      <c r="M183" s="82"/>
      <c r="N183" s="83" t="str">
        <f aca="false">IF(OR($L183="",$M183=""),"",IF(N($L183)=0,"",$M183/$L183))</f>
        <v/>
      </c>
      <c r="O183" s="84" t="str">
        <f aca="false">IF($AJ183="","",IF(INDEX(Securities!$O$6:$O$105,$AJ183)="","",INDEX(Securities!$O$6:$O$105,$AJ183)))</f>
        <v/>
      </c>
      <c r="P183" s="79" t="str">
        <f aca="false">IF($AJ183="","",INDEX(Securities!$N$6:$N$105,$AJ183)&amp;"")</f>
        <v/>
      </c>
      <c r="Q183" s="82"/>
      <c r="R183" s="85" t="str">
        <f aca="false">IF($C183="","",IF($Q183&lt;&gt;"",$Q183,IF($P183="At cost",IF($M183="","",$M183),IF(OR($O183="",$L183=""),"",$L183*$O183))))</f>
        <v/>
      </c>
      <c r="S183" s="85" t="str">
        <f aca="false">IF(OR(NOT(ISNUMBER($R183)),$M183=""),"",$R183-$M183)</f>
        <v/>
      </c>
      <c r="T183" s="86" t="str">
        <f aca="false">IF(OR($S183="",N($M183)=0),"",$S183/$M183)</f>
        <v/>
      </c>
      <c r="U183" s="82"/>
      <c r="V183" s="82"/>
      <c r="W183" s="87"/>
      <c r="X183" s="79" t="str">
        <f aca="false">IF($AJ183="","",INDEX(Securities!$L$6:$L$105,$AJ183)&amp;"")</f>
        <v/>
      </c>
      <c r="Y183" s="87"/>
      <c r="Z183" s="87"/>
      <c r="AA183" s="86" t="str">
        <f aca="false">IF(OR($W183="",$Z183=""),"",$W183-$Z183)</f>
        <v/>
      </c>
      <c r="AB183" s="79" t="str">
        <f aca="false">IF($C183="","",IF($P183="At cost","At cost",IF(NOT(ISNUMBER($J183)),"No date",IF(ValDate-$J183&lt;365,"Absolute",IF($W183="","XIRR missing","XIRR")))))</f>
        <v/>
      </c>
      <c r="AC183" s="86" t="str">
        <f aca="false">IF(NOT(ISNUMBER($R183)),"",IF(SUM($R$6:$R$205)=0,"",$R183/SUM($R$6:$R$205)))</f>
        <v/>
      </c>
      <c r="AD183" s="82"/>
      <c r="AE183" s="80"/>
      <c r="AF183" s="78"/>
      <c r="AG183" s="88" t="str">
        <f aca="false">IF($C183="","",IF(COUNTIFS('Tax Lots'!$B$6:$B$205,$B183,'Tax Lots'!$C$6:$C$205,$C183)=0,"",SUMIFS('Tax Lots'!$P$6:$P$205,'Tax Lots'!$B$6:$B$205,$B183,'Tax Lots'!$C$6:$C$205,$C183)))</f>
        <v/>
      </c>
      <c r="AH183" s="79" t="str">
        <f aca="false">IF($A183&amp;$B183&amp;$C183="","",IF($A183="","Missing ID",IF(COUNTIF($A$6:$A$205,$A183)&gt;1,"Duplicate ID",IF($AI183="","Unknown account",IF($AJ183="","Unknown security",IF(COUNTIFS($B$6:$B$205,$B183,$C$6:$C$205,$C183)&gt;1,"Same security twice in one account",IF(AND(ISNUMBER($J183),ISNUMBER($K183),N($K183)&lt;N($J183)),"Last date before first",IF(NOT(ISNUMBER($R183)),"No market value",IF(OR(N($J183)&gt;ValDate,N($K183)&gt;ValDate),"Date after valuation",IF(AND(ISNUMBER($AG183),ABS(N($L183)-N($AG183))&gt;0.001),"Lot quantity differs",IF(AND(ISNUMBER($AG183),ABS(N($M183)-SUMIFS('Tax Lots'!$Q$6:$Q$205,'Tax Lots'!$B$6:$B$205,$B183,'Tax Lots'!$C$6:$C$205,$C183))&gt;1),"Lot cost differs",IF(AND(ISNUMBER($AG183),ABS(N($V183)-SUMIFS('Tax Lots'!$AA$6:$AA$205,'Tax Lots'!$B$6:$B$205,$B183,'Tax Lots'!$C$6:$C$205,$C183))&gt;1),"Lot realised gain differs","OK"))))))))))))</f>
        <v/>
      </c>
      <c r="AI183" s="89" t="str">
        <f aca="false">IF($B183="","",IFERROR(MATCH($B183,Accounts!$A$6:$A$55,0),""))</f>
        <v/>
      </c>
      <c r="AJ183" s="89" t="str">
        <f aca="false">IF($C183="","",IFERROR(MATCH($C183,Securities!$A$6:$A$105,0),""))</f>
        <v/>
      </c>
      <c r="AK183" s="89" t="str">
        <f aca="false">IF($AI183="","",INDEX(Accounts!$B$6:$B$55,$AI183)&amp;"")</f>
        <v/>
      </c>
      <c r="AL183" s="89" t="str">
        <f aca="false">IF(OR($C183="",$I183="",NOT(ISNUMBER($R183))),"",$I183&amp;"|"&amp;(SUMPRODUCT(($I$6:$I$205=$I183)*ISNUMBER($R$6:$R$205)*($R$6:$R$205&gt;$R183))+SUMPRODUCT(($I$6:$I183=$I183)*ISNUMBER($R$6:$R183)*($R$6:$R183=$R183))))</f>
        <v/>
      </c>
      <c r="AM183" s="89" t="n">
        <f aca="false">IF(AND(ISNUMBER($R183),$W183&lt;&gt;"",$Z183&lt;&gt;"",$AB183="XIRR"),$R183*$W183,0)</f>
        <v>0</v>
      </c>
      <c r="AN183" s="89" t="n">
        <f aca="false">IF(AND(ISNUMBER($R183),$W183&lt;&gt;"",$Z183&lt;&gt;"",$AB183="XIRR"),$R183,0)</f>
        <v>0</v>
      </c>
      <c r="AO183" s="89" t="n">
        <f aca="false">IF(AND(ISNUMBER($R183),$W183&lt;&gt;"",$Z183&lt;&gt;"",$AB183="XIRR"),$R183*$Z183,0)</f>
        <v>0</v>
      </c>
      <c r="AP183" s="89" t="n">
        <f aca="false">IF(AND(ISNUMBER($M183),$Y183&lt;&gt;"",ISNUMBER($T183)),$M183*$Y183,0)</f>
        <v>0</v>
      </c>
      <c r="AQ183" s="89" t="n">
        <f aca="false">IF(AND(ISNUMBER($M183),$Y183&lt;&gt;"",ISNUMBER($T183)),$M183,0)</f>
        <v>0</v>
      </c>
    </row>
    <row r="184" customFormat="false" ht="15" hidden="false" customHeight="false" outlineLevel="0" collapsed="false">
      <c r="A184" s="77"/>
      <c r="B184" s="78"/>
      <c r="C184" s="78"/>
      <c r="D184" s="79" t="str">
        <f aca="false">IF($AI184="","",INDEX(Accounts!$C$6:$C$55,$AI184)&amp;"")</f>
        <v/>
      </c>
      <c r="E184" s="79" t="str">
        <f aca="false">IF($AI184="","",INDEX(Accounts!$F$6:$F$55,$AI184)&amp;"")</f>
        <v/>
      </c>
      <c r="F184" s="79" t="str">
        <f aca="false">IF($AJ184="","",INDEX(Securities!$B$6:$B$105,$AJ184)&amp;"")</f>
        <v/>
      </c>
      <c r="G184" s="79" t="str">
        <f aca="false">IF($AJ184="","",INDEX(Securities!$F$6:$F$105,$AJ184)&amp;"")</f>
        <v/>
      </c>
      <c r="H184" s="79" t="str">
        <f aca="false">IF($AJ184="","",INDEX(Securities!$E$6:$E$105,$AJ184)&amp;"")</f>
        <v/>
      </c>
      <c r="I184" s="79" t="str">
        <f aca="false">IF($AJ184="","",INDEX(Securities!$H$6:$H$105,$AJ184)&amp;"")</f>
        <v/>
      </c>
      <c r="J184" s="80"/>
      <c r="K184" s="80"/>
      <c r="L184" s="81"/>
      <c r="M184" s="82"/>
      <c r="N184" s="83" t="str">
        <f aca="false">IF(OR($L184="",$M184=""),"",IF(N($L184)=0,"",$M184/$L184))</f>
        <v/>
      </c>
      <c r="O184" s="84" t="str">
        <f aca="false">IF($AJ184="","",IF(INDEX(Securities!$O$6:$O$105,$AJ184)="","",INDEX(Securities!$O$6:$O$105,$AJ184)))</f>
        <v/>
      </c>
      <c r="P184" s="79" t="str">
        <f aca="false">IF($AJ184="","",INDEX(Securities!$N$6:$N$105,$AJ184)&amp;"")</f>
        <v/>
      </c>
      <c r="Q184" s="82"/>
      <c r="R184" s="85" t="str">
        <f aca="false">IF($C184="","",IF($Q184&lt;&gt;"",$Q184,IF($P184="At cost",IF($M184="","",$M184),IF(OR($O184="",$L184=""),"",$L184*$O184))))</f>
        <v/>
      </c>
      <c r="S184" s="85" t="str">
        <f aca="false">IF(OR(NOT(ISNUMBER($R184)),$M184=""),"",$R184-$M184)</f>
        <v/>
      </c>
      <c r="T184" s="86" t="str">
        <f aca="false">IF(OR($S184="",N($M184)=0),"",$S184/$M184)</f>
        <v/>
      </c>
      <c r="U184" s="82"/>
      <c r="V184" s="82"/>
      <c r="W184" s="87"/>
      <c r="X184" s="79" t="str">
        <f aca="false">IF($AJ184="","",INDEX(Securities!$L$6:$L$105,$AJ184)&amp;"")</f>
        <v/>
      </c>
      <c r="Y184" s="87"/>
      <c r="Z184" s="87"/>
      <c r="AA184" s="86" t="str">
        <f aca="false">IF(OR($W184="",$Z184=""),"",$W184-$Z184)</f>
        <v/>
      </c>
      <c r="AB184" s="79" t="str">
        <f aca="false">IF($C184="","",IF($P184="At cost","At cost",IF(NOT(ISNUMBER($J184)),"No date",IF(ValDate-$J184&lt;365,"Absolute",IF($W184="","XIRR missing","XIRR")))))</f>
        <v/>
      </c>
      <c r="AC184" s="86" t="str">
        <f aca="false">IF(NOT(ISNUMBER($R184)),"",IF(SUM($R$6:$R$205)=0,"",$R184/SUM($R$6:$R$205)))</f>
        <v/>
      </c>
      <c r="AD184" s="82"/>
      <c r="AE184" s="80"/>
      <c r="AF184" s="78"/>
      <c r="AG184" s="88" t="str">
        <f aca="false">IF($C184="","",IF(COUNTIFS('Tax Lots'!$B$6:$B$205,$B184,'Tax Lots'!$C$6:$C$205,$C184)=0,"",SUMIFS('Tax Lots'!$P$6:$P$205,'Tax Lots'!$B$6:$B$205,$B184,'Tax Lots'!$C$6:$C$205,$C184)))</f>
        <v/>
      </c>
      <c r="AH184" s="79" t="str">
        <f aca="false">IF($A184&amp;$B184&amp;$C184="","",IF($A184="","Missing ID",IF(COUNTIF($A$6:$A$205,$A184)&gt;1,"Duplicate ID",IF($AI184="","Unknown account",IF($AJ184="","Unknown security",IF(COUNTIFS($B$6:$B$205,$B184,$C$6:$C$205,$C184)&gt;1,"Same security twice in one account",IF(AND(ISNUMBER($J184),ISNUMBER($K184),N($K184)&lt;N($J184)),"Last date before first",IF(NOT(ISNUMBER($R184)),"No market value",IF(OR(N($J184)&gt;ValDate,N($K184)&gt;ValDate),"Date after valuation",IF(AND(ISNUMBER($AG184),ABS(N($L184)-N($AG184))&gt;0.001),"Lot quantity differs",IF(AND(ISNUMBER($AG184),ABS(N($M184)-SUMIFS('Tax Lots'!$Q$6:$Q$205,'Tax Lots'!$B$6:$B$205,$B184,'Tax Lots'!$C$6:$C$205,$C184))&gt;1),"Lot cost differs",IF(AND(ISNUMBER($AG184),ABS(N($V184)-SUMIFS('Tax Lots'!$AA$6:$AA$205,'Tax Lots'!$B$6:$B$205,$B184,'Tax Lots'!$C$6:$C$205,$C184))&gt;1),"Lot realised gain differs","OK"))))))))))))</f>
        <v/>
      </c>
      <c r="AI184" s="89" t="str">
        <f aca="false">IF($B184="","",IFERROR(MATCH($B184,Accounts!$A$6:$A$55,0),""))</f>
        <v/>
      </c>
      <c r="AJ184" s="89" t="str">
        <f aca="false">IF($C184="","",IFERROR(MATCH($C184,Securities!$A$6:$A$105,0),""))</f>
        <v/>
      </c>
      <c r="AK184" s="89" t="str">
        <f aca="false">IF($AI184="","",INDEX(Accounts!$B$6:$B$55,$AI184)&amp;"")</f>
        <v/>
      </c>
      <c r="AL184" s="89" t="str">
        <f aca="false">IF(OR($C184="",$I184="",NOT(ISNUMBER($R184))),"",$I184&amp;"|"&amp;(SUMPRODUCT(($I$6:$I$205=$I184)*ISNUMBER($R$6:$R$205)*($R$6:$R$205&gt;$R184))+SUMPRODUCT(($I$6:$I184=$I184)*ISNUMBER($R$6:$R184)*($R$6:$R184=$R184))))</f>
        <v/>
      </c>
      <c r="AM184" s="89" t="n">
        <f aca="false">IF(AND(ISNUMBER($R184),$W184&lt;&gt;"",$Z184&lt;&gt;"",$AB184="XIRR"),$R184*$W184,0)</f>
        <v>0</v>
      </c>
      <c r="AN184" s="89" t="n">
        <f aca="false">IF(AND(ISNUMBER($R184),$W184&lt;&gt;"",$Z184&lt;&gt;"",$AB184="XIRR"),$R184,0)</f>
        <v>0</v>
      </c>
      <c r="AO184" s="89" t="n">
        <f aca="false">IF(AND(ISNUMBER($R184),$W184&lt;&gt;"",$Z184&lt;&gt;"",$AB184="XIRR"),$R184*$Z184,0)</f>
        <v>0</v>
      </c>
      <c r="AP184" s="89" t="n">
        <f aca="false">IF(AND(ISNUMBER($M184),$Y184&lt;&gt;"",ISNUMBER($T184)),$M184*$Y184,0)</f>
        <v>0</v>
      </c>
      <c r="AQ184" s="89" t="n">
        <f aca="false">IF(AND(ISNUMBER($M184),$Y184&lt;&gt;"",ISNUMBER($T184)),$M184,0)</f>
        <v>0</v>
      </c>
    </row>
    <row r="185" customFormat="false" ht="15" hidden="false" customHeight="false" outlineLevel="0" collapsed="false">
      <c r="A185" s="77"/>
      <c r="B185" s="78"/>
      <c r="C185" s="78"/>
      <c r="D185" s="79" t="str">
        <f aca="false">IF($AI185="","",INDEX(Accounts!$C$6:$C$55,$AI185)&amp;"")</f>
        <v/>
      </c>
      <c r="E185" s="79" t="str">
        <f aca="false">IF($AI185="","",INDEX(Accounts!$F$6:$F$55,$AI185)&amp;"")</f>
        <v/>
      </c>
      <c r="F185" s="79" t="str">
        <f aca="false">IF($AJ185="","",INDEX(Securities!$B$6:$B$105,$AJ185)&amp;"")</f>
        <v/>
      </c>
      <c r="G185" s="79" t="str">
        <f aca="false">IF($AJ185="","",INDEX(Securities!$F$6:$F$105,$AJ185)&amp;"")</f>
        <v/>
      </c>
      <c r="H185" s="79" t="str">
        <f aca="false">IF($AJ185="","",INDEX(Securities!$E$6:$E$105,$AJ185)&amp;"")</f>
        <v/>
      </c>
      <c r="I185" s="79" t="str">
        <f aca="false">IF($AJ185="","",INDEX(Securities!$H$6:$H$105,$AJ185)&amp;"")</f>
        <v/>
      </c>
      <c r="J185" s="80"/>
      <c r="K185" s="80"/>
      <c r="L185" s="81"/>
      <c r="M185" s="82"/>
      <c r="N185" s="83" t="str">
        <f aca="false">IF(OR($L185="",$M185=""),"",IF(N($L185)=0,"",$M185/$L185))</f>
        <v/>
      </c>
      <c r="O185" s="84" t="str">
        <f aca="false">IF($AJ185="","",IF(INDEX(Securities!$O$6:$O$105,$AJ185)="","",INDEX(Securities!$O$6:$O$105,$AJ185)))</f>
        <v/>
      </c>
      <c r="P185" s="79" t="str">
        <f aca="false">IF($AJ185="","",INDEX(Securities!$N$6:$N$105,$AJ185)&amp;"")</f>
        <v/>
      </c>
      <c r="Q185" s="82"/>
      <c r="R185" s="85" t="str">
        <f aca="false">IF($C185="","",IF($Q185&lt;&gt;"",$Q185,IF($P185="At cost",IF($M185="","",$M185),IF(OR($O185="",$L185=""),"",$L185*$O185))))</f>
        <v/>
      </c>
      <c r="S185" s="85" t="str">
        <f aca="false">IF(OR(NOT(ISNUMBER($R185)),$M185=""),"",$R185-$M185)</f>
        <v/>
      </c>
      <c r="T185" s="86" t="str">
        <f aca="false">IF(OR($S185="",N($M185)=0),"",$S185/$M185)</f>
        <v/>
      </c>
      <c r="U185" s="82"/>
      <c r="V185" s="82"/>
      <c r="W185" s="87"/>
      <c r="X185" s="79" t="str">
        <f aca="false">IF($AJ185="","",INDEX(Securities!$L$6:$L$105,$AJ185)&amp;"")</f>
        <v/>
      </c>
      <c r="Y185" s="87"/>
      <c r="Z185" s="87"/>
      <c r="AA185" s="86" t="str">
        <f aca="false">IF(OR($W185="",$Z185=""),"",$W185-$Z185)</f>
        <v/>
      </c>
      <c r="AB185" s="79" t="str">
        <f aca="false">IF($C185="","",IF($P185="At cost","At cost",IF(NOT(ISNUMBER($J185)),"No date",IF(ValDate-$J185&lt;365,"Absolute",IF($W185="","XIRR missing","XIRR")))))</f>
        <v/>
      </c>
      <c r="AC185" s="86" t="str">
        <f aca="false">IF(NOT(ISNUMBER($R185)),"",IF(SUM($R$6:$R$205)=0,"",$R185/SUM($R$6:$R$205)))</f>
        <v/>
      </c>
      <c r="AD185" s="82"/>
      <c r="AE185" s="80"/>
      <c r="AF185" s="78"/>
      <c r="AG185" s="88" t="str">
        <f aca="false">IF($C185="","",IF(COUNTIFS('Tax Lots'!$B$6:$B$205,$B185,'Tax Lots'!$C$6:$C$205,$C185)=0,"",SUMIFS('Tax Lots'!$P$6:$P$205,'Tax Lots'!$B$6:$B$205,$B185,'Tax Lots'!$C$6:$C$205,$C185)))</f>
        <v/>
      </c>
      <c r="AH185" s="79" t="str">
        <f aca="false">IF($A185&amp;$B185&amp;$C185="","",IF($A185="","Missing ID",IF(COUNTIF($A$6:$A$205,$A185)&gt;1,"Duplicate ID",IF($AI185="","Unknown account",IF($AJ185="","Unknown security",IF(COUNTIFS($B$6:$B$205,$B185,$C$6:$C$205,$C185)&gt;1,"Same security twice in one account",IF(AND(ISNUMBER($J185),ISNUMBER($K185),N($K185)&lt;N($J185)),"Last date before first",IF(NOT(ISNUMBER($R185)),"No market value",IF(OR(N($J185)&gt;ValDate,N($K185)&gt;ValDate),"Date after valuation",IF(AND(ISNUMBER($AG185),ABS(N($L185)-N($AG185))&gt;0.001),"Lot quantity differs",IF(AND(ISNUMBER($AG185),ABS(N($M185)-SUMIFS('Tax Lots'!$Q$6:$Q$205,'Tax Lots'!$B$6:$B$205,$B185,'Tax Lots'!$C$6:$C$205,$C185))&gt;1),"Lot cost differs",IF(AND(ISNUMBER($AG185),ABS(N($V185)-SUMIFS('Tax Lots'!$AA$6:$AA$205,'Tax Lots'!$B$6:$B$205,$B185,'Tax Lots'!$C$6:$C$205,$C185))&gt;1),"Lot realised gain differs","OK"))))))))))))</f>
        <v/>
      </c>
      <c r="AI185" s="89" t="str">
        <f aca="false">IF($B185="","",IFERROR(MATCH($B185,Accounts!$A$6:$A$55,0),""))</f>
        <v/>
      </c>
      <c r="AJ185" s="89" t="str">
        <f aca="false">IF($C185="","",IFERROR(MATCH($C185,Securities!$A$6:$A$105,0),""))</f>
        <v/>
      </c>
      <c r="AK185" s="89" t="str">
        <f aca="false">IF($AI185="","",INDEX(Accounts!$B$6:$B$55,$AI185)&amp;"")</f>
        <v/>
      </c>
      <c r="AL185" s="89" t="str">
        <f aca="false">IF(OR($C185="",$I185="",NOT(ISNUMBER($R185))),"",$I185&amp;"|"&amp;(SUMPRODUCT(($I$6:$I$205=$I185)*ISNUMBER($R$6:$R$205)*($R$6:$R$205&gt;$R185))+SUMPRODUCT(($I$6:$I185=$I185)*ISNUMBER($R$6:$R185)*($R$6:$R185=$R185))))</f>
        <v/>
      </c>
      <c r="AM185" s="89" t="n">
        <f aca="false">IF(AND(ISNUMBER($R185),$W185&lt;&gt;"",$Z185&lt;&gt;"",$AB185="XIRR"),$R185*$W185,0)</f>
        <v>0</v>
      </c>
      <c r="AN185" s="89" t="n">
        <f aca="false">IF(AND(ISNUMBER($R185),$W185&lt;&gt;"",$Z185&lt;&gt;"",$AB185="XIRR"),$R185,0)</f>
        <v>0</v>
      </c>
      <c r="AO185" s="89" t="n">
        <f aca="false">IF(AND(ISNUMBER($R185),$W185&lt;&gt;"",$Z185&lt;&gt;"",$AB185="XIRR"),$R185*$Z185,0)</f>
        <v>0</v>
      </c>
      <c r="AP185" s="89" t="n">
        <f aca="false">IF(AND(ISNUMBER($M185),$Y185&lt;&gt;"",ISNUMBER($T185)),$M185*$Y185,0)</f>
        <v>0</v>
      </c>
      <c r="AQ185" s="89" t="n">
        <f aca="false">IF(AND(ISNUMBER($M185),$Y185&lt;&gt;"",ISNUMBER($T185)),$M185,0)</f>
        <v>0</v>
      </c>
    </row>
    <row r="186" customFormat="false" ht="15" hidden="false" customHeight="false" outlineLevel="0" collapsed="false">
      <c r="A186" s="77"/>
      <c r="B186" s="78"/>
      <c r="C186" s="78"/>
      <c r="D186" s="79" t="str">
        <f aca="false">IF($AI186="","",INDEX(Accounts!$C$6:$C$55,$AI186)&amp;"")</f>
        <v/>
      </c>
      <c r="E186" s="79" t="str">
        <f aca="false">IF($AI186="","",INDEX(Accounts!$F$6:$F$55,$AI186)&amp;"")</f>
        <v/>
      </c>
      <c r="F186" s="79" t="str">
        <f aca="false">IF($AJ186="","",INDEX(Securities!$B$6:$B$105,$AJ186)&amp;"")</f>
        <v/>
      </c>
      <c r="G186" s="79" t="str">
        <f aca="false">IF($AJ186="","",INDEX(Securities!$F$6:$F$105,$AJ186)&amp;"")</f>
        <v/>
      </c>
      <c r="H186" s="79" t="str">
        <f aca="false">IF($AJ186="","",INDEX(Securities!$E$6:$E$105,$AJ186)&amp;"")</f>
        <v/>
      </c>
      <c r="I186" s="79" t="str">
        <f aca="false">IF($AJ186="","",INDEX(Securities!$H$6:$H$105,$AJ186)&amp;"")</f>
        <v/>
      </c>
      <c r="J186" s="80"/>
      <c r="K186" s="80"/>
      <c r="L186" s="81"/>
      <c r="M186" s="82"/>
      <c r="N186" s="83" t="str">
        <f aca="false">IF(OR($L186="",$M186=""),"",IF(N($L186)=0,"",$M186/$L186))</f>
        <v/>
      </c>
      <c r="O186" s="84" t="str">
        <f aca="false">IF($AJ186="","",IF(INDEX(Securities!$O$6:$O$105,$AJ186)="","",INDEX(Securities!$O$6:$O$105,$AJ186)))</f>
        <v/>
      </c>
      <c r="P186" s="79" t="str">
        <f aca="false">IF($AJ186="","",INDEX(Securities!$N$6:$N$105,$AJ186)&amp;"")</f>
        <v/>
      </c>
      <c r="Q186" s="82"/>
      <c r="R186" s="85" t="str">
        <f aca="false">IF($C186="","",IF($Q186&lt;&gt;"",$Q186,IF($P186="At cost",IF($M186="","",$M186),IF(OR($O186="",$L186=""),"",$L186*$O186))))</f>
        <v/>
      </c>
      <c r="S186" s="85" t="str">
        <f aca="false">IF(OR(NOT(ISNUMBER($R186)),$M186=""),"",$R186-$M186)</f>
        <v/>
      </c>
      <c r="T186" s="86" t="str">
        <f aca="false">IF(OR($S186="",N($M186)=0),"",$S186/$M186)</f>
        <v/>
      </c>
      <c r="U186" s="82"/>
      <c r="V186" s="82"/>
      <c r="W186" s="87"/>
      <c r="X186" s="79" t="str">
        <f aca="false">IF($AJ186="","",INDEX(Securities!$L$6:$L$105,$AJ186)&amp;"")</f>
        <v/>
      </c>
      <c r="Y186" s="87"/>
      <c r="Z186" s="87"/>
      <c r="AA186" s="86" t="str">
        <f aca="false">IF(OR($W186="",$Z186=""),"",$W186-$Z186)</f>
        <v/>
      </c>
      <c r="AB186" s="79" t="str">
        <f aca="false">IF($C186="","",IF($P186="At cost","At cost",IF(NOT(ISNUMBER($J186)),"No date",IF(ValDate-$J186&lt;365,"Absolute",IF($W186="","XIRR missing","XIRR")))))</f>
        <v/>
      </c>
      <c r="AC186" s="86" t="str">
        <f aca="false">IF(NOT(ISNUMBER($R186)),"",IF(SUM($R$6:$R$205)=0,"",$R186/SUM($R$6:$R$205)))</f>
        <v/>
      </c>
      <c r="AD186" s="82"/>
      <c r="AE186" s="80"/>
      <c r="AF186" s="78"/>
      <c r="AG186" s="88" t="str">
        <f aca="false">IF($C186="","",IF(COUNTIFS('Tax Lots'!$B$6:$B$205,$B186,'Tax Lots'!$C$6:$C$205,$C186)=0,"",SUMIFS('Tax Lots'!$P$6:$P$205,'Tax Lots'!$B$6:$B$205,$B186,'Tax Lots'!$C$6:$C$205,$C186)))</f>
        <v/>
      </c>
      <c r="AH186" s="79" t="str">
        <f aca="false">IF($A186&amp;$B186&amp;$C186="","",IF($A186="","Missing ID",IF(COUNTIF($A$6:$A$205,$A186)&gt;1,"Duplicate ID",IF($AI186="","Unknown account",IF($AJ186="","Unknown security",IF(COUNTIFS($B$6:$B$205,$B186,$C$6:$C$205,$C186)&gt;1,"Same security twice in one account",IF(AND(ISNUMBER($J186),ISNUMBER($K186),N($K186)&lt;N($J186)),"Last date before first",IF(NOT(ISNUMBER($R186)),"No market value",IF(OR(N($J186)&gt;ValDate,N($K186)&gt;ValDate),"Date after valuation",IF(AND(ISNUMBER($AG186),ABS(N($L186)-N($AG186))&gt;0.001),"Lot quantity differs",IF(AND(ISNUMBER($AG186),ABS(N($M186)-SUMIFS('Tax Lots'!$Q$6:$Q$205,'Tax Lots'!$B$6:$B$205,$B186,'Tax Lots'!$C$6:$C$205,$C186))&gt;1),"Lot cost differs",IF(AND(ISNUMBER($AG186),ABS(N($V186)-SUMIFS('Tax Lots'!$AA$6:$AA$205,'Tax Lots'!$B$6:$B$205,$B186,'Tax Lots'!$C$6:$C$205,$C186))&gt;1),"Lot realised gain differs","OK"))))))))))))</f>
        <v/>
      </c>
      <c r="AI186" s="89" t="str">
        <f aca="false">IF($B186="","",IFERROR(MATCH($B186,Accounts!$A$6:$A$55,0),""))</f>
        <v/>
      </c>
      <c r="AJ186" s="89" t="str">
        <f aca="false">IF($C186="","",IFERROR(MATCH($C186,Securities!$A$6:$A$105,0),""))</f>
        <v/>
      </c>
      <c r="AK186" s="89" t="str">
        <f aca="false">IF($AI186="","",INDEX(Accounts!$B$6:$B$55,$AI186)&amp;"")</f>
        <v/>
      </c>
      <c r="AL186" s="89" t="str">
        <f aca="false">IF(OR($C186="",$I186="",NOT(ISNUMBER($R186))),"",$I186&amp;"|"&amp;(SUMPRODUCT(($I$6:$I$205=$I186)*ISNUMBER($R$6:$R$205)*($R$6:$R$205&gt;$R186))+SUMPRODUCT(($I$6:$I186=$I186)*ISNUMBER($R$6:$R186)*($R$6:$R186=$R186))))</f>
        <v/>
      </c>
      <c r="AM186" s="89" t="n">
        <f aca="false">IF(AND(ISNUMBER($R186),$W186&lt;&gt;"",$Z186&lt;&gt;"",$AB186="XIRR"),$R186*$W186,0)</f>
        <v>0</v>
      </c>
      <c r="AN186" s="89" t="n">
        <f aca="false">IF(AND(ISNUMBER($R186),$W186&lt;&gt;"",$Z186&lt;&gt;"",$AB186="XIRR"),$R186,0)</f>
        <v>0</v>
      </c>
      <c r="AO186" s="89" t="n">
        <f aca="false">IF(AND(ISNUMBER($R186),$W186&lt;&gt;"",$Z186&lt;&gt;"",$AB186="XIRR"),$R186*$Z186,0)</f>
        <v>0</v>
      </c>
      <c r="AP186" s="89" t="n">
        <f aca="false">IF(AND(ISNUMBER($M186),$Y186&lt;&gt;"",ISNUMBER($T186)),$M186*$Y186,0)</f>
        <v>0</v>
      </c>
      <c r="AQ186" s="89" t="n">
        <f aca="false">IF(AND(ISNUMBER($M186),$Y186&lt;&gt;"",ISNUMBER($T186)),$M186,0)</f>
        <v>0</v>
      </c>
    </row>
    <row r="187" customFormat="false" ht="15" hidden="false" customHeight="false" outlineLevel="0" collapsed="false">
      <c r="A187" s="77"/>
      <c r="B187" s="78"/>
      <c r="C187" s="78"/>
      <c r="D187" s="79" t="str">
        <f aca="false">IF($AI187="","",INDEX(Accounts!$C$6:$C$55,$AI187)&amp;"")</f>
        <v/>
      </c>
      <c r="E187" s="79" t="str">
        <f aca="false">IF($AI187="","",INDEX(Accounts!$F$6:$F$55,$AI187)&amp;"")</f>
        <v/>
      </c>
      <c r="F187" s="79" t="str">
        <f aca="false">IF($AJ187="","",INDEX(Securities!$B$6:$B$105,$AJ187)&amp;"")</f>
        <v/>
      </c>
      <c r="G187" s="79" t="str">
        <f aca="false">IF($AJ187="","",INDEX(Securities!$F$6:$F$105,$AJ187)&amp;"")</f>
        <v/>
      </c>
      <c r="H187" s="79" t="str">
        <f aca="false">IF($AJ187="","",INDEX(Securities!$E$6:$E$105,$AJ187)&amp;"")</f>
        <v/>
      </c>
      <c r="I187" s="79" t="str">
        <f aca="false">IF($AJ187="","",INDEX(Securities!$H$6:$H$105,$AJ187)&amp;"")</f>
        <v/>
      </c>
      <c r="J187" s="80"/>
      <c r="K187" s="80"/>
      <c r="L187" s="81"/>
      <c r="M187" s="82"/>
      <c r="N187" s="83" t="str">
        <f aca="false">IF(OR($L187="",$M187=""),"",IF(N($L187)=0,"",$M187/$L187))</f>
        <v/>
      </c>
      <c r="O187" s="84" t="str">
        <f aca="false">IF($AJ187="","",IF(INDEX(Securities!$O$6:$O$105,$AJ187)="","",INDEX(Securities!$O$6:$O$105,$AJ187)))</f>
        <v/>
      </c>
      <c r="P187" s="79" t="str">
        <f aca="false">IF($AJ187="","",INDEX(Securities!$N$6:$N$105,$AJ187)&amp;"")</f>
        <v/>
      </c>
      <c r="Q187" s="82"/>
      <c r="R187" s="85" t="str">
        <f aca="false">IF($C187="","",IF($Q187&lt;&gt;"",$Q187,IF($P187="At cost",IF($M187="","",$M187),IF(OR($O187="",$L187=""),"",$L187*$O187))))</f>
        <v/>
      </c>
      <c r="S187" s="85" t="str">
        <f aca="false">IF(OR(NOT(ISNUMBER($R187)),$M187=""),"",$R187-$M187)</f>
        <v/>
      </c>
      <c r="T187" s="86" t="str">
        <f aca="false">IF(OR($S187="",N($M187)=0),"",$S187/$M187)</f>
        <v/>
      </c>
      <c r="U187" s="82"/>
      <c r="V187" s="82"/>
      <c r="W187" s="87"/>
      <c r="X187" s="79" t="str">
        <f aca="false">IF($AJ187="","",INDEX(Securities!$L$6:$L$105,$AJ187)&amp;"")</f>
        <v/>
      </c>
      <c r="Y187" s="87"/>
      <c r="Z187" s="87"/>
      <c r="AA187" s="86" t="str">
        <f aca="false">IF(OR($W187="",$Z187=""),"",$W187-$Z187)</f>
        <v/>
      </c>
      <c r="AB187" s="79" t="str">
        <f aca="false">IF($C187="","",IF($P187="At cost","At cost",IF(NOT(ISNUMBER($J187)),"No date",IF(ValDate-$J187&lt;365,"Absolute",IF($W187="","XIRR missing","XIRR")))))</f>
        <v/>
      </c>
      <c r="AC187" s="86" t="str">
        <f aca="false">IF(NOT(ISNUMBER($R187)),"",IF(SUM($R$6:$R$205)=0,"",$R187/SUM($R$6:$R$205)))</f>
        <v/>
      </c>
      <c r="AD187" s="82"/>
      <c r="AE187" s="80"/>
      <c r="AF187" s="78"/>
      <c r="AG187" s="88" t="str">
        <f aca="false">IF($C187="","",IF(COUNTIFS('Tax Lots'!$B$6:$B$205,$B187,'Tax Lots'!$C$6:$C$205,$C187)=0,"",SUMIFS('Tax Lots'!$P$6:$P$205,'Tax Lots'!$B$6:$B$205,$B187,'Tax Lots'!$C$6:$C$205,$C187)))</f>
        <v/>
      </c>
      <c r="AH187" s="79" t="str">
        <f aca="false">IF($A187&amp;$B187&amp;$C187="","",IF($A187="","Missing ID",IF(COUNTIF($A$6:$A$205,$A187)&gt;1,"Duplicate ID",IF($AI187="","Unknown account",IF($AJ187="","Unknown security",IF(COUNTIFS($B$6:$B$205,$B187,$C$6:$C$205,$C187)&gt;1,"Same security twice in one account",IF(AND(ISNUMBER($J187),ISNUMBER($K187),N($K187)&lt;N($J187)),"Last date before first",IF(NOT(ISNUMBER($R187)),"No market value",IF(OR(N($J187)&gt;ValDate,N($K187)&gt;ValDate),"Date after valuation",IF(AND(ISNUMBER($AG187),ABS(N($L187)-N($AG187))&gt;0.001),"Lot quantity differs",IF(AND(ISNUMBER($AG187),ABS(N($M187)-SUMIFS('Tax Lots'!$Q$6:$Q$205,'Tax Lots'!$B$6:$B$205,$B187,'Tax Lots'!$C$6:$C$205,$C187))&gt;1),"Lot cost differs",IF(AND(ISNUMBER($AG187),ABS(N($V187)-SUMIFS('Tax Lots'!$AA$6:$AA$205,'Tax Lots'!$B$6:$B$205,$B187,'Tax Lots'!$C$6:$C$205,$C187))&gt;1),"Lot realised gain differs","OK"))))))))))))</f>
        <v/>
      </c>
      <c r="AI187" s="89" t="str">
        <f aca="false">IF($B187="","",IFERROR(MATCH($B187,Accounts!$A$6:$A$55,0),""))</f>
        <v/>
      </c>
      <c r="AJ187" s="89" t="str">
        <f aca="false">IF($C187="","",IFERROR(MATCH($C187,Securities!$A$6:$A$105,0),""))</f>
        <v/>
      </c>
      <c r="AK187" s="89" t="str">
        <f aca="false">IF($AI187="","",INDEX(Accounts!$B$6:$B$55,$AI187)&amp;"")</f>
        <v/>
      </c>
      <c r="AL187" s="89" t="str">
        <f aca="false">IF(OR($C187="",$I187="",NOT(ISNUMBER($R187))),"",$I187&amp;"|"&amp;(SUMPRODUCT(($I$6:$I$205=$I187)*ISNUMBER($R$6:$R$205)*($R$6:$R$205&gt;$R187))+SUMPRODUCT(($I$6:$I187=$I187)*ISNUMBER($R$6:$R187)*($R$6:$R187=$R187))))</f>
        <v/>
      </c>
      <c r="AM187" s="89" t="n">
        <f aca="false">IF(AND(ISNUMBER($R187),$W187&lt;&gt;"",$Z187&lt;&gt;"",$AB187="XIRR"),$R187*$W187,0)</f>
        <v>0</v>
      </c>
      <c r="AN187" s="89" t="n">
        <f aca="false">IF(AND(ISNUMBER($R187),$W187&lt;&gt;"",$Z187&lt;&gt;"",$AB187="XIRR"),$R187,0)</f>
        <v>0</v>
      </c>
      <c r="AO187" s="89" t="n">
        <f aca="false">IF(AND(ISNUMBER($R187),$W187&lt;&gt;"",$Z187&lt;&gt;"",$AB187="XIRR"),$R187*$Z187,0)</f>
        <v>0</v>
      </c>
      <c r="AP187" s="89" t="n">
        <f aca="false">IF(AND(ISNUMBER($M187),$Y187&lt;&gt;"",ISNUMBER($T187)),$M187*$Y187,0)</f>
        <v>0</v>
      </c>
      <c r="AQ187" s="89" t="n">
        <f aca="false">IF(AND(ISNUMBER($M187),$Y187&lt;&gt;"",ISNUMBER($T187)),$M187,0)</f>
        <v>0</v>
      </c>
    </row>
    <row r="188" customFormat="false" ht="15" hidden="false" customHeight="false" outlineLevel="0" collapsed="false">
      <c r="A188" s="77"/>
      <c r="B188" s="78"/>
      <c r="C188" s="78"/>
      <c r="D188" s="79" t="str">
        <f aca="false">IF($AI188="","",INDEX(Accounts!$C$6:$C$55,$AI188)&amp;"")</f>
        <v/>
      </c>
      <c r="E188" s="79" t="str">
        <f aca="false">IF($AI188="","",INDEX(Accounts!$F$6:$F$55,$AI188)&amp;"")</f>
        <v/>
      </c>
      <c r="F188" s="79" t="str">
        <f aca="false">IF($AJ188="","",INDEX(Securities!$B$6:$B$105,$AJ188)&amp;"")</f>
        <v/>
      </c>
      <c r="G188" s="79" t="str">
        <f aca="false">IF($AJ188="","",INDEX(Securities!$F$6:$F$105,$AJ188)&amp;"")</f>
        <v/>
      </c>
      <c r="H188" s="79" t="str">
        <f aca="false">IF($AJ188="","",INDEX(Securities!$E$6:$E$105,$AJ188)&amp;"")</f>
        <v/>
      </c>
      <c r="I188" s="79" t="str">
        <f aca="false">IF($AJ188="","",INDEX(Securities!$H$6:$H$105,$AJ188)&amp;"")</f>
        <v/>
      </c>
      <c r="J188" s="80"/>
      <c r="K188" s="80"/>
      <c r="L188" s="81"/>
      <c r="M188" s="82"/>
      <c r="N188" s="83" t="str">
        <f aca="false">IF(OR($L188="",$M188=""),"",IF(N($L188)=0,"",$M188/$L188))</f>
        <v/>
      </c>
      <c r="O188" s="84" t="str">
        <f aca="false">IF($AJ188="","",IF(INDEX(Securities!$O$6:$O$105,$AJ188)="","",INDEX(Securities!$O$6:$O$105,$AJ188)))</f>
        <v/>
      </c>
      <c r="P188" s="79" t="str">
        <f aca="false">IF($AJ188="","",INDEX(Securities!$N$6:$N$105,$AJ188)&amp;"")</f>
        <v/>
      </c>
      <c r="Q188" s="82"/>
      <c r="R188" s="85" t="str">
        <f aca="false">IF($C188="","",IF($Q188&lt;&gt;"",$Q188,IF($P188="At cost",IF($M188="","",$M188),IF(OR($O188="",$L188=""),"",$L188*$O188))))</f>
        <v/>
      </c>
      <c r="S188" s="85" t="str">
        <f aca="false">IF(OR(NOT(ISNUMBER($R188)),$M188=""),"",$R188-$M188)</f>
        <v/>
      </c>
      <c r="T188" s="86" t="str">
        <f aca="false">IF(OR($S188="",N($M188)=0),"",$S188/$M188)</f>
        <v/>
      </c>
      <c r="U188" s="82"/>
      <c r="V188" s="82"/>
      <c r="W188" s="87"/>
      <c r="X188" s="79" t="str">
        <f aca="false">IF($AJ188="","",INDEX(Securities!$L$6:$L$105,$AJ188)&amp;"")</f>
        <v/>
      </c>
      <c r="Y188" s="87"/>
      <c r="Z188" s="87"/>
      <c r="AA188" s="86" t="str">
        <f aca="false">IF(OR($W188="",$Z188=""),"",$W188-$Z188)</f>
        <v/>
      </c>
      <c r="AB188" s="79" t="str">
        <f aca="false">IF($C188="","",IF($P188="At cost","At cost",IF(NOT(ISNUMBER($J188)),"No date",IF(ValDate-$J188&lt;365,"Absolute",IF($W188="","XIRR missing","XIRR")))))</f>
        <v/>
      </c>
      <c r="AC188" s="86" t="str">
        <f aca="false">IF(NOT(ISNUMBER($R188)),"",IF(SUM($R$6:$R$205)=0,"",$R188/SUM($R$6:$R$205)))</f>
        <v/>
      </c>
      <c r="AD188" s="82"/>
      <c r="AE188" s="80"/>
      <c r="AF188" s="78"/>
      <c r="AG188" s="88" t="str">
        <f aca="false">IF($C188="","",IF(COUNTIFS('Tax Lots'!$B$6:$B$205,$B188,'Tax Lots'!$C$6:$C$205,$C188)=0,"",SUMIFS('Tax Lots'!$P$6:$P$205,'Tax Lots'!$B$6:$B$205,$B188,'Tax Lots'!$C$6:$C$205,$C188)))</f>
        <v/>
      </c>
      <c r="AH188" s="79" t="str">
        <f aca="false">IF($A188&amp;$B188&amp;$C188="","",IF($A188="","Missing ID",IF(COUNTIF($A$6:$A$205,$A188)&gt;1,"Duplicate ID",IF($AI188="","Unknown account",IF($AJ188="","Unknown security",IF(COUNTIFS($B$6:$B$205,$B188,$C$6:$C$205,$C188)&gt;1,"Same security twice in one account",IF(AND(ISNUMBER($J188),ISNUMBER($K188),N($K188)&lt;N($J188)),"Last date before first",IF(NOT(ISNUMBER($R188)),"No market value",IF(OR(N($J188)&gt;ValDate,N($K188)&gt;ValDate),"Date after valuation",IF(AND(ISNUMBER($AG188),ABS(N($L188)-N($AG188))&gt;0.001),"Lot quantity differs",IF(AND(ISNUMBER($AG188),ABS(N($M188)-SUMIFS('Tax Lots'!$Q$6:$Q$205,'Tax Lots'!$B$6:$B$205,$B188,'Tax Lots'!$C$6:$C$205,$C188))&gt;1),"Lot cost differs",IF(AND(ISNUMBER($AG188),ABS(N($V188)-SUMIFS('Tax Lots'!$AA$6:$AA$205,'Tax Lots'!$B$6:$B$205,$B188,'Tax Lots'!$C$6:$C$205,$C188))&gt;1),"Lot realised gain differs","OK"))))))))))))</f>
        <v/>
      </c>
      <c r="AI188" s="89" t="str">
        <f aca="false">IF($B188="","",IFERROR(MATCH($B188,Accounts!$A$6:$A$55,0),""))</f>
        <v/>
      </c>
      <c r="AJ188" s="89" t="str">
        <f aca="false">IF($C188="","",IFERROR(MATCH($C188,Securities!$A$6:$A$105,0),""))</f>
        <v/>
      </c>
      <c r="AK188" s="89" t="str">
        <f aca="false">IF($AI188="","",INDEX(Accounts!$B$6:$B$55,$AI188)&amp;"")</f>
        <v/>
      </c>
      <c r="AL188" s="89" t="str">
        <f aca="false">IF(OR($C188="",$I188="",NOT(ISNUMBER($R188))),"",$I188&amp;"|"&amp;(SUMPRODUCT(($I$6:$I$205=$I188)*ISNUMBER($R$6:$R$205)*($R$6:$R$205&gt;$R188))+SUMPRODUCT(($I$6:$I188=$I188)*ISNUMBER($R$6:$R188)*($R$6:$R188=$R188))))</f>
        <v/>
      </c>
      <c r="AM188" s="89" t="n">
        <f aca="false">IF(AND(ISNUMBER($R188),$W188&lt;&gt;"",$Z188&lt;&gt;"",$AB188="XIRR"),$R188*$W188,0)</f>
        <v>0</v>
      </c>
      <c r="AN188" s="89" t="n">
        <f aca="false">IF(AND(ISNUMBER($R188),$W188&lt;&gt;"",$Z188&lt;&gt;"",$AB188="XIRR"),$R188,0)</f>
        <v>0</v>
      </c>
      <c r="AO188" s="89" t="n">
        <f aca="false">IF(AND(ISNUMBER($R188),$W188&lt;&gt;"",$Z188&lt;&gt;"",$AB188="XIRR"),$R188*$Z188,0)</f>
        <v>0</v>
      </c>
      <c r="AP188" s="89" t="n">
        <f aca="false">IF(AND(ISNUMBER($M188),$Y188&lt;&gt;"",ISNUMBER($T188)),$M188*$Y188,0)</f>
        <v>0</v>
      </c>
      <c r="AQ188" s="89" t="n">
        <f aca="false">IF(AND(ISNUMBER($M188),$Y188&lt;&gt;"",ISNUMBER($T188)),$M188,0)</f>
        <v>0</v>
      </c>
    </row>
    <row r="189" customFormat="false" ht="15" hidden="false" customHeight="false" outlineLevel="0" collapsed="false">
      <c r="A189" s="77"/>
      <c r="B189" s="78"/>
      <c r="C189" s="78"/>
      <c r="D189" s="79" t="str">
        <f aca="false">IF($AI189="","",INDEX(Accounts!$C$6:$C$55,$AI189)&amp;"")</f>
        <v/>
      </c>
      <c r="E189" s="79" t="str">
        <f aca="false">IF($AI189="","",INDEX(Accounts!$F$6:$F$55,$AI189)&amp;"")</f>
        <v/>
      </c>
      <c r="F189" s="79" t="str">
        <f aca="false">IF($AJ189="","",INDEX(Securities!$B$6:$B$105,$AJ189)&amp;"")</f>
        <v/>
      </c>
      <c r="G189" s="79" t="str">
        <f aca="false">IF($AJ189="","",INDEX(Securities!$F$6:$F$105,$AJ189)&amp;"")</f>
        <v/>
      </c>
      <c r="H189" s="79" t="str">
        <f aca="false">IF($AJ189="","",INDEX(Securities!$E$6:$E$105,$AJ189)&amp;"")</f>
        <v/>
      </c>
      <c r="I189" s="79" t="str">
        <f aca="false">IF($AJ189="","",INDEX(Securities!$H$6:$H$105,$AJ189)&amp;"")</f>
        <v/>
      </c>
      <c r="J189" s="80"/>
      <c r="K189" s="80"/>
      <c r="L189" s="81"/>
      <c r="M189" s="82"/>
      <c r="N189" s="83" t="str">
        <f aca="false">IF(OR($L189="",$M189=""),"",IF(N($L189)=0,"",$M189/$L189))</f>
        <v/>
      </c>
      <c r="O189" s="84" t="str">
        <f aca="false">IF($AJ189="","",IF(INDEX(Securities!$O$6:$O$105,$AJ189)="","",INDEX(Securities!$O$6:$O$105,$AJ189)))</f>
        <v/>
      </c>
      <c r="P189" s="79" t="str">
        <f aca="false">IF($AJ189="","",INDEX(Securities!$N$6:$N$105,$AJ189)&amp;"")</f>
        <v/>
      </c>
      <c r="Q189" s="82"/>
      <c r="R189" s="85" t="str">
        <f aca="false">IF($C189="","",IF($Q189&lt;&gt;"",$Q189,IF($P189="At cost",IF($M189="","",$M189),IF(OR($O189="",$L189=""),"",$L189*$O189))))</f>
        <v/>
      </c>
      <c r="S189" s="85" t="str">
        <f aca="false">IF(OR(NOT(ISNUMBER($R189)),$M189=""),"",$R189-$M189)</f>
        <v/>
      </c>
      <c r="T189" s="86" t="str">
        <f aca="false">IF(OR($S189="",N($M189)=0),"",$S189/$M189)</f>
        <v/>
      </c>
      <c r="U189" s="82"/>
      <c r="V189" s="82"/>
      <c r="W189" s="87"/>
      <c r="X189" s="79" t="str">
        <f aca="false">IF($AJ189="","",INDEX(Securities!$L$6:$L$105,$AJ189)&amp;"")</f>
        <v/>
      </c>
      <c r="Y189" s="87"/>
      <c r="Z189" s="87"/>
      <c r="AA189" s="86" t="str">
        <f aca="false">IF(OR($W189="",$Z189=""),"",$W189-$Z189)</f>
        <v/>
      </c>
      <c r="AB189" s="79" t="str">
        <f aca="false">IF($C189="","",IF($P189="At cost","At cost",IF(NOT(ISNUMBER($J189)),"No date",IF(ValDate-$J189&lt;365,"Absolute",IF($W189="","XIRR missing","XIRR")))))</f>
        <v/>
      </c>
      <c r="AC189" s="86" t="str">
        <f aca="false">IF(NOT(ISNUMBER($R189)),"",IF(SUM($R$6:$R$205)=0,"",$R189/SUM($R$6:$R$205)))</f>
        <v/>
      </c>
      <c r="AD189" s="82"/>
      <c r="AE189" s="80"/>
      <c r="AF189" s="78"/>
      <c r="AG189" s="88" t="str">
        <f aca="false">IF($C189="","",IF(COUNTIFS('Tax Lots'!$B$6:$B$205,$B189,'Tax Lots'!$C$6:$C$205,$C189)=0,"",SUMIFS('Tax Lots'!$P$6:$P$205,'Tax Lots'!$B$6:$B$205,$B189,'Tax Lots'!$C$6:$C$205,$C189)))</f>
        <v/>
      </c>
      <c r="AH189" s="79" t="str">
        <f aca="false">IF($A189&amp;$B189&amp;$C189="","",IF($A189="","Missing ID",IF(COUNTIF($A$6:$A$205,$A189)&gt;1,"Duplicate ID",IF($AI189="","Unknown account",IF($AJ189="","Unknown security",IF(COUNTIFS($B$6:$B$205,$B189,$C$6:$C$205,$C189)&gt;1,"Same security twice in one account",IF(AND(ISNUMBER($J189),ISNUMBER($K189),N($K189)&lt;N($J189)),"Last date before first",IF(NOT(ISNUMBER($R189)),"No market value",IF(OR(N($J189)&gt;ValDate,N($K189)&gt;ValDate),"Date after valuation",IF(AND(ISNUMBER($AG189),ABS(N($L189)-N($AG189))&gt;0.001),"Lot quantity differs",IF(AND(ISNUMBER($AG189),ABS(N($M189)-SUMIFS('Tax Lots'!$Q$6:$Q$205,'Tax Lots'!$B$6:$B$205,$B189,'Tax Lots'!$C$6:$C$205,$C189))&gt;1),"Lot cost differs",IF(AND(ISNUMBER($AG189),ABS(N($V189)-SUMIFS('Tax Lots'!$AA$6:$AA$205,'Tax Lots'!$B$6:$B$205,$B189,'Tax Lots'!$C$6:$C$205,$C189))&gt;1),"Lot realised gain differs","OK"))))))))))))</f>
        <v/>
      </c>
      <c r="AI189" s="89" t="str">
        <f aca="false">IF($B189="","",IFERROR(MATCH($B189,Accounts!$A$6:$A$55,0),""))</f>
        <v/>
      </c>
      <c r="AJ189" s="89" t="str">
        <f aca="false">IF($C189="","",IFERROR(MATCH($C189,Securities!$A$6:$A$105,0),""))</f>
        <v/>
      </c>
      <c r="AK189" s="89" t="str">
        <f aca="false">IF($AI189="","",INDEX(Accounts!$B$6:$B$55,$AI189)&amp;"")</f>
        <v/>
      </c>
      <c r="AL189" s="89" t="str">
        <f aca="false">IF(OR($C189="",$I189="",NOT(ISNUMBER($R189))),"",$I189&amp;"|"&amp;(SUMPRODUCT(($I$6:$I$205=$I189)*ISNUMBER($R$6:$R$205)*($R$6:$R$205&gt;$R189))+SUMPRODUCT(($I$6:$I189=$I189)*ISNUMBER($R$6:$R189)*($R$6:$R189=$R189))))</f>
        <v/>
      </c>
      <c r="AM189" s="89" t="n">
        <f aca="false">IF(AND(ISNUMBER($R189),$W189&lt;&gt;"",$Z189&lt;&gt;"",$AB189="XIRR"),$R189*$W189,0)</f>
        <v>0</v>
      </c>
      <c r="AN189" s="89" t="n">
        <f aca="false">IF(AND(ISNUMBER($R189),$W189&lt;&gt;"",$Z189&lt;&gt;"",$AB189="XIRR"),$R189,0)</f>
        <v>0</v>
      </c>
      <c r="AO189" s="89" t="n">
        <f aca="false">IF(AND(ISNUMBER($R189),$W189&lt;&gt;"",$Z189&lt;&gt;"",$AB189="XIRR"),$R189*$Z189,0)</f>
        <v>0</v>
      </c>
      <c r="AP189" s="89" t="n">
        <f aca="false">IF(AND(ISNUMBER($M189),$Y189&lt;&gt;"",ISNUMBER($T189)),$M189*$Y189,0)</f>
        <v>0</v>
      </c>
      <c r="AQ189" s="89" t="n">
        <f aca="false">IF(AND(ISNUMBER($M189),$Y189&lt;&gt;"",ISNUMBER($T189)),$M189,0)</f>
        <v>0</v>
      </c>
    </row>
    <row r="190" customFormat="false" ht="15" hidden="false" customHeight="false" outlineLevel="0" collapsed="false">
      <c r="A190" s="77"/>
      <c r="B190" s="78"/>
      <c r="C190" s="78"/>
      <c r="D190" s="79" t="str">
        <f aca="false">IF($AI190="","",INDEX(Accounts!$C$6:$C$55,$AI190)&amp;"")</f>
        <v/>
      </c>
      <c r="E190" s="79" t="str">
        <f aca="false">IF($AI190="","",INDEX(Accounts!$F$6:$F$55,$AI190)&amp;"")</f>
        <v/>
      </c>
      <c r="F190" s="79" t="str">
        <f aca="false">IF($AJ190="","",INDEX(Securities!$B$6:$B$105,$AJ190)&amp;"")</f>
        <v/>
      </c>
      <c r="G190" s="79" t="str">
        <f aca="false">IF($AJ190="","",INDEX(Securities!$F$6:$F$105,$AJ190)&amp;"")</f>
        <v/>
      </c>
      <c r="H190" s="79" t="str">
        <f aca="false">IF($AJ190="","",INDEX(Securities!$E$6:$E$105,$AJ190)&amp;"")</f>
        <v/>
      </c>
      <c r="I190" s="79" t="str">
        <f aca="false">IF($AJ190="","",INDEX(Securities!$H$6:$H$105,$AJ190)&amp;"")</f>
        <v/>
      </c>
      <c r="J190" s="80"/>
      <c r="K190" s="80"/>
      <c r="L190" s="81"/>
      <c r="M190" s="82"/>
      <c r="N190" s="83" t="str">
        <f aca="false">IF(OR($L190="",$M190=""),"",IF(N($L190)=0,"",$M190/$L190))</f>
        <v/>
      </c>
      <c r="O190" s="84" t="str">
        <f aca="false">IF($AJ190="","",IF(INDEX(Securities!$O$6:$O$105,$AJ190)="","",INDEX(Securities!$O$6:$O$105,$AJ190)))</f>
        <v/>
      </c>
      <c r="P190" s="79" t="str">
        <f aca="false">IF($AJ190="","",INDEX(Securities!$N$6:$N$105,$AJ190)&amp;"")</f>
        <v/>
      </c>
      <c r="Q190" s="82"/>
      <c r="R190" s="85" t="str">
        <f aca="false">IF($C190="","",IF($Q190&lt;&gt;"",$Q190,IF($P190="At cost",IF($M190="","",$M190),IF(OR($O190="",$L190=""),"",$L190*$O190))))</f>
        <v/>
      </c>
      <c r="S190" s="85" t="str">
        <f aca="false">IF(OR(NOT(ISNUMBER($R190)),$M190=""),"",$R190-$M190)</f>
        <v/>
      </c>
      <c r="T190" s="86" t="str">
        <f aca="false">IF(OR($S190="",N($M190)=0),"",$S190/$M190)</f>
        <v/>
      </c>
      <c r="U190" s="82"/>
      <c r="V190" s="82"/>
      <c r="W190" s="87"/>
      <c r="X190" s="79" t="str">
        <f aca="false">IF($AJ190="","",INDEX(Securities!$L$6:$L$105,$AJ190)&amp;"")</f>
        <v/>
      </c>
      <c r="Y190" s="87"/>
      <c r="Z190" s="87"/>
      <c r="AA190" s="86" t="str">
        <f aca="false">IF(OR($W190="",$Z190=""),"",$W190-$Z190)</f>
        <v/>
      </c>
      <c r="AB190" s="79" t="str">
        <f aca="false">IF($C190="","",IF($P190="At cost","At cost",IF(NOT(ISNUMBER($J190)),"No date",IF(ValDate-$J190&lt;365,"Absolute",IF($W190="","XIRR missing","XIRR")))))</f>
        <v/>
      </c>
      <c r="AC190" s="86" t="str">
        <f aca="false">IF(NOT(ISNUMBER($R190)),"",IF(SUM($R$6:$R$205)=0,"",$R190/SUM($R$6:$R$205)))</f>
        <v/>
      </c>
      <c r="AD190" s="82"/>
      <c r="AE190" s="80"/>
      <c r="AF190" s="78"/>
      <c r="AG190" s="88" t="str">
        <f aca="false">IF($C190="","",IF(COUNTIFS('Tax Lots'!$B$6:$B$205,$B190,'Tax Lots'!$C$6:$C$205,$C190)=0,"",SUMIFS('Tax Lots'!$P$6:$P$205,'Tax Lots'!$B$6:$B$205,$B190,'Tax Lots'!$C$6:$C$205,$C190)))</f>
        <v/>
      </c>
      <c r="AH190" s="79" t="str">
        <f aca="false">IF($A190&amp;$B190&amp;$C190="","",IF($A190="","Missing ID",IF(COUNTIF($A$6:$A$205,$A190)&gt;1,"Duplicate ID",IF($AI190="","Unknown account",IF($AJ190="","Unknown security",IF(COUNTIFS($B$6:$B$205,$B190,$C$6:$C$205,$C190)&gt;1,"Same security twice in one account",IF(AND(ISNUMBER($J190),ISNUMBER($K190),N($K190)&lt;N($J190)),"Last date before first",IF(NOT(ISNUMBER($R190)),"No market value",IF(OR(N($J190)&gt;ValDate,N($K190)&gt;ValDate),"Date after valuation",IF(AND(ISNUMBER($AG190),ABS(N($L190)-N($AG190))&gt;0.001),"Lot quantity differs",IF(AND(ISNUMBER($AG190),ABS(N($M190)-SUMIFS('Tax Lots'!$Q$6:$Q$205,'Tax Lots'!$B$6:$B$205,$B190,'Tax Lots'!$C$6:$C$205,$C190))&gt;1),"Lot cost differs",IF(AND(ISNUMBER($AG190),ABS(N($V190)-SUMIFS('Tax Lots'!$AA$6:$AA$205,'Tax Lots'!$B$6:$B$205,$B190,'Tax Lots'!$C$6:$C$205,$C190))&gt;1),"Lot realised gain differs","OK"))))))))))))</f>
        <v/>
      </c>
      <c r="AI190" s="89" t="str">
        <f aca="false">IF($B190="","",IFERROR(MATCH($B190,Accounts!$A$6:$A$55,0),""))</f>
        <v/>
      </c>
      <c r="AJ190" s="89" t="str">
        <f aca="false">IF($C190="","",IFERROR(MATCH($C190,Securities!$A$6:$A$105,0),""))</f>
        <v/>
      </c>
      <c r="AK190" s="89" t="str">
        <f aca="false">IF($AI190="","",INDEX(Accounts!$B$6:$B$55,$AI190)&amp;"")</f>
        <v/>
      </c>
      <c r="AL190" s="89" t="str">
        <f aca="false">IF(OR($C190="",$I190="",NOT(ISNUMBER($R190))),"",$I190&amp;"|"&amp;(SUMPRODUCT(($I$6:$I$205=$I190)*ISNUMBER($R$6:$R$205)*($R$6:$R$205&gt;$R190))+SUMPRODUCT(($I$6:$I190=$I190)*ISNUMBER($R$6:$R190)*($R$6:$R190=$R190))))</f>
        <v/>
      </c>
      <c r="AM190" s="89" t="n">
        <f aca="false">IF(AND(ISNUMBER($R190),$W190&lt;&gt;"",$Z190&lt;&gt;"",$AB190="XIRR"),$R190*$W190,0)</f>
        <v>0</v>
      </c>
      <c r="AN190" s="89" t="n">
        <f aca="false">IF(AND(ISNUMBER($R190),$W190&lt;&gt;"",$Z190&lt;&gt;"",$AB190="XIRR"),$R190,0)</f>
        <v>0</v>
      </c>
      <c r="AO190" s="89" t="n">
        <f aca="false">IF(AND(ISNUMBER($R190),$W190&lt;&gt;"",$Z190&lt;&gt;"",$AB190="XIRR"),$R190*$Z190,0)</f>
        <v>0</v>
      </c>
      <c r="AP190" s="89" t="n">
        <f aca="false">IF(AND(ISNUMBER($M190),$Y190&lt;&gt;"",ISNUMBER($T190)),$M190*$Y190,0)</f>
        <v>0</v>
      </c>
      <c r="AQ190" s="89" t="n">
        <f aca="false">IF(AND(ISNUMBER($M190),$Y190&lt;&gt;"",ISNUMBER($T190)),$M190,0)</f>
        <v>0</v>
      </c>
    </row>
    <row r="191" customFormat="false" ht="15" hidden="false" customHeight="false" outlineLevel="0" collapsed="false">
      <c r="A191" s="77"/>
      <c r="B191" s="78"/>
      <c r="C191" s="78"/>
      <c r="D191" s="79" t="str">
        <f aca="false">IF($AI191="","",INDEX(Accounts!$C$6:$C$55,$AI191)&amp;"")</f>
        <v/>
      </c>
      <c r="E191" s="79" t="str">
        <f aca="false">IF($AI191="","",INDEX(Accounts!$F$6:$F$55,$AI191)&amp;"")</f>
        <v/>
      </c>
      <c r="F191" s="79" t="str">
        <f aca="false">IF($AJ191="","",INDEX(Securities!$B$6:$B$105,$AJ191)&amp;"")</f>
        <v/>
      </c>
      <c r="G191" s="79" t="str">
        <f aca="false">IF($AJ191="","",INDEX(Securities!$F$6:$F$105,$AJ191)&amp;"")</f>
        <v/>
      </c>
      <c r="H191" s="79" t="str">
        <f aca="false">IF($AJ191="","",INDEX(Securities!$E$6:$E$105,$AJ191)&amp;"")</f>
        <v/>
      </c>
      <c r="I191" s="79" t="str">
        <f aca="false">IF($AJ191="","",INDEX(Securities!$H$6:$H$105,$AJ191)&amp;"")</f>
        <v/>
      </c>
      <c r="J191" s="80"/>
      <c r="K191" s="80"/>
      <c r="L191" s="81"/>
      <c r="M191" s="82"/>
      <c r="N191" s="83" t="str">
        <f aca="false">IF(OR($L191="",$M191=""),"",IF(N($L191)=0,"",$M191/$L191))</f>
        <v/>
      </c>
      <c r="O191" s="84" t="str">
        <f aca="false">IF($AJ191="","",IF(INDEX(Securities!$O$6:$O$105,$AJ191)="","",INDEX(Securities!$O$6:$O$105,$AJ191)))</f>
        <v/>
      </c>
      <c r="P191" s="79" t="str">
        <f aca="false">IF($AJ191="","",INDEX(Securities!$N$6:$N$105,$AJ191)&amp;"")</f>
        <v/>
      </c>
      <c r="Q191" s="82"/>
      <c r="R191" s="85" t="str">
        <f aca="false">IF($C191="","",IF($Q191&lt;&gt;"",$Q191,IF($P191="At cost",IF($M191="","",$M191),IF(OR($O191="",$L191=""),"",$L191*$O191))))</f>
        <v/>
      </c>
      <c r="S191" s="85" t="str">
        <f aca="false">IF(OR(NOT(ISNUMBER($R191)),$M191=""),"",$R191-$M191)</f>
        <v/>
      </c>
      <c r="T191" s="86" t="str">
        <f aca="false">IF(OR($S191="",N($M191)=0),"",$S191/$M191)</f>
        <v/>
      </c>
      <c r="U191" s="82"/>
      <c r="V191" s="82"/>
      <c r="W191" s="87"/>
      <c r="X191" s="79" t="str">
        <f aca="false">IF($AJ191="","",INDEX(Securities!$L$6:$L$105,$AJ191)&amp;"")</f>
        <v/>
      </c>
      <c r="Y191" s="87"/>
      <c r="Z191" s="87"/>
      <c r="AA191" s="86" t="str">
        <f aca="false">IF(OR($W191="",$Z191=""),"",$W191-$Z191)</f>
        <v/>
      </c>
      <c r="AB191" s="79" t="str">
        <f aca="false">IF($C191="","",IF($P191="At cost","At cost",IF(NOT(ISNUMBER($J191)),"No date",IF(ValDate-$J191&lt;365,"Absolute",IF($W191="","XIRR missing","XIRR")))))</f>
        <v/>
      </c>
      <c r="AC191" s="86" t="str">
        <f aca="false">IF(NOT(ISNUMBER($R191)),"",IF(SUM($R$6:$R$205)=0,"",$R191/SUM($R$6:$R$205)))</f>
        <v/>
      </c>
      <c r="AD191" s="82"/>
      <c r="AE191" s="80"/>
      <c r="AF191" s="78"/>
      <c r="AG191" s="88" t="str">
        <f aca="false">IF($C191="","",IF(COUNTIFS('Tax Lots'!$B$6:$B$205,$B191,'Tax Lots'!$C$6:$C$205,$C191)=0,"",SUMIFS('Tax Lots'!$P$6:$P$205,'Tax Lots'!$B$6:$B$205,$B191,'Tax Lots'!$C$6:$C$205,$C191)))</f>
        <v/>
      </c>
      <c r="AH191" s="79" t="str">
        <f aca="false">IF($A191&amp;$B191&amp;$C191="","",IF($A191="","Missing ID",IF(COUNTIF($A$6:$A$205,$A191)&gt;1,"Duplicate ID",IF($AI191="","Unknown account",IF($AJ191="","Unknown security",IF(COUNTIFS($B$6:$B$205,$B191,$C$6:$C$205,$C191)&gt;1,"Same security twice in one account",IF(AND(ISNUMBER($J191),ISNUMBER($K191),N($K191)&lt;N($J191)),"Last date before first",IF(NOT(ISNUMBER($R191)),"No market value",IF(OR(N($J191)&gt;ValDate,N($K191)&gt;ValDate),"Date after valuation",IF(AND(ISNUMBER($AG191),ABS(N($L191)-N($AG191))&gt;0.001),"Lot quantity differs",IF(AND(ISNUMBER($AG191),ABS(N($M191)-SUMIFS('Tax Lots'!$Q$6:$Q$205,'Tax Lots'!$B$6:$B$205,$B191,'Tax Lots'!$C$6:$C$205,$C191))&gt;1),"Lot cost differs",IF(AND(ISNUMBER($AG191),ABS(N($V191)-SUMIFS('Tax Lots'!$AA$6:$AA$205,'Tax Lots'!$B$6:$B$205,$B191,'Tax Lots'!$C$6:$C$205,$C191))&gt;1),"Lot realised gain differs","OK"))))))))))))</f>
        <v/>
      </c>
      <c r="AI191" s="89" t="str">
        <f aca="false">IF($B191="","",IFERROR(MATCH($B191,Accounts!$A$6:$A$55,0),""))</f>
        <v/>
      </c>
      <c r="AJ191" s="89" t="str">
        <f aca="false">IF($C191="","",IFERROR(MATCH($C191,Securities!$A$6:$A$105,0),""))</f>
        <v/>
      </c>
      <c r="AK191" s="89" t="str">
        <f aca="false">IF($AI191="","",INDEX(Accounts!$B$6:$B$55,$AI191)&amp;"")</f>
        <v/>
      </c>
      <c r="AL191" s="89" t="str">
        <f aca="false">IF(OR($C191="",$I191="",NOT(ISNUMBER($R191))),"",$I191&amp;"|"&amp;(SUMPRODUCT(($I$6:$I$205=$I191)*ISNUMBER($R$6:$R$205)*($R$6:$R$205&gt;$R191))+SUMPRODUCT(($I$6:$I191=$I191)*ISNUMBER($R$6:$R191)*($R$6:$R191=$R191))))</f>
        <v/>
      </c>
      <c r="AM191" s="89" t="n">
        <f aca="false">IF(AND(ISNUMBER($R191),$W191&lt;&gt;"",$Z191&lt;&gt;"",$AB191="XIRR"),$R191*$W191,0)</f>
        <v>0</v>
      </c>
      <c r="AN191" s="89" t="n">
        <f aca="false">IF(AND(ISNUMBER($R191),$W191&lt;&gt;"",$Z191&lt;&gt;"",$AB191="XIRR"),$R191,0)</f>
        <v>0</v>
      </c>
      <c r="AO191" s="89" t="n">
        <f aca="false">IF(AND(ISNUMBER($R191),$W191&lt;&gt;"",$Z191&lt;&gt;"",$AB191="XIRR"),$R191*$Z191,0)</f>
        <v>0</v>
      </c>
      <c r="AP191" s="89" t="n">
        <f aca="false">IF(AND(ISNUMBER($M191),$Y191&lt;&gt;"",ISNUMBER($T191)),$M191*$Y191,0)</f>
        <v>0</v>
      </c>
      <c r="AQ191" s="89" t="n">
        <f aca="false">IF(AND(ISNUMBER($M191),$Y191&lt;&gt;"",ISNUMBER($T191)),$M191,0)</f>
        <v>0</v>
      </c>
    </row>
    <row r="192" customFormat="false" ht="15" hidden="false" customHeight="false" outlineLevel="0" collapsed="false">
      <c r="A192" s="77"/>
      <c r="B192" s="78"/>
      <c r="C192" s="78"/>
      <c r="D192" s="79" t="str">
        <f aca="false">IF($AI192="","",INDEX(Accounts!$C$6:$C$55,$AI192)&amp;"")</f>
        <v/>
      </c>
      <c r="E192" s="79" t="str">
        <f aca="false">IF($AI192="","",INDEX(Accounts!$F$6:$F$55,$AI192)&amp;"")</f>
        <v/>
      </c>
      <c r="F192" s="79" t="str">
        <f aca="false">IF($AJ192="","",INDEX(Securities!$B$6:$B$105,$AJ192)&amp;"")</f>
        <v/>
      </c>
      <c r="G192" s="79" t="str">
        <f aca="false">IF($AJ192="","",INDEX(Securities!$F$6:$F$105,$AJ192)&amp;"")</f>
        <v/>
      </c>
      <c r="H192" s="79" t="str">
        <f aca="false">IF($AJ192="","",INDEX(Securities!$E$6:$E$105,$AJ192)&amp;"")</f>
        <v/>
      </c>
      <c r="I192" s="79" t="str">
        <f aca="false">IF($AJ192="","",INDEX(Securities!$H$6:$H$105,$AJ192)&amp;"")</f>
        <v/>
      </c>
      <c r="J192" s="80"/>
      <c r="K192" s="80"/>
      <c r="L192" s="81"/>
      <c r="M192" s="82"/>
      <c r="N192" s="83" t="str">
        <f aca="false">IF(OR($L192="",$M192=""),"",IF(N($L192)=0,"",$M192/$L192))</f>
        <v/>
      </c>
      <c r="O192" s="84" t="str">
        <f aca="false">IF($AJ192="","",IF(INDEX(Securities!$O$6:$O$105,$AJ192)="","",INDEX(Securities!$O$6:$O$105,$AJ192)))</f>
        <v/>
      </c>
      <c r="P192" s="79" t="str">
        <f aca="false">IF($AJ192="","",INDEX(Securities!$N$6:$N$105,$AJ192)&amp;"")</f>
        <v/>
      </c>
      <c r="Q192" s="82"/>
      <c r="R192" s="85" t="str">
        <f aca="false">IF($C192="","",IF($Q192&lt;&gt;"",$Q192,IF($P192="At cost",IF($M192="","",$M192),IF(OR($O192="",$L192=""),"",$L192*$O192))))</f>
        <v/>
      </c>
      <c r="S192" s="85" t="str">
        <f aca="false">IF(OR(NOT(ISNUMBER($R192)),$M192=""),"",$R192-$M192)</f>
        <v/>
      </c>
      <c r="T192" s="86" t="str">
        <f aca="false">IF(OR($S192="",N($M192)=0),"",$S192/$M192)</f>
        <v/>
      </c>
      <c r="U192" s="82"/>
      <c r="V192" s="82"/>
      <c r="W192" s="87"/>
      <c r="X192" s="79" t="str">
        <f aca="false">IF($AJ192="","",INDEX(Securities!$L$6:$L$105,$AJ192)&amp;"")</f>
        <v/>
      </c>
      <c r="Y192" s="87"/>
      <c r="Z192" s="87"/>
      <c r="AA192" s="86" t="str">
        <f aca="false">IF(OR($W192="",$Z192=""),"",$W192-$Z192)</f>
        <v/>
      </c>
      <c r="AB192" s="79" t="str">
        <f aca="false">IF($C192="","",IF($P192="At cost","At cost",IF(NOT(ISNUMBER($J192)),"No date",IF(ValDate-$J192&lt;365,"Absolute",IF($W192="","XIRR missing","XIRR")))))</f>
        <v/>
      </c>
      <c r="AC192" s="86" t="str">
        <f aca="false">IF(NOT(ISNUMBER($R192)),"",IF(SUM($R$6:$R$205)=0,"",$R192/SUM($R$6:$R$205)))</f>
        <v/>
      </c>
      <c r="AD192" s="82"/>
      <c r="AE192" s="80"/>
      <c r="AF192" s="78"/>
      <c r="AG192" s="88" t="str">
        <f aca="false">IF($C192="","",IF(COUNTIFS('Tax Lots'!$B$6:$B$205,$B192,'Tax Lots'!$C$6:$C$205,$C192)=0,"",SUMIFS('Tax Lots'!$P$6:$P$205,'Tax Lots'!$B$6:$B$205,$B192,'Tax Lots'!$C$6:$C$205,$C192)))</f>
        <v/>
      </c>
      <c r="AH192" s="79" t="str">
        <f aca="false">IF($A192&amp;$B192&amp;$C192="","",IF($A192="","Missing ID",IF(COUNTIF($A$6:$A$205,$A192)&gt;1,"Duplicate ID",IF($AI192="","Unknown account",IF($AJ192="","Unknown security",IF(COUNTIFS($B$6:$B$205,$B192,$C$6:$C$205,$C192)&gt;1,"Same security twice in one account",IF(AND(ISNUMBER($J192),ISNUMBER($K192),N($K192)&lt;N($J192)),"Last date before first",IF(NOT(ISNUMBER($R192)),"No market value",IF(OR(N($J192)&gt;ValDate,N($K192)&gt;ValDate),"Date after valuation",IF(AND(ISNUMBER($AG192),ABS(N($L192)-N($AG192))&gt;0.001),"Lot quantity differs",IF(AND(ISNUMBER($AG192),ABS(N($M192)-SUMIFS('Tax Lots'!$Q$6:$Q$205,'Tax Lots'!$B$6:$B$205,$B192,'Tax Lots'!$C$6:$C$205,$C192))&gt;1),"Lot cost differs",IF(AND(ISNUMBER($AG192),ABS(N($V192)-SUMIFS('Tax Lots'!$AA$6:$AA$205,'Tax Lots'!$B$6:$B$205,$B192,'Tax Lots'!$C$6:$C$205,$C192))&gt;1),"Lot realised gain differs","OK"))))))))))))</f>
        <v/>
      </c>
      <c r="AI192" s="89" t="str">
        <f aca="false">IF($B192="","",IFERROR(MATCH($B192,Accounts!$A$6:$A$55,0),""))</f>
        <v/>
      </c>
      <c r="AJ192" s="89" t="str">
        <f aca="false">IF($C192="","",IFERROR(MATCH($C192,Securities!$A$6:$A$105,0),""))</f>
        <v/>
      </c>
      <c r="AK192" s="89" t="str">
        <f aca="false">IF($AI192="","",INDEX(Accounts!$B$6:$B$55,$AI192)&amp;"")</f>
        <v/>
      </c>
      <c r="AL192" s="89" t="str">
        <f aca="false">IF(OR($C192="",$I192="",NOT(ISNUMBER($R192))),"",$I192&amp;"|"&amp;(SUMPRODUCT(($I$6:$I$205=$I192)*ISNUMBER($R$6:$R$205)*($R$6:$R$205&gt;$R192))+SUMPRODUCT(($I$6:$I192=$I192)*ISNUMBER($R$6:$R192)*($R$6:$R192=$R192))))</f>
        <v/>
      </c>
      <c r="AM192" s="89" t="n">
        <f aca="false">IF(AND(ISNUMBER($R192),$W192&lt;&gt;"",$Z192&lt;&gt;"",$AB192="XIRR"),$R192*$W192,0)</f>
        <v>0</v>
      </c>
      <c r="AN192" s="89" t="n">
        <f aca="false">IF(AND(ISNUMBER($R192),$W192&lt;&gt;"",$Z192&lt;&gt;"",$AB192="XIRR"),$R192,0)</f>
        <v>0</v>
      </c>
      <c r="AO192" s="89" t="n">
        <f aca="false">IF(AND(ISNUMBER($R192),$W192&lt;&gt;"",$Z192&lt;&gt;"",$AB192="XIRR"),$R192*$Z192,0)</f>
        <v>0</v>
      </c>
      <c r="AP192" s="89" t="n">
        <f aca="false">IF(AND(ISNUMBER($M192),$Y192&lt;&gt;"",ISNUMBER($T192)),$M192*$Y192,0)</f>
        <v>0</v>
      </c>
      <c r="AQ192" s="89" t="n">
        <f aca="false">IF(AND(ISNUMBER($M192),$Y192&lt;&gt;"",ISNUMBER($T192)),$M192,0)</f>
        <v>0</v>
      </c>
    </row>
    <row r="193" customFormat="false" ht="15" hidden="false" customHeight="false" outlineLevel="0" collapsed="false">
      <c r="A193" s="77"/>
      <c r="B193" s="78"/>
      <c r="C193" s="78"/>
      <c r="D193" s="79" t="str">
        <f aca="false">IF($AI193="","",INDEX(Accounts!$C$6:$C$55,$AI193)&amp;"")</f>
        <v/>
      </c>
      <c r="E193" s="79" t="str">
        <f aca="false">IF($AI193="","",INDEX(Accounts!$F$6:$F$55,$AI193)&amp;"")</f>
        <v/>
      </c>
      <c r="F193" s="79" t="str">
        <f aca="false">IF($AJ193="","",INDEX(Securities!$B$6:$B$105,$AJ193)&amp;"")</f>
        <v/>
      </c>
      <c r="G193" s="79" t="str">
        <f aca="false">IF($AJ193="","",INDEX(Securities!$F$6:$F$105,$AJ193)&amp;"")</f>
        <v/>
      </c>
      <c r="H193" s="79" t="str">
        <f aca="false">IF($AJ193="","",INDEX(Securities!$E$6:$E$105,$AJ193)&amp;"")</f>
        <v/>
      </c>
      <c r="I193" s="79" t="str">
        <f aca="false">IF($AJ193="","",INDEX(Securities!$H$6:$H$105,$AJ193)&amp;"")</f>
        <v/>
      </c>
      <c r="J193" s="80"/>
      <c r="K193" s="80"/>
      <c r="L193" s="81"/>
      <c r="M193" s="82"/>
      <c r="N193" s="83" t="str">
        <f aca="false">IF(OR($L193="",$M193=""),"",IF(N($L193)=0,"",$M193/$L193))</f>
        <v/>
      </c>
      <c r="O193" s="84" t="str">
        <f aca="false">IF($AJ193="","",IF(INDEX(Securities!$O$6:$O$105,$AJ193)="","",INDEX(Securities!$O$6:$O$105,$AJ193)))</f>
        <v/>
      </c>
      <c r="P193" s="79" t="str">
        <f aca="false">IF($AJ193="","",INDEX(Securities!$N$6:$N$105,$AJ193)&amp;"")</f>
        <v/>
      </c>
      <c r="Q193" s="82"/>
      <c r="R193" s="85" t="str">
        <f aca="false">IF($C193="","",IF($Q193&lt;&gt;"",$Q193,IF($P193="At cost",IF($M193="","",$M193),IF(OR($O193="",$L193=""),"",$L193*$O193))))</f>
        <v/>
      </c>
      <c r="S193" s="85" t="str">
        <f aca="false">IF(OR(NOT(ISNUMBER($R193)),$M193=""),"",$R193-$M193)</f>
        <v/>
      </c>
      <c r="T193" s="86" t="str">
        <f aca="false">IF(OR($S193="",N($M193)=0),"",$S193/$M193)</f>
        <v/>
      </c>
      <c r="U193" s="82"/>
      <c r="V193" s="82"/>
      <c r="W193" s="87"/>
      <c r="X193" s="79" t="str">
        <f aca="false">IF($AJ193="","",INDEX(Securities!$L$6:$L$105,$AJ193)&amp;"")</f>
        <v/>
      </c>
      <c r="Y193" s="87"/>
      <c r="Z193" s="87"/>
      <c r="AA193" s="86" t="str">
        <f aca="false">IF(OR($W193="",$Z193=""),"",$W193-$Z193)</f>
        <v/>
      </c>
      <c r="AB193" s="79" t="str">
        <f aca="false">IF($C193="","",IF($P193="At cost","At cost",IF(NOT(ISNUMBER($J193)),"No date",IF(ValDate-$J193&lt;365,"Absolute",IF($W193="","XIRR missing","XIRR")))))</f>
        <v/>
      </c>
      <c r="AC193" s="86" t="str">
        <f aca="false">IF(NOT(ISNUMBER($R193)),"",IF(SUM($R$6:$R$205)=0,"",$R193/SUM($R$6:$R$205)))</f>
        <v/>
      </c>
      <c r="AD193" s="82"/>
      <c r="AE193" s="80"/>
      <c r="AF193" s="78"/>
      <c r="AG193" s="88" t="str">
        <f aca="false">IF($C193="","",IF(COUNTIFS('Tax Lots'!$B$6:$B$205,$B193,'Tax Lots'!$C$6:$C$205,$C193)=0,"",SUMIFS('Tax Lots'!$P$6:$P$205,'Tax Lots'!$B$6:$B$205,$B193,'Tax Lots'!$C$6:$C$205,$C193)))</f>
        <v/>
      </c>
      <c r="AH193" s="79" t="str">
        <f aca="false">IF($A193&amp;$B193&amp;$C193="","",IF($A193="","Missing ID",IF(COUNTIF($A$6:$A$205,$A193)&gt;1,"Duplicate ID",IF($AI193="","Unknown account",IF($AJ193="","Unknown security",IF(COUNTIFS($B$6:$B$205,$B193,$C$6:$C$205,$C193)&gt;1,"Same security twice in one account",IF(AND(ISNUMBER($J193),ISNUMBER($K193),N($K193)&lt;N($J193)),"Last date before first",IF(NOT(ISNUMBER($R193)),"No market value",IF(OR(N($J193)&gt;ValDate,N($K193)&gt;ValDate),"Date after valuation",IF(AND(ISNUMBER($AG193),ABS(N($L193)-N($AG193))&gt;0.001),"Lot quantity differs",IF(AND(ISNUMBER($AG193),ABS(N($M193)-SUMIFS('Tax Lots'!$Q$6:$Q$205,'Tax Lots'!$B$6:$B$205,$B193,'Tax Lots'!$C$6:$C$205,$C193))&gt;1),"Lot cost differs",IF(AND(ISNUMBER($AG193),ABS(N($V193)-SUMIFS('Tax Lots'!$AA$6:$AA$205,'Tax Lots'!$B$6:$B$205,$B193,'Tax Lots'!$C$6:$C$205,$C193))&gt;1),"Lot realised gain differs","OK"))))))))))))</f>
        <v/>
      </c>
      <c r="AI193" s="89" t="str">
        <f aca="false">IF($B193="","",IFERROR(MATCH($B193,Accounts!$A$6:$A$55,0),""))</f>
        <v/>
      </c>
      <c r="AJ193" s="89" t="str">
        <f aca="false">IF($C193="","",IFERROR(MATCH($C193,Securities!$A$6:$A$105,0),""))</f>
        <v/>
      </c>
      <c r="AK193" s="89" t="str">
        <f aca="false">IF($AI193="","",INDEX(Accounts!$B$6:$B$55,$AI193)&amp;"")</f>
        <v/>
      </c>
      <c r="AL193" s="89" t="str">
        <f aca="false">IF(OR($C193="",$I193="",NOT(ISNUMBER($R193))),"",$I193&amp;"|"&amp;(SUMPRODUCT(($I$6:$I$205=$I193)*ISNUMBER($R$6:$R$205)*($R$6:$R$205&gt;$R193))+SUMPRODUCT(($I$6:$I193=$I193)*ISNUMBER($R$6:$R193)*($R$6:$R193=$R193))))</f>
        <v/>
      </c>
      <c r="AM193" s="89" t="n">
        <f aca="false">IF(AND(ISNUMBER($R193),$W193&lt;&gt;"",$Z193&lt;&gt;"",$AB193="XIRR"),$R193*$W193,0)</f>
        <v>0</v>
      </c>
      <c r="AN193" s="89" t="n">
        <f aca="false">IF(AND(ISNUMBER($R193),$W193&lt;&gt;"",$Z193&lt;&gt;"",$AB193="XIRR"),$R193,0)</f>
        <v>0</v>
      </c>
      <c r="AO193" s="89" t="n">
        <f aca="false">IF(AND(ISNUMBER($R193),$W193&lt;&gt;"",$Z193&lt;&gt;"",$AB193="XIRR"),$R193*$Z193,0)</f>
        <v>0</v>
      </c>
      <c r="AP193" s="89" t="n">
        <f aca="false">IF(AND(ISNUMBER($M193),$Y193&lt;&gt;"",ISNUMBER($T193)),$M193*$Y193,0)</f>
        <v>0</v>
      </c>
      <c r="AQ193" s="89" t="n">
        <f aca="false">IF(AND(ISNUMBER($M193),$Y193&lt;&gt;"",ISNUMBER($T193)),$M193,0)</f>
        <v>0</v>
      </c>
    </row>
    <row r="194" customFormat="false" ht="15" hidden="false" customHeight="false" outlineLevel="0" collapsed="false">
      <c r="A194" s="77"/>
      <c r="B194" s="78"/>
      <c r="C194" s="78"/>
      <c r="D194" s="79" t="str">
        <f aca="false">IF($AI194="","",INDEX(Accounts!$C$6:$C$55,$AI194)&amp;"")</f>
        <v/>
      </c>
      <c r="E194" s="79" t="str">
        <f aca="false">IF($AI194="","",INDEX(Accounts!$F$6:$F$55,$AI194)&amp;"")</f>
        <v/>
      </c>
      <c r="F194" s="79" t="str">
        <f aca="false">IF($AJ194="","",INDEX(Securities!$B$6:$B$105,$AJ194)&amp;"")</f>
        <v/>
      </c>
      <c r="G194" s="79" t="str">
        <f aca="false">IF($AJ194="","",INDEX(Securities!$F$6:$F$105,$AJ194)&amp;"")</f>
        <v/>
      </c>
      <c r="H194" s="79" t="str">
        <f aca="false">IF($AJ194="","",INDEX(Securities!$E$6:$E$105,$AJ194)&amp;"")</f>
        <v/>
      </c>
      <c r="I194" s="79" t="str">
        <f aca="false">IF($AJ194="","",INDEX(Securities!$H$6:$H$105,$AJ194)&amp;"")</f>
        <v/>
      </c>
      <c r="J194" s="80"/>
      <c r="K194" s="80"/>
      <c r="L194" s="81"/>
      <c r="M194" s="82"/>
      <c r="N194" s="83" t="str">
        <f aca="false">IF(OR($L194="",$M194=""),"",IF(N($L194)=0,"",$M194/$L194))</f>
        <v/>
      </c>
      <c r="O194" s="84" t="str">
        <f aca="false">IF($AJ194="","",IF(INDEX(Securities!$O$6:$O$105,$AJ194)="","",INDEX(Securities!$O$6:$O$105,$AJ194)))</f>
        <v/>
      </c>
      <c r="P194" s="79" t="str">
        <f aca="false">IF($AJ194="","",INDEX(Securities!$N$6:$N$105,$AJ194)&amp;"")</f>
        <v/>
      </c>
      <c r="Q194" s="82"/>
      <c r="R194" s="85" t="str">
        <f aca="false">IF($C194="","",IF($Q194&lt;&gt;"",$Q194,IF($P194="At cost",IF($M194="","",$M194),IF(OR($O194="",$L194=""),"",$L194*$O194))))</f>
        <v/>
      </c>
      <c r="S194" s="85" t="str">
        <f aca="false">IF(OR(NOT(ISNUMBER($R194)),$M194=""),"",$R194-$M194)</f>
        <v/>
      </c>
      <c r="T194" s="86" t="str">
        <f aca="false">IF(OR($S194="",N($M194)=0),"",$S194/$M194)</f>
        <v/>
      </c>
      <c r="U194" s="82"/>
      <c r="V194" s="82"/>
      <c r="W194" s="87"/>
      <c r="X194" s="79" t="str">
        <f aca="false">IF($AJ194="","",INDEX(Securities!$L$6:$L$105,$AJ194)&amp;"")</f>
        <v/>
      </c>
      <c r="Y194" s="87"/>
      <c r="Z194" s="87"/>
      <c r="AA194" s="86" t="str">
        <f aca="false">IF(OR($W194="",$Z194=""),"",$W194-$Z194)</f>
        <v/>
      </c>
      <c r="AB194" s="79" t="str">
        <f aca="false">IF($C194="","",IF($P194="At cost","At cost",IF(NOT(ISNUMBER($J194)),"No date",IF(ValDate-$J194&lt;365,"Absolute",IF($W194="","XIRR missing","XIRR")))))</f>
        <v/>
      </c>
      <c r="AC194" s="86" t="str">
        <f aca="false">IF(NOT(ISNUMBER($R194)),"",IF(SUM($R$6:$R$205)=0,"",$R194/SUM($R$6:$R$205)))</f>
        <v/>
      </c>
      <c r="AD194" s="82"/>
      <c r="AE194" s="80"/>
      <c r="AF194" s="78"/>
      <c r="AG194" s="88" t="str">
        <f aca="false">IF($C194="","",IF(COUNTIFS('Tax Lots'!$B$6:$B$205,$B194,'Tax Lots'!$C$6:$C$205,$C194)=0,"",SUMIFS('Tax Lots'!$P$6:$P$205,'Tax Lots'!$B$6:$B$205,$B194,'Tax Lots'!$C$6:$C$205,$C194)))</f>
        <v/>
      </c>
      <c r="AH194" s="79" t="str">
        <f aca="false">IF($A194&amp;$B194&amp;$C194="","",IF($A194="","Missing ID",IF(COUNTIF($A$6:$A$205,$A194)&gt;1,"Duplicate ID",IF($AI194="","Unknown account",IF($AJ194="","Unknown security",IF(COUNTIFS($B$6:$B$205,$B194,$C$6:$C$205,$C194)&gt;1,"Same security twice in one account",IF(AND(ISNUMBER($J194),ISNUMBER($K194),N($K194)&lt;N($J194)),"Last date before first",IF(NOT(ISNUMBER($R194)),"No market value",IF(OR(N($J194)&gt;ValDate,N($K194)&gt;ValDate),"Date after valuation",IF(AND(ISNUMBER($AG194),ABS(N($L194)-N($AG194))&gt;0.001),"Lot quantity differs",IF(AND(ISNUMBER($AG194),ABS(N($M194)-SUMIFS('Tax Lots'!$Q$6:$Q$205,'Tax Lots'!$B$6:$B$205,$B194,'Tax Lots'!$C$6:$C$205,$C194))&gt;1),"Lot cost differs",IF(AND(ISNUMBER($AG194),ABS(N($V194)-SUMIFS('Tax Lots'!$AA$6:$AA$205,'Tax Lots'!$B$6:$B$205,$B194,'Tax Lots'!$C$6:$C$205,$C194))&gt;1),"Lot realised gain differs","OK"))))))))))))</f>
        <v/>
      </c>
      <c r="AI194" s="89" t="str">
        <f aca="false">IF($B194="","",IFERROR(MATCH($B194,Accounts!$A$6:$A$55,0),""))</f>
        <v/>
      </c>
      <c r="AJ194" s="89" t="str">
        <f aca="false">IF($C194="","",IFERROR(MATCH($C194,Securities!$A$6:$A$105,0),""))</f>
        <v/>
      </c>
      <c r="AK194" s="89" t="str">
        <f aca="false">IF($AI194="","",INDEX(Accounts!$B$6:$B$55,$AI194)&amp;"")</f>
        <v/>
      </c>
      <c r="AL194" s="89" t="str">
        <f aca="false">IF(OR($C194="",$I194="",NOT(ISNUMBER($R194))),"",$I194&amp;"|"&amp;(SUMPRODUCT(($I$6:$I$205=$I194)*ISNUMBER($R$6:$R$205)*($R$6:$R$205&gt;$R194))+SUMPRODUCT(($I$6:$I194=$I194)*ISNUMBER($R$6:$R194)*($R$6:$R194=$R194))))</f>
        <v/>
      </c>
      <c r="AM194" s="89" t="n">
        <f aca="false">IF(AND(ISNUMBER($R194),$W194&lt;&gt;"",$Z194&lt;&gt;"",$AB194="XIRR"),$R194*$W194,0)</f>
        <v>0</v>
      </c>
      <c r="AN194" s="89" t="n">
        <f aca="false">IF(AND(ISNUMBER($R194),$W194&lt;&gt;"",$Z194&lt;&gt;"",$AB194="XIRR"),$R194,0)</f>
        <v>0</v>
      </c>
      <c r="AO194" s="89" t="n">
        <f aca="false">IF(AND(ISNUMBER($R194),$W194&lt;&gt;"",$Z194&lt;&gt;"",$AB194="XIRR"),$R194*$Z194,0)</f>
        <v>0</v>
      </c>
      <c r="AP194" s="89" t="n">
        <f aca="false">IF(AND(ISNUMBER($M194),$Y194&lt;&gt;"",ISNUMBER($T194)),$M194*$Y194,0)</f>
        <v>0</v>
      </c>
      <c r="AQ194" s="89" t="n">
        <f aca="false">IF(AND(ISNUMBER($M194),$Y194&lt;&gt;"",ISNUMBER($T194)),$M194,0)</f>
        <v>0</v>
      </c>
    </row>
    <row r="195" customFormat="false" ht="15" hidden="false" customHeight="false" outlineLevel="0" collapsed="false">
      <c r="A195" s="77"/>
      <c r="B195" s="78"/>
      <c r="C195" s="78"/>
      <c r="D195" s="79" t="str">
        <f aca="false">IF($AI195="","",INDEX(Accounts!$C$6:$C$55,$AI195)&amp;"")</f>
        <v/>
      </c>
      <c r="E195" s="79" t="str">
        <f aca="false">IF($AI195="","",INDEX(Accounts!$F$6:$F$55,$AI195)&amp;"")</f>
        <v/>
      </c>
      <c r="F195" s="79" t="str">
        <f aca="false">IF($AJ195="","",INDEX(Securities!$B$6:$B$105,$AJ195)&amp;"")</f>
        <v/>
      </c>
      <c r="G195" s="79" t="str">
        <f aca="false">IF($AJ195="","",INDEX(Securities!$F$6:$F$105,$AJ195)&amp;"")</f>
        <v/>
      </c>
      <c r="H195" s="79" t="str">
        <f aca="false">IF($AJ195="","",INDEX(Securities!$E$6:$E$105,$AJ195)&amp;"")</f>
        <v/>
      </c>
      <c r="I195" s="79" t="str">
        <f aca="false">IF($AJ195="","",INDEX(Securities!$H$6:$H$105,$AJ195)&amp;"")</f>
        <v/>
      </c>
      <c r="J195" s="80"/>
      <c r="K195" s="80"/>
      <c r="L195" s="81"/>
      <c r="M195" s="82"/>
      <c r="N195" s="83" t="str">
        <f aca="false">IF(OR($L195="",$M195=""),"",IF(N($L195)=0,"",$M195/$L195))</f>
        <v/>
      </c>
      <c r="O195" s="84" t="str">
        <f aca="false">IF($AJ195="","",IF(INDEX(Securities!$O$6:$O$105,$AJ195)="","",INDEX(Securities!$O$6:$O$105,$AJ195)))</f>
        <v/>
      </c>
      <c r="P195" s="79" t="str">
        <f aca="false">IF($AJ195="","",INDEX(Securities!$N$6:$N$105,$AJ195)&amp;"")</f>
        <v/>
      </c>
      <c r="Q195" s="82"/>
      <c r="R195" s="85" t="str">
        <f aca="false">IF($C195="","",IF($Q195&lt;&gt;"",$Q195,IF($P195="At cost",IF($M195="","",$M195),IF(OR($O195="",$L195=""),"",$L195*$O195))))</f>
        <v/>
      </c>
      <c r="S195" s="85" t="str">
        <f aca="false">IF(OR(NOT(ISNUMBER($R195)),$M195=""),"",$R195-$M195)</f>
        <v/>
      </c>
      <c r="T195" s="86" t="str">
        <f aca="false">IF(OR($S195="",N($M195)=0),"",$S195/$M195)</f>
        <v/>
      </c>
      <c r="U195" s="82"/>
      <c r="V195" s="82"/>
      <c r="W195" s="87"/>
      <c r="X195" s="79" t="str">
        <f aca="false">IF($AJ195="","",INDEX(Securities!$L$6:$L$105,$AJ195)&amp;"")</f>
        <v/>
      </c>
      <c r="Y195" s="87"/>
      <c r="Z195" s="87"/>
      <c r="AA195" s="86" t="str">
        <f aca="false">IF(OR($W195="",$Z195=""),"",$W195-$Z195)</f>
        <v/>
      </c>
      <c r="AB195" s="79" t="str">
        <f aca="false">IF($C195="","",IF($P195="At cost","At cost",IF(NOT(ISNUMBER($J195)),"No date",IF(ValDate-$J195&lt;365,"Absolute",IF($W195="","XIRR missing","XIRR")))))</f>
        <v/>
      </c>
      <c r="AC195" s="86" t="str">
        <f aca="false">IF(NOT(ISNUMBER($R195)),"",IF(SUM($R$6:$R$205)=0,"",$R195/SUM($R$6:$R$205)))</f>
        <v/>
      </c>
      <c r="AD195" s="82"/>
      <c r="AE195" s="80"/>
      <c r="AF195" s="78"/>
      <c r="AG195" s="88" t="str">
        <f aca="false">IF($C195="","",IF(COUNTIFS('Tax Lots'!$B$6:$B$205,$B195,'Tax Lots'!$C$6:$C$205,$C195)=0,"",SUMIFS('Tax Lots'!$P$6:$P$205,'Tax Lots'!$B$6:$B$205,$B195,'Tax Lots'!$C$6:$C$205,$C195)))</f>
        <v/>
      </c>
      <c r="AH195" s="79" t="str">
        <f aca="false">IF($A195&amp;$B195&amp;$C195="","",IF($A195="","Missing ID",IF(COUNTIF($A$6:$A$205,$A195)&gt;1,"Duplicate ID",IF($AI195="","Unknown account",IF($AJ195="","Unknown security",IF(COUNTIFS($B$6:$B$205,$B195,$C$6:$C$205,$C195)&gt;1,"Same security twice in one account",IF(AND(ISNUMBER($J195),ISNUMBER($K195),N($K195)&lt;N($J195)),"Last date before first",IF(NOT(ISNUMBER($R195)),"No market value",IF(OR(N($J195)&gt;ValDate,N($K195)&gt;ValDate),"Date after valuation",IF(AND(ISNUMBER($AG195),ABS(N($L195)-N($AG195))&gt;0.001),"Lot quantity differs",IF(AND(ISNUMBER($AG195),ABS(N($M195)-SUMIFS('Tax Lots'!$Q$6:$Q$205,'Tax Lots'!$B$6:$B$205,$B195,'Tax Lots'!$C$6:$C$205,$C195))&gt;1),"Lot cost differs",IF(AND(ISNUMBER($AG195),ABS(N($V195)-SUMIFS('Tax Lots'!$AA$6:$AA$205,'Tax Lots'!$B$6:$B$205,$B195,'Tax Lots'!$C$6:$C$205,$C195))&gt;1),"Lot realised gain differs","OK"))))))))))))</f>
        <v/>
      </c>
      <c r="AI195" s="89" t="str">
        <f aca="false">IF($B195="","",IFERROR(MATCH($B195,Accounts!$A$6:$A$55,0),""))</f>
        <v/>
      </c>
      <c r="AJ195" s="89" t="str">
        <f aca="false">IF($C195="","",IFERROR(MATCH($C195,Securities!$A$6:$A$105,0),""))</f>
        <v/>
      </c>
      <c r="AK195" s="89" t="str">
        <f aca="false">IF($AI195="","",INDEX(Accounts!$B$6:$B$55,$AI195)&amp;"")</f>
        <v/>
      </c>
      <c r="AL195" s="89" t="str">
        <f aca="false">IF(OR($C195="",$I195="",NOT(ISNUMBER($R195))),"",$I195&amp;"|"&amp;(SUMPRODUCT(($I$6:$I$205=$I195)*ISNUMBER($R$6:$R$205)*($R$6:$R$205&gt;$R195))+SUMPRODUCT(($I$6:$I195=$I195)*ISNUMBER($R$6:$R195)*($R$6:$R195=$R195))))</f>
        <v/>
      </c>
      <c r="AM195" s="89" t="n">
        <f aca="false">IF(AND(ISNUMBER($R195),$W195&lt;&gt;"",$Z195&lt;&gt;"",$AB195="XIRR"),$R195*$W195,0)</f>
        <v>0</v>
      </c>
      <c r="AN195" s="89" t="n">
        <f aca="false">IF(AND(ISNUMBER($R195),$W195&lt;&gt;"",$Z195&lt;&gt;"",$AB195="XIRR"),$R195,0)</f>
        <v>0</v>
      </c>
      <c r="AO195" s="89" t="n">
        <f aca="false">IF(AND(ISNUMBER($R195),$W195&lt;&gt;"",$Z195&lt;&gt;"",$AB195="XIRR"),$R195*$Z195,0)</f>
        <v>0</v>
      </c>
      <c r="AP195" s="89" t="n">
        <f aca="false">IF(AND(ISNUMBER($M195),$Y195&lt;&gt;"",ISNUMBER($T195)),$M195*$Y195,0)</f>
        <v>0</v>
      </c>
      <c r="AQ195" s="89" t="n">
        <f aca="false">IF(AND(ISNUMBER($M195),$Y195&lt;&gt;"",ISNUMBER($T195)),$M195,0)</f>
        <v>0</v>
      </c>
    </row>
    <row r="196" customFormat="false" ht="15" hidden="false" customHeight="false" outlineLevel="0" collapsed="false">
      <c r="A196" s="77"/>
      <c r="B196" s="78"/>
      <c r="C196" s="78"/>
      <c r="D196" s="79" t="str">
        <f aca="false">IF($AI196="","",INDEX(Accounts!$C$6:$C$55,$AI196)&amp;"")</f>
        <v/>
      </c>
      <c r="E196" s="79" t="str">
        <f aca="false">IF($AI196="","",INDEX(Accounts!$F$6:$F$55,$AI196)&amp;"")</f>
        <v/>
      </c>
      <c r="F196" s="79" t="str">
        <f aca="false">IF($AJ196="","",INDEX(Securities!$B$6:$B$105,$AJ196)&amp;"")</f>
        <v/>
      </c>
      <c r="G196" s="79" t="str">
        <f aca="false">IF($AJ196="","",INDEX(Securities!$F$6:$F$105,$AJ196)&amp;"")</f>
        <v/>
      </c>
      <c r="H196" s="79" t="str">
        <f aca="false">IF($AJ196="","",INDEX(Securities!$E$6:$E$105,$AJ196)&amp;"")</f>
        <v/>
      </c>
      <c r="I196" s="79" t="str">
        <f aca="false">IF($AJ196="","",INDEX(Securities!$H$6:$H$105,$AJ196)&amp;"")</f>
        <v/>
      </c>
      <c r="J196" s="80"/>
      <c r="K196" s="80"/>
      <c r="L196" s="81"/>
      <c r="M196" s="82"/>
      <c r="N196" s="83" t="str">
        <f aca="false">IF(OR($L196="",$M196=""),"",IF(N($L196)=0,"",$M196/$L196))</f>
        <v/>
      </c>
      <c r="O196" s="84" t="str">
        <f aca="false">IF($AJ196="","",IF(INDEX(Securities!$O$6:$O$105,$AJ196)="","",INDEX(Securities!$O$6:$O$105,$AJ196)))</f>
        <v/>
      </c>
      <c r="P196" s="79" t="str">
        <f aca="false">IF($AJ196="","",INDEX(Securities!$N$6:$N$105,$AJ196)&amp;"")</f>
        <v/>
      </c>
      <c r="Q196" s="82"/>
      <c r="R196" s="85" t="str">
        <f aca="false">IF($C196="","",IF($Q196&lt;&gt;"",$Q196,IF($P196="At cost",IF($M196="","",$M196),IF(OR($O196="",$L196=""),"",$L196*$O196))))</f>
        <v/>
      </c>
      <c r="S196" s="85" t="str">
        <f aca="false">IF(OR(NOT(ISNUMBER($R196)),$M196=""),"",$R196-$M196)</f>
        <v/>
      </c>
      <c r="T196" s="86" t="str">
        <f aca="false">IF(OR($S196="",N($M196)=0),"",$S196/$M196)</f>
        <v/>
      </c>
      <c r="U196" s="82"/>
      <c r="V196" s="82"/>
      <c r="W196" s="87"/>
      <c r="X196" s="79" t="str">
        <f aca="false">IF($AJ196="","",INDEX(Securities!$L$6:$L$105,$AJ196)&amp;"")</f>
        <v/>
      </c>
      <c r="Y196" s="87"/>
      <c r="Z196" s="87"/>
      <c r="AA196" s="86" t="str">
        <f aca="false">IF(OR($W196="",$Z196=""),"",$W196-$Z196)</f>
        <v/>
      </c>
      <c r="AB196" s="79" t="str">
        <f aca="false">IF($C196="","",IF($P196="At cost","At cost",IF(NOT(ISNUMBER($J196)),"No date",IF(ValDate-$J196&lt;365,"Absolute",IF($W196="","XIRR missing","XIRR")))))</f>
        <v/>
      </c>
      <c r="AC196" s="86" t="str">
        <f aca="false">IF(NOT(ISNUMBER($R196)),"",IF(SUM($R$6:$R$205)=0,"",$R196/SUM($R$6:$R$205)))</f>
        <v/>
      </c>
      <c r="AD196" s="82"/>
      <c r="AE196" s="80"/>
      <c r="AF196" s="78"/>
      <c r="AG196" s="88" t="str">
        <f aca="false">IF($C196="","",IF(COUNTIFS('Tax Lots'!$B$6:$B$205,$B196,'Tax Lots'!$C$6:$C$205,$C196)=0,"",SUMIFS('Tax Lots'!$P$6:$P$205,'Tax Lots'!$B$6:$B$205,$B196,'Tax Lots'!$C$6:$C$205,$C196)))</f>
        <v/>
      </c>
      <c r="AH196" s="79" t="str">
        <f aca="false">IF($A196&amp;$B196&amp;$C196="","",IF($A196="","Missing ID",IF(COUNTIF($A$6:$A$205,$A196)&gt;1,"Duplicate ID",IF($AI196="","Unknown account",IF($AJ196="","Unknown security",IF(COUNTIFS($B$6:$B$205,$B196,$C$6:$C$205,$C196)&gt;1,"Same security twice in one account",IF(AND(ISNUMBER($J196),ISNUMBER($K196),N($K196)&lt;N($J196)),"Last date before first",IF(NOT(ISNUMBER($R196)),"No market value",IF(OR(N($J196)&gt;ValDate,N($K196)&gt;ValDate),"Date after valuation",IF(AND(ISNUMBER($AG196),ABS(N($L196)-N($AG196))&gt;0.001),"Lot quantity differs",IF(AND(ISNUMBER($AG196),ABS(N($M196)-SUMIFS('Tax Lots'!$Q$6:$Q$205,'Tax Lots'!$B$6:$B$205,$B196,'Tax Lots'!$C$6:$C$205,$C196))&gt;1),"Lot cost differs",IF(AND(ISNUMBER($AG196),ABS(N($V196)-SUMIFS('Tax Lots'!$AA$6:$AA$205,'Tax Lots'!$B$6:$B$205,$B196,'Tax Lots'!$C$6:$C$205,$C196))&gt;1),"Lot realised gain differs","OK"))))))))))))</f>
        <v/>
      </c>
      <c r="AI196" s="89" t="str">
        <f aca="false">IF($B196="","",IFERROR(MATCH($B196,Accounts!$A$6:$A$55,0),""))</f>
        <v/>
      </c>
      <c r="AJ196" s="89" t="str">
        <f aca="false">IF($C196="","",IFERROR(MATCH($C196,Securities!$A$6:$A$105,0),""))</f>
        <v/>
      </c>
      <c r="AK196" s="89" t="str">
        <f aca="false">IF($AI196="","",INDEX(Accounts!$B$6:$B$55,$AI196)&amp;"")</f>
        <v/>
      </c>
      <c r="AL196" s="89" t="str">
        <f aca="false">IF(OR($C196="",$I196="",NOT(ISNUMBER($R196))),"",$I196&amp;"|"&amp;(SUMPRODUCT(($I$6:$I$205=$I196)*ISNUMBER($R$6:$R$205)*($R$6:$R$205&gt;$R196))+SUMPRODUCT(($I$6:$I196=$I196)*ISNUMBER($R$6:$R196)*($R$6:$R196=$R196))))</f>
        <v/>
      </c>
      <c r="AM196" s="89" t="n">
        <f aca="false">IF(AND(ISNUMBER($R196),$W196&lt;&gt;"",$Z196&lt;&gt;"",$AB196="XIRR"),$R196*$W196,0)</f>
        <v>0</v>
      </c>
      <c r="AN196" s="89" t="n">
        <f aca="false">IF(AND(ISNUMBER($R196),$W196&lt;&gt;"",$Z196&lt;&gt;"",$AB196="XIRR"),$R196,0)</f>
        <v>0</v>
      </c>
      <c r="AO196" s="89" t="n">
        <f aca="false">IF(AND(ISNUMBER($R196),$W196&lt;&gt;"",$Z196&lt;&gt;"",$AB196="XIRR"),$R196*$Z196,0)</f>
        <v>0</v>
      </c>
      <c r="AP196" s="89" t="n">
        <f aca="false">IF(AND(ISNUMBER($M196),$Y196&lt;&gt;"",ISNUMBER($T196)),$M196*$Y196,0)</f>
        <v>0</v>
      </c>
      <c r="AQ196" s="89" t="n">
        <f aca="false">IF(AND(ISNUMBER($M196),$Y196&lt;&gt;"",ISNUMBER($T196)),$M196,0)</f>
        <v>0</v>
      </c>
    </row>
    <row r="197" customFormat="false" ht="15" hidden="false" customHeight="false" outlineLevel="0" collapsed="false">
      <c r="A197" s="77"/>
      <c r="B197" s="78"/>
      <c r="C197" s="78"/>
      <c r="D197" s="79" t="str">
        <f aca="false">IF($AI197="","",INDEX(Accounts!$C$6:$C$55,$AI197)&amp;"")</f>
        <v/>
      </c>
      <c r="E197" s="79" t="str">
        <f aca="false">IF($AI197="","",INDEX(Accounts!$F$6:$F$55,$AI197)&amp;"")</f>
        <v/>
      </c>
      <c r="F197" s="79" t="str">
        <f aca="false">IF($AJ197="","",INDEX(Securities!$B$6:$B$105,$AJ197)&amp;"")</f>
        <v/>
      </c>
      <c r="G197" s="79" t="str">
        <f aca="false">IF($AJ197="","",INDEX(Securities!$F$6:$F$105,$AJ197)&amp;"")</f>
        <v/>
      </c>
      <c r="H197" s="79" t="str">
        <f aca="false">IF($AJ197="","",INDEX(Securities!$E$6:$E$105,$AJ197)&amp;"")</f>
        <v/>
      </c>
      <c r="I197" s="79" t="str">
        <f aca="false">IF($AJ197="","",INDEX(Securities!$H$6:$H$105,$AJ197)&amp;"")</f>
        <v/>
      </c>
      <c r="J197" s="80"/>
      <c r="K197" s="80"/>
      <c r="L197" s="81"/>
      <c r="M197" s="82"/>
      <c r="N197" s="83" t="str">
        <f aca="false">IF(OR($L197="",$M197=""),"",IF(N($L197)=0,"",$M197/$L197))</f>
        <v/>
      </c>
      <c r="O197" s="84" t="str">
        <f aca="false">IF($AJ197="","",IF(INDEX(Securities!$O$6:$O$105,$AJ197)="","",INDEX(Securities!$O$6:$O$105,$AJ197)))</f>
        <v/>
      </c>
      <c r="P197" s="79" t="str">
        <f aca="false">IF($AJ197="","",INDEX(Securities!$N$6:$N$105,$AJ197)&amp;"")</f>
        <v/>
      </c>
      <c r="Q197" s="82"/>
      <c r="R197" s="85" t="str">
        <f aca="false">IF($C197="","",IF($Q197&lt;&gt;"",$Q197,IF($P197="At cost",IF($M197="","",$M197),IF(OR($O197="",$L197=""),"",$L197*$O197))))</f>
        <v/>
      </c>
      <c r="S197" s="85" t="str">
        <f aca="false">IF(OR(NOT(ISNUMBER($R197)),$M197=""),"",$R197-$M197)</f>
        <v/>
      </c>
      <c r="T197" s="86" t="str">
        <f aca="false">IF(OR($S197="",N($M197)=0),"",$S197/$M197)</f>
        <v/>
      </c>
      <c r="U197" s="82"/>
      <c r="V197" s="82"/>
      <c r="W197" s="87"/>
      <c r="X197" s="79" t="str">
        <f aca="false">IF($AJ197="","",INDEX(Securities!$L$6:$L$105,$AJ197)&amp;"")</f>
        <v/>
      </c>
      <c r="Y197" s="87"/>
      <c r="Z197" s="87"/>
      <c r="AA197" s="86" t="str">
        <f aca="false">IF(OR($W197="",$Z197=""),"",$W197-$Z197)</f>
        <v/>
      </c>
      <c r="AB197" s="79" t="str">
        <f aca="false">IF($C197="","",IF($P197="At cost","At cost",IF(NOT(ISNUMBER($J197)),"No date",IF(ValDate-$J197&lt;365,"Absolute",IF($W197="","XIRR missing","XIRR")))))</f>
        <v/>
      </c>
      <c r="AC197" s="86" t="str">
        <f aca="false">IF(NOT(ISNUMBER($R197)),"",IF(SUM($R$6:$R$205)=0,"",$R197/SUM($R$6:$R$205)))</f>
        <v/>
      </c>
      <c r="AD197" s="82"/>
      <c r="AE197" s="80"/>
      <c r="AF197" s="78"/>
      <c r="AG197" s="88" t="str">
        <f aca="false">IF($C197="","",IF(COUNTIFS('Tax Lots'!$B$6:$B$205,$B197,'Tax Lots'!$C$6:$C$205,$C197)=0,"",SUMIFS('Tax Lots'!$P$6:$P$205,'Tax Lots'!$B$6:$B$205,$B197,'Tax Lots'!$C$6:$C$205,$C197)))</f>
        <v/>
      </c>
      <c r="AH197" s="79" t="str">
        <f aca="false">IF($A197&amp;$B197&amp;$C197="","",IF($A197="","Missing ID",IF(COUNTIF($A$6:$A$205,$A197)&gt;1,"Duplicate ID",IF($AI197="","Unknown account",IF($AJ197="","Unknown security",IF(COUNTIFS($B$6:$B$205,$B197,$C$6:$C$205,$C197)&gt;1,"Same security twice in one account",IF(AND(ISNUMBER($J197),ISNUMBER($K197),N($K197)&lt;N($J197)),"Last date before first",IF(NOT(ISNUMBER($R197)),"No market value",IF(OR(N($J197)&gt;ValDate,N($K197)&gt;ValDate),"Date after valuation",IF(AND(ISNUMBER($AG197),ABS(N($L197)-N($AG197))&gt;0.001),"Lot quantity differs",IF(AND(ISNUMBER($AG197),ABS(N($M197)-SUMIFS('Tax Lots'!$Q$6:$Q$205,'Tax Lots'!$B$6:$B$205,$B197,'Tax Lots'!$C$6:$C$205,$C197))&gt;1),"Lot cost differs",IF(AND(ISNUMBER($AG197),ABS(N($V197)-SUMIFS('Tax Lots'!$AA$6:$AA$205,'Tax Lots'!$B$6:$B$205,$B197,'Tax Lots'!$C$6:$C$205,$C197))&gt;1),"Lot realised gain differs","OK"))))))))))))</f>
        <v/>
      </c>
      <c r="AI197" s="89" t="str">
        <f aca="false">IF($B197="","",IFERROR(MATCH($B197,Accounts!$A$6:$A$55,0),""))</f>
        <v/>
      </c>
      <c r="AJ197" s="89" t="str">
        <f aca="false">IF($C197="","",IFERROR(MATCH($C197,Securities!$A$6:$A$105,0),""))</f>
        <v/>
      </c>
      <c r="AK197" s="89" t="str">
        <f aca="false">IF($AI197="","",INDEX(Accounts!$B$6:$B$55,$AI197)&amp;"")</f>
        <v/>
      </c>
      <c r="AL197" s="89" t="str">
        <f aca="false">IF(OR($C197="",$I197="",NOT(ISNUMBER($R197))),"",$I197&amp;"|"&amp;(SUMPRODUCT(($I$6:$I$205=$I197)*ISNUMBER($R$6:$R$205)*($R$6:$R$205&gt;$R197))+SUMPRODUCT(($I$6:$I197=$I197)*ISNUMBER($R$6:$R197)*($R$6:$R197=$R197))))</f>
        <v/>
      </c>
      <c r="AM197" s="89" t="n">
        <f aca="false">IF(AND(ISNUMBER($R197),$W197&lt;&gt;"",$Z197&lt;&gt;"",$AB197="XIRR"),$R197*$W197,0)</f>
        <v>0</v>
      </c>
      <c r="AN197" s="89" t="n">
        <f aca="false">IF(AND(ISNUMBER($R197),$W197&lt;&gt;"",$Z197&lt;&gt;"",$AB197="XIRR"),$R197,0)</f>
        <v>0</v>
      </c>
      <c r="AO197" s="89" t="n">
        <f aca="false">IF(AND(ISNUMBER($R197),$W197&lt;&gt;"",$Z197&lt;&gt;"",$AB197="XIRR"),$R197*$Z197,0)</f>
        <v>0</v>
      </c>
      <c r="AP197" s="89" t="n">
        <f aca="false">IF(AND(ISNUMBER($M197),$Y197&lt;&gt;"",ISNUMBER($T197)),$M197*$Y197,0)</f>
        <v>0</v>
      </c>
      <c r="AQ197" s="89" t="n">
        <f aca="false">IF(AND(ISNUMBER($M197),$Y197&lt;&gt;"",ISNUMBER($T197)),$M197,0)</f>
        <v>0</v>
      </c>
    </row>
    <row r="198" customFormat="false" ht="15" hidden="false" customHeight="false" outlineLevel="0" collapsed="false">
      <c r="A198" s="77"/>
      <c r="B198" s="78"/>
      <c r="C198" s="78"/>
      <c r="D198" s="79" t="str">
        <f aca="false">IF($AI198="","",INDEX(Accounts!$C$6:$C$55,$AI198)&amp;"")</f>
        <v/>
      </c>
      <c r="E198" s="79" t="str">
        <f aca="false">IF($AI198="","",INDEX(Accounts!$F$6:$F$55,$AI198)&amp;"")</f>
        <v/>
      </c>
      <c r="F198" s="79" t="str">
        <f aca="false">IF($AJ198="","",INDEX(Securities!$B$6:$B$105,$AJ198)&amp;"")</f>
        <v/>
      </c>
      <c r="G198" s="79" t="str">
        <f aca="false">IF($AJ198="","",INDEX(Securities!$F$6:$F$105,$AJ198)&amp;"")</f>
        <v/>
      </c>
      <c r="H198" s="79" t="str">
        <f aca="false">IF($AJ198="","",INDEX(Securities!$E$6:$E$105,$AJ198)&amp;"")</f>
        <v/>
      </c>
      <c r="I198" s="79" t="str">
        <f aca="false">IF($AJ198="","",INDEX(Securities!$H$6:$H$105,$AJ198)&amp;"")</f>
        <v/>
      </c>
      <c r="J198" s="80"/>
      <c r="K198" s="80"/>
      <c r="L198" s="81"/>
      <c r="M198" s="82"/>
      <c r="N198" s="83" t="str">
        <f aca="false">IF(OR($L198="",$M198=""),"",IF(N($L198)=0,"",$M198/$L198))</f>
        <v/>
      </c>
      <c r="O198" s="84" t="str">
        <f aca="false">IF($AJ198="","",IF(INDEX(Securities!$O$6:$O$105,$AJ198)="","",INDEX(Securities!$O$6:$O$105,$AJ198)))</f>
        <v/>
      </c>
      <c r="P198" s="79" t="str">
        <f aca="false">IF($AJ198="","",INDEX(Securities!$N$6:$N$105,$AJ198)&amp;"")</f>
        <v/>
      </c>
      <c r="Q198" s="82"/>
      <c r="R198" s="85" t="str">
        <f aca="false">IF($C198="","",IF($Q198&lt;&gt;"",$Q198,IF($P198="At cost",IF($M198="","",$M198),IF(OR($O198="",$L198=""),"",$L198*$O198))))</f>
        <v/>
      </c>
      <c r="S198" s="85" t="str">
        <f aca="false">IF(OR(NOT(ISNUMBER($R198)),$M198=""),"",$R198-$M198)</f>
        <v/>
      </c>
      <c r="T198" s="86" t="str">
        <f aca="false">IF(OR($S198="",N($M198)=0),"",$S198/$M198)</f>
        <v/>
      </c>
      <c r="U198" s="82"/>
      <c r="V198" s="82"/>
      <c r="W198" s="87"/>
      <c r="X198" s="79" t="str">
        <f aca="false">IF($AJ198="","",INDEX(Securities!$L$6:$L$105,$AJ198)&amp;"")</f>
        <v/>
      </c>
      <c r="Y198" s="87"/>
      <c r="Z198" s="87"/>
      <c r="AA198" s="86" t="str">
        <f aca="false">IF(OR($W198="",$Z198=""),"",$W198-$Z198)</f>
        <v/>
      </c>
      <c r="AB198" s="79" t="str">
        <f aca="false">IF($C198="","",IF($P198="At cost","At cost",IF(NOT(ISNUMBER($J198)),"No date",IF(ValDate-$J198&lt;365,"Absolute",IF($W198="","XIRR missing","XIRR")))))</f>
        <v/>
      </c>
      <c r="AC198" s="86" t="str">
        <f aca="false">IF(NOT(ISNUMBER($R198)),"",IF(SUM($R$6:$R$205)=0,"",$R198/SUM($R$6:$R$205)))</f>
        <v/>
      </c>
      <c r="AD198" s="82"/>
      <c r="AE198" s="80"/>
      <c r="AF198" s="78"/>
      <c r="AG198" s="88" t="str">
        <f aca="false">IF($C198="","",IF(COUNTIFS('Tax Lots'!$B$6:$B$205,$B198,'Tax Lots'!$C$6:$C$205,$C198)=0,"",SUMIFS('Tax Lots'!$P$6:$P$205,'Tax Lots'!$B$6:$B$205,$B198,'Tax Lots'!$C$6:$C$205,$C198)))</f>
        <v/>
      </c>
      <c r="AH198" s="79" t="str">
        <f aca="false">IF($A198&amp;$B198&amp;$C198="","",IF($A198="","Missing ID",IF(COUNTIF($A$6:$A$205,$A198)&gt;1,"Duplicate ID",IF($AI198="","Unknown account",IF($AJ198="","Unknown security",IF(COUNTIFS($B$6:$B$205,$B198,$C$6:$C$205,$C198)&gt;1,"Same security twice in one account",IF(AND(ISNUMBER($J198),ISNUMBER($K198),N($K198)&lt;N($J198)),"Last date before first",IF(NOT(ISNUMBER($R198)),"No market value",IF(OR(N($J198)&gt;ValDate,N($K198)&gt;ValDate),"Date after valuation",IF(AND(ISNUMBER($AG198),ABS(N($L198)-N($AG198))&gt;0.001),"Lot quantity differs",IF(AND(ISNUMBER($AG198),ABS(N($M198)-SUMIFS('Tax Lots'!$Q$6:$Q$205,'Tax Lots'!$B$6:$B$205,$B198,'Tax Lots'!$C$6:$C$205,$C198))&gt;1),"Lot cost differs",IF(AND(ISNUMBER($AG198),ABS(N($V198)-SUMIFS('Tax Lots'!$AA$6:$AA$205,'Tax Lots'!$B$6:$B$205,$B198,'Tax Lots'!$C$6:$C$205,$C198))&gt;1),"Lot realised gain differs","OK"))))))))))))</f>
        <v/>
      </c>
      <c r="AI198" s="89" t="str">
        <f aca="false">IF($B198="","",IFERROR(MATCH($B198,Accounts!$A$6:$A$55,0),""))</f>
        <v/>
      </c>
      <c r="AJ198" s="89" t="str">
        <f aca="false">IF($C198="","",IFERROR(MATCH($C198,Securities!$A$6:$A$105,0),""))</f>
        <v/>
      </c>
      <c r="AK198" s="89" t="str">
        <f aca="false">IF($AI198="","",INDEX(Accounts!$B$6:$B$55,$AI198)&amp;"")</f>
        <v/>
      </c>
      <c r="AL198" s="89" t="str">
        <f aca="false">IF(OR($C198="",$I198="",NOT(ISNUMBER($R198))),"",$I198&amp;"|"&amp;(SUMPRODUCT(($I$6:$I$205=$I198)*ISNUMBER($R$6:$R$205)*($R$6:$R$205&gt;$R198))+SUMPRODUCT(($I$6:$I198=$I198)*ISNUMBER($R$6:$R198)*($R$6:$R198=$R198))))</f>
        <v/>
      </c>
      <c r="AM198" s="89" t="n">
        <f aca="false">IF(AND(ISNUMBER($R198),$W198&lt;&gt;"",$Z198&lt;&gt;"",$AB198="XIRR"),$R198*$W198,0)</f>
        <v>0</v>
      </c>
      <c r="AN198" s="89" t="n">
        <f aca="false">IF(AND(ISNUMBER($R198),$W198&lt;&gt;"",$Z198&lt;&gt;"",$AB198="XIRR"),$R198,0)</f>
        <v>0</v>
      </c>
      <c r="AO198" s="89" t="n">
        <f aca="false">IF(AND(ISNUMBER($R198),$W198&lt;&gt;"",$Z198&lt;&gt;"",$AB198="XIRR"),$R198*$Z198,0)</f>
        <v>0</v>
      </c>
      <c r="AP198" s="89" t="n">
        <f aca="false">IF(AND(ISNUMBER($M198),$Y198&lt;&gt;"",ISNUMBER($T198)),$M198*$Y198,0)</f>
        <v>0</v>
      </c>
      <c r="AQ198" s="89" t="n">
        <f aca="false">IF(AND(ISNUMBER($M198),$Y198&lt;&gt;"",ISNUMBER($T198)),$M198,0)</f>
        <v>0</v>
      </c>
    </row>
    <row r="199" customFormat="false" ht="15" hidden="false" customHeight="false" outlineLevel="0" collapsed="false">
      <c r="A199" s="77"/>
      <c r="B199" s="78"/>
      <c r="C199" s="78"/>
      <c r="D199" s="79" t="str">
        <f aca="false">IF($AI199="","",INDEX(Accounts!$C$6:$C$55,$AI199)&amp;"")</f>
        <v/>
      </c>
      <c r="E199" s="79" t="str">
        <f aca="false">IF($AI199="","",INDEX(Accounts!$F$6:$F$55,$AI199)&amp;"")</f>
        <v/>
      </c>
      <c r="F199" s="79" t="str">
        <f aca="false">IF($AJ199="","",INDEX(Securities!$B$6:$B$105,$AJ199)&amp;"")</f>
        <v/>
      </c>
      <c r="G199" s="79" t="str">
        <f aca="false">IF($AJ199="","",INDEX(Securities!$F$6:$F$105,$AJ199)&amp;"")</f>
        <v/>
      </c>
      <c r="H199" s="79" t="str">
        <f aca="false">IF($AJ199="","",INDEX(Securities!$E$6:$E$105,$AJ199)&amp;"")</f>
        <v/>
      </c>
      <c r="I199" s="79" t="str">
        <f aca="false">IF($AJ199="","",INDEX(Securities!$H$6:$H$105,$AJ199)&amp;"")</f>
        <v/>
      </c>
      <c r="J199" s="80"/>
      <c r="K199" s="80"/>
      <c r="L199" s="81"/>
      <c r="M199" s="82"/>
      <c r="N199" s="83" t="str">
        <f aca="false">IF(OR($L199="",$M199=""),"",IF(N($L199)=0,"",$M199/$L199))</f>
        <v/>
      </c>
      <c r="O199" s="84" t="str">
        <f aca="false">IF($AJ199="","",IF(INDEX(Securities!$O$6:$O$105,$AJ199)="","",INDEX(Securities!$O$6:$O$105,$AJ199)))</f>
        <v/>
      </c>
      <c r="P199" s="79" t="str">
        <f aca="false">IF($AJ199="","",INDEX(Securities!$N$6:$N$105,$AJ199)&amp;"")</f>
        <v/>
      </c>
      <c r="Q199" s="82"/>
      <c r="R199" s="85" t="str">
        <f aca="false">IF($C199="","",IF($Q199&lt;&gt;"",$Q199,IF($P199="At cost",IF($M199="","",$M199),IF(OR($O199="",$L199=""),"",$L199*$O199))))</f>
        <v/>
      </c>
      <c r="S199" s="85" t="str">
        <f aca="false">IF(OR(NOT(ISNUMBER($R199)),$M199=""),"",$R199-$M199)</f>
        <v/>
      </c>
      <c r="T199" s="86" t="str">
        <f aca="false">IF(OR($S199="",N($M199)=0),"",$S199/$M199)</f>
        <v/>
      </c>
      <c r="U199" s="82"/>
      <c r="V199" s="82"/>
      <c r="W199" s="87"/>
      <c r="X199" s="79" t="str">
        <f aca="false">IF($AJ199="","",INDEX(Securities!$L$6:$L$105,$AJ199)&amp;"")</f>
        <v/>
      </c>
      <c r="Y199" s="87"/>
      <c r="Z199" s="87"/>
      <c r="AA199" s="86" t="str">
        <f aca="false">IF(OR($W199="",$Z199=""),"",$W199-$Z199)</f>
        <v/>
      </c>
      <c r="AB199" s="79" t="str">
        <f aca="false">IF($C199="","",IF($P199="At cost","At cost",IF(NOT(ISNUMBER($J199)),"No date",IF(ValDate-$J199&lt;365,"Absolute",IF($W199="","XIRR missing","XIRR")))))</f>
        <v/>
      </c>
      <c r="AC199" s="86" t="str">
        <f aca="false">IF(NOT(ISNUMBER($R199)),"",IF(SUM($R$6:$R$205)=0,"",$R199/SUM($R$6:$R$205)))</f>
        <v/>
      </c>
      <c r="AD199" s="82"/>
      <c r="AE199" s="80"/>
      <c r="AF199" s="78"/>
      <c r="AG199" s="88" t="str">
        <f aca="false">IF($C199="","",IF(COUNTIFS('Tax Lots'!$B$6:$B$205,$B199,'Tax Lots'!$C$6:$C$205,$C199)=0,"",SUMIFS('Tax Lots'!$P$6:$P$205,'Tax Lots'!$B$6:$B$205,$B199,'Tax Lots'!$C$6:$C$205,$C199)))</f>
        <v/>
      </c>
      <c r="AH199" s="79" t="str">
        <f aca="false">IF($A199&amp;$B199&amp;$C199="","",IF($A199="","Missing ID",IF(COUNTIF($A$6:$A$205,$A199)&gt;1,"Duplicate ID",IF($AI199="","Unknown account",IF($AJ199="","Unknown security",IF(COUNTIFS($B$6:$B$205,$B199,$C$6:$C$205,$C199)&gt;1,"Same security twice in one account",IF(AND(ISNUMBER($J199),ISNUMBER($K199),N($K199)&lt;N($J199)),"Last date before first",IF(NOT(ISNUMBER($R199)),"No market value",IF(OR(N($J199)&gt;ValDate,N($K199)&gt;ValDate),"Date after valuation",IF(AND(ISNUMBER($AG199),ABS(N($L199)-N($AG199))&gt;0.001),"Lot quantity differs",IF(AND(ISNUMBER($AG199),ABS(N($M199)-SUMIFS('Tax Lots'!$Q$6:$Q$205,'Tax Lots'!$B$6:$B$205,$B199,'Tax Lots'!$C$6:$C$205,$C199))&gt;1),"Lot cost differs",IF(AND(ISNUMBER($AG199),ABS(N($V199)-SUMIFS('Tax Lots'!$AA$6:$AA$205,'Tax Lots'!$B$6:$B$205,$B199,'Tax Lots'!$C$6:$C$205,$C199))&gt;1),"Lot realised gain differs","OK"))))))))))))</f>
        <v/>
      </c>
      <c r="AI199" s="89" t="str">
        <f aca="false">IF($B199="","",IFERROR(MATCH($B199,Accounts!$A$6:$A$55,0),""))</f>
        <v/>
      </c>
      <c r="AJ199" s="89" t="str">
        <f aca="false">IF($C199="","",IFERROR(MATCH($C199,Securities!$A$6:$A$105,0),""))</f>
        <v/>
      </c>
      <c r="AK199" s="89" t="str">
        <f aca="false">IF($AI199="","",INDEX(Accounts!$B$6:$B$55,$AI199)&amp;"")</f>
        <v/>
      </c>
      <c r="AL199" s="89" t="str">
        <f aca="false">IF(OR($C199="",$I199="",NOT(ISNUMBER($R199))),"",$I199&amp;"|"&amp;(SUMPRODUCT(($I$6:$I$205=$I199)*ISNUMBER($R$6:$R$205)*($R$6:$R$205&gt;$R199))+SUMPRODUCT(($I$6:$I199=$I199)*ISNUMBER($R$6:$R199)*($R$6:$R199=$R199))))</f>
        <v/>
      </c>
      <c r="AM199" s="89" t="n">
        <f aca="false">IF(AND(ISNUMBER($R199),$W199&lt;&gt;"",$Z199&lt;&gt;"",$AB199="XIRR"),$R199*$W199,0)</f>
        <v>0</v>
      </c>
      <c r="AN199" s="89" t="n">
        <f aca="false">IF(AND(ISNUMBER($R199),$W199&lt;&gt;"",$Z199&lt;&gt;"",$AB199="XIRR"),$R199,0)</f>
        <v>0</v>
      </c>
      <c r="AO199" s="89" t="n">
        <f aca="false">IF(AND(ISNUMBER($R199),$W199&lt;&gt;"",$Z199&lt;&gt;"",$AB199="XIRR"),$R199*$Z199,0)</f>
        <v>0</v>
      </c>
      <c r="AP199" s="89" t="n">
        <f aca="false">IF(AND(ISNUMBER($M199),$Y199&lt;&gt;"",ISNUMBER($T199)),$M199*$Y199,0)</f>
        <v>0</v>
      </c>
      <c r="AQ199" s="89" t="n">
        <f aca="false">IF(AND(ISNUMBER($M199),$Y199&lt;&gt;"",ISNUMBER($T199)),$M199,0)</f>
        <v>0</v>
      </c>
    </row>
    <row r="200" customFormat="false" ht="15" hidden="false" customHeight="false" outlineLevel="0" collapsed="false">
      <c r="A200" s="77"/>
      <c r="B200" s="78"/>
      <c r="C200" s="78"/>
      <c r="D200" s="79" t="str">
        <f aca="false">IF($AI200="","",INDEX(Accounts!$C$6:$C$55,$AI200)&amp;"")</f>
        <v/>
      </c>
      <c r="E200" s="79" t="str">
        <f aca="false">IF($AI200="","",INDEX(Accounts!$F$6:$F$55,$AI200)&amp;"")</f>
        <v/>
      </c>
      <c r="F200" s="79" t="str">
        <f aca="false">IF($AJ200="","",INDEX(Securities!$B$6:$B$105,$AJ200)&amp;"")</f>
        <v/>
      </c>
      <c r="G200" s="79" t="str">
        <f aca="false">IF($AJ200="","",INDEX(Securities!$F$6:$F$105,$AJ200)&amp;"")</f>
        <v/>
      </c>
      <c r="H200" s="79" t="str">
        <f aca="false">IF($AJ200="","",INDEX(Securities!$E$6:$E$105,$AJ200)&amp;"")</f>
        <v/>
      </c>
      <c r="I200" s="79" t="str">
        <f aca="false">IF($AJ200="","",INDEX(Securities!$H$6:$H$105,$AJ200)&amp;"")</f>
        <v/>
      </c>
      <c r="J200" s="80"/>
      <c r="K200" s="80"/>
      <c r="L200" s="81"/>
      <c r="M200" s="82"/>
      <c r="N200" s="83" t="str">
        <f aca="false">IF(OR($L200="",$M200=""),"",IF(N($L200)=0,"",$M200/$L200))</f>
        <v/>
      </c>
      <c r="O200" s="84" t="str">
        <f aca="false">IF($AJ200="","",IF(INDEX(Securities!$O$6:$O$105,$AJ200)="","",INDEX(Securities!$O$6:$O$105,$AJ200)))</f>
        <v/>
      </c>
      <c r="P200" s="79" t="str">
        <f aca="false">IF($AJ200="","",INDEX(Securities!$N$6:$N$105,$AJ200)&amp;"")</f>
        <v/>
      </c>
      <c r="Q200" s="82"/>
      <c r="R200" s="85" t="str">
        <f aca="false">IF($C200="","",IF($Q200&lt;&gt;"",$Q200,IF($P200="At cost",IF($M200="","",$M200),IF(OR($O200="",$L200=""),"",$L200*$O200))))</f>
        <v/>
      </c>
      <c r="S200" s="85" t="str">
        <f aca="false">IF(OR(NOT(ISNUMBER($R200)),$M200=""),"",$R200-$M200)</f>
        <v/>
      </c>
      <c r="T200" s="86" t="str">
        <f aca="false">IF(OR($S200="",N($M200)=0),"",$S200/$M200)</f>
        <v/>
      </c>
      <c r="U200" s="82"/>
      <c r="V200" s="82"/>
      <c r="W200" s="87"/>
      <c r="X200" s="79" t="str">
        <f aca="false">IF($AJ200="","",INDEX(Securities!$L$6:$L$105,$AJ200)&amp;"")</f>
        <v/>
      </c>
      <c r="Y200" s="87"/>
      <c r="Z200" s="87"/>
      <c r="AA200" s="86" t="str">
        <f aca="false">IF(OR($W200="",$Z200=""),"",$W200-$Z200)</f>
        <v/>
      </c>
      <c r="AB200" s="79" t="str">
        <f aca="false">IF($C200="","",IF($P200="At cost","At cost",IF(NOT(ISNUMBER($J200)),"No date",IF(ValDate-$J200&lt;365,"Absolute",IF($W200="","XIRR missing","XIRR")))))</f>
        <v/>
      </c>
      <c r="AC200" s="86" t="str">
        <f aca="false">IF(NOT(ISNUMBER($R200)),"",IF(SUM($R$6:$R$205)=0,"",$R200/SUM($R$6:$R$205)))</f>
        <v/>
      </c>
      <c r="AD200" s="82"/>
      <c r="AE200" s="80"/>
      <c r="AF200" s="78"/>
      <c r="AG200" s="88" t="str">
        <f aca="false">IF($C200="","",IF(COUNTIFS('Tax Lots'!$B$6:$B$205,$B200,'Tax Lots'!$C$6:$C$205,$C200)=0,"",SUMIFS('Tax Lots'!$P$6:$P$205,'Tax Lots'!$B$6:$B$205,$B200,'Tax Lots'!$C$6:$C$205,$C200)))</f>
        <v/>
      </c>
      <c r="AH200" s="79" t="str">
        <f aca="false">IF($A200&amp;$B200&amp;$C200="","",IF($A200="","Missing ID",IF(COUNTIF($A$6:$A$205,$A200)&gt;1,"Duplicate ID",IF($AI200="","Unknown account",IF($AJ200="","Unknown security",IF(COUNTIFS($B$6:$B$205,$B200,$C$6:$C$205,$C200)&gt;1,"Same security twice in one account",IF(AND(ISNUMBER($J200),ISNUMBER($K200),N($K200)&lt;N($J200)),"Last date before first",IF(NOT(ISNUMBER($R200)),"No market value",IF(OR(N($J200)&gt;ValDate,N($K200)&gt;ValDate),"Date after valuation",IF(AND(ISNUMBER($AG200),ABS(N($L200)-N($AG200))&gt;0.001),"Lot quantity differs",IF(AND(ISNUMBER($AG200),ABS(N($M200)-SUMIFS('Tax Lots'!$Q$6:$Q$205,'Tax Lots'!$B$6:$B$205,$B200,'Tax Lots'!$C$6:$C$205,$C200))&gt;1),"Lot cost differs",IF(AND(ISNUMBER($AG200),ABS(N($V200)-SUMIFS('Tax Lots'!$AA$6:$AA$205,'Tax Lots'!$B$6:$B$205,$B200,'Tax Lots'!$C$6:$C$205,$C200))&gt;1),"Lot realised gain differs","OK"))))))))))))</f>
        <v/>
      </c>
      <c r="AI200" s="89" t="str">
        <f aca="false">IF($B200="","",IFERROR(MATCH($B200,Accounts!$A$6:$A$55,0),""))</f>
        <v/>
      </c>
      <c r="AJ200" s="89" t="str">
        <f aca="false">IF($C200="","",IFERROR(MATCH($C200,Securities!$A$6:$A$105,0),""))</f>
        <v/>
      </c>
      <c r="AK200" s="89" t="str">
        <f aca="false">IF($AI200="","",INDEX(Accounts!$B$6:$B$55,$AI200)&amp;"")</f>
        <v/>
      </c>
      <c r="AL200" s="89" t="str">
        <f aca="false">IF(OR($C200="",$I200="",NOT(ISNUMBER($R200))),"",$I200&amp;"|"&amp;(SUMPRODUCT(($I$6:$I$205=$I200)*ISNUMBER($R$6:$R$205)*($R$6:$R$205&gt;$R200))+SUMPRODUCT(($I$6:$I200=$I200)*ISNUMBER($R$6:$R200)*($R$6:$R200=$R200))))</f>
        <v/>
      </c>
      <c r="AM200" s="89" t="n">
        <f aca="false">IF(AND(ISNUMBER($R200),$W200&lt;&gt;"",$Z200&lt;&gt;"",$AB200="XIRR"),$R200*$W200,0)</f>
        <v>0</v>
      </c>
      <c r="AN200" s="89" t="n">
        <f aca="false">IF(AND(ISNUMBER($R200),$W200&lt;&gt;"",$Z200&lt;&gt;"",$AB200="XIRR"),$R200,0)</f>
        <v>0</v>
      </c>
      <c r="AO200" s="89" t="n">
        <f aca="false">IF(AND(ISNUMBER($R200),$W200&lt;&gt;"",$Z200&lt;&gt;"",$AB200="XIRR"),$R200*$Z200,0)</f>
        <v>0</v>
      </c>
      <c r="AP200" s="89" t="n">
        <f aca="false">IF(AND(ISNUMBER($M200),$Y200&lt;&gt;"",ISNUMBER($T200)),$M200*$Y200,0)</f>
        <v>0</v>
      </c>
      <c r="AQ200" s="89" t="n">
        <f aca="false">IF(AND(ISNUMBER($M200),$Y200&lt;&gt;"",ISNUMBER($T200)),$M200,0)</f>
        <v>0</v>
      </c>
    </row>
    <row r="201" customFormat="false" ht="15" hidden="false" customHeight="false" outlineLevel="0" collapsed="false">
      <c r="A201" s="77"/>
      <c r="B201" s="78"/>
      <c r="C201" s="78"/>
      <c r="D201" s="79" t="str">
        <f aca="false">IF($AI201="","",INDEX(Accounts!$C$6:$C$55,$AI201)&amp;"")</f>
        <v/>
      </c>
      <c r="E201" s="79" t="str">
        <f aca="false">IF($AI201="","",INDEX(Accounts!$F$6:$F$55,$AI201)&amp;"")</f>
        <v/>
      </c>
      <c r="F201" s="79" t="str">
        <f aca="false">IF($AJ201="","",INDEX(Securities!$B$6:$B$105,$AJ201)&amp;"")</f>
        <v/>
      </c>
      <c r="G201" s="79" t="str">
        <f aca="false">IF($AJ201="","",INDEX(Securities!$F$6:$F$105,$AJ201)&amp;"")</f>
        <v/>
      </c>
      <c r="H201" s="79" t="str">
        <f aca="false">IF($AJ201="","",INDEX(Securities!$E$6:$E$105,$AJ201)&amp;"")</f>
        <v/>
      </c>
      <c r="I201" s="79" t="str">
        <f aca="false">IF($AJ201="","",INDEX(Securities!$H$6:$H$105,$AJ201)&amp;"")</f>
        <v/>
      </c>
      <c r="J201" s="80"/>
      <c r="K201" s="80"/>
      <c r="L201" s="81"/>
      <c r="M201" s="82"/>
      <c r="N201" s="83" t="str">
        <f aca="false">IF(OR($L201="",$M201=""),"",IF(N($L201)=0,"",$M201/$L201))</f>
        <v/>
      </c>
      <c r="O201" s="84" t="str">
        <f aca="false">IF($AJ201="","",IF(INDEX(Securities!$O$6:$O$105,$AJ201)="","",INDEX(Securities!$O$6:$O$105,$AJ201)))</f>
        <v/>
      </c>
      <c r="P201" s="79" t="str">
        <f aca="false">IF($AJ201="","",INDEX(Securities!$N$6:$N$105,$AJ201)&amp;"")</f>
        <v/>
      </c>
      <c r="Q201" s="82"/>
      <c r="R201" s="85" t="str">
        <f aca="false">IF($C201="","",IF($Q201&lt;&gt;"",$Q201,IF($P201="At cost",IF($M201="","",$M201),IF(OR($O201="",$L201=""),"",$L201*$O201))))</f>
        <v/>
      </c>
      <c r="S201" s="85" t="str">
        <f aca="false">IF(OR(NOT(ISNUMBER($R201)),$M201=""),"",$R201-$M201)</f>
        <v/>
      </c>
      <c r="T201" s="86" t="str">
        <f aca="false">IF(OR($S201="",N($M201)=0),"",$S201/$M201)</f>
        <v/>
      </c>
      <c r="U201" s="82"/>
      <c r="V201" s="82"/>
      <c r="W201" s="87"/>
      <c r="X201" s="79" t="str">
        <f aca="false">IF($AJ201="","",INDEX(Securities!$L$6:$L$105,$AJ201)&amp;"")</f>
        <v/>
      </c>
      <c r="Y201" s="87"/>
      <c r="Z201" s="87"/>
      <c r="AA201" s="86" t="str">
        <f aca="false">IF(OR($W201="",$Z201=""),"",$W201-$Z201)</f>
        <v/>
      </c>
      <c r="AB201" s="79" t="str">
        <f aca="false">IF($C201="","",IF($P201="At cost","At cost",IF(NOT(ISNUMBER($J201)),"No date",IF(ValDate-$J201&lt;365,"Absolute",IF($W201="","XIRR missing","XIRR")))))</f>
        <v/>
      </c>
      <c r="AC201" s="86" t="str">
        <f aca="false">IF(NOT(ISNUMBER($R201)),"",IF(SUM($R$6:$R$205)=0,"",$R201/SUM($R$6:$R$205)))</f>
        <v/>
      </c>
      <c r="AD201" s="82"/>
      <c r="AE201" s="80"/>
      <c r="AF201" s="78"/>
      <c r="AG201" s="88" t="str">
        <f aca="false">IF($C201="","",IF(COUNTIFS('Tax Lots'!$B$6:$B$205,$B201,'Tax Lots'!$C$6:$C$205,$C201)=0,"",SUMIFS('Tax Lots'!$P$6:$P$205,'Tax Lots'!$B$6:$B$205,$B201,'Tax Lots'!$C$6:$C$205,$C201)))</f>
        <v/>
      </c>
      <c r="AH201" s="79" t="str">
        <f aca="false">IF($A201&amp;$B201&amp;$C201="","",IF($A201="","Missing ID",IF(COUNTIF($A$6:$A$205,$A201)&gt;1,"Duplicate ID",IF($AI201="","Unknown account",IF($AJ201="","Unknown security",IF(COUNTIFS($B$6:$B$205,$B201,$C$6:$C$205,$C201)&gt;1,"Same security twice in one account",IF(AND(ISNUMBER($J201),ISNUMBER($K201),N($K201)&lt;N($J201)),"Last date before first",IF(NOT(ISNUMBER($R201)),"No market value",IF(OR(N($J201)&gt;ValDate,N($K201)&gt;ValDate),"Date after valuation",IF(AND(ISNUMBER($AG201),ABS(N($L201)-N($AG201))&gt;0.001),"Lot quantity differs",IF(AND(ISNUMBER($AG201),ABS(N($M201)-SUMIFS('Tax Lots'!$Q$6:$Q$205,'Tax Lots'!$B$6:$B$205,$B201,'Tax Lots'!$C$6:$C$205,$C201))&gt;1),"Lot cost differs",IF(AND(ISNUMBER($AG201),ABS(N($V201)-SUMIFS('Tax Lots'!$AA$6:$AA$205,'Tax Lots'!$B$6:$B$205,$B201,'Tax Lots'!$C$6:$C$205,$C201))&gt;1),"Lot realised gain differs","OK"))))))))))))</f>
        <v/>
      </c>
      <c r="AI201" s="89" t="str">
        <f aca="false">IF($B201="","",IFERROR(MATCH($B201,Accounts!$A$6:$A$55,0),""))</f>
        <v/>
      </c>
      <c r="AJ201" s="89" t="str">
        <f aca="false">IF($C201="","",IFERROR(MATCH($C201,Securities!$A$6:$A$105,0),""))</f>
        <v/>
      </c>
      <c r="AK201" s="89" t="str">
        <f aca="false">IF($AI201="","",INDEX(Accounts!$B$6:$B$55,$AI201)&amp;"")</f>
        <v/>
      </c>
      <c r="AL201" s="89" t="str">
        <f aca="false">IF(OR($C201="",$I201="",NOT(ISNUMBER($R201))),"",$I201&amp;"|"&amp;(SUMPRODUCT(($I$6:$I$205=$I201)*ISNUMBER($R$6:$R$205)*($R$6:$R$205&gt;$R201))+SUMPRODUCT(($I$6:$I201=$I201)*ISNUMBER($R$6:$R201)*($R$6:$R201=$R201))))</f>
        <v/>
      </c>
      <c r="AM201" s="89" t="n">
        <f aca="false">IF(AND(ISNUMBER($R201),$W201&lt;&gt;"",$Z201&lt;&gt;"",$AB201="XIRR"),$R201*$W201,0)</f>
        <v>0</v>
      </c>
      <c r="AN201" s="89" t="n">
        <f aca="false">IF(AND(ISNUMBER($R201),$W201&lt;&gt;"",$Z201&lt;&gt;"",$AB201="XIRR"),$R201,0)</f>
        <v>0</v>
      </c>
      <c r="AO201" s="89" t="n">
        <f aca="false">IF(AND(ISNUMBER($R201),$W201&lt;&gt;"",$Z201&lt;&gt;"",$AB201="XIRR"),$R201*$Z201,0)</f>
        <v>0</v>
      </c>
      <c r="AP201" s="89" t="n">
        <f aca="false">IF(AND(ISNUMBER($M201),$Y201&lt;&gt;"",ISNUMBER($T201)),$M201*$Y201,0)</f>
        <v>0</v>
      </c>
      <c r="AQ201" s="89" t="n">
        <f aca="false">IF(AND(ISNUMBER($M201),$Y201&lt;&gt;"",ISNUMBER($T201)),$M201,0)</f>
        <v>0</v>
      </c>
    </row>
    <row r="202" customFormat="false" ht="15" hidden="false" customHeight="false" outlineLevel="0" collapsed="false">
      <c r="A202" s="77"/>
      <c r="B202" s="78"/>
      <c r="C202" s="78"/>
      <c r="D202" s="79" t="str">
        <f aca="false">IF($AI202="","",INDEX(Accounts!$C$6:$C$55,$AI202)&amp;"")</f>
        <v/>
      </c>
      <c r="E202" s="79" t="str">
        <f aca="false">IF($AI202="","",INDEX(Accounts!$F$6:$F$55,$AI202)&amp;"")</f>
        <v/>
      </c>
      <c r="F202" s="79" t="str">
        <f aca="false">IF($AJ202="","",INDEX(Securities!$B$6:$B$105,$AJ202)&amp;"")</f>
        <v/>
      </c>
      <c r="G202" s="79" t="str">
        <f aca="false">IF($AJ202="","",INDEX(Securities!$F$6:$F$105,$AJ202)&amp;"")</f>
        <v/>
      </c>
      <c r="H202" s="79" t="str">
        <f aca="false">IF($AJ202="","",INDEX(Securities!$E$6:$E$105,$AJ202)&amp;"")</f>
        <v/>
      </c>
      <c r="I202" s="79" t="str">
        <f aca="false">IF($AJ202="","",INDEX(Securities!$H$6:$H$105,$AJ202)&amp;"")</f>
        <v/>
      </c>
      <c r="J202" s="80"/>
      <c r="K202" s="80"/>
      <c r="L202" s="81"/>
      <c r="M202" s="82"/>
      <c r="N202" s="83" t="str">
        <f aca="false">IF(OR($L202="",$M202=""),"",IF(N($L202)=0,"",$M202/$L202))</f>
        <v/>
      </c>
      <c r="O202" s="84" t="str">
        <f aca="false">IF($AJ202="","",IF(INDEX(Securities!$O$6:$O$105,$AJ202)="","",INDEX(Securities!$O$6:$O$105,$AJ202)))</f>
        <v/>
      </c>
      <c r="P202" s="79" t="str">
        <f aca="false">IF($AJ202="","",INDEX(Securities!$N$6:$N$105,$AJ202)&amp;"")</f>
        <v/>
      </c>
      <c r="Q202" s="82"/>
      <c r="R202" s="85" t="str">
        <f aca="false">IF($C202="","",IF($Q202&lt;&gt;"",$Q202,IF($P202="At cost",IF($M202="","",$M202),IF(OR($O202="",$L202=""),"",$L202*$O202))))</f>
        <v/>
      </c>
      <c r="S202" s="85" t="str">
        <f aca="false">IF(OR(NOT(ISNUMBER($R202)),$M202=""),"",$R202-$M202)</f>
        <v/>
      </c>
      <c r="T202" s="86" t="str">
        <f aca="false">IF(OR($S202="",N($M202)=0),"",$S202/$M202)</f>
        <v/>
      </c>
      <c r="U202" s="82"/>
      <c r="V202" s="82"/>
      <c r="W202" s="87"/>
      <c r="X202" s="79" t="str">
        <f aca="false">IF($AJ202="","",INDEX(Securities!$L$6:$L$105,$AJ202)&amp;"")</f>
        <v/>
      </c>
      <c r="Y202" s="87"/>
      <c r="Z202" s="87"/>
      <c r="AA202" s="86" t="str">
        <f aca="false">IF(OR($W202="",$Z202=""),"",$W202-$Z202)</f>
        <v/>
      </c>
      <c r="AB202" s="79" t="str">
        <f aca="false">IF($C202="","",IF($P202="At cost","At cost",IF(NOT(ISNUMBER($J202)),"No date",IF(ValDate-$J202&lt;365,"Absolute",IF($W202="","XIRR missing","XIRR")))))</f>
        <v/>
      </c>
      <c r="AC202" s="86" t="str">
        <f aca="false">IF(NOT(ISNUMBER($R202)),"",IF(SUM($R$6:$R$205)=0,"",$R202/SUM($R$6:$R$205)))</f>
        <v/>
      </c>
      <c r="AD202" s="82"/>
      <c r="AE202" s="80"/>
      <c r="AF202" s="78"/>
      <c r="AG202" s="88" t="str">
        <f aca="false">IF($C202="","",IF(COUNTIFS('Tax Lots'!$B$6:$B$205,$B202,'Tax Lots'!$C$6:$C$205,$C202)=0,"",SUMIFS('Tax Lots'!$P$6:$P$205,'Tax Lots'!$B$6:$B$205,$B202,'Tax Lots'!$C$6:$C$205,$C202)))</f>
        <v/>
      </c>
      <c r="AH202" s="79" t="str">
        <f aca="false">IF($A202&amp;$B202&amp;$C202="","",IF($A202="","Missing ID",IF(COUNTIF($A$6:$A$205,$A202)&gt;1,"Duplicate ID",IF($AI202="","Unknown account",IF($AJ202="","Unknown security",IF(COUNTIFS($B$6:$B$205,$B202,$C$6:$C$205,$C202)&gt;1,"Same security twice in one account",IF(AND(ISNUMBER($J202),ISNUMBER($K202),N($K202)&lt;N($J202)),"Last date before first",IF(NOT(ISNUMBER($R202)),"No market value",IF(OR(N($J202)&gt;ValDate,N($K202)&gt;ValDate),"Date after valuation",IF(AND(ISNUMBER($AG202),ABS(N($L202)-N($AG202))&gt;0.001),"Lot quantity differs",IF(AND(ISNUMBER($AG202),ABS(N($M202)-SUMIFS('Tax Lots'!$Q$6:$Q$205,'Tax Lots'!$B$6:$B$205,$B202,'Tax Lots'!$C$6:$C$205,$C202))&gt;1),"Lot cost differs",IF(AND(ISNUMBER($AG202),ABS(N($V202)-SUMIFS('Tax Lots'!$AA$6:$AA$205,'Tax Lots'!$B$6:$B$205,$B202,'Tax Lots'!$C$6:$C$205,$C202))&gt;1),"Lot realised gain differs","OK"))))))))))))</f>
        <v/>
      </c>
      <c r="AI202" s="89" t="str">
        <f aca="false">IF($B202="","",IFERROR(MATCH($B202,Accounts!$A$6:$A$55,0),""))</f>
        <v/>
      </c>
      <c r="AJ202" s="89" t="str">
        <f aca="false">IF($C202="","",IFERROR(MATCH($C202,Securities!$A$6:$A$105,0),""))</f>
        <v/>
      </c>
      <c r="AK202" s="89" t="str">
        <f aca="false">IF($AI202="","",INDEX(Accounts!$B$6:$B$55,$AI202)&amp;"")</f>
        <v/>
      </c>
      <c r="AL202" s="89" t="str">
        <f aca="false">IF(OR($C202="",$I202="",NOT(ISNUMBER($R202))),"",$I202&amp;"|"&amp;(SUMPRODUCT(($I$6:$I$205=$I202)*ISNUMBER($R$6:$R$205)*($R$6:$R$205&gt;$R202))+SUMPRODUCT(($I$6:$I202=$I202)*ISNUMBER($R$6:$R202)*($R$6:$R202=$R202))))</f>
        <v/>
      </c>
      <c r="AM202" s="89" t="n">
        <f aca="false">IF(AND(ISNUMBER($R202),$W202&lt;&gt;"",$Z202&lt;&gt;"",$AB202="XIRR"),$R202*$W202,0)</f>
        <v>0</v>
      </c>
      <c r="AN202" s="89" t="n">
        <f aca="false">IF(AND(ISNUMBER($R202),$W202&lt;&gt;"",$Z202&lt;&gt;"",$AB202="XIRR"),$R202,0)</f>
        <v>0</v>
      </c>
      <c r="AO202" s="89" t="n">
        <f aca="false">IF(AND(ISNUMBER($R202),$W202&lt;&gt;"",$Z202&lt;&gt;"",$AB202="XIRR"),$R202*$Z202,0)</f>
        <v>0</v>
      </c>
      <c r="AP202" s="89" t="n">
        <f aca="false">IF(AND(ISNUMBER($M202),$Y202&lt;&gt;"",ISNUMBER($T202)),$M202*$Y202,0)</f>
        <v>0</v>
      </c>
      <c r="AQ202" s="89" t="n">
        <f aca="false">IF(AND(ISNUMBER($M202),$Y202&lt;&gt;"",ISNUMBER($T202)),$M202,0)</f>
        <v>0</v>
      </c>
    </row>
    <row r="203" customFormat="false" ht="15" hidden="false" customHeight="false" outlineLevel="0" collapsed="false">
      <c r="A203" s="77"/>
      <c r="B203" s="78"/>
      <c r="C203" s="78"/>
      <c r="D203" s="79" t="str">
        <f aca="false">IF($AI203="","",INDEX(Accounts!$C$6:$C$55,$AI203)&amp;"")</f>
        <v/>
      </c>
      <c r="E203" s="79" t="str">
        <f aca="false">IF($AI203="","",INDEX(Accounts!$F$6:$F$55,$AI203)&amp;"")</f>
        <v/>
      </c>
      <c r="F203" s="79" t="str">
        <f aca="false">IF($AJ203="","",INDEX(Securities!$B$6:$B$105,$AJ203)&amp;"")</f>
        <v/>
      </c>
      <c r="G203" s="79" t="str">
        <f aca="false">IF($AJ203="","",INDEX(Securities!$F$6:$F$105,$AJ203)&amp;"")</f>
        <v/>
      </c>
      <c r="H203" s="79" t="str">
        <f aca="false">IF($AJ203="","",INDEX(Securities!$E$6:$E$105,$AJ203)&amp;"")</f>
        <v/>
      </c>
      <c r="I203" s="79" t="str">
        <f aca="false">IF($AJ203="","",INDEX(Securities!$H$6:$H$105,$AJ203)&amp;"")</f>
        <v/>
      </c>
      <c r="J203" s="80"/>
      <c r="K203" s="80"/>
      <c r="L203" s="81"/>
      <c r="M203" s="82"/>
      <c r="N203" s="83" t="str">
        <f aca="false">IF(OR($L203="",$M203=""),"",IF(N($L203)=0,"",$M203/$L203))</f>
        <v/>
      </c>
      <c r="O203" s="84" t="str">
        <f aca="false">IF($AJ203="","",IF(INDEX(Securities!$O$6:$O$105,$AJ203)="","",INDEX(Securities!$O$6:$O$105,$AJ203)))</f>
        <v/>
      </c>
      <c r="P203" s="79" t="str">
        <f aca="false">IF($AJ203="","",INDEX(Securities!$N$6:$N$105,$AJ203)&amp;"")</f>
        <v/>
      </c>
      <c r="Q203" s="82"/>
      <c r="R203" s="85" t="str">
        <f aca="false">IF($C203="","",IF($Q203&lt;&gt;"",$Q203,IF($P203="At cost",IF($M203="","",$M203),IF(OR($O203="",$L203=""),"",$L203*$O203))))</f>
        <v/>
      </c>
      <c r="S203" s="85" t="str">
        <f aca="false">IF(OR(NOT(ISNUMBER($R203)),$M203=""),"",$R203-$M203)</f>
        <v/>
      </c>
      <c r="T203" s="86" t="str">
        <f aca="false">IF(OR($S203="",N($M203)=0),"",$S203/$M203)</f>
        <v/>
      </c>
      <c r="U203" s="82"/>
      <c r="V203" s="82"/>
      <c r="W203" s="87"/>
      <c r="X203" s="79" t="str">
        <f aca="false">IF($AJ203="","",INDEX(Securities!$L$6:$L$105,$AJ203)&amp;"")</f>
        <v/>
      </c>
      <c r="Y203" s="87"/>
      <c r="Z203" s="87"/>
      <c r="AA203" s="86" t="str">
        <f aca="false">IF(OR($W203="",$Z203=""),"",$W203-$Z203)</f>
        <v/>
      </c>
      <c r="AB203" s="79" t="str">
        <f aca="false">IF($C203="","",IF($P203="At cost","At cost",IF(NOT(ISNUMBER($J203)),"No date",IF(ValDate-$J203&lt;365,"Absolute",IF($W203="","XIRR missing","XIRR")))))</f>
        <v/>
      </c>
      <c r="AC203" s="86" t="str">
        <f aca="false">IF(NOT(ISNUMBER($R203)),"",IF(SUM($R$6:$R$205)=0,"",$R203/SUM($R$6:$R$205)))</f>
        <v/>
      </c>
      <c r="AD203" s="82"/>
      <c r="AE203" s="80"/>
      <c r="AF203" s="78"/>
      <c r="AG203" s="88" t="str">
        <f aca="false">IF($C203="","",IF(COUNTIFS('Tax Lots'!$B$6:$B$205,$B203,'Tax Lots'!$C$6:$C$205,$C203)=0,"",SUMIFS('Tax Lots'!$P$6:$P$205,'Tax Lots'!$B$6:$B$205,$B203,'Tax Lots'!$C$6:$C$205,$C203)))</f>
        <v/>
      </c>
      <c r="AH203" s="79" t="str">
        <f aca="false">IF($A203&amp;$B203&amp;$C203="","",IF($A203="","Missing ID",IF(COUNTIF($A$6:$A$205,$A203)&gt;1,"Duplicate ID",IF($AI203="","Unknown account",IF($AJ203="","Unknown security",IF(COUNTIFS($B$6:$B$205,$B203,$C$6:$C$205,$C203)&gt;1,"Same security twice in one account",IF(AND(ISNUMBER($J203),ISNUMBER($K203),N($K203)&lt;N($J203)),"Last date before first",IF(NOT(ISNUMBER($R203)),"No market value",IF(OR(N($J203)&gt;ValDate,N($K203)&gt;ValDate),"Date after valuation",IF(AND(ISNUMBER($AG203),ABS(N($L203)-N($AG203))&gt;0.001),"Lot quantity differs",IF(AND(ISNUMBER($AG203),ABS(N($M203)-SUMIFS('Tax Lots'!$Q$6:$Q$205,'Tax Lots'!$B$6:$B$205,$B203,'Tax Lots'!$C$6:$C$205,$C203))&gt;1),"Lot cost differs",IF(AND(ISNUMBER($AG203),ABS(N($V203)-SUMIFS('Tax Lots'!$AA$6:$AA$205,'Tax Lots'!$B$6:$B$205,$B203,'Tax Lots'!$C$6:$C$205,$C203))&gt;1),"Lot realised gain differs","OK"))))))))))))</f>
        <v/>
      </c>
      <c r="AI203" s="89" t="str">
        <f aca="false">IF($B203="","",IFERROR(MATCH($B203,Accounts!$A$6:$A$55,0),""))</f>
        <v/>
      </c>
      <c r="AJ203" s="89" t="str">
        <f aca="false">IF($C203="","",IFERROR(MATCH($C203,Securities!$A$6:$A$105,0),""))</f>
        <v/>
      </c>
      <c r="AK203" s="89" t="str">
        <f aca="false">IF($AI203="","",INDEX(Accounts!$B$6:$B$55,$AI203)&amp;"")</f>
        <v/>
      </c>
      <c r="AL203" s="89" t="str">
        <f aca="false">IF(OR($C203="",$I203="",NOT(ISNUMBER($R203))),"",$I203&amp;"|"&amp;(SUMPRODUCT(($I$6:$I$205=$I203)*ISNUMBER($R$6:$R$205)*($R$6:$R$205&gt;$R203))+SUMPRODUCT(($I$6:$I203=$I203)*ISNUMBER($R$6:$R203)*($R$6:$R203=$R203))))</f>
        <v/>
      </c>
      <c r="AM203" s="89" t="n">
        <f aca="false">IF(AND(ISNUMBER($R203),$W203&lt;&gt;"",$Z203&lt;&gt;"",$AB203="XIRR"),$R203*$W203,0)</f>
        <v>0</v>
      </c>
      <c r="AN203" s="89" t="n">
        <f aca="false">IF(AND(ISNUMBER($R203),$W203&lt;&gt;"",$Z203&lt;&gt;"",$AB203="XIRR"),$R203,0)</f>
        <v>0</v>
      </c>
      <c r="AO203" s="89" t="n">
        <f aca="false">IF(AND(ISNUMBER($R203),$W203&lt;&gt;"",$Z203&lt;&gt;"",$AB203="XIRR"),$R203*$Z203,0)</f>
        <v>0</v>
      </c>
      <c r="AP203" s="89" t="n">
        <f aca="false">IF(AND(ISNUMBER($M203),$Y203&lt;&gt;"",ISNUMBER($T203)),$M203*$Y203,0)</f>
        <v>0</v>
      </c>
      <c r="AQ203" s="89" t="n">
        <f aca="false">IF(AND(ISNUMBER($M203),$Y203&lt;&gt;"",ISNUMBER($T203)),$M203,0)</f>
        <v>0</v>
      </c>
    </row>
    <row r="204" customFormat="false" ht="15" hidden="false" customHeight="false" outlineLevel="0" collapsed="false">
      <c r="A204" s="77"/>
      <c r="B204" s="78"/>
      <c r="C204" s="78"/>
      <c r="D204" s="79" t="str">
        <f aca="false">IF($AI204="","",INDEX(Accounts!$C$6:$C$55,$AI204)&amp;"")</f>
        <v/>
      </c>
      <c r="E204" s="79" t="str">
        <f aca="false">IF($AI204="","",INDEX(Accounts!$F$6:$F$55,$AI204)&amp;"")</f>
        <v/>
      </c>
      <c r="F204" s="79" t="str">
        <f aca="false">IF($AJ204="","",INDEX(Securities!$B$6:$B$105,$AJ204)&amp;"")</f>
        <v/>
      </c>
      <c r="G204" s="79" t="str">
        <f aca="false">IF($AJ204="","",INDEX(Securities!$F$6:$F$105,$AJ204)&amp;"")</f>
        <v/>
      </c>
      <c r="H204" s="79" t="str">
        <f aca="false">IF($AJ204="","",INDEX(Securities!$E$6:$E$105,$AJ204)&amp;"")</f>
        <v/>
      </c>
      <c r="I204" s="79" t="str">
        <f aca="false">IF($AJ204="","",INDEX(Securities!$H$6:$H$105,$AJ204)&amp;"")</f>
        <v/>
      </c>
      <c r="J204" s="80"/>
      <c r="K204" s="80"/>
      <c r="L204" s="81"/>
      <c r="M204" s="82"/>
      <c r="N204" s="83" t="str">
        <f aca="false">IF(OR($L204="",$M204=""),"",IF(N($L204)=0,"",$M204/$L204))</f>
        <v/>
      </c>
      <c r="O204" s="84" t="str">
        <f aca="false">IF($AJ204="","",IF(INDEX(Securities!$O$6:$O$105,$AJ204)="","",INDEX(Securities!$O$6:$O$105,$AJ204)))</f>
        <v/>
      </c>
      <c r="P204" s="79" t="str">
        <f aca="false">IF($AJ204="","",INDEX(Securities!$N$6:$N$105,$AJ204)&amp;"")</f>
        <v/>
      </c>
      <c r="Q204" s="82"/>
      <c r="R204" s="85" t="str">
        <f aca="false">IF($C204="","",IF($Q204&lt;&gt;"",$Q204,IF($P204="At cost",IF($M204="","",$M204),IF(OR($O204="",$L204=""),"",$L204*$O204))))</f>
        <v/>
      </c>
      <c r="S204" s="85" t="str">
        <f aca="false">IF(OR(NOT(ISNUMBER($R204)),$M204=""),"",$R204-$M204)</f>
        <v/>
      </c>
      <c r="T204" s="86" t="str">
        <f aca="false">IF(OR($S204="",N($M204)=0),"",$S204/$M204)</f>
        <v/>
      </c>
      <c r="U204" s="82"/>
      <c r="V204" s="82"/>
      <c r="W204" s="87"/>
      <c r="X204" s="79" t="str">
        <f aca="false">IF($AJ204="","",INDEX(Securities!$L$6:$L$105,$AJ204)&amp;"")</f>
        <v/>
      </c>
      <c r="Y204" s="87"/>
      <c r="Z204" s="87"/>
      <c r="AA204" s="86" t="str">
        <f aca="false">IF(OR($W204="",$Z204=""),"",$W204-$Z204)</f>
        <v/>
      </c>
      <c r="AB204" s="79" t="str">
        <f aca="false">IF($C204="","",IF($P204="At cost","At cost",IF(NOT(ISNUMBER($J204)),"No date",IF(ValDate-$J204&lt;365,"Absolute",IF($W204="","XIRR missing","XIRR")))))</f>
        <v/>
      </c>
      <c r="AC204" s="86" t="str">
        <f aca="false">IF(NOT(ISNUMBER($R204)),"",IF(SUM($R$6:$R$205)=0,"",$R204/SUM($R$6:$R$205)))</f>
        <v/>
      </c>
      <c r="AD204" s="82"/>
      <c r="AE204" s="80"/>
      <c r="AF204" s="78"/>
      <c r="AG204" s="88" t="str">
        <f aca="false">IF($C204="","",IF(COUNTIFS('Tax Lots'!$B$6:$B$205,$B204,'Tax Lots'!$C$6:$C$205,$C204)=0,"",SUMIFS('Tax Lots'!$P$6:$P$205,'Tax Lots'!$B$6:$B$205,$B204,'Tax Lots'!$C$6:$C$205,$C204)))</f>
        <v/>
      </c>
      <c r="AH204" s="79" t="str">
        <f aca="false">IF($A204&amp;$B204&amp;$C204="","",IF($A204="","Missing ID",IF(COUNTIF($A$6:$A$205,$A204)&gt;1,"Duplicate ID",IF($AI204="","Unknown account",IF($AJ204="","Unknown security",IF(COUNTIFS($B$6:$B$205,$B204,$C$6:$C$205,$C204)&gt;1,"Same security twice in one account",IF(AND(ISNUMBER($J204),ISNUMBER($K204),N($K204)&lt;N($J204)),"Last date before first",IF(NOT(ISNUMBER($R204)),"No market value",IF(OR(N($J204)&gt;ValDate,N($K204)&gt;ValDate),"Date after valuation",IF(AND(ISNUMBER($AG204),ABS(N($L204)-N($AG204))&gt;0.001),"Lot quantity differs",IF(AND(ISNUMBER($AG204),ABS(N($M204)-SUMIFS('Tax Lots'!$Q$6:$Q$205,'Tax Lots'!$B$6:$B$205,$B204,'Tax Lots'!$C$6:$C$205,$C204))&gt;1),"Lot cost differs",IF(AND(ISNUMBER($AG204),ABS(N($V204)-SUMIFS('Tax Lots'!$AA$6:$AA$205,'Tax Lots'!$B$6:$B$205,$B204,'Tax Lots'!$C$6:$C$205,$C204))&gt;1),"Lot realised gain differs","OK"))))))))))))</f>
        <v/>
      </c>
      <c r="AI204" s="89" t="str">
        <f aca="false">IF($B204="","",IFERROR(MATCH($B204,Accounts!$A$6:$A$55,0),""))</f>
        <v/>
      </c>
      <c r="AJ204" s="89" t="str">
        <f aca="false">IF($C204="","",IFERROR(MATCH($C204,Securities!$A$6:$A$105,0),""))</f>
        <v/>
      </c>
      <c r="AK204" s="89" t="str">
        <f aca="false">IF($AI204="","",INDEX(Accounts!$B$6:$B$55,$AI204)&amp;"")</f>
        <v/>
      </c>
      <c r="AL204" s="89" t="str">
        <f aca="false">IF(OR($C204="",$I204="",NOT(ISNUMBER($R204))),"",$I204&amp;"|"&amp;(SUMPRODUCT(($I$6:$I$205=$I204)*ISNUMBER($R$6:$R$205)*($R$6:$R$205&gt;$R204))+SUMPRODUCT(($I$6:$I204=$I204)*ISNUMBER($R$6:$R204)*($R$6:$R204=$R204))))</f>
        <v/>
      </c>
      <c r="AM204" s="89" t="n">
        <f aca="false">IF(AND(ISNUMBER($R204),$W204&lt;&gt;"",$Z204&lt;&gt;"",$AB204="XIRR"),$R204*$W204,0)</f>
        <v>0</v>
      </c>
      <c r="AN204" s="89" t="n">
        <f aca="false">IF(AND(ISNUMBER($R204),$W204&lt;&gt;"",$Z204&lt;&gt;"",$AB204="XIRR"),$R204,0)</f>
        <v>0</v>
      </c>
      <c r="AO204" s="89" t="n">
        <f aca="false">IF(AND(ISNUMBER($R204),$W204&lt;&gt;"",$Z204&lt;&gt;"",$AB204="XIRR"),$R204*$Z204,0)</f>
        <v>0</v>
      </c>
      <c r="AP204" s="89" t="n">
        <f aca="false">IF(AND(ISNUMBER($M204),$Y204&lt;&gt;"",ISNUMBER($T204)),$M204*$Y204,0)</f>
        <v>0</v>
      </c>
      <c r="AQ204" s="89" t="n">
        <f aca="false">IF(AND(ISNUMBER($M204),$Y204&lt;&gt;"",ISNUMBER($T204)),$M204,0)</f>
        <v>0</v>
      </c>
    </row>
    <row r="205" customFormat="false" ht="15" hidden="false" customHeight="false" outlineLevel="0" collapsed="false">
      <c r="A205" s="77"/>
      <c r="B205" s="78"/>
      <c r="C205" s="78"/>
      <c r="D205" s="79" t="str">
        <f aca="false">IF($AI205="","",INDEX(Accounts!$C$6:$C$55,$AI205)&amp;"")</f>
        <v/>
      </c>
      <c r="E205" s="79" t="str">
        <f aca="false">IF($AI205="","",INDEX(Accounts!$F$6:$F$55,$AI205)&amp;"")</f>
        <v/>
      </c>
      <c r="F205" s="79" t="str">
        <f aca="false">IF($AJ205="","",INDEX(Securities!$B$6:$B$105,$AJ205)&amp;"")</f>
        <v/>
      </c>
      <c r="G205" s="79" t="str">
        <f aca="false">IF($AJ205="","",INDEX(Securities!$F$6:$F$105,$AJ205)&amp;"")</f>
        <v/>
      </c>
      <c r="H205" s="79" t="str">
        <f aca="false">IF($AJ205="","",INDEX(Securities!$E$6:$E$105,$AJ205)&amp;"")</f>
        <v/>
      </c>
      <c r="I205" s="79" t="str">
        <f aca="false">IF($AJ205="","",INDEX(Securities!$H$6:$H$105,$AJ205)&amp;"")</f>
        <v/>
      </c>
      <c r="J205" s="80"/>
      <c r="K205" s="80"/>
      <c r="L205" s="81"/>
      <c r="M205" s="82"/>
      <c r="N205" s="83" t="str">
        <f aca="false">IF(OR($L205="",$M205=""),"",IF(N($L205)=0,"",$M205/$L205))</f>
        <v/>
      </c>
      <c r="O205" s="84" t="str">
        <f aca="false">IF($AJ205="","",IF(INDEX(Securities!$O$6:$O$105,$AJ205)="","",INDEX(Securities!$O$6:$O$105,$AJ205)))</f>
        <v/>
      </c>
      <c r="P205" s="79" t="str">
        <f aca="false">IF($AJ205="","",INDEX(Securities!$N$6:$N$105,$AJ205)&amp;"")</f>
        <v/>
      </c>
      <c r="Q205" s="82"/>
      <c r="R205" s="85" t="str">
        <f aca="false">IF($C205="","",IF($Q205&lt;&gt;"",$Q205,IF($P205="At cost",IF($M205="","",$M205),IF(OR($O205="",$L205=""),"",$L205*$O205))))</f>
        <v/>
      </c>
      <c r="S205" s="85" t="str">
        <f aca="false">IF(OR(NOT(ISNUMBER($R205)),$M205=""),"",$R205-$M205)</f>
        <v/>
      </c>
      <c r="T205" s="86" t="str">
        <f aca="false">IF(OR($S205="",N($M205)=0),"",$S205/$M205)</f>
        <v/>
      </c>
      <c r="U205" s="82"/>
      <c r="V205" s="82"/>
      <c r="W205" s="87"/>
      <c r="X205" s="79" t="str">
        <f aca="false">IF($AJ205="","",INDEX(Securities!$L$6:$L$105,$AJ205)&amp;"")</f>
        <v/>
      </c>
      <c r="Y205" s="87"/>
      <c r="Z205" s="87"/>
      <c r="AA205" s="86" t="str">
        <f aca="false">IF(OR($W205="",$Z205=""),"",$W205-$Z205)</f>
        <v/>
      </c>
      <c r="AB205" s="79" t="str">
        <f aca="false">IF($C205="","",IF($P205="At cost","At cost",IF(NOT(ISNUMBER($J205)),"No date",IF(ValDate-$J205&lt;365,"Absolute",IF($W205="","XIRR missing","XIRR")))))</f>
        <v/>
      </c>
      <c r="AC205" s="86" t="str">
        <f aca="false">IF(NOT(ISNUMBER($R205)),"",IF(SUM($R$6:$R$205)=0,"",$R205/SUM($R$6:$R$205)))</f>
        <v/>
      </c>
      <c r="AD205" s="82"/>
      <c r="AE205" s="80"/>
      <c r="AF205" s="78"/>
      <c r="AG205" s="88" t="str">
        <f aca="false">IF($C205="","",IF(COUNTIFS('Tax Lots'!$B$6:$B$205,$B205,'Tax Lots'!$C$6:$C$205,$C205)=0,"",SUMIFS('Tax Lots'!$P$6:$P$205,'Tax Lots'!$B$6:$B$205,$B205,'Tax Lots'!$C$6:$C$205,$C205)))</f>
        <v/>
      </c>
      <c r="AH205" s="79" t="str">
        <f aca="false">IF($A205&amp;$B205&amp;$C205="","",IF($A205="","Missing ID",IF(COUNTIF($A$6:$A$205,$A205)&gt;1,"Duplicate ID",IF($AI205="","Unknown account",IF($AJ205="","Unknown security",IF(COUNTIFS($B$6:$B$205,$B205,$C$6:$C$205,$C205)&gt;1,"Same security twice in one account",IF(AND(ISNUMBER($J205),ISNUMBER($K205),N($K205)&lt;N($J205)),"Last date before first",IF(NOT(ISNUMBER($R205)),"No market value",IF(OR(N($J205)&gt;ValDate,N($K205)&gt;ValDate),"Date after valuation",IF(AND(ISNUMBER($AG205),ABS(N($L205)-N($AG205))&gt;0.001),"Lot quantity differs",IF(AND(ISNUMBER($AG205),ABS(N($M205)-SUMIFS('Tax Lots'!$Q$6:$Q$205,'Tax Lots'!$B$6:$B$205,$B205,'Tax Lots'!$C$6:$C$205,$C205))&gt;1),"Lot cost differs",IF(AND(ISNUMBER($AG205),ABS(N($V205)-SUMIFS('Tax Lots'!$AA$6:$AA$205,'Tax Lots'!$B$6:$B$205,$B205,'Tax Lots'!$C$6:$C$205,$C205))&gt;1),"Lot realised gain differs","OK"))))))))))))</f>
        <v/>
      </c>
      <c r="AI205" s="89" t="str">
        <f aca="false">IF($B205="","",IFERROR(MATCH($B205,Accounts!$A$6:$A$55,0),""))</f>
        <v/>
      </c>
      <c r="AJ205" s="89" t="str">
        <f aca="false">IF($C205="","",IFERROR(MATCH($C205,Securities!$A$6:$A$105,0),""))</f>
        <v/>
      </c>
      <c r="AK205" s="89" t="str">
        <f aca="false">IF($AI205="","",INDEX(Accounts!$B$6:$B$55,$AI205)&amp;"")</f>
        <v/>
      </c>
      <c r="AL205" s="89" t="str">
        <f aca="false">IF(OR($C205="",$I205="",NOT(ISNUMBER($R205))),"",$I205&amp;"|"&amp;(SUMPRODUCT(($I$6:$I$205=$I205)*ISNUMBER($R$6:$R$205)*($R$6:$R$205&gt;$R205))+SUMPRODUCT(($I$6:$I205=$I205)*ISNUMBER($R$6:$R205)*($R$6:$R205=$R205))))</f>
        <v/>
      </c>
      <c r="AM205" s="89" t="n">
        <f aca="false">IF(AND(ISNUMBER($R205),$W205&lt;&gt;"",$Z205&lt;&gt;"",$AB205="XIRR"),$R205*$W205,0)</f>
        <v>0</v>
      </c>
      <c r="AN205" s="89" t="n">
        <f aca="false">IF(AND(ISNUMBER($R205),$W205&lt;&gt;"",$Z205&lt;&gt;"",$AB205="XIRR"),$R205,0)</f>
        <v>0</v>
      </c>
      <c r="AO205" s="89" t="n">
        <f aca="false">IF(AND(ISNUMBER($R205),$W205&lt;&gt;"",$Z205&lt;&gt;"",$AB205="XIRR"),$R205*$Z205,0)</f>
        <v>0</v>
      </c>
      <c r="AP205" s="89" t="n">
        <f aca="false">IF(AND(ISNUMBER($M205),$Y205&lt;&gt;"",ISNUMBER($T205)),$M205*$Y205,0)</f>
        <v>0</v>
      </c>
      <c r="AQ205" s="89" t="n">
        <f aca="false">IF(AND(ISNUMBER($M205),$Y205&lt;&gt;"",ISNUMBER($T205)),$M205,0)</f>
        <v>0</v>
      </c>
    </row>
  </sheetData>
  <autoFilter ref="A5:AQ205"/>
  <mergeCells count="8">
    <mergeCell ref="A4:C4"/>
    <mergeCell ref="D4:I4"/>
    <mergeCell ref="J4:R4"/>
    <mergeCell ref="S4:T4"/>
    <mergeCell ref="U4:V4"/>
    <mergeCell ref="W4:AC4"/>
    <mergeCell ref="AD4:AF4"/>
    <mergeCell ref="AG4:AH4"/>
  </mergeCells>
  <conditionalFormatting sqref="AH6:AH205">
    <cfRule type="expression" priority="2" aboveAverage="0" equalAverage="0" bottom="0" percent="0" rank="0" text="" dxfId="3">
      <formula>AND($AH6&lt;&gt;"",$AH6&lt;&gt;"OK")</formula>
    </cfRule>
    <cfRule type="expression" priority="3" aboveAverage="0" equalAverage="0" bottom="0" percent="0" rank="0" text="" dxfId="19">
      <formula>$AH6="OK"</formula>
    </cfRule>
  </conditionalFormatting>
  <dataValidations count="2">
    <dataValidation allowBlank="true" error="Pick a value from the list (see the Lists sheet)." errorStyle="stop" errorTitle="Not in the list" operator="between" prompt="Pick the account from the Accounts sheet." promptTitle="How to fill" showDropDown="false" showErrorMessage="false" showInputMessage="true" sqref="B6:B205" type="list">
      <formula1>L_AccountID</formula1>
      <formula2>0</formula2>
    </dataValidation>
    <dataValidation allowBlank="true" error="Pick a value from the list (see the Lists sheet)." errorStyle="stop" errorTitle="Not in the list" operator="between" prompt="Pick the security from the Securities sheet." promptTitle="How to fill" showDropDown="false" showErrorMessage="false" showInputMessage="true" sqref="C6:C205" type="list">
      <formula1>L_SecurityID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R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8" min="27" style="0" width="14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1" min="31" style="0" width="12"/>
    <col collapsed="false" customWidth="true" hidden="false" outlineLevel="0" max="32" min="32" style="0" width="14"/>
    <col collapsed="false" customWidth="true" hidden="false" outlineLevel="0" max="33" min="33" style="0" width="10"/>
    <col collapsed="false" customWidth="true" hidden="false" outlineLevel="0" max="34" min="34" style="0" width="12"/>
    <col collapsed="false" customWidth="true" hidden="false" outlineLevel="0" max="35" min="35" style="0" width="11"/>
    <col collapsed="false" customWidth="true" hidden="false" outlineLevel="0" max="36" min="36" style="0" width="13"/>
    <col collapsed="false" customWidth="true" hidden="false" outlineLevel="0" max="37" min="37" style="0" width="9"/>
    <col collapsed="false" customWidth="true" hidden="false" outlineLevel="0" max="38" min="38" style="0" width="26"/>
    <col collapsed="false" customWidth="true" hidden="false" outlineLevel="0" max="39" min="39" style="0" width="18"/>
    <col collapsed="false" customWidth="true" hidden="true" outlineLevel="0" max="44" min="40" style="0" width="6"/>
  </cols>
  <sheetData>
    <row r="1" customFormat="false" ht="21.75" hidden="false" customHeight="true" outlineLevel="0" collapsed="false">
      <c r="A1" s="28" t="s">
        <v>376</v>
      </c>
      <c r="E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377</v>
      </c>
    </row>
    <row r="3" customFormat="false" ht="15" hidden="false" customHeight="false" outlineLevel="0" collapsed="false">
      <c r="A3" s="3" t="s">
        <v>2</v>
      </c>
      <c r="J3" s="73" t="s">
        <v>267</v>
      </c>
      <c r="K3" s="74" t="n">
        <f aca="false">SUBTOTAL(9,K6:K205)</f>
        <v>272271300</v>
      </c>
      <c r="O3" s="74" t="n">
        <f aca="false">SUBTOTAL(9,O6:O205)</f>
        <v>87520000</v>
      </c>
      <c r="Q3" s="74" t="n">
        <f aca="false">SUBTOTAL(9,Q6:Q205)</f>
        <v>222291300</v>
      </c>
      <c r="S3" s="74" t="n">
        <f aca="false">SUBTOTAL(9,S6:S205)</f>
        <v>356796650</v>
      </c>
      <c r="AA3" s="74" t="n">
        <f aca="false">SUBTOTAL(9,AA6:AA205)</f>
        <v>37540000</v>
      </c>
      <c r="AB3" s="74" t="n">
        <f aca="false">SUBTOTAL(9,AB6:AB205)</f>
        <v>134505350</v>
      </c>
      <c r="AD3" s="74" t="n">
        <f aca="false">SUBTOTAL(9,AD6:AD205)</f>
        <v>28120000</v>
      </c>
      <c r="AF3" s="74" t="n">
        <f aca="false">SUBTOTAL(9,AF6:AF205)</f>
        <v>115305350</v>
      </c>
      <c r="AJ3" s="74" t="n">
        <f aca="false">SUBTOTAL(9,AJ6:AJ205)</f>
        <v>3030000</v>
      </c>
    </row>
    <row r="4" customFormat="false" ht="15" hidden="false" customHeight="true" outlineLevel="0" collapsed="false">
      <c r="A4" s="75" t="s">
        <v>378</v>
      </c>
      <c r="B4" s="75"/>
      <c r="C4" s="75"/>
      <c r="D4" s="75"/>
      <c r="E4" s="75"/>
      <c r="F4" s="75"/>
      <c r="G4" s="75"/>
      <c r="H4" s="75" t="s">
        <v>379</v>
      </c>
      <c r="I4" s="75"/>
      <c r="J4" s="75"/>
      <c r="K4" s="75"/>
      <c r="L4" s="75" t="s">
        <v>380</v>
      </c>
      <c r="M4" s="75"/>
      <c r="N4" s="75"/>
      <c r="O4" s="75"/>
      <c r="P4" s="75" t="s">
        <v>381</v>
      </c>
      <c r="Q4" s="75"/>
      <c r="R4" s="75"/>
      <c r="S4" s="75"/>
      <c r="T4" s="75" t="s">
        <v>382</v>
      </c>
      <c r="U4" s="75"/>
      <c r="V4" s="75"/>
      <c r="W4" s="75"/>
      <c r="X4" s="75"/>
      <c r="Y4" s="75" t="s">
        <v>383</v>
      </c>
      <c r="Z4" s="75"/>
      <c r="AA4" s="75" t="s">
        <v>384</v>
      </c>
      <c r="AB4" s="75"/>
      <c r="AC4" s="75"/>
      <c r="AD4" s="75"/>
      <c r="AE4" s="75"/>
      <c r="AF4" s="75"/>
      <c r="AG4" s="75" t="s">
        <v>385</v>
      </c>
      <c r="AH4" s="75"/>
      <c r="AI4" s="75" t="s">
        <v>386</v>
      </c>
      <c r="AJ4" s="75"/>
      <c r="AK4" s="75"/>
      <c r="AL4" s="75" t="s">
        <v>387</v>
      </c>
      <c r="AM4" s="75"/>
    </row>
    <row r="5" customFormat="false" ht="48" hidden="false" customHeight="true" outlineLevel="0" collapsed="false">
      <c r="A5" s="23" t="s">
        <v>388</v>
      </c>
      <c r="B5" s="23" t="s">
        <v>277</v>
      </c>
      <c r="C5" s="23" t="s">
        <v>278</v>
      </c>
      <c r="D5" s="23" t="s">
        <v>389</v>
      </c>
      <c r="E5" s="23" t="s">
        <v>178</v>
      </c>
      <c r="F5" s="23" t="s">
        <v>390</v>
      </c>
      <c r="G5" s="23" t="s">
        <v>78</v>
      </c>
      <c r="H5" s="23" t="s">
        <v>180</v>
      </c>
      <c r="I5" s="23" t="s">
        <v>391</v>
      </c>
      <c r="J5" s="23" t="s">
        <v>392</v>
      </c>
      <c r="K5" s="23" t="s">
        <v>393</v>
      </c>
      <c r="L5" s="23" t="s">
        <v>394</v>
      </c>
      <c r="M5" s="23" t="s">
        <v>395</v>
      </c>
      <c r="N5" s="23" t="s">
        <v>396</v>
      </c>
      <c r="O5" s="23" t="s">
        <v>397</v>
      </c>
      <c r="P5" s="23" t="s">
        <v>181</v>
      </c>
      <c r="Q5" s="23" t="s">
        <v>398</v>
      </c>
      <c r="R5" s="23" t="s">
        <v>399</v>
      </c>
      <c r="S5" s="23" t="s">
        <v>288</v>
      </c>
      <c r="T5" s="23" t="s">
        <v>400</v>
      </c>
      <c r="U5" s="23" t="s">
        <v>401</v>
      </c>
      <c r="V5" s="23" t="s">
        <v>402</v>
      </c>
      <c r="W5" s="23" t="s">
        <v>403</v>
      </c>
      <c r="X5" s="23" t="s">
        <v>404</v>
      </c>
      <c r="Y5" s="23" t="s">
        <v>405</v>
      </c>
      <c r="Z5" s="23" t="s">
        <v>406</v>
      </c>
      <c r="AA5" s="23" t="s">
        <v>407</v>
      </c>
      <c r="AB5" s="23" t="s">
        <v>408</v>
      </c>
      <c r="AC5" s="23" t="s">
        <v>409</v>
      </c>
      <c r="AD5" s="23" t="s">
        <v>410</v>
      </c>
      <c r="AE5" s="23" t="s">
        <v>411</v>
      </c>
      <c r="AF5" s="23" t="s">
        <v>412</v>
      </c>
      <c r="AG5" s="23" t="s">
        <v>413</v>
      </c>
      <c r="AH5" s="23" t="s">
        <v>182</v>
      </c>
      <c r="AI5" s="23" t="s">
        <v>414</v>
      </c>
      <c r="AJ5" s="23" t="s">
        <v>415</v>
      </c>
      <c r="AK5" s="23" t="s">
        <v>416</v>
      </c>
      <c r="AL5" s="23" t="s">
        <v>417</v>
      </c>
      <c r="AM5" s="23" t="s">
        <v>48</v>
      </c>
      <c r="AN5" s="76" t="s">
        <v>300</v>
      </c>
      <c r="AO5" s="76" t="s">
        <v>301</v>
      </c>
      <c r="AP5" s="76" t="s">
        <v>302</v>
      </c>
      <c r="AQ5" s="76" t="s">
        <v>418</v>
      </c>
      <c r="AR5" s="76" t="s">
        <v>419</v>
      </c>
    </row>
    <row r="6" customFormat="false" ht="15" hidden="false" customHeight="false" outlineLevel="0" collapsed="false">
      <c r="A6" s="77" t="s">
        <v>420</v>
      </c>
      <c r="B6" s="78" t="s">
        <v>310</v>
      </c>
      <c r="C6" s="78" t="s">
        <v>311</v>
      </c>
      <c r="D6" s="79" t="str">
        <f aca="false">IF($AN6="","",INDEX(Accounts!$C$6:$C$55,$AN6)&amp;"")</f>
        <v>Rajiv Malhotra</v>
      </c>
      <c r="E6" s="79" t="str">
        <f aca="false">IF($AO6="","",INDEX(Securities!$B$6:$B$105,$AO6)&amp;"")</f>
        <v>Aravali Cements Ltd</v>
      </c>
      <c r="F6" s="79" t="str">
        <f aca="false">IF($AO6="","",INDEX(Securities!$C$6:$C$105,$AO6)&amp;"")</f>
        <v>DEMO00000001</v>
      </c>
      <c r="G6" s="79" t="str">
        <f aca="false">IF($AO6="","",INDEX(Securities!$E$6:$E$105,$AO6)&amp;"")</f>
        <v>Direct Equity</v>
      </c>
      <c r="H6" s="80" t="n">
        <v>42441</v>
      </c>
      <c r="I6" s="81" t="n">
        <v>48000</v>
      </c>
      <c r="J6" s="91" t="n">
        <v>780</v>
      </c>
      <c r="K6" s="85" t="n">
        <f aca="false">IF(OR($I6="",$J6=""),"",$I6*$J6)</f>
        <v>37440000</v>
      </c>
      <c r="L6" s="80" t="n">
        <v>45887</v>
      </c>
      <c r="M6" s="81" t="n">
        <v>16000</v>
      </c>
      <c r="N6" s="91" t="n">
        <v>1655</v>
      </c>
      <c r="O6" s="85" t="n">
        <f aca="false">IF(OR($M6="",$N6=""),"",$M6*$N6)</f>
        <v>26480000</v>
      </c>
      <c r="P6" s="88" t="n">
        <f aca="false">IF($C6="","",N($I6)-N($M6))</f>
        <v>32000</v>
      </c>
      <c r="Q6" s="85" t="n">
        <f aca="false">IF(OR($P6="",$J6=""),"",$P6*$J6)</f>
        <v>24960000</v>
      </c>
      <c r="R6" s="83" t="n">
        <f aca="false">IF($AO6="","",IF(INDEX(Securities!$N$6:$N$105,$AO6)="At cost",IF($J6="","",$J6),IF(INDEX(Securities!$O$6:$O$105,$AO6)="","",INDEX(Securities!$O$6:$O$105,$AO6))))</f>
        <v>1842.5</v>
      </c>
      <c r="S6" s="85" t="n">
        <f aca="false">IF(OR($P6="",$R6=""),"",$P6*$R6)</f>
        <v>58960000</v>
      </c>
      <c r="T6" s="92" t="n">
        <f aca="false">IF(OR(NOT(ISNUMBER($L6)),NOT(ISNUMBER($H6))),"",$L6-$H6)</f>
        <v>3446</v>
      </c>
      <c r="U6" s="79" t="str">
        <f aca="false">IF($T6="","",IF($X6="","Short Term",IF($T6&gt;$X6,"Long Term","Short Term")))</f>
        <v>Long Term</v>
      </c>
      <c r="V6" s="92" t="n">
        <f aca="false">IF(OR(NOT(ISNUMBER($H6)),N($P6)&lt;=0),"",ValDate-$H6)</f>
        <v>3762</v>
      </c>
      <c r="W6" s="79" t="str">
        <f aca="false">IF($V6="","",IF($X6="","Short Term",IF($V6&gt;$X6,"Long Term","Short Term")))</f>
        <v>Long Term</v>
      </c>
      <c r="X6" s="92" t="n">
        <f aca="true">IF($G6="","",IF(ISNA(MATCH($G6,L_Category,0)),"",IF(INDEX(L_CatLT,MATCH($G6,L_Category,0))="","",INDEX(L_CatLT,MATCH($G6,L_Category,0)))))</f>
        <v>365</v>
      </c>
      <c r="Y6" s="83" t="n">
        <f aca="false">IF($AO6="","",IF(INDEX(Securities!$Q$6:$Q$105,$AO6)="","",INDEX(Securities!$Q$6:$Q$105,$AO6)))</f>
        <v>1120</v>
      </c>
      <c r="Z6" s="79" t="str">
        <f aca="false">IF($C6="","",IF(OR(NOT(ISNUMBER($H6)),$Y6=""),"No",IF($H6&lt;=GFDate,"Yes","No")))</f>
        <v>Yes</v>
      </c>
      <c r="AA6" s="85" t="n">
        <f aca="false">IF(OR($M6="",$N6="",$J6=""),"",$M6*($N6-$J6))</f>
        <v>14000000</v>
      </c>
      <c r="AB6" s="85" t="n">
        <f aca="false">IF(OR(N($P6)&lt;=0,$R6="",$J6=""),"",$P6*($R6-$J6))</f>
        <v>34000000</v>
      </c>
      <c r="AC6" s="83" t="n">
        <f aca="false">IF(OR($M6="",$N6="",$J6=""),"",IF($Z6="Yes",MAX($J6,MIN($Y6,$N6)),$J6))</f>
        <v>1120</v>
      </c>
      <c r="AD6" s="85" t="n">
        <f aca="false">IF($AC6="","",$M6*($N6-$AC6))</f>
        <v>8560000</v>
      </c>
      <c r="AE6" s="83" t="n">
        <f aca="false">IF(OR(N($P6)&lt;=0,$R6="",$J6=""),"",IF($Z6="Yes",MAX($J6,MIN($Y6,$R6)),$J6))</f>
        <v>1120</v>
      </c>
      <c r="AF6" s="85" t="n">
        <f aca="false">IF($AE6="","",$P6*($R6-$AE6))</f>
        <v>23120000</v>
      </c>
      <c r="AG6" s="92" t="n">
        <f aca="false">IF(OR($V6="",$X6=""),"",MAX(0,$X6+1-$V6))</f>
        <v>0</v>
      </c>
      <c r="AH6" s="93" t="n">
        <f aca="false">IF(OR($X6="",NOT(ISNUMBER($H6)),N($P6)&lt;=0),"",$H6+$X6+1)</f>
        <v>42807</v>
      </c>
      <c r="AI6" s="91" t="n">
        <v>30</v>
      </c>
      <c r="AJ6" s="85" t="n">
        <f aca="false">IF(OR($AI6="",N($P6)&lt;=0),"",$AI6*$P6)</f>
        <v>960000</v>
      </c>
      <c r="AK6" s="79" t="str">
        <f aca="false">IF(NOT(ISNUMBER($L6)),"",IF(MONTH($L6)&gt;=4,YEAR($L6)&amp;"-"&amp;RIGHT(YEAR($L6)+1,2),(YEAR($L6)-1)&amp;"-"&amp;RIGHT(YEAR($L6),2)))</f>
        <v>2025-26</v>
      </c>
      <c r="AL6" s="78"/>
      <c r="AM6" s="79" t="str">
        <f aca="false">IF($A6&amp;$B6&amp;$C6="","",IF($A6="","Missing ID",IF(COUNTIF($A$6:$A$205,$A6)&gt;1,"Duplicate ID",IF($AN6="","Unknown account",IF($AO6="","Unknown security",IF(COUNTIFS(Holdings!$B$6:$B$205,$B6,Holdings!$C$6:$C$205,$C6)=0,"No holding row for this lot",IF(OR($I6="",$J6=""),"Missing purchase quantity or rate",IF(NOT(ISNUMBER($H6)),"Missing purchase date",IF(N($H6)&gt;ValDate,"Purchase after valuation date",IF(N($M6)&gt;N($I6),"Sale quantity exceeds purchase",IF(AND(N($M6)&gt;0,OR(NOT(ISNUMBER($L6)),$N6="")),"Sale date or rate missing",IF(AND(ISNUMBER($L6),N($M6)=0),"Sale date with no quantity",IF(AND(ISNUMBER($L6),N($L6)&lt;N($H6)),"Sale before purchase",IF(N($L6)&gt;ValDate,"Sale after valuation date","OK"))))))))))))))</f>
        <v>OK</v>
      </c>
      <c r="AN6" s="89" t="n">
        <f aca="false">IF($B6="","",IFERROR(MATCH($B6,Accounts!$A$6:$A$55,0),""))</f>
        <v>1</v>
      </c>
      <c r="AO6" s="89" t="n">
        <f aca="false">IF($C6="","",IFERROR(MATCH($C6,Securities!$A$6:$A$105,0),""))</f>
        <v>1</v>
      </c>
      <c r="AP6" s="89" t="str">
        <f aca="false">IF($AN6="","",INDEX(Accounts!$B$6:$B$55,$AN6)&amp;"")</f>
        <v>E01</v>
      </c>
      <c r="AQ6" s="89" t="str">
        <f aca="false">IF(AND(ISNUMBER($AG6),N($P6)&gt;0),IF(AND(N($AG6)&gt;0,N($AG6)&lt;=SoonDays),1,""),"")</f>
        <v/>
      </c>
      <c r="AR6" s="89" t="str">
        <f aca="false">IF($AQ6&lt;&gt;1,"",SUMPRODUCT(($AQ$6:$AQ$205=1)*ISNUMBER($AG$6:$AG$205)*($AG$6:$AG$205&lt;$AG6))+SUMPRODUCT(($AQ$6:$AQ6=1)*ISNUMBER($AG$6:$AG6)*($AG$6:$AG6=$AG6)))</f>
        <v/>
      </c>
    </row>
    <row r="7" customFormat="false" ht="15" hidden="false" customHeight="false" outlineLevel="0" collapsed="false">
      <c r="A7" s="77" t="s">
        <v>421</v>
      </c>
      <c r="B7" s="78" t="s">
        <v>310</v>
      </c>
      <c r="C7" s="78" t="s">
        <v>311</v>
      </c>
      <c r="D7" s="79" t="str">
        <f aca="false">IF($AN7="","",INDEX(Accounts!$C$6:$C$55,$AN7)&amp;"")</f>
        <v>Rajiv Malhotra</v>
      </c>
      <c r="E7" s="79" t="str">
        <f aca="false">IF($AO7="","",INDEX(Securities!$B$6:$B$105,$AO7)&amp;"")</f>
        <v>Aravali Cements Ltd</v>
      </c>
      <c r="F7" s="79" t="str">
        <f aca="false">IF($AO7="","",INDEX(Securities!$C$6:$C$105,$AO7)&amp;"")</f>
        <v>DEMO00000001</v>
      </c>
      <c r="G7" s="79" t="str">
        <f aca="false">IF($AO7="","",INDEX(Securities!$E$6:$E$105,$AO7)&amp;"")</f>
        <v>Direct Equity</v>
      </c>
      <c r="H7" s="80" t="n">
        <v>45965</v>
      </c>
      <c r="I7" s="81" t="n">
        <v>12000</v>
      </c>
      <c r="J7" s="91" t="n">
        <v>1702.4</v>
      </c>
      <c r="K7" s="85" t="n">
        <f aca="false">IF(OR($I7="",$J7=""),"",$I7*$J7)</f>
        <v>20428800</v>
      </c>
      <c r="L7" s="80"/>
      <c r="M7" s="81"/>
      <c r="N7" s="91"/>
      <c r="O7" s="85" t="str">
        <f aca="false">IF(OR($M7="",$N7=""),"",$M7*$N7)</f>
        <v/>
      </c>
      <c r="P7" s="88" t="n">
        <f aca="false">IF($C7="","",N($I7)-N($M7))</f>
        <v>12000</v>
      </c>
      <c r="Q7" s="85" t="n">
        <f aca="false">IF(OR($P7="",$J7=""),"",$P7*$J7)</f>
        <v>20428800</v>
      </c>
      <c r="R7" s="83" t="n">
        <f aca="false">IF($AO7="","",IF(INDEX(Securities!$N$6:$N$105,$AO7)="At cost",IF($J7="","",$J7),IF(INDEX(Securities!$O$6:$O$105,$AO7)="","",INDEX(Securities!$O$6:$O$105,$AO7))))</f>
        <v>1842.5</v>
      </c>
      <c r="S7" s="85" t="n">
        <f aca="false">IF(OR($P7="",$R7=""),"",$P7*$R7)</f>
        <v>22110000</v>
      </c>
      <c r="T7" s="92" t="str">
        <f aca="false">IF(OR(NOT(ISNUMBER($L7)),NOT(ISNUMBER($H7))),"",$L7-$H7)</f>
        <v/>
      </c>
      <c r="U7" s="79" t="str">
        <f aca="false">IF($T7="","",IF($X7="","Short Term",IF($T7&gt;$X7,"Long Term","Short Term")))</f>
        <v/>
      </c>
      <c r="V7" s="92" t="n">
        <f aca="false">IF(OR(NOT(ISNUMBER($H7)),N($P7)&lt;=0),"",ValDate-$H7)</f>
        <v>238</v>
      </c>
      <c r="W7" s="79" t="str">
        <f aca="false">IF($V7="","",IF($X7="","Short Term",IF($V7&gt;$X7,"Long Term","Short Term")))</f>
        <v>Short Term</v>
      </c>
      <c r="X7" s="92" t="n">
        <f aca="true">IF($G7="","",IF(ISNA(MATCH($G7,L_Category,0)),"",IF(INDEX(L_CatLT,MATCH($G7,L_Category,0))="","",INDEX(L_CatLT,MATCH($G7,L_Category,0)))))</f>
        <v>365</v>
      </c>
      <c r="Y7" s="83" t="n">
        <f aca="false">IF($AO7="","",IF(INDEX(Securities!$Q$6:$Q$105,$AO7)="","",INDEX(Securities!$Q$6:$Q$105,$AO7)))</f>
        <v>1120</v>
      </c>
      <c r="Z7" s="79" t="str">
        <f aca="false">IF($C7="","",IF(OR(NOT(ISNUMBER($H7)),$Y7=""),"No",IF($H7&lt;=GFDate,"Yes","No")))</f>
        <v>No</v>
      </c>
      <c r="AA7" s="85" t="str">
        <f aca="false">IF(OR($M7="",$N7="",$J7=""),"",$M7*($N7-$J7))</f>
        <v/>
      </c>
      <c r="AB7" s="85" t="n">
        <f aca="false">IF(OR(N($P7)&lt;=0,$R7="",$J7=""),"",$P7*($R7-$J7))</f>
        <v>1681200</v>
      </c>
      <c r="AC7" s="83" t="str">
        <f aca="false">IF(OR($M7="",$N7="",$J7=""),"",IF($Z7="Yes",MAX($J7,MIN($Y7,$N7)),$J7))</f>
        <v/>
      </c>
      <c r="AD7" s="85" t="str">
        <f aca="false">IF($AC7="","",$M7*($N7-$AC7))</f>
        <v/>
      </c>
      <c r="AE7" s="83" t="n">
        <f aca="false">IF(OR(N($P7)&lt;=0,$R7="",$J7=""),"",IF($Z7="Yes",MAX($J7,MIN($Y7,$R7)),$J7))</f>
        <v>1702.4</v>
      </c>
      <c r="AF7" s="85" t="n">
        <f aca="false">IF($AE7="","",$P7*($R7-$AE7))</f>
        <v>1681200</v>
      </c>
      <c r="AG7" s="92" t="n">
        <f aca="false">IF(OR($V7="",$X7=""),"",MAX(0,$X7+1-$V7))</f>
        <v>128</v>
      </c>
      <c r="AH7" s="93" t="n">
        <f aca="false">IF(OR($X7="",NOT(ISNUMBER($H7)),N($P7)&lt;=0),"",$H7+$X7+1)</f>
        <v>46331</v>
      </c>
      <c r="AI7" s="91" t="n">
        <v>30</v>
      </c>
      <c r="AJ7" s="85" t="n">
        <f aca="false">IF(OR($AI7="",N($P7)&lt;=0),"",$AI7*$P7)</f>
        <v>360000</v>
      </c>
      <c r="AK7" s="79" t="str">
        <f aca="false">IF(NOT(ISNUMBER($L7)),"",IF(MONTH($L7)&gt;=4,YEAR($L7)&amp;"-"&amp;RIGHT(YEAR($L7)+1,2),(YEAR($L7)-1)&amp;"-"&amp;RIGHT(YEAR($L7),2)))</f>
        <v/>
      </c>
      <c r="AL7" s="78"/>
      <c r="AM7" s="79" t="str">
        <f aca="false">IF($A7&amp;$B7&amp;$C7="","",IF($A7="","Missing ID",IF(COUNTIF($A$6:$A$205,$A7)&gt;1,"Duplicate ID",IF($AN7="","Unknown account",IF($AO7="","Unknown security",IF(COUNTIFS(Holdings!$B$6:$B$205,$B7,Holdings!$C$6:$C$205,$C7)=0,"No holding row for this lot",IF(OR($I7="",$J7=""),"Missing purchase quantity or rate",IF(NOT(ISNUMBER($H7)),"Missing purchase date",IF(N($H7)&gt;ValDate,"Purchase after valuation date",IF(N($M7)&gt;N($I7),"Sale quantity exceeds purchase",IF(AND(N($M7)&gt;0,OR(NOT(ISNUMBER($L7)),$N7="")),"Sale date or rate missing",IF(AND(ISNUMBER($L7),N($M7)=0),"Sale date with no quantity",IF(AND(ISNUMBER($L7),N($L7)&lt;N($H7)),"Sale before purchase",IF(N($L7)&gt;ValDate,"Sale after valuation date","OK"))))))))))))))</f>
        <v>OK</v>
      </c>
      <c r="AN7" s="89" t="n">
        <f aca="false">IF($B7="","",IFERROR(MATCH($B7,Accounts!$A$6:$A$55,0),""))</f>
        <v>1</v>
      </c>
      <c r="AO7" s="89" t="n">
        <f aca="false">IF($C7="","",IFERROR(MATCH($C7,Securities!$A$6:$A$105,0),""))</f>
        <v>1</v>
      </c>
      <c r="AP7" s="89" t="str">
        <f aca="false">IF($AN7="","",INDEX(Accounts!$B$6:$B$55,$AN7)&amp;"")</f>
        <v>E01</v>
      </c>
      <c r="AQ7" s="89" t="str">
        <f aca="false">IF(AND(ISNUMBER($AG7),N($P7)&gt;0),IF(AND(N($AG7)&gt;0,N($AG7)&lt;=SoonDays),1,""),"")</f>
        <v/>
      </c>
      <c r="AR7" s="89" t="str">
        <f aca="false">IF($AQ7&lt;&gt;1,"",SUMPRODUCT(($AQ$6:$AQ$205=1)*ISNUMBER($AG$6:$AG$205)*($AG$6:$AG$205&lt;$AG7))+SUMPRODUCT(($AQ$6:$AQ7=1)*ISNUMBER($AG$6:$AG7)*($AG$6:$AG7=$AG7)))</f>
        <v/>
      </c>
    </row>
    <row r="8" customFormat="false" ht="15" hidden="false" customHeight="false" outlineLevel="0" collapsed="false">
      <c r="A8" s="77" t="s">
        <v>422</v>
      </c>
      <c r="B8" s="78" t="s">
        <v>310</v>
      </c>
      <c r="C8" s="78" t="s">
        <v>314</v>
      </c>
      <c r="D8" s="79" t="str">
        <f aca="false">IF($AN8="","",INDEX(Accounts!$C$6:$C$55,$AN8)&amp;"")</f>
        <v>Rajiv Malhotra</v>
      </c>
      <c r="E8" s="79" t="str">
        <f aca="false">IF($AO8="","",INDEX(Securities!$B$6:$B$105,$AO8)&amp;"")</f>
        <v>Sahyadri Precision Engineering Ltd</v>
      </c>
      <c r="F8" s="79" t="str">
        <f aca="false">IF($AO8="","",INDEX(Securities!$C$6:$C$105,$AO8)&amp;"")</f>
        <v>DEMO00000002</v>
      </c>
      <c r="G8" s="79" t="str">
        <f aca="false">IF($AO8="","",INDEX(Securities!$E$6:$E$105,$AO8)&amp;"")</f>
        <v>Direct Equity</v>
      </c>
      <c r="H8" s="80" t="n">
        <v>42907</v>
      </c>
      <c r="I8" s="81" t="n">
        <v>120000</v>
      </c>
      <c r="J8" s="91" t="n">
        <v>310</v>
      </c>
      <c r="K8" s="85" t="n">
        <f aca="false">IF(OR($I8="",$J8=""),"",$I8*$J8)</f>
        <v>37200000</v>
      </c>
      <c r="L8" s="80" t="n">
        <v>46055</v>
      </c>
      <c r="M8" s="81" t="n">
        <v>40000</v>
      </c>
      <c r="N8" s="91" t="n">
        <v>598</v>
      </c>
      <c r="O8" s="85" t="n">
        <f aca="false">IF(OR($M8="",$N8=""),"",$M8*$N8)</f>
        <v>23920000</v>
      </c>
      <c r="P8" s="88" t="n">
        <f aca="false">IF($C8="","",N($I8)-N($M8))</f>
        <v>80000</v>
      </c>
      <c r="Q8" s="85" t="n">
        <f aca="false">IF(OR($P8="",$J8=""),"",$P8*$J8)</f>
        <v>24800000</v>
      </c>
      <c r="R8" s="83" t="n">
        <f aca="false">IF($AO8="","",IF(INDEX(Securities!$N$6:$N$105,$AO8)="At cost",IF($J8="","",$J8),IF(INDEX(Securities!$O$6:$O$105,$AO8)="","",INDEX(Securities!$O$6:$O$105,$AO8))))</f>
        <v>612.3</v>
      </c>
      <c r="S8" s="85" t="n">
        <f aca="false">IF(OR($P8="",$R8=""),"",$P8*$R8)</f>
        <v>48984000</v>
      </c>
      <c r="T8" s="92" t="n">
        <f aca="false">IF(OR(NOT(ISNUMBER($L8)),NOT(ISNUMBER($H8))),"",$L8-$H8)</f>
        <v>3148</v>
      </c>
      <c r="U8" s="79" t="str">
        <f aca="false">IF($T8="","",IF($X8="","Short Term",IF($T8&gt;$X8,"Long Term","Short Term")))</f>
        <v>Long Term</v>
      </c>
      <c r="V8" s="92" t="n">
        <f aca="false">IF(OR(NOT(ISNUMBER($H8)),N($P8)&lt;=0),"",ValDate-$H8)</f>
        <v>3296</v>
      </c>
      <c r="W8" s="79" t="str">
        <f aca="false">IF($V8="","",IF($X8="","Short Term",IF($V8&gt;$X8,"Long Term","Short Term")))</f>
        <v>Long Term</v>
      </c>
      <c r="X8" s="92" t="n">
        <f aca="true">IF($G8="","",IF(ISNA(MATCH($G8,L_Category,0)),"",IF(INDEX(L_CatLT,MATCH($G8,L_Category,0))="","",INDEX(L_CatLT,MATCH($G8,L_Category,0)))))</f>
        <v>365</v>
      </c>
      <c r="Y8" s="83" t="n">
        <f aca="false">IF($AO8="","",IF(INDEX(Securities!$Q$6:$Q$105,$AO8)="","",INDEX(Securities!$Q$6:$Q$105,$AO8)))</f>
        <v>405</v>
      </c>
      <c r="Z8" s="79" t="str">
        <f aca="false">IF($C8="","",IF(OR(NOT(ISNUMBER($H8)),$Y8=""),"No",IF($H8&lt;=GFDate,"Yes","No")))</f>
        <v>Yes</v>
      </c>
      <c r="AA8" s="85" t="n">
        <f aca="false">IF(OR($M8="",$N8="",$J8=""),"",$M8*($N8-$J8))</f>
        <v>11520000</v>
      </c>
      <c r="AB8" s="85" t="n">
        <f aca="false">IF(OR(N($P8)&lt;=0,$R8="",$J8=""),"",$P8*($R8-$J8))</f>
        <v>24184000</v>
      </c>
      <c r="AC8" s="83" t="n">
        <f aca="false">IF(OR($M8="",$N8="",$J8=""),"",IF($Z8="Yes",MAX($J8,MIN($Y8,$N8)),$J8))</f>
        <v>405</v>
      </c>
      <c r="AD8" s="85" t="n">
        <f aca="false">IF($AC8="","",$M8*($N8-$AC8))</f>
        <v>7720000</v>
      </c>
      <c r="AE8" s="83" t="n">
        <f aca="false">IF(OR(N($P8)&lt;=0,$R8="",$J8=""),"",IF($Z8="Yes",MAX($J8,MIN($Y8,$R8)),$J8))</f>
        <v>405</v>
      </c>
      <c r="AF8" s="85" t="n">
        <f aca="false">IF($AE8="","",$P8*($R8-$AE8))</f>
        <v>16584000</v>
      </c>
      <c r="AG8" s="92" t="n">
        <f aca="false">IF(OR($V8="",$X8=""),"",MAX(0,$X8+1-$V8))</f>
        <v>0</v>
      </c>
      <c r="AH8" s="93" t="n">
        <f aca="false">IF(OR($X8="",NOT(ISNUMBER($H8)),N($P8)&lt;=0),"",$H8+$X8+1)</f>
        <v>43273</v>
      </c>
      <c r="AI8" s="91" t="n">
        <v>3</v>
      </c>
      <c r="AJ8" s="85" t="n">
        <f aca="false">IF(OR($AI8="",N($P8)&lt;=0),"",$AI8*$P8)</f>
        <v>240000</v>
      </c>
      <c r="AK8" s="79" t="str">
        <f aca="false">IF(NOT(ISNUMBER($L8)),"",IF(MONTH($L8)&gt;=4,YEAR($L8)&amp;"-"&amp;RIGHT(YEAR($L8)+1,2),(YEAR($L8)-1)&amp;"-"&amp;RIGHT(YEAR($L8),2)))</f>
        <v>2025-26</v>
      </c>
      <c r="AL8" s="78"/>
      <c r="AM8" s="79" t="str">
        <f aca="false">IF($A8&amp;$B8&amp;$C8="","",IF($A8="","Missing ID",IF(COUNTIF($A$6:$A$205,$A8)&gt;1,"Duplicate ID",IF($AN8="","Unknown account",IF($AO8="","Unknown security",IF(COUNTIFS(Holdings!$B$6:$B$205,$B8,Holdings!$C$6:$C$205,$C8)=0,"No holding row for this lot",IF(OR($I8="",$J8=""),"Missing purchase quantity or rate",IF(NOT(ISNUMBER($H8)),"Missing purchase date",IF(N($H8)&gt;ValDate,"Purchase after valuation date",IF(N($M8)&gt;N($I8),"Sale quantity exceeds purchase",IF(AND(N($M8)&gt;0,OR(NOT(ISNUMBER($L8)),$N8="")),"Sale date or rate missing",IF(AND(ISNUMBER($L8),N($M8)=0),"Sale date with no quantity",IF(AND(ISNUMBER($L8),N($L8)&lt;N($H8)),"Sale before purchase",IF(N($L8)&gt;ValDate,"Sale after valuation date","OK"))))))))))))))</f>
        <v>OK</v>
      </c>
      <c r="AN8" s="89" t="n">
        <f aca="false">IF($B8="","",IFERROR(MATCH($B8,Accounts!$A$6:$A$55,0),""))</f>
        <v>1</v>
      </c>
      <c r="AO8" s="89" t="n">
        <f aca="false">IF($C8="","",IFERROR(MATCH($C8,Securities!$A$6:$A$105,0),""))</f>
        <v>2</v>
      </c>
      <c r="AP8" s="89" t="str">
        <f aca="false">IF($AN8="","",INDEX(Accounts!$B$6:$B$55,$AN8)&amp;"")</f>
        <v>E01</v>
      </c>
      <c r="AQ8" s="89" t="str">
        <f aca="false">IF(AND(ISNUMBER($AG8),N($P8)&gt;0),IF(AND(N($AG8)&gt;0,N($AG8)&lt;=SoonDays),1,""),"")</f>
        <v/>
      </c>
      <c r="AR8" s="89" t="str">
        <f aca="false">IF($AQ8&lt;&gt;1,"",SUMPRODUCT(($AQ$6:$AQ$205=1)*ISNUMBER($AG$6:$AG$205)*($AG$6:$AG$205&lt;$AG8))+SUMPRODUCT(($AQ$6:$AQ8=1)*ISNUMBER($AG$6:$AG8)*($AG$6:$AG8=$AG8)))</f>
        <v/>
      </c>
    </row>
    <row r="9" customFormat="false" ht="15" hidden="false" customHeight="false" outlineLevel="0" collapsed="false">
      <c r="A9" s="77" t="s">
        <v>423</v>
      </c>
      <c r="B9" s="78" t="s">
        <v>310</v>
      </c>
      <c r="C9" s="78" t="s">
        <v>316</v>
      </c>
      <c r="D9" s="79" t="str">
        <f aca="false">IF($AN9="","",INDEX(Accounts!$C$6:$C$55,$AN9)&amp;"")</f>
        <v>Rajiv Malhotra</v>
      </c>
      <c r="E9" s="79" t="str">
        <f aca="false">IF($AO9="","",INDEX(Securities!$B$6:$B$105,$AO9)&amp;"")</f>
        <v>Coromandel Digital Services Ltd</v>
      </c>
      <c r="F9" s="79" t="str">
        <f aca="false">IF($AO9="","",INDEX(Securities!$C$6:$C$105,$AO9)&amp;"")</f>
        <v>DEMO00000003</v>
      </c>
      <c r="G9" s="79" t="str">
        <f aca="false">IF($AO9="","",INDEX(Securities!$E$6:$E$105,$AO9)&amp;"")</f>
        <v>Direct Equity</v>
      </c>
      <c r="H9" s="80" t="n">
        <v>44211</v>
      </c>
      <c r="I9" s="81" t="n">
        <v>36000</v>
      </c>
      <c r="J9" s="91" t="n">
        <v>1105</v>
      </c>
      <c r="K9" s="85" t="n">
        <f aca="false">IF(OR($I9="",$J9=""),"",$I9*$J9)</f>
        <v>39780000</v>
      </c>
      <c r="L9" s="80"/>
      <c r="M9" s="81"/>
      <c r="N9" s="91"/>
      <c r="O9" s="85" t="str">
        <f aca="false">IF(OR($M9="",$N9=""),"",$M9*$N9)</f>
        <v/>
      </c>
      <c r="P9" s="88" t="n">
        <f aca="false">IF($C9="","",N($I9)-N($M9))</f>
        <v>36000</v>
      </c>
      <c r="Q9" s="85" t="n">
        <f aca="false">IF(OR($P9="",$J9=""),"",$P9*$J9)</f>
        <v>39780000</v>
      </c>
      <c r="R9" s="83" t="n">
        <f aca="false">IF($AO9="","",IF(INDEX(Securities!$N$6:$N$105,$AO9)="At cost",IF($J9="","",$J9),IF(INDEX(Securities!$O$6:$O$105,$AO9)="","",INDEX(Securities!$O$6:$O$105,$AO9))))</f>
        <v>1515</v>
      </c>
      <c r="S9" s="85" t="n">
        <f aca="false">IF(OR($P9="",$R9=""),"",$P9*$R9)</f>
        <v>54540000</v>
      </c>
      <c r="T9" s="92" t="str">
        <f aca="false">IF(OR(NOT(ISNUMBER($L9)),NOT(ISNUMBER($H9))),"",$L9-$H9)</f>
        <v/>
      </c>
      <c r="U9" s="79" t="str">
        <f aca="false">IF($T9="","",IF($X9="","Short Term",IF($T9&gt;$X9,"Long Term","Short Term")))</f>
        <v/>
      </c>
      <c r="V9" s="92" t="n">
        <f aca="false">IF(OR(NOT(ISNUMBER($H9)),N($P9)&lt;=0),"",ValDate-$H9)</f>
        <v>1992</v>
      </c>
      <c r="W9" s="79" t="str">
        <f aca="false">IF($V9="","",IF($X9="","Short Term",IF($V9&gt;$X9,"Long Term","Short Term")))</f>
        <v>Long Term</v>
      </c>
      <c r="X9" s="92" t="n">
        <f aca="true">IF($G9="","",IF(ISNA(MATCH($G9,L_Category,0)),"",IF(INDEX(L_CatLT,MATCH($G9,L_Category,0))="","",INDEX(L_CatLT,MATCH($G9,L_Category,0)))))</f>
        <v>365</v>
      </c>
      <c r="Y9" s="83" t="n">
        <f aca="false">IF($AO9="","",IF(INDEX(Securities!$Q$6:$Q$105,$AO9)="","",INDEX(Securities!$Q$6:$Q$105,$AO9)))</f>
        <v>980</v>
      </c>
      <c r="Z9" s="79" t="str">
        <f aca="false">IF($C9="","",IF(OR(NOT(ISNUMBER($H9)),$Y9=""),"No",IF($H9&lt;=GFDate,"Yes","No")))</f>
        <v>No</v>
      </c>
      <c r="AA9" s="85" t="str">
        <f aca="false">IF(OR($M9="",$N9="",$J9=""),"",$M9*($N9-$J9))</f>
        <v/>
      </c>
      <c r="AB9" s="85" t="n">
        <f aca="false">IF(OR(N($P9)&lt;=0,$R9="",$J9=""),"",$P9*($R9-$J9))</f>
        <v>14760000</v>
      </c>
      <c r="AC9" s="83" t="str">
        <f aca="false">IF(OR($M9="",$N9="",$J9=""),"",IF($Z9="Yes",MAX($J9,MIN($Y9,$N9)),$J9))</f>
        <v/>
      </c>
      <c r="AD9" s="85" t="str">
        <f aca="false">IF($AC9="","",$M9*($N9-$AC9))</f>
        <v/>
      </c>
      <c r="AE9" s="83" t="n">
        <f aca="false">IF(OR(N($P9)&lt;=0,$R9="",$J9=""),"",IF($Z9="Yes",MAX($J9,MIN($Y9,$R9)),$J9))</f>
        <v>1105</v>
      </c>
      <c r="AF9" s="85" t="n">
        <f aca="false">IF($AE9="","",$P9*($R9-$AE9))</f>
        <v>14760000</v>
      </c>
      <c r="AG9" s="92" t="n">
        <f aca="false">IF(OR($V9="",$X9=""),"",MAX(0,$X9+1-$V9))</f>
        <v>0</v>
      </c>
      <c r="AH9" s="93" t="n">
        <f aca="false">IF(OR($X9="",NOT(ISNUMBER($H9)),N($P9)&lt;=0),"",$H9+$X9+1)</f>
        <v>44577</v>
      </c>
      <c r="AI9" s="91" t="n">
        <v>17</v>
      </c>
      <c r="AJ9" s="85" t="n">
        <f aca="false">IF(OR($AI9="",N($P9)&lt;=0),"",$AI9*$P9)</f>
        <v>612000</v>
      </c>
      <c r="AK9" s="79" t="str">
        <f aca="false">IF(NOT(ISNUMBER($L9)),"",IF(MONTH($L9)&gt;=4,YEAR($L9)&amp;"-"&amp;RIGHT(YEAR($L9)+1,2),(YEAR($L9)-1)&amp;"-"&amp;RIGHT(YEAR($L9),2)))</f>
        <v/>
      </c>
      <c r="AL9" s="78"/>
      <c r="AM9" s="79" t="str">
        <f aca="false">IF($A9&amp;$B9&amp;$C9="","",IF($A9="","Missing ID",IF(COUNTIF($A$6:$A$205,$A9)&gt;1,"Duplicate ID",IF($AN9="","Unknown account",IF($AO9="","Unknown security",IF(COUNTIFS(Holdings!$B$6:$B$205,$B9,Holdings!$C$6:$C$205,$C9)=0,"No holding row for this lot",IF(OR($I9="",$J9=""),"Missing purchase quantity or rate",IF(NOT(ISNUMBER($H9)),"Missing purchase date",IF(N($H9)&gt;ValDate,"Purchase after valuation date",IF(N($M9)&gt;N($I9),"Sale quantity exceeds purchase",IF(AND(N($M9)&gt;0,OR(NOT(ISNUMBER($L9)),$N9="")),"Sale date or rate missing",IF(AND(ISNUMBER($L9),N($M9)=0),"Sale date with no quantity",IF(AND(ISNUMBER($L9),N($L9)&lt;N($H9)),"Sale before purchase",IF(N($L9)&gt;ValDate,"Sale after valuation date","OK"))))))))))))))</f>
        <v>OK</v>
      </c>
      <c r="AN9" s="89" t="n">
        <f aca="false">IF($B9="","",IFERROR(MATCH($B9,Accounts!$A$6:$A$55,0),""))</f>
        <v>1</v>
      </c>
      <c r="AO9" s="89" t="n">
        <f aca="false">IF($C9="","",IFERROR(MATCH($C9,Securities!$A$6:$A$105,0),""))</f>
        <v>3</v>
      </c>
      <c r="AP9" s="89" t="str">
        <f aca="false">IF($AN9="","",INDEX(Accounts!$B$6:$B$55,$AN9)&amp;"")</f>
        <v>E01</v>
      </c>
      <c r="AQ9" s="89" t="str">
        <f aca="false">IF(AND(ISNUMBER($AG9),N($P9)&gt;0),IF(AND(N($AG9)&gt;0,N($AG9)&lt;=SoonDays),1,""),"")</f>
        <v/>
      </c>
      <c r="AR9" s="89" t="str">
        <f aca="false">IF($AQ9&lt;&gt;1,"",SUMPRODUCT(($AQ$6:$AQ$205=1)*ISNUMBER($AG$6:$AG$205)*($AG$6:$AG$205&lt;$AG9))+SUMPRODUCT(($AQ$6:$AQ9=1)*ISNUMBER($AG$6:$AG9)*($AG$6:$AG9=$AG9)))</f>
        <v/>
      </c>
    </row>
    <row r="10" customFormat="false" ht="15" hidden="false" customHeight="false" outlineLevel="0" collapsed="false">
      <c r="A10" s="77" t="s">
        <v>424</v>
      </c>
      <c r="B10" s="78" t="s">
        <v>334</v>
      </c>
      <c r="C10" s="78" t="s">
        <v>335</v>
      </c>
      <c r="D10" s="79" t="str">
        <f aca="false">IF($AN10="","",INDEX(Accounts!$C$6:$C$55,$AN10)&amp;"")</f>
        <v>Nisha Malhotra</v>
      </c>
      <c r="E10" s="79" t="str">
        <f aca="false">IF($AO10="","",INDEX(Securities!$B$6:$B$105,$AO10)&amp;"")</f>
        <v>Deccan Financial Services Ltd</v>
      </c>
      <c r="F10" s="79" t="str">
        <f aca="false">IF($AO10="","",INDEX(Securities!$C$6:$C$105,$AO10)&amp;"")</f>
        <v>DEMO00000004</v>
      </c>
      <c r="G10" s="79" t="str">
        <f aca="false">IF($AO10="","",INDEX(Securities!$E$6:$E$105,$AO10)&amp;"")</f>
        <v>Direct Equity</v>
      </c>
      <c r="H10" s="80" t="n">
        <v>45910</v>
      </c>
      <c r="I10" s="81" t="n">
        <v>27000</v>
      </c>
      <c r="J10" s="91" t="n">
        <v>1540</v>
      </c>
      <c r="K10" s="85" t="n">
        <f aca="false">IF(OR($I10="",$J10=""),"",$I10*$J10)</f>
        <v>41580000</v>
      </c>
      <c r="L10" s="80"/>
      <c r="M10" s="81"/>
      <c r="N10" s="91"/>
      <c r="O10" s="85" t="str">
        <f aca="false">IF(OR($M10="",$N10=""),"",$M10*$N10)</f>
        <v/>
      </c>
      <c r="P10" s="88" t="n">
        <f aca="false">IF($C10="","",N($I10)-N($M10))</f>
        <v>27000</v>
      </c>
      <c r="Q10" s="85" t="n">
        <f aca="false">IF(OR($P10="",$J10=""),"",$P10*$J10)</f>
        <v>41580000</v>
      </c>
      <c r="R10" s="83" t="n">
        <f aca="false">IF($AO10="","",IF(INDEX(Securities!$N$6:$N$105,$AO10)="At cost",IF($J10="","",$J10),IF(INDEX(Securities!$O$6:$O$105,$AO10)="","",INDEX(Securities!$O$6:$O$105,$AO10))))</f>
        <v>1678.2</v>
      </c>
      <c r="S10" s="85" t="n">
        <f aca="false">IF(OR($P10="",$R10=""),"",$P10*$R10)</f>
        <v>45311400</v>
      </c>
      <c r="T10" s="92" t="str">
        <f aca="false">IF(OR(NOT(ISNUMBER($L10)),NOT(ISNUMBER($H10))),"",$L10-$H10)</f>
        <v/>
      </c>
      <c r="U10" s="79" t="str">
        <f aca="false">IF($T10="","",IF($X10="","Short Term",IF($T10&gt;$X10,"Long Term","Short Term")))</f>
        <v/>
      </c>
      <c r="V10" s="92" t="n">
        <f aca="false">IF(OR(NOT(ISNUMBER($H10)),N($P10)&lt;=0),"",ValDate-$H10)</f>
        <v>293</v>
      </c>
      <c r="W10" s="79" t="str">
        <f aca="false">IF($V10="","",IF($X10="","Short Term",IF($V10&gt;$X10,"Long Term","Short Term")))</f>
        <v>Short Term</v>
      </c>
      <c r="X10" s="92" t="n">
        <f aca="true">IF($G10="","",IF(ISNA(MATCH($G10,L_Category,0)),"",IF(INDEX(L_CatLT,MATCH($G10,L_Category,0))="","",INDEX(L_CatLT,MATCH($G10,L_Category,0)))))</f>
        <v>365</v>
      </c>
      <c r="Y10" s="83" t="n">
        <f aca="false">IF($AO10="","",IF(INDEX(Securities!$Q$6:$Q$105,$AO10)="","",INDEX(Securities!$Q$6:$Q$105,$AO10)))</f>
        <v>842</v>
      </c>
      <c r="Z10" s="79" t="str">
        <f aca="false">IF($C10="","",IF(OR(NOT(ISNUMBER($H10)),$Y10=""),"No",IF($H10&lt;=GFDate,"Yes","No")))</f>
        <v>No</v>
      </c>
      <c r="AA10" s="85" t="str">
        <f aca="false">IF(OR($M10="",$N10="",$J10=""),"",$M10*($N10-$J10))</f>
        <v/>
      </c>
      <c r="AB10" s="85" t="n">
        <f aca="false">IF(OR(N($P10)&lt;=0,$R10="",$J10=""),"",$P10*($R10-$J10))</f>
        <v>3731400</v>
      </c>
      <c r="AC10" s="83" t="str">
        <f aca="false">IF(OR($M10="",$N10="",$J10=""),"",IF($Z10="Yes",MAX($J10,MIN($Y10,$N10)),$J10))</f>
        <v/>
      </c>
      <c r="AD10" s="85" t="str">
        <f aca="false">IF($AC10="","",$M10*($N10-$AC10))</f>
        <v/>
      </c>
      <c r="AE10" s="83" t="n">
        <f aca="false">IF(OR(N($P10)&lt;=0,$R10="",$J10=""),"",IF($Z10="Yes",MAX($J10,MIN($Y10,$R10)),$J10))</f>
        <v>1540</v>
      </c>
      <c r="AF10" s="85" t="n">
        <f aca="false">IF($AE10="","",$P10*($R10-$AE10))</f>
        <v>3731400</v>
      </c>
      <c r="AG10" s="92" t="n">
        <f aca="false">IF(OR($V10="",$X10=""),"",MAX(0,$X10+1-$V10))</f>
        <v>73</v>
      </c>
      <c r="AH10" s="93" t="n">
        <f aca="false">IF(OR($X10="",NOT(ISNUMBER($H10)),N($P10)&lt;=0),"",$H10+$X10+1)</f>
        <v>46276</v>
      </c>
      <c r="AI10" s="91" t="n">
        <v>18</v>
      </c>
      <c r="AJ10" s="85" t="n">
        <f aca="false">IF(OR($AI10="",N($P10)&lt;=0),"",$AI10*$P10)</f>
        <v>486000</v>
      </c>
      <c r="AK10" s="79" t="str">
        <f aca="false">IF(NOT(ISNUMBER($L10)),"",IF(MONTH($L10)&gt;=4,YEAR($L10)&amp;"-"&amp;RIGHT(YEAR($L10)+1,2),(YEAR($L10)-1)&amp;"-"&amp;RIGHT(YEAR($L10),2)))</f>
        <v/>
      </c>
      <c r="AL10" s="78"/>
      <c r="AM10" s="79" t="str">
        <f aca="false">IF($A10&amp;$B10&amp;$C10="","",IF($A10="","Missing ID",IF(COUNTIF($A$6:$A$205,$A10)&gt;1,"Duplicate ID",IF($AN10="","Unknown account",IF($AO10="","Unknown security",IF(COUNTIFS(Holdings!$B$6:$B$205,$B10,Holdings!$C$6:$C$205,$C10)=0,"No holding row for this lot",IF(OR($I10="",$J10=""),"Missing purchase quantity or rate",IF(NOT(ISNUMBER($H10)),"Missing purchase date",IF(N($H10)&gt;ValDate,"Purchase after valuation date",IF(N($M10)&gt;N($I10),"Sale quantity exceeds purchase",IF(AND(N($M10)&gt;0,OR(NOT(ISNUMBER($L10)),$N10="")),"Sale date or rate missing",IF(AND(ISNUMBER($L10),N($M10)=0),"Sale date with no quantity",IF(AND(ISNUMBER($L10),N($L10)&lt;N($H10)),"Sale before purchase",IF(N($L10)&gt;ValDate,"Sale after valuation date","OK"))))))))))))))</f>
        <v>OK</v>
      </c>
      <c r="AN10" s="89" t="n">
        <f aca="false">IF($B10="","",IFERROR(MATCH($B10,Accounts!$A$6:$A$55,0),""))</f>
        <v>4</v>
      </c>
      <c r="AO10" s="89" t="n">
        <f aca="false">IF($C10="","",IFERROR(MATCH($C10,Securities!$A$6:$A$105,0),""))</f>
        <v>4</v>
      </c>
      <c r="AP10" s="89" t="str">
        <f aca="false">IF($AN10="","",INDEX(Accounts!$B$6:$B$55,$AN10)&amp;"")</f>
        <v>E02</v>
      </c>
      <c r="AQ10" s="89" t="n">
        <f aca="false">IF(AND(ISNUMBER($AG10),N($P10)&gt;0),IF(AND(N($AG10)&gt;0,N($AG10)&lt;=SoonDays),1,""),"")</f>
        <v>1</v>
      </c>
      <c r="AR10" s="89" t="n">
        <f aca="false">IF($AQ10&lt;&gt;1,"",SUMPRODUCT(($AQ$6:$AQ$205=1)*ISNUMBER($AG$6:$AG$205)*($AG$6:$AG$205&lt;$AG10))+SUMPRODUCT(($AQ$6:$AQ10=1)*ISNUMBER($AG$6:$AG10)*($AG$6:$AG10=$AG10)))</f>
        <v>1</v>
      </c>
    </row>
    <row r="11" customFormat="false" ht="15" hidden="false" customHeight="false" outlineLevel="0" collapsed="false">
      <c r="A11" s="77" t="s">
        <v>425</v>
      </c>
      <c r="B11" s="78" t="s">
        <v>334</v>
      </c>
      <c r="C11" s="78" t="s">
        <v>335</v>
      </c>
      <c r="D11" s="79" t="str">
        <f aca="false">IF($AN11="","",INDEX(Accounts!$C$6:$C$55,$AN11)&amp;"")</f>
        <v>Nisha Malhotra</v>
      </c>
      <c r="E11" s="79" t="str">
        <f aca="false">IF($AO11="","",INDEX(Securities!$B$6:$B$105,$AO11)&amp;"")</f>
        <v>Deccan Financial Services Ltd</v>
      </c>
      <c r="F11" s="79" t="str">
        <f aca="false">IF($AO11="","",INDEX(Securities!$C$6:$C$105,$AO11)&amp;"")</f>
        <v>DEMO00000004</v>
      </c>
      <c r="G11" s="79" t="str">
        <f aca="false">IF($AO11="","",INDEX(Securities!$E$6:$E$105,$AO11)&amp;"")</f>
        <v>Direct Equity</v>
      </c>
      <c r="H11" s="80" t="n">
        <v>46081</v>
      </c>
      <c r="I11" s="81" t="n">
        <v>9000</v>
      </c>
      <c r="J11" s="91" t="n">
        <v>1602.5</v>
      </c>
      <c r="K11" s="85" t="n">
        <f aca="false">IF(OR($I11="",$J11=""),"",$I11*$J11)</f>
        <v>14422500</v>
      </c>
      <c r="L11" s="80"/>
      <c r="M11" s="81"/>
      <c r="N11" s="91"/>
      <c r="O11" s="85" t="str">
        <f aca="false">IF(OR($M11="",$N11=""),"",$M11*$N11)</f>
        <v/>
      </c>
      <c r="P11" s="88" t="n">
        <f aca="false">IF($C11="","",N($I11)-N($M11))</f>
        <v>9000</v>
      </c>
      <c r="Q11" s="85" t="n">
        <f aca="false">IF(OR($P11="",$J11=""),"",$P11*$J11)</f>
        <v>14422500</v>
      </c>
      <c r="R11" s="83" t="n">
        <f aca="false">IF($AO11="","",IF(INDEX(Securities!$N$6:$N$105,$AO11)="At cost",IF($J11="","",$J11),IF(INDEX(Securities!$O$6:$O$105,$AO11)="","",INDEX(Securities!$O$6:$O$105,$AO11))))</f>
        <v>1678.2</v>
      </c>
      <c r="S11" s="85" t="n">
        <f aca="false">IF(OR($P11="",$R11=""),"",$P11*$R11)</f>
        <v>15103800</v>
      </c>
      <c r="T11" s="92" t="str">
        <f aca="false">IF(OR(NOT(ISNUMBER($L11)),NOT(ISNUMBER($H11))),"",$L11-$H11)</f>
        <v/>
      </c>
      <c r="U11" s="79" t="str">
        <f aca="false">IF($T11="","",IF($X11="","Short Term",IF($T11&gt;$X11,"Long Term","Short Term")))</f>
        <v/>
      </c>
      <c r="V11" s="92" t="n">
        <f aca="false">IF(OR(NOT(ISNUMBER($H11)),N($P11)&lt;=0),"",ValDate-$H11)</f>
        <v>122</v>
      </c>
      <c r="W11" s="79" t="str">
        <f aca="false">IF($V11="","",IF($X11="","Short Term",IF($V11&gt;$X11,"Long Term","Short Term")))</f>
        <v>Short Term</v>
      </c>
      <c r="X11" s="92" t="n">
        <f aca="true">IF($G11="","",IF(ISNA(MATCH($G11,L_Category,0)),"",IF(INDEX(L_CatLT,MATCH($G11,L_Category,0))="","",INDEX(L_CatLT,MATCH($G11,L_Category,0)))))</f>
        <v>365</v>
      </c>
      <c r="Y11" s="83" t="n">
        <f aca="false">IF($AO11="","",IF(INDEX(Securities!$Q$6:$Q$105,$AO11)="","",INDEX(Securities!$Q$6:$Q$105,$AO11)))</f>
        <v>842</v>
      </c>
      <c r="Z11" s="79" t="str">
        <f aca="false">IF($C11="","",IF(OR(NOT(ISNUMBER($H11)),$Y11=""),"No",IF($H11&lt;=GFDate,"Yes","No")))</f>
        <v>No</v>
      </c>
      <c r="AA11" s="85" t="str">
        <f aca="false">IF(OR($M11="",$N11="",$J11=""),"",$M11*($N11-$J11))</f>
        <v/>
      </c>
      <c r="AB11" s="85" t="n">
        <f aca="false">IF(OR(N($P11)&lt;=0,$R11="",$J11=""),"",$P11*($R11-$J11))</f>
        <v>681300.000000001</v>
      </c>
      <c r="AC11" s="83" t="str">
        <f aca="false">IF(OR($M11="",$N11="",$J11=""),"",IF($Z11="Yes",MAX($J11,MIN($Y11,$N11)),$J11))</f>
        <v/>
      </c>
      <c r="AD11" s="85" t="str">
        <f aca="false">IF($AC11="","",$M11*($N11-$AC11))</f>
        <v/>
      </c>
      <c r="AE11" s="83" t="n">
        <f aca="false">IF(OR(N($P11)&lt;=0,$R11="",$J11=""),"",IF($Z11="Yes",MAX($J11,MIN($Y11,$R11)),$J11))</f>
        <v>1602.5</v>
      </c>
      <c r="AF11" s="85" t="n">
        <f aca="false">IF($AE11="","",$P11*($R11-$AE11))</f>
        <v>681300.000000001</v>
      </c>
      <c r="AG11" s="92" t="n">
        <f aca="false">IF(OR($V11="",$X11=""),"",MAX(0,$X11+1-$V11))</f>
        <v>244</v>
      </c>
      <c r="AH11" s="93" t="n">
        <f aca="false">IF(OR($X11="",NOT(ISNUMBER($H11)),N($P11)&lt;=0),"",$H11+$X11+1)</f>
        <v>46447</v>
      </c>
      <c r="AI11" s="91" t="n">
        <v>18</v>
      </c>
      <c r="AJ11" s="85" t="n">
        <f aca="false">IF(OR($AI11="",N($P11)&lt;=0),"",$AI11*$P11)</f>
        <v>162000</v>
      </c>
      <c r="AK11" s="79" t="str">
        <f aca="false">IF(NOT(ISNUMBER($L11)),"",IF(MONTH($L11)&gt;=4,YEAR($L11)&amp;"-"&amp;RIGHT(YEAR($L11)+1,2),(YEAR($L11)-1)&amp;"-"&amp;RIGHT(YEAR($L11),2)))</f>
        <v/>
      </c>
      <c r="AL11" s="78"/>
      <c r="AM11" s="79" t="str">
        <f aca="false">IF($A11&amp;$B11&amp;$C11="","",IF($A11="","Missing ID",IF(COUNTIF($A$6:$A$205,$A11)&gt;1,"Duplicate ID",IF($AN11="","Unknown account",IF($AO11="","Unknown security",IF(COUNTIFS(Holdings!$B$6:$B$205,$B11,Holdings!$C$6:$C$205,$C11)=0,"No holding row for this lot",IF(OR($I11="",$J11=""),"Missing purchase quantity or rate",IF(NOT(ISNUMBER($H11)),"Missing purchase date",IF(N($H11)&gt;ValDate,"Purchase after valuation date",IF(N($M11)&gt;N($I11),"Sale quantity exceeds purchase",IF(AND(N($M11)&gt;0,OR(NOT(ISNUMBER($L11)),$N11="")),"Sale date or rate missing",IF(AND(ISNUMBER($L11),N($M11)=0),"Sale date with no quantity",IF(AND(ISNUMBER($L11),N($L11)&lt;N($H11)),"Sale before purchase",IF(N($L11)&gt;ValDate,"Sale after valuation date","OK"))))))))))))))</f>
        <v>OK</v>
      </c>
      <c r="AN11" s="89" t="n">
        <f aca="false">IF($B11="","",IFERROR(MATCH($B11,Accounts!$A$6:$A$55,0),""))</f>
        <v>4</v>
      </c>
      <c r="AO11" s="89" t="n">
        <f aca="false">IF($C11="","",IFERROR(MATCH($C11,Securities!$A$6:$A$105,0),""))</f>
        <v>4</v>
      </c>
      <c r="AP11" s="89" t="str">
        <f aca="false">IF($AN11="","",INDEX(Accounts!$B$6:$B$55,$AN11)&amp;"")</f>
        <v>E02</v>
      </c>
      <c r="AQ11" s="89" t="str">
        <f aca="false">IF(AND(ISNUMBER($AG11),N($P11)&gt;0),IF(AND(N($AG11)&gt;0,N($AG11)&lt;=SoonDays),1,""),"")</f>
        <v/>
      </c>
      <c r="AR11" s="89" t="str">
        <f aca="false">IF($AQ11&lt;&gt;1,"",SUMPRODUCT(($AQ$6:$AQ$205=1)*ISNUMBER($AG$6:$AG$205)*($AG$6:$AG$205&lt;$AG11))+SUMPRODUCT(($AQ$6:$AQ11=1)*ISNUMBER($AG$6:$AG11)*($AG$6:$AG11=$AG11)))</f>
        <v/>
      </c>
    </row>
    <row r="12" customFormat="false" ht="15" hidden="false" customHeight="false" outlineLevel="0" collapsed="false">
      <c r="A12" s="77" t="s">
        <v>426</v>
      </c>
      <c r="B12" s="78" t="s">
        <v>334</v>
      </c>
      <c r="C12" s="78" t="s">
        <v>337</v>
      </c>
      <c r="D12" s="79" t="str">
        <f aca="false">IF($AN12="","",INDEX(Accounts!$C$6:$C$55,$AN12)&amp;"")</f>
        <v>Nisha Malhotra</v>
      </c>
      <c r="E12" s="79" t="str">
        <f aca="false">IF($AO12="","",INDEX(Securities!$B$6:$B$105,$AO12)&amp;"")</f>
        <v>Eastern Speciality Chemicals Ltd</v>
      </c>
      <c r="F12" s="79" t="str">
        <f aca="false">IF($AO12="","",INDEX(Securities!$C$6:$C$105,$AO12)&amp;"")</f>
        <v>DEMO00000005</v>
      </c>
      <c r="G12" s="79" t="str">
        <f aca="false">IF($AO12="","",INDEX(Securities!$E$6:$E$105,$AO12)&amp;"")</f>
        <v>Direct Equity</v>
      </c>
      <c r="H12" s="80" t="n">
        <v>45417</v>
      </c>
      <c r="I12" s="81" t="n">
        <v>60000</v>
      </c>
      <c r="J12" s="91" t="n">
        <v>512</v>
      </c>
      <c r="K12" s="85" t="n">
        <f aca="false">IF(OR($I12="",$J12=""),"",$I12*$J12)</f>
        <v>30720000</v>
      </c>
      <c r="L12" s="80" t="n">
        <v>46101</v>
      </c>
      <c r="M12" s="81" t="n">
        <v>25000</v>
      </c>
      <c r="N12" s="91" t="n">
        <v>452</v>
      </c>
      <c r="O12" s="85" t="n">
        <f aca="false">IF(OR($M12="",$N12=""),"",$M12*$N12)</f>
        <v>11300000</v>
      </c>
      <c r="P12" s="88" t="n">
        <f aca="false">IF($C12="","",N($I12)-N($M12))</f>
        <v>35000</v>
      </c>
      <c r="Q12" s="85" t="n">
        <f aca="false">IF(OR($P12="",$J12=""),"",$P12*$J12)</f>
        <v>17920000</v>
      </c>
      <c r="R12" s="83" t="n">
        <f aca="false">IF($AO12="","",IF(INDEX(Securities!$N$6:$N$105,$AO12)="At cost",IF($J12="","",$J12),IF(INDEX(Securities!$O$6:$O$105,$AO12)="","",INDEX(Securities!$O$6:$O$105,$AO12))))</f>
        <v>438.75</v>
      </c>
      <c r="S12" s="85" t="n">
        <f aca="false">IF(OR($P12="",$R12=""),"",$P12*$R12)</f>
        <v>15356250</v>
      </c>
      <c r="T12" s="92" t="n">
        <f aca="false">IF(OR(NOT(ISNUMBER($L12)),NOT(ISNUMBER($H12))),"",$L12-$H12)</f>
        <v>684</v>
      </c>
      <c r="U12" s="79" t="str">
        <f aca="false">IF($T12="","",IF($X12="","Short Term",IF($T12&gt;$X12,"Long Term","Short Term")))</f>
        <v>Long Term</v>
      </c>
      <c r="V12" s="92" t="n">
        <f aca="false">IF(OR(NOT(ISNUMBER($H12)),N($P12)&lt;=0),"",ValDate-$H12)</f>
        <v>786</v>
      </c>
      <c r="W12" s="79" t="str">
        <f aca="false">IF($V12="","",IF($X12="","Short Term",IF($V12&gt;$X12,"Long Term","Short Term")))</f>
        <v>Long Term</v>
      </c>
      <c r="X12" s="92" t="n">
        <f aca="true">IF($G12="","",IF(ISNA(MATCH($G12,L_Category,0)),"",IF(INDEX(L_CatLT,MATCH($G12,L_Category,0))="","",INDEX(L_CatLT,MATCH($G12,L_Category,0)))))</f>
        <v>365</v>
      </c>
      <c r="Y12" s="83" t="str">
        <f aca="false">IF($AO12="","",IF(INDEX(Securities!$Q$6:$Q$105,$AO12)="","",INDEX(Securities!$Q$6:$Q$105,$AO12)))</f>
        <v/>
      </c>
      <c r="Z12" s="79" t="str">
        <f aca="false">IF($C12="","",IF(OR(NOT(ISNUMBER($H12)),$Y12=""),"No",IF($H12&lt;=GFDate,"Yes","No")))</f>
        <v>No</v>
      </c>
      <c r="AA12" s="85" t="n">
        <f aca="false">IF(OR($M12="",$N12="",$J12=""),"",$M12*($N12-$J12))</f>
        <v>-1500000</v>
      </c>
      <c r="AB12" s="85" t="n">
        <f aca="false">IF(OR(N($P12)&lt;=0,$R12="",$J12=""),"",$P12*($R12-$J12))</f>
        <v>-2563750</v>
      </c>
      <c r="AC12" s="83" t="n">
        <f aca="false">IF(OR($M12="",$N12="",$J12=""),"",IF($Z12="Yes",MAX($J12,MIN($Y12,$N12)),$J12))</f>
        <v>512</v>
      </c>
      <c r="AD12" s="85" t="n">
        <f aca="false">IF($AC12="","",$M12*($N12-$AC12))</f>
        <v>-1500000</v>
      </c>
      <c r="AE12" s="83" t="n">
        <f aca="false">IF(OR(N($P12)&lt;=0,$R12="",$J12=""),"",IF($Z12="Yes",MAX($J12,MIN($Y12,$R12)),$J12))</f>
        <v>512</v>
      </c>
      <c r="AF12" s="85" t="n">
        <f aca="false">IF($AE12="","",$P12*($R12-$AE12))</f>
        <v>-2563750</v>
      </c>
      <c r="AG12" s="92" t="n">
        <f aca="false">IF(OR($V12="",$X12=""),"",MAX(0,$X12+1-$V12))</f>
        <v>0</v>
      </c>
      <c r="AH12" s="93" t="n">
        <f aca="false">IF(OR($X12="",NOT(ISNUMBER($H12)),N($P12)&lt;=0),"",$H12+$X12+1)</f>
        <v>45783</v>
      </c>
      <c r="AI12" s="91" t="n">
        <v>6</v>
      </c>
      <c r="AJ12" s="85" t="n">
        <f aca="false">IF(OR($AI12="",N($P12)&lt;=0),"",$AI12*$P12)</f>
        <v>210000</v>
      </c>
      <c r="AK12" s="79" t="str">
        <f aca="false">IF(NOT(ISNUMBER($L12)),"",IF(MONTH($L12)&gt;=4,YEAR($L12)&amp;"-"&amp;RIGHT(YEAR($L12)+1,2),(YEAR($L12)-1)&amp;"-"&amp;RIGHT(YEAR($L12),2)))</f>
        <v>2025-26</v>
      </c>
      <c r="AL12" s="78"/>
      <c r="AM12" s="79" t="str">
        <f aca="false">IF($A12&amp;$B12&amp;$C12="","",IF($A12="","Missing ID",IF(COUNTIF($A$6:$A$205,$A12)&gt;1,"Duplicate ID",IF($AN12="","Unknown account",IF($AO12="","Unknown security",IF(COUNTIFS(Holdings!$B$6:$B$205,$B12,Holdings!$C$6:$C$205,$C12)=0,"No holding row for this lot",IF(OR($I12="",$J12=""),"Missing purchase quantity or rate",IF(NOT(ISNUMBER($H12)),"Missing purchase date",IF(N($H12)&gt;ValDate,"Purchase after valuation date",IF(N($M12)&gt;N($I12),"Sale quantity exceeds purchase",IF(AND(N($M12)&gt;0,OR(NOT(ISNUMBER($L12)),$N12="")),"Sale date or rate missing",IF(AND(ISNUMBER($L12),N($M12)=0),"Sale date with no quantity",IF(AND(ISNUMBER($L12),N($L12)&lt;N($H12)),"Sale before purchase",IF(N($L12)&gt;ValDate,"Sale after valuation date","OK"))))))))))))))</f>
        <v>OK</v>
      </c>
      <c r="AN12" s="89" t="n">
        <f aca="false">IF($B12="","",IFERROR(MATCH($B12,Accounts!$A$6:$A$55,0),""))</f>
        <v>4</v>
      </c>
      <c r="AO12" s="89" t="n">
        <f aca="false">IF($C12="","",IFERROR(MATCH($C12,Securities!$A$6:$A$105,0),""))</f>
        <v>5</v>
      </c>
      <c r="AP12" s="89" t="str">
        <f aca="false">IF($AN12="","",INDEX(Accounts!$B$6:$B$55,$AN12)&amp;"")</f>
        <v>E02</v>
      </c>
      <c r="AQ12" s="89" t="str">
        <f aca="false">IF(AND(ISNUMBER($AG12),N($P12)&gt;0),IF(AND(N($AG12)&gt;0,N($AG12)&lt;=SoonDays),1,""),"")</f>
        <v/>
      </c>
      <c r="AR12" s="89" t="str">
        <f aca="false">IF($AQ12&lt;&gt;1,"",SUMPRODUCT(($AQ$6:$AQ$205=1)*ISNUMBER($AG$6:$AG$205)*($AG$6:$AG$205&lt;$AG12))+SUMPRODUCT(($AQ$6:$AQ12=1)*ISNUMBER($AG$6:$AG12)*($AG$6:$AG12=$AG12)))</f>
        <v/>
      </c>
    </row>
    <row r="13" customFormat="false" ht="15" hidden="false" customHeight="false" outlineLevel="0" collapsed="false">
      <c r="A13" s="77" t="s">
        <v>427</v>
      </c>
      <c r="B13" s="78" t="s">
        <v>326</v>
      </c>
      <c r="C13" s="78" t="s">
        <v>327</v>
      </c>
      <c r="D13" s="79" t="str">
        <f aca="false">IF($AN13="","",INDEX(Accounts!$C$6:$C$55,$AN13)&amp;"")</f>
        <v>Nisha Malhotra</v>
      </c>
      <c r="E13" s="79" t="str">
        <f aca="false">IF($AO13="","",INDEX(Securities!$B$6:$B$105,$AO13)&amp;"")</f>
        <v>Himalaya Flexi Cap Fund – Direct Growth</v>
      </c>
      <c r="F13" s="79" t="str">
        <f aca="false">IF($AO13="","",INDEX(Securities!$C$6:$C$105,$AO13)&amp;"")</f>
        <v>DEMO00000006</v>
      </c>
      <c r="G13" s="79" t="str">
        <f aca="false">IF($AO13="","",INDEX(Securities!$E$6:$E$105,$AO13)&amp;"")</f>
        <v>Equity MF – Large / Flexi / Multi Cap</v>
      </c>
      <c r="H13" s="80" t="n">
        <v>43108</v>
      </c>
      <c r="I13" s="81" t="n">
        <v>1250000</v>
      </c>
      <c r="J13" s="91" t="n">
        <v>38.4</v>
      </c>
      <c r="K13" s="85" t="n">
        <f aca="false">IF(OR($I13="",$J13=""),"",$I13*$J13)</f>
        <v>48000000</v>
      </c>
      <c r="L13" s="80" t="n">
        <v>46003</v>
      </c>
      <c r="M13" s="81" t="n">
        <v>250000</v>
      </c>
      <c r="N13" s="91" t="n">
        <v>91.2</v>
      </c>
      <c r="O13" s="85" t="n">
        <f aca="false">IF(OR($M13="",$N13=""),"",$M13*$N13)</f>
        <v>22800000</v>
      </c>
      <c r="P13" s="88" t="n">
        <f aca="false">IF($C13="","",N($I13)-N($M13))</f>
        <v>1000000</v>
      </c>
      <c r="Q13" s="85" t="n">
        <f aca="false">IF(OR($P13="",$J13=""),"",$P13*$J13)</f>
        <v>38400000</v>
      </c>
      <c r="R13" s="83" t="n">
        <f aca="false">IF($AO13="","",IF(INDEX(Securities!$N$6:$N$105,$AO13)="At cost",IF($J13="","",$J13),IF(INDEX(Securities!$O$6:$O$105,$AO13)="","",INDEX(Securities!$O$6:$O$105,$AO13))))</f>
        <v>96.4312</v>
      </c>
      <c r="S13" s="85" t="n">
        <f aca="false">IF(OR($P13="",$R13=""),"",$P13*$R13)</f>
        <v>96431200</v>
      </c>
      <c r="T13" s="92" t="n">
        <f aca="false">IF(OR(NOT(ISNUMBER($L13)),NOT(ISNUMBER($H13))),"",$L13-$H13)</f>
        <v>2895</v>
      </c>
      <c r="U13" s="79" t="str">
        <f aca="false">IF($T13="","",IF($X13="","Short Term",IF($T13&gt;$X13,"Long Term","Short Term")))</f>
        <v>Long Term</v>
      </c>
      <c r="V13" s="92" t="n">
        <f aca="false">IF(OR(NOT(ISNUMBER($H13)),N($P13)&lt;=0),"",ValDate-$H13)</f>
        <v>3095</v>
      </c>
      <c r="W13" s="79" t="str">
        <f aca="false">IF($V13="","",IF($X13="","Short Term",IF($V13&gt;$X13,"Long Term","Short Term")))</f>
        <v>Long Term</v>
      </c>
      <c r="X13" s="92" t="n">
        <f aca="true">IF($G13="","",IF(ISNA(MATCH($G13,L_Category,0)),"",IF(INDEX(L_CatLT,MATCH($G13,L_Category,0))="","",INDEX(L_CatLT,MATCH($G13,L_Category,0)))))</f>
        <v>365</v>
      </c>
      <c r="Y13" s="83" t="n">
        <f aca="false">IF($AO13="","",IF(INDEX(Securities!$Q$6:$Q$105,$AO13)="","",INDEX(Securities!$Q$6:$Q$105,$AO13)))</f>
        <v>39.12</v>
      </c>
      <c r="Z13" s="79" t="str">
        <f aca="false">IF($C13="","",IF(OR(NOT(ISNUMBER($H13)),$Y13=""),"No",IF($H13&lt;=GFDate,"Yes","No")))</f>
        <v>Yes</v>
      </c>
      <c r="AA13" s="85" t="n">
        <f aca="false">IF(OR($M13="",$N13="",$J13=""),"",$M13*($N13-$J13))</f>
        <v>13200000</v>
      </c>
      <c r="AB13" s="85" t="n">
        <f aca="false">IF(OR(N($P13)&lt;=0,$R13="",$J13=""),"",$P13*($R13-$J13))</f>
        <v>58031200</v>
      </c>
      <c r="AC13" s="83" t="n">
        <f aca="false">IF(OR($M13="",$N13="",$J13=""),"",IF($Z13="Yes",MAX($J13,MIN($Y13,$N13)),$J13))</f>
        <v>39.12</v>
      </c>
      <c r="AD13" s="85" t="n">
        <f aca="false">IF($AC13="","",$M13*($N13-$AC13))</f>
        <v>13020000</v>
      </c>
      <c r="AE13" s="83" t="n">
        <f aca="false">IF(OR(N($P13)&lt;=0,$R13="",$J13=""),"",IF($Z13="Yes",MAX($J13,MIN($Y13,$R13)),$J13))</f>
        <v>39.12</v>
      </c>
      <c r="AF13" s="85" t="n">
        <f aca="false">IF($AE13="","",$P13*($R13-$AE13))</f>
        <v>57311200</v>
      </c>
      <c r="AG13" s="92" t="n">
        <f aca="false">IF(OR($V13="",$X13=""),"",MAX(0,$X13+1-$V13))</f>
        <v>0</v>
      </c>
      <c r="AH13" s="93" t="n">
        <f aca="false">IF(OR($X13="",NOT(ISNUMBER($H13)),N($P13)&lt;=0),"",$H13+$X13+1)</f>
        <v>43474</v>
      </c>
      <c r="AI13" s="91"/>
      <c r="AJ13" s="85" t="str">
        <f aca="false">IF(OR($AI13="",N($P13)&lt;=0),"",$AI13*$P13)</f>
        <v/>
      </c>
      <c r="AK13" s="79" t="str">
        <f aca="false">IF(NOT(ISNUMBER($L13)),"",IF(MONTH($L13)&gt;=4,YEAR($L13)&amp;"-"&amp;RIGHT(YEAR($L13)+1,2),(YEAR($L13)-1)&amp;"-"&amp;RIGHT(YEAR($L13),2)))</f>
        <v>2025-26</v>
      </c>
      <c r="AL13" s="78"/>
      <c r="AM13" s="79" t="str">
        <f aca="false">IF($A13&amp;$B13&amp;$C13="","",IF($A13="","Missing ID",IF(COUNTIF($A$6:$A$205,$A13)&gt;1,"Duplicate ID",IF($AN13="","Unknown account",IF($AO13="","Unknown security",IF(COUNTIFS(Holdings!$B$6:$B$205,$B13,Holdings!$C$6:$C$205,$C13)=0,"No holding row for this lot",IF(OR($I13="",$J13=""),"Missing purchase quantity or rate",IF(NOT(ISNUMBER($H13)),"Missing purchase date",IF(N($H13)&gt;ValDate,"Purchase after valuation date",IF(N($M13)&gt;N($I13),"Sale quantity exceeds purchase",IF(AND(N($M13)&gt;0,OR(NOT(ISNUMBER($L13)),$N13="")),"Sale date or rate missing",IF(AND(ISNUMBER($L13),N($M13)=0),"Sale date with no quantity",IF(AND(ISNUMBER($L13),N($L13)&lt;N($H13)),"Sale before purchase",IF(N($L13)&gt;ValDate,"Sale after valuation date","OK"))))))))))))))</f>
        <v>OK</v>
      </c>
      <c r="AN13" s="89" t="n">
        <f aca="false">IF($B13="","",IFERROR(MATCH($B13,Accounts!$A$6:$A$55,0),""))</f>
        <v>3</v>
      </c>
      <c r="AO13" s="89" t="n">
        <f aca="false">IF($C13="","",IFERROR(MATCH($C13,Securities!$A$6:$A$105,0),""))</f>
        <v>6</v>
      </c>
      <c r="AP13" s="89" t="str">
        <f aca="false">IF($AN13="","",INDEX(Accounts!$B$6:$B$55,$AN13)&amp;"")</f>
        <v>E02</v>
      </c>
      <c r="AQ13" s="89" t="str">
        <f aca="false">IF(AND(ISNUMBER($AG13),N($P13)&gt;0),IF(AND(N($AG13)&gt;0,N($AG13)&lt;=SoonDays),1,""),"")</f>
        <v/>
      </c>
      <c r="AR13" s="89" t="str">
        <f aca="false">IF($AQ13&lt;&gt;1,"",SUMPRODUCT(($AQ$6:$AQ$205=1)*ISNUMBER($AG$6:$AG$205)*($AG$6:$AG$205&lt;$AG13))+SUMPRODUCT(($AQ$6:$AQ13=1)*ISNUMBER($AG$6:$AG13)*($AG$6:$AG13=$AG13)))</f>
        <v/>
      </c>
    </row>
    <row r="14" customFormat="false" ht="15" hidden="false" customHeight="false" outlineLevel="0" collapsed="false">
      <c r="A14" s="77" t="s">
        <v>428</v>
      </c>
      <c r="B14" s="78" t="s">
        <v>310</v>
      </c>
      <c r="C14" s="78" t="s">
        <v>314</v>
      </c>
      <c r="D14" s="79" t="str">
        <f aca="false">IF($AN14="","",INDEX(Accounts!$C$6:$C$55,$AN14)&amp;"")</f>
        <v>Rajiv Malhotra</v>
      </c>
      <c r="E14" s="79" t="str">
        <f aca="false">IF($AO14="","",INDEX(Securities!$B$6:$B$105,$AO14)&amp;"")</f>
        <v>Sahyadri Precision Engineering Ltd</v>
      </c>
      <c r="F14" s="79" t="str">
        <f aca="false">IF($AO14="","",INDEX(Securities!$C$6:$C$105,$AO14)&amp;"")</f>
        <v>DEMO00000002</v>
      </c>
      <c r="G14" s="79" t="str">
        <f aca="false">IF($AO14="","",INDEX(Securities!$E$6:$E$105,$AO14)&amp;"")</f>
        <v>Direct Equity</v>
      </c>
      <c r="H14" s="80" t="n">
        <v>45757</v>
      </c>
      <c r="I14" s="81" t="n">
        <v>5000</v>
      </c>
      <c r="J14" s="91" t="n">
        <v>540</v>
      </c>
      <c r="K14" s="85" t="n">
        <f aca="false">IF(OR($I14="",$J14=""),"",$I14*$J14)</f>
        <v>2700000</v>
      </c>
      <c r="L14" s="80" t="n">
        <v>46034</v>
      </c>
      <c r="M14" s="81" t="n">
        <v>5000</v>
      </c>
      <c r="N14" s="91" t="n">
        <v>604</v>
      </c>
      <c r="O14" s="85" t="n">
        <f aca="false">IF(OR($M14="",$N14=""),"",$M14*$N14)</f>
        <v>3020000</v>
      </c>
      <c r="P14" s="88" t="n">
        <f aca="false">IF($C14="","",N($I14)-N($M14))</f>
        <v>0</v>
      </c>
      <c r="Q14" s="85" t="n">
        <f aca="false">IF(OR($P14="",$J14=""),"",$P14*$J14)</f>
        <v>0</v>
      </c>
      <c r="R14" s="83" t="n">
        <f aca="false">IF($AO14="","",IF(INDEX(Securities!$N$6:$N$105,$AO14)="At cost",IF($J14="","",$J14),IF(INDEX(Securities!$O$6:$O$105,$AO14)="","",INDEX(Securities!$O$6:$O$105,$AO14))))</f>
        <v>612.3</v>
      </c>
      <c r="S14" s="85" t="n">
        <f aca="false">IF(OR($P14="",$R14=""),"",$P14*$R14)</f>
        <v>0</v>
      </c>
      <c r="T14" s="92" t="n">
        <f aca="false">IF(OR(NOT(ISNUMBER($L14)),NOT(ISNUMBER($H14))),"",$L14-$H14)</f>
        <v>277</v>
      </c>
      <c r="U14" s="79" t="str">
        <f aca="false">IF($T14="","",IF($X14="","Short Term",IF($T14&gt;$X14,"Long Term","Short Term")))</f>
        <v>Short Term</v>
      </c>
      <c r="V14" s="92" t="str">
        <f aca="false">IF(OR(NOT(ISNUMBER($H14)),N($P14)&lt;=0),"",ValDate-$H14)</f>
        <v/>
      </c>
      <c r="W14" s="79" t="str">
        <f aca="false">IF($V14="","",IF($X14="","Short Term",IF($V14&gt;$X14,"Long Term","Short Term")))</f>
        <v/>
      </c>
      <c r="X14" s="92" t="n">
        <f aca="true">IF($G14="","",IF(ISNA(MATCH($G14,L_Category,0)),"",IF(INDEX(L_CatLT,MATCH($G14,L_Category,0))="","",INDEX(L_CatLT,MATCH($G14,L_Category,0)))))</f>
        <v>365</v>
      </c>
      <c r="Y14" s="83" t="n">
        <f aca="false">IF($AO14="","",IF(INDEX(Securities!$Q$6:$Q$105,$AO14)="","",INDEX(Securities!$Q$6:$Q$105,$AO14)))</f>
        <v>405</v>
      </c>
      <c r="Z14" s="79" t="str">
        <f aca="false">IF($C14="","",IF(OR(NOT(ISNUMBER($H14)),$Y14=""),"No",IF($H14&lt;=GFDate,"Yes","No")))</f>
        <v>No</v>
      </c>
      <c r="AA14" s="85" t="n">
        <f aca="false">IF(OR($M14="",$N14="",$J14=""),"",$M14*($N14-$J14))</f>
        <v>320000</v>
      </c>
      <c r="AB14" s="85" t="str">
        <f aca="false">IF(OR(N($P14)&lt;=0,$R14="",$J14=""),"",$P14*($R14-$J14))</f>
        <v/>
      </c>
      <c r="AC14" s="83" t="n">
        <f aca="false">IF(OR($M14="",$N14="",$J14=""),"",IF($Z14="Yes",MAX($J14,MIN($Y14,$N14)),$J14))</f>
        <v>540</v>
      </c>
      <c r="AD14" s="85" t="n">
        <f aca="false">IF($AC14="","",$M14*($N14-$AC14))</f>
        <v>320000</v>
      </c>
      <c r="AE14" s="83" t="str">
        <f aca="false">IF(OR(N($P14)&lt;=0,$R14="",$J14=""),"",IF($Z14="Yes",MAX($J14,MIN($Y14,$R14)),$J14))</f>
        <v/>
      </c>
      <c r="AF14" s="85" t="str">
        <f aca="false">IF($AE14="","",$P14*($R14-$AE14))</f>
        <v/>
      </c>
      <c r="AG14" s="92" t="str">
        <f aca="false">IF(OR($V14="",$X14=""),"",MAX(0,$X14+1-$V14))</f>
        <v/>
      </c>
      <c r="AH14" s="93" t="str">
        <f aca="false">IF(OR($X14="",NOT(ISNUMBER($H14)),N($P14)&lt;=0),"",$H14+$X14+1)</f>
        <v/>
      </c>
      <c r="AI14" s="91"/>
      <c r="AJ14" s="85" t="str">
        <f aca="false">IF(OR($AI14="",N($P14)&lt;=0),"",$AI14*$P14)</f>
        <v/>
      </c>
      <c r="AK14" s="79" t="str">
        <f aca="false">IF(NOT(ISNUMBER($L14)),"",IF(MONTH($L14)&gt;=4,YEAR($L14)&amp;"-"&amp;RIGHT(YEAR($L14)+1,2),(YEAR($L14)-1)&amp;"-"&amp;RIGHT(YEAR($L14),2)))</f>
        <v>2025-26</v>
      </c>
      <c r="AL14" s="78"/>
      <c r="AM14" s="79" t="str">
        <f aca="false">IF($A14&amp;$B14&amp;$C14="","",IF($A14="","Missing ID",IF(COUNTIF($A$6:$A$205,$A14)&gt;1,"Duplicate ID",IF($AN14="","Unknown account",IF($AO14="","Unknown security",IF(COUNTIFS(Holdings!$B$6:$B$205,$B14,Holdings!$C$6:$C$205,$C14)=0,"No holding row for this lot",IF(OR($I14="",$J14=""),"Missing purchase quantity or rate",IF(NOT(ISNUMBER($H14)),"Missing purchase date",IF(N($H14)&gt;ValDate,"Purchase after valuation date",IF(N($M14)&gt;N($I14),"Sale quantity exceeds purchase",IF(AND(N($M14)&gt;0,OR(NOT(ISNUMBER($L14)),$N14="")),"Sale date or rate missing",IF(AND(ISNUMBER($L14),N($M14)=0),"Sale date with no quantity",IF(AND(ISNUMBER($L14),N($L14)&lt;N($H14)),"Sale before purchase",IF(N($L14)&gt;ValDate,"Sale after valuation date","OK"))))))))))))))</f>
        <v>OK</v>
      </c>
      <c r="AN14" s="89" t="n">
        <f aca="false">IF($B14="","",IFERROR(MATCH($B14,Accounts!$A$6:$A$55,0),""))</f>
        <v>1</v>
      </c>
      <c r="AO14" s="89" t="n">
        <f aca="false">IF($C14="","",IFERROR(MATCH($C14,Securities!$A$6:$A$105,0),""))</f>
        <v>2</v>
      </c>
      <c r="AP14" s="89" t="str">
        <f aca="false">IF($AN14="","",INDEX(Accounts!$B$6:$B$55,$AN14)&amp;"")</f>
        <v>E01</v>
      </c>
      <c r="AQ14" s="89" t="str">
        <f aca="false">IF(AND(ISNUMBER($AG14),N($P14)&gt;0),IF(AND(N($AG14)&gt;0,N($AG14)&lt;=SoonDays),1,""),"")</f>
        <v/>
      </c>
      <c r="AR14" s="89" t="str">
        <f aca="false">IF($AQ14&lt;&gt;1,"",SUMPRODUCT(($AQ$6:$AQ$205=1)*ISNUMBER($AG$6:$AG$205)*($AG$6:$AG$205&lt;$AG14))+SUMPRODUCT(($AQ$6:$AQ14=1)*ISNUMBER($AG$6:$AG14)*($AG$6:$AG14=$AG14)))</f>
        <v/>
      </c>
    </row>
    <row r="15" customFormat="false" ht="15" hidden="false" customHeight="false" outlineLevel="0" collapsed="false">
      <c r="A15" s="77"/>
      <c r="B15" s="78"/>
      <c r="C15" s="78"/>
      <c r="D15" s="79" t="str">
        <f aca="false">IF($AN15="","",INDEX(Accounts!$C$6:$C$55,$AN15)&amp;"")</f>
        <v/>
      </c>
      <c r="E15" s="79" t="str">
        <f aca="false">IF($AO15="","",INDEX(Securities!$B$6:$B$105,$AO15)&amp;"")</f>
        <v/>
      </c>
      <c r="F15" s="79" t="str">
        <f aca="false">IF($AO15="","",INDEX(Securities!$C$6:$C$105,$AO15)&amp;"")</f>
        <v/>
      </c>
      <c r="G15" s="79" t="str">
        <f aca="false">IF($AO15="","",INDEX(Securities!$E$6:$E$105,$AO15)&amp;"")</f>
        <v/>
      </c>
      <c r="H15" s="80"/>
      <c r="I15" s="81"/>
      <c r="J15" s="91"/>
      <c r="K15" s="85" t="str">
        <f aca="false">IF(OR($I15="",$J15=""),"",$I15*$J15)</f>
        <v/>
      </c>
      <c r="L15" s="80"/>
      <c r="M15" s="81"/>
      <c r="N15" s="91"/>
      <c r="O15" s="85" t="str">
        <f aca="false">IF(OR($M15="",$N15=""),"",$M15*$N15)</f>
        <v/>
      </c>
      <c r="P15" s="88" t="str">
        <f aca="false">IF($C15="","",N($I15)-N($M15))</f>
        <v/>
      </c>
      <c r="Q15" s="85" t="str">
        <f aca="false">IF(OR($P15="",$J15=""),"",$P15*$J15)</f>
        <v/>
      </c>
      <c r="R15" s="83" t="str">
        <f aca="false">IF($AO15="","",IF(INDEX(Securities!$N$6:$N$105,$AO15)="At cost",IF($J15="","",$J15),IF(INDEX(Securities!$O$6:$O$105,$AO15)="","",INDEX(Securities!$O$6:$O$105,$AO15))))</f>
        <v/>
      </c>
      <c r="S15" s="85" t="str">
        <f aca="false">IF(OR($P15="",$R15=""),"",$P15*$R15)</f>
        <v/>
      </c>
      <c r="T15" s="92" t="str">
        <f aca="false">IF(OR(NOT(ISNUMBER($L15)),NOT(ISNUMBER($H15))),"",$L15-$H15)</f>
        <v/>
      </c>
      <c r="U15" s="79" t="str">
        <f aca="false">IF($T15="","",IF($X15="","Short Term",IF($T15&gt;$X15,"Long Term","Short Term")))</f>
        <v/>
      </c>
      <c r="V15" s="92" t="str">
        <f aca="false">IF(OR(NOT(ISNUMBER($H15)),N($P15)&lt;=0),"",ValDate-$H15)</f>
        <v/>
      </c>
      <c r="W15" s="79" t="str">
        <f aca="false">IF($V15="","",IF($X15="","Short Term",IF($V15&gt;$X15,"Long Term","Short Term")))</f>
        <v/>
      </c>
      <c r="X15" s="92" t="str">
        <f aca="true">IF($G15="","",IF(ISNA(MATCH($G15,L_Category,0)),"",IF(INDEX(L_CatLT,MATCH($G15,L_Category,0))="","",INDEX(L_CatLT,MATCH($G15,L_Category,0)))))</f>
        <v/>
      </c>
      <c r="Y15" s="83" t="str">
        <f aca="false">IF($AO15="","",IF(INDEX(Securities!$Q$6:$Q$105,$AO15)="","",INDEX(Securities!$Q$6:$Q$105,$AO15)))</f>
        <v/>
      </c>
      <c r="Z15" s="79" t="str">
        <f aca="false">IF($C15="","",IF(OR(NOT(ISNUMBER($H15)),$Y15=""),"No",IF($H15&lt;=GFDate,"Yes","No")))</f>
        <v/>
      </c>
      <c r="AA15" s="85" t="str">
        <f aca="false">IF(OR($M15="",$N15="",$J15=""),"",$M15*($N15-$J15))</f>
        <v/>
      </c>
      <c r="AB15" s="85" t="str">
        <f aca="false">IF(OR(N($P15)&lt;=0,$R15="",$J15=""),"",$P15*($R15-$J15))</f>
        <v/>
      </c>
      <c r="AC15" s="83" t="str">
        <f aca="false">IF(OR($M15="",$N15="",$J15=""),"",IF($Z15="Yes",MAX($J15,MIN($Y15,$N15)),$J15))</f>
        <v/>
      </c>
      <c r="AD15" s="85" t="str">
        <f aca="false">IF($AC15="","",$M15*($N15-$AC15))</f>
        <v/>
      </c>
      <c r="AE15" s="83" t="str">
        <f aca="false">IF(OR(N($P15)&lt;=0,$R15="",$J15=""),"",IF($Z15="Yes",MAX($J15,MIN($Y15,$R15)),$J15))</f>
        <v/>
      </c>
      <c r="AF15" s="85" t="str">
        <f aca="false">IF($AE15="","",$P15*($R15-$AE15))</f>
        <v/>
      </c>
      <c r="AG15" s="92" t="str">
        <f aca="false">IF(OR($V15="",$X15=""),"",MAX(0,$X15+1-$V15))</f>
        <v/>
      </c>
      <c r="AH15" s="93" t="str">
        <f aca="false">IF(OR($X15="",NOT(ISNUMBER($H15)),N($P15)&lt;=0),"",$H15+$X15+1)</f>
        <v/>
      </c>
      <c r="AI15" s="91"/>
      <c r="AJ15" s="85" t="str">
        <f aca="false">IF(OR($AI15="",N($P15)&lt;=0),"",$AI15*$P15)</f>
        <v/>
      </c>
      <c r="AK15" s="79" t="str">
        <f aca="false">IF(NOT(ISNUMBER($L15)),"",IF(MONTH($L15)&gt;=4,YEAR($L15)&amp;"-"&amp;RIGHT(YEAR($L15)+1,2),(YEAR($L15)-1)&amp;"-"&amp;RIGHT(YEAR($L15),2)))</f>
        <v/>
      </c>
      <c r="AL15" s="78"/>
      <c r="AM15" s="79" t="str">
        <f aca="false">IF($A15&amp;$B15&amp;$C15="","",IF($A15="","Missing ID",IF(COUNTIF($A$6:$A$205,$A15)&gt;1,"Duplicate ID",IF($AN15="","Unknown account",IF($AO15="","Unknown security",IF(COUNTIFS(Holdings!$B$6:$B$205,$B15,Holdings!$C$6:$C$205,$C15)=0,"No holding row for this lot",IF(OR($I15="",$J15=""),"Missing purchase quantity or rate",IF(NOT(ISNUMBER($H15)),"Missing purchase date",IF(N($H15)&gt;ValDate,"Purchase after valuation date",IF(N($M15)&gt;N($I15),"Sale quantity exceeds purchase",IF(AND(N($M15)&gt;0,OR(NOT(ISNUMBER($L15)),$N15="")),"Sale date or rate missing",IF(AND(ISNUMBER($L15),N($M15)=0),"Sale date with no quantity",IF(AND(ISNUMBER($L15),N($L15)&lt;N($H15)),"Sale before purchase",IF(N($L15)&gt;ValDate,"Sale after valuation date","OK"))))))))))))))</f>
        <v/>
      </c>
      <c r="AN15" s="89" t="str">
        <f aca="false">IF($B15="","",IFERROR(MATCH($B15,Accounts!$A$6:$A$55,0),""))</f>
        <v/>
      </c>
      <c r="AO15" s="89" t="str">
        <f aca="false">IF($C15="","",IFERROR(MATCH($C15,Securities!$A$6:$A$105,0),""))</f>
        <v/>
      </c>
      <c r="AP15" s="89" t="str">
        <f aca="false">IF($AN15="","",INDEX(Accounts!$B$6:$B$55,$AN15)&amp;"")</f>
        <v/>
      </c>
      <c r="AQ15" s="89" t="str">
        <f aca="false">IF(AND(ISNUMBER($AG15),N($P15)&gt;0),IF(AND(N($AG15)&gt;0,N($AG15)&lt;=SoonDays),1,""),"")</f>
        <v/>
      </c>
      <c r="AR15" s="89" t="str">
        <f aca="false">IF($AQ15&lt;&gt;1,"",SUMPRODUCT(($AQ$6:$AQ$205=1)*ISNUMBER($AG$6:$AG$205)*($AG$6:$AG$205&lt;$AG15))+SUMPRODUCT(($AQ$6:$AQ15=1)*ISNUMBER($AG$6:$AG15)*($AG$6:$AG15=$AG15)))</f>
        <v/>
      </c>
    </row>
    <row r="16" customFormat="false" ht="15" hidden="false" customHeight="false" outlineLevel="0" collapsed="false">
      <c r="A16" s="77"/>
      <c r="B16" s="78"/>
      <c r="C16" s="78"/>
      <c r="D16" s="79" t="str">
        <f aca="false">IF($AN16="","",INDEX(Accounts!$C$6:$C$55,$AN16)&amp;"")</f>
        <v/>
      </c>
      <c r="E16" s="79" t="str">
        <f aca="false">IF($AO16="","",INDEX(Securities!$B$6:$B$105,$AO16)&amp;"")</f>
        <v/>
      </c>
      <c r="F16" s="79" t="str">
        <f aca="false">IF($AO16="","",INDEX(Securities!$C$6:$C$105,$AO16)&amp;"")</f>
        <v/>
      </c>
      <c r="G16" s="79" t="str">
        <f aca="false">IF($AO16="","",INDEX(Securities!$E$6:$E$105,$AO16)&amp;"")</f>
        <v/>
      </c>
      <c r="H16" s="80"/>
      <c r="I16" s="81"/>
      <c r="J16" s="91"/>
      <c r="K16" s="85" t="str">
        <f aca="false">IF(OR($I16="",$J16=""),"",$I16*$J16)</f>
        <v/>
      </c>
      <c r="L16" s="80"/>
      <c r="M16" s="81"/>
      <c r="N16" s="91"/>
      <c r="O16" s="85" t="str">
        <f aca="false">IF(OR($M16="",$N16=""),"",$M16*$N16)</f>
        <v/>
      </c>
      <c r="P16" s="88" t="str">
        <f aca="false">IF($C16="","",N($I16)-N($M16))</f>
        <v/>
      </c>
      <c r="Q16" s="85" t="str">
        <f aca="false">IF(OR($P16="",$J16=""),"",$P16*$J16)</f>
        <v/>
      </c>
      <c r="R16" s="83" t="str">
        <f aca="false">IF($AO16="","",IF(INDEX(Securities!$N$6:$N$105,$AO16)="At cost",IF($J16="","",$J16),IF(INDEX(Securities!$O$6:$O$105,$AO16)="","",INDEX(Securities!$O$6:$O$105,$AO16))))</f>
        <v/>
      </c>
      <c r="S16" s="85" t="str">
        <f aca="false">IF(OR($P16="",$R16=""),"",$P16*$R16)</f>
        <v/>
      </c>
      <c r="T16" s="92" t="str">
        <f aca="false">IF(OR(NOT(ISNUMBER($L16)),NOT(ISNUMBER($H16))),"",$L16-$H16)</f>
        <v/>
      </c>
      <c r="U16" s="79" t="str">
        <f aca="false">IF($T16="","",IF($X16="","Short Term",IF($T16&gt;$X16,"Long Term","Short Term")))</f>
        <v/>
      </c>
      <c r="V16" s="92" t="str">
        <f aca="false">IF(OR(NOT(ISNUMBER($H16)),N($P16)&lt;=0),"",ValDate-$H16)</f>
        <v/>
      </c>
      <c r="W16" s="79" t="str">
        <f aca="false">IF($V16="","",IF($X16="","Short Term",IF($V16&gt;$X16,"Long Term","Short Term")))</f>
        <v/>
      </c>
      <c r="X16" s="92" t="str">
        <f aca="true">IF($G16="","",IF(ISNA(MATCH($G16,L_Category,0)),"",IF(INDEX(L_CatLT,MATCH($G16,L_Category,0))="","",INDEX(L_CatLT,MATCH($G16,L_Category,0)))))</f>
        <v/>
      </c>
      <c r="Y16" s="83" t="str">
        <f aca="false">IF($AO16="","",IF(INDEX(Securities!$Q$6:$Q$105,$AO16)="","",INDEX(Securities!$Q$6:$Q$105,$AO16)))</f>
        <v/>
      </c>
      <c r="Z16" s="79" t="str">
        <f aca="false">IF($C16="","",IF(OR(NOT(ISNUMBER($H16)),$Y16=""),"No",IF($H16&lt;=GFDate,"Yes","No")))</f>
        <v/>
      </c>
      <c r="AA16" s="85" t="str">
        <f aca="false">IF(OR($M16="",$N16="",$J16=""),"",$M16*($N16-$J16))</f>
        <v/>
      </c>
      <c r="AB16" s="85" t="str">
        <f aca="false">IF(OR(N($P16)&lt;=0,$R16="",$J16=""),"",$P16*($R16-$J16))</f>
        <v/>
      </c>
      <c r="AC16" s="83" t="str">
        <f aca="false">IF(OR($M16="",$N16="",$J16=""),"",IF($Z16="Yes",MAX($J16,MIN($Y16,$N16)),$J16))</f>
        <v/>
      </c>
      <c r="AD16" s="85" t="str">
        <f aca="false">IF($AC16="","",$M16*($N16-$AC16))</f>
        <v/>
      </c>
      <c r="AE16" s="83" t="str">
        <f aca="false">IF(OR(N($P16)&lt;=0,$R16="",$J16=""),"",IF($Z16="Yes",MAX($J16,MIN($Y16,$R16)),$J16))</f>
        <v/>
      </c>
      <c r="AF16" s="85" t="str">
        <f aca="false">IF($AE16="","",$P16*($R16-$AE16))</f>
        <v/>
      </c>
      <c r="AG16" s="92" t="str">
        <f aca="false">IF(OR($V16="",$X16=""),"",MAX(0,$X16+1-$V16))</f>
        <v/>
      </c>
      <c r="AH16" s="93" t="str">
        <f aca="false">IF(OR($X16="",NOT(ISNUMBER($H16)),N($P16)&lt;=0),"",$H16+$X16+1)</f>
        <v/>
      </c>
      <c r="AI16" s="91"/>
      <c r="AJ16" s="85" t="str">
        <f aca="false">IF(OR($AI16="",N($P16)&lt;=0),"",$AI16*$P16)</f>
        <v/>
      </c>
      <c r="AK16" s="79" t="str">
        <f aca="false">IF(NOT(ISNUMBER($L16)),"",IF(MONTH($L16)&gt;=4,YEAR($L16)&amp;"-"&amp;RIGHT(YEAR($L16)+1,2),(YEAR($L16)-1)&amp;"-"&amp;RIGHT(YEAR($L16),2)))</f>
        <v/>
      </c>
      <c r="AL16" s="78"/>
      <c r="AM16" s="79" t="str">
        <f aca="false">IF($A16&amp;$B16&amp;$C16="","",IF($A16="","Missing ID",IF(COUNTIF($A$6:$A$205,$A16)&gt;1,"Duplicate ID",IF($AN16="","Unknown account",IF($AO16="","Unknown security",IF(COUNTIFS(Holdings!$B$6:$B$205,$B16,Holdings!$C$6:$C$205,$C16)=0,"No holding row for this lot",IF(OR($I16="",$J16=""),"Missing purchase quantity or rate",IF(NOT(ISNUMBER($H16)),"Missing purchase date",IF(N($H16)&gt;ValDate,"Purchase after valuation date",IF(N($M16)&gt;N($I16),"Sale quantity exceeds purchase",IF(AND(N($M16)&gt;0,OR(NOT(ISNUMBER($L16)),$N16="")),"Sale date or rate missing",IF(AND(ISNUMBER($L16),N($M16)=0),"Sale date with no quantity",IF(AND(ISNUMBER($L16),N($L16)&lt;N($H16)),"Sale before purchase",IF(N($L16)&gt;ValDate,"Sale after valuation date","OK"))))))))))))))</f>
        <v/>
      </c>
      <c r="AN16" s="89" t="str">
        <f aca="false">IF($B16="","",IFERROR(MATCH($B16,Accounts!$A$6:$A$55,0),""))</f>
        <v/>
      </c>
      <c r="AO16" s="89" t="str">
        <f aca="false">IF($C16="","",IFERROR(MATCH($C16,Securities!$A$6:$A$105,0),""))</f>
        <v/>
      </c>
      <c r="AP16" s="89" t="str">
        <f aca="false">IF($AN16="","",INDEX(Accounts!$B$6:$B$55,$AN16)&amp;"")</f>
        <v/>
      </c>
      <c r="AQ16" s="89" t="str">
        <f aca="false">IF(AND(ISNUMBER($AG16),N($P16)&gt;0),IF(AND(N($AG16)&gt;0,N($AG16)&lt;=SoonDays),1,""),"")</f>
        <v/>
      </c>
      <c r="AR16" s="89" t="str">
        <f aca="false">IF($AQ16&lt;&gt;1,"",SUMPRODUCT(($AQ$6:$AQ$205=1)*ISNUMBER($AG$6:$AG$205)*($AG$6:$AG$205&lt;$AG16))+SUMPRODUCT(($AQ$6:$AQ16=1)*ISNUMBER($AG$6:$AG16)*($AG$6:$AG16=$AG16)))</f>
        <v/>
      </c>
    </row>
    <row r="17" customFormat="false" ht="15" hidden="false" customHeight="false" outlineLevel="0" collapsed="false">
      <c r="A17" s="77"/>
      <c r="B17" s="78"/>
      <c r="C17" s="78"/>
      <c r="D17" s="79" t="str">
        <f aca="false">IF($AN17="","",INDEX(Accounts!$C$6:$C$55,$AN17)&amp;"")</f>
        <v/>
      </c>
      <c r="E17" s="79" t="str">
        <f aca="false">IF($AO17="","",INDEX(Securities!$B$6:$B$105,$AO17)&amp;"")</f>
        <v/>
      </c>
      <c r="F17" s="79" t="str">
        <f aca="false">IF($AO17="","",INDEX(Securities!$C$6:$C$105,$AO17)&amp;"")</f>
        <v/>
      </c>
      <c r="G17" s="79" t="str">
        <f aca="false">IF($AO17="","",INDEX(Securities!$E$6:$E$105,$AO17)&amp;"")</f>
        <v/>
      </c>
      <c r="H17" s="80"/>
      <c r="I17" s="81"/>
      <c r="J17" s="91"/>
      <c r="K17" s="85" t="str">
        <f aca="false">IF(OR($I17="",$J17=""),"",$I17*$J17)</f>
        <v/>
      </c>
      <c r="L17" s="80"/>
      <c r="M17" s="81"/>
      <c r="N17" s="91"/>
      <c r="O17" s="85" t="str">
        <f aca="false">IF(OR($M17="",$N17=""),"",$M17*$N17)</f>
        <v/>
      </c>
      <c r="P17" s="88" t="str">
        <f aca="false">IF($C17="","",N($I17)-N($M17))</f>
        <v/>
      </c>
      <c r="Q17" s="85" t="str">
        <f aca="false">IF(OR($P17="",$J17=""),"",$P17*$J17)</f>
        <v/>
      </c>
      <c r="R17" s="83" t="str">
        <f aca="false">IF($AO17="","",IF(INDEX(Securities!$N$6:$N$105,$AO17)="At cost",IF($J17="","",$J17),IF(INDEX(Securities!$O$6:$O$105,$AO17)="","",INDEX(Securities!$O$6:$O$105,$AO17))))</f>
        <v/>
      </c>
      <c r="S17" s="85" t="str">
        <f aca="false">IF(OR($P17="",$R17=""),"",$P17*$R17)</f>
        <v/>
      </c>
      <c r="T17" s="92" t="str">
        <f aca="false">IF(OR(NOT(ISNUMBER($L17)),NOT(ISNUMBER($H17))),"",$L17-$H17)</f>
        <v/>
      </c>
      <c r="U17" s="79" t="str">
        <f aca="false">IF($T17="","",IF($X17="","Short Term",IF($T17&gt;$X17,"Long Term","Short Term")))</f>
        <v/>
      </c>
      <c r="V17" s="92" t="str">
        <f aca="false">IF(OR(NOT(ISNUMBER($H17)),N($P17)&lt;=0),"",ValDate-$H17)</f>
        <v/>
      </c>
      <c r="W17" s="79" t="str">
        <f aca="false">IF($V17="","",IF($X17="","Short Term",IF($V17&gt;$X17,"Long Term","Short Term")))</f>
        <v/>
      </c>
      <c r="X17" s="92" t="str">
        <f aca="true">IF($G17="","",IF(ISNA(MATCH($G17,L_Category,0)),"",IF(INDEX(L_CatLT,MATCH($G17,L_Category,0))="","",INDEX(L_CatLT,MATCH($G17,L_Category,0)))))</f>
        <v/>
      </c>
      <c r="Y17" s="83" t="str">
        <f aca="false">IF($AO17="","",IF(INDEX(Securities!$Q$6:$Q$105,$AO17)="","",INDEX(Securities!$Q$6:$Q$105,$AO17)))</f>
        <v/>
      </c>
      <c r="Z17" s="79" t="str">
        <f aca="false">IF($C17="","",IF(OR(NOT(ISNUMBER($H17)),$Y17=""),"No",IF($H17&lt;=GFDate,"Yes","No")))</f>
        <v/>
      </c>
      <c r="AA17" s="85" t="str">
        <f aca="false">IF(OR($M17="",$N17="",$J17=""),"",$M17*($N17-$J17))</f>
        <v/>
      </c>
      <c r="AB17" s="85" t="str">
        <f aca="false">IF(OR(N($P17)&lt;=0,$R17="",$J17=""),"",$P17*($R17-$J17))</f>
        <v/>
      </c>
      <c r="AC17" s="83" t="str">
        <f aca="false">IF(OR($M17="",$N17="",$J17=""),"",IF($Z17="Yes",MAX($J17,MIN($Y17,$N17)),$J17))</f>
        <v/>
      </c>
      <c r="AD17" s="85" t="str">
        <f aca="false">IF($AC17="","",$M17*($N17-$AC17))</f>
        <v/>
      </c>
      <c r="AE17" s="83" t="str">
        <f aca="false">IF(OR(N($P17)&lt;=0,$R17="",$J17=""),"",IF($Z17="Yes",MAX($J17,MIN($Y17,$R17)),$J17))</f>
        <v/>
      </c>
      <c r="AF17" s="85" t="str">
        <f aca="false">IF($AE17="","",$P17*($R17-$AE17))</f>
        <v/>
      </c>
      <c r="AG17" s="92" t="str">
        <f aca="false">IF(OR($V17="",$X17=""),"",MAX(0,$X17+1-$V17))</f>
        <v/>
      </c>
      <c r="AH17" s="93" t="str">
        <f aca="false">IF(OR($X17="",NOT(ISNUMBER($H17)),N($P17)&lt;=0),"",$H17+$X17+1)</f>
        <v/>
      </c>
      <c r="AI17" s="91"/>
      <c r="AJ17" s="85" t="str">
        <f aca="false">IF(OR($AI17="",N($P17)&lt;=0),"",$AI17*$P17)</f>
        <v/>
      </c>
      <c r="AK17" s="79" t="str">
        <f aca="false">IF(NOT(ISNUMBER($L17)),"",IF(MONTH($L17)&gt;=4,YEAR($L17)&amp;"-"&amp;RIGHT(YEAR($L17)+1,2),(YEAR($L17)-1)&amp;"-"&amp;RIGHT(YEAR($L17),2)))</f>
        <v/>
      </c>
      <c r="AL17" s="78"/>
      <c r="AM17" s="79" t="str">
        <f aca="false">IF($A17&amp;$B17&amp;$C17="","",IF($A17="","Missing ID",IF(COUNTIF($A$6:$A$205,$A17)&gt;1,"Duplicate ID",IF($AN17="","Unknown account",IF($AO17="","Unknown security",IF(COUNTIFS(Holdings!$B$6:$B$205,$B17,Holdings!$C$6:$C$205,$C17)=0,"No holding row for this lot",IF(OR($I17="",$J17=""),"Missing purchase quantity or rate",IF(NOT(ISNUMBER($H17)),"Missing purchase date",IF(N($H17)&gt;ValDate,"Purchase after valuation date",IF(N($M17)&gt;N($I17),"Sale quantity exceeds purchase",IF(AND(N($M17)&gt;0,OR(NOT(ISNUMBER($L17)),$N17="")),"Sale date or rate missing",IF(AND(ISNUMBER($L17),N($M17)=0),"Sale date with no quantity",IF(AND(ISNUMBER($L17),N($L17)&lt;N($H17)),"Sale before purchase",IF(N($L17)&gt;ValDate,"Sale after valuation date","OK"))))))))))))))</f>
        <v/>
      </c>
      <c r="AN17" s="89" t="str">
        <f aca="false">IF($B17="","",IFERROR(MATCH($B17,Accounts!$A$6:$A$55,0),""))</f>
        <v/>
      </c>
      <c r="AO17" s="89" t="str">
        <f aca="false">IF($C17="","",IFERROR(MATCH($C17,Securities!$A$6:$A$105,0),""))</f>
        <v/>
      </c>
      <c r="AP17" s="89" t="str">
        <f aca="false">IF($AN17="","",INDEX(Accounts!$B$6:$B$55,$AN17)&amp;"")</f>
        <v/>
      </c>
      <c r="AQ17" s="89" t="str">
        <f aca="false">IF(AND(ISNUMBER($AG17),N($P17)&gt;0),IF(AND(N($AG17)&gt;0,N($AG17)&lt;=SoonDays),1,""),"")</f>
        <v/>
      </c>
      <c r="AR17" s="89" t="str">
        <f aca="false">IF($AQ17&lt;&gt;1,"",SUMPRODUCT(($AQ$6:$AQ$205=1)*ISNUMBER($AG$6:$AG$205)*($AG$6:$AG$205&lt;$AG17))+SUMPRODUCT(($AQ$6:$AQ17=1)*ISNUMBER($AG$6:$AG17)*($AG$6:$AG17=$AG17)))</f>
        <v/>
      </c>
    </row>
    <row r="18" customFormat="false" ht="15" hidden="false" customHeight="false" outlineLevel="0" collapsed="false">
      <c r="A18" s="77"/>
      <c r="B18" s="78"/>
      <c r="C18" s="78"/>
      <c r="D18" s="79" t="str">
        <f aca="false">IF($AN18="","",INDEX(Accounts!$C$6:$C$55,$AN18)&amp;"")</f>
        <v/>
      </c>
      <c r="E18" s="79" t="str">
        <f aca="false">IF($AO18="","",INDEX(Securities!$B$6:$B$105,$AO18)&amp;"")</f>
        <v/>
      </c>
      <c r="F18" s="79" t="str">
        <f aca="false">IF($AO18="","",INDEX(Securities!$C$6:$C$105,$AO18)&amp;"")</f>
        <v/>
      </c>
      <c r="G18" s="79" t="str">
        <f aca="false">IF($AO18="","",INDEX(Securities!$E$6:$E$105,$AO18)&amp;"")</f>
        <v/>
      </c>
      <c r="H18" s="80"/>
      <c r="I18" s="81"/>
      <c r="J18" s="91"/>
      <c r="K18" s="85" t="str">
        <f aca="false">IF(OR($I18="",$J18=""),"",$I18*$J18)</f>
        <v/>
      </c>
      <c r="L18" s="80"/>
      <c r="M18" s="81"/>
      <c r="N18" s="91"/>
      <c r="O18" s="85" t="str">
        <f aca="false">IF(OR($M18="",$N18=""),"",$M18*$N18)</f>
        <v/>
      </c>
      <c r="P18" s="88" t="str">
        <f aca="false">IF($C18="","",N($I18)-N($M18))</f>
        <v/>
      </c>
      <c r="Q18" s="85" t="str">
        <f aca="false">IF(OR($P18="",$J18=""),"",$P18*$J18)</f>
        <v/>
      </c>
      <c r="R18" s="83" t="str">
        <f aca="false">IF($AO18="","",IF(INDEX(Securities!$N$6:$N$105,$AO18)="At cost",IF($J18="","",$J18),IF(INDEX(Securities!$O$6:$O$105,$AO18)="","",INDEX(Securities!$O$6:$O$105,$AO18))))</f>
        <v/>
      </c>
      <c r="S18" s="85" t="str">
        <f aca="false">IF(OR($P18="",$R18=""),"",$P18*$R18)</f>
        <v/>
      </c>
      <c r="T18" s="92" t="str">
        <f aca="false">IF(OR(NOT(ISNUMBER($L18)),NOT(ISNUMBER($H18))),"",$L18-$H18)</f>
        <v/>
      </c>
      <c r="U18" s="79" t="str">
        <f aca="false">IF($T18="","",IF($X18="","Short Term",IF($T18&gt;$X18,"Long Term","Short Term")))</f>
        <v/>
      </c>
      <c r="V18" s="92" t="str">
        <f aca="false">IF(OR(NOT(ISNUMBER($H18)),N($P18)&lt;=0),"",ValDate-$H18)</f>
        <v/>
      </c>
      <c r="W18" s="79" t="str">
        <f aca="false">IF($V18="","",IF($X18="","Short Term",IF($V18&gt;$X18,"Long Term","Short Term")))</f>
        <v/>
      </c>
      <c r="X18" s="92" t="str">
        <f aca="true">IF($G18="","",IF(ISNA(MATCH($G18,L_Category,0)),"",IF(INDEX(L_CatLT,MATCH($G18,L_Category,0))="","",INDEX(L_CatLT,MATCH($G18,L_Category,0)))))</f>
        <v/>
      </c>
      <c r="Y18" s="83" t="str">
        <f aca="false">IF($AO18="","",IF(INDEX(Securities!$Q$6:$Q$105,$AO18)="","",INDEX(Securities!$Q$6:$Q$105,$AO18)))</f>
        <v/>
      </c>
      <c r="Z18" s="79" t="str">
        <f aca="false">IF($C18="","",IF(OR(NOT(ISNUMBER($H18)),$Y18=""),"No",IF($H18&lt;=GFDate,"Yes","No")))</f>
        <v/>
      </c>
      <c r="AA18" s="85" t="str">
        <f aca="false">IF(OR($M18="",$N18="",$J18=""),"",$M18*($N18-$J18))</f>
        <v/>
      </c>
      <c r="AB18" s="85" t="str">
        <f aca="false">IF(OR(N($P18)&lt;=0,$R18="",$J18=""),"",$P18*($R18-$J18))</f>
        <v/>
      </c>
      <c r="AC18" s="83" t="str">
        <f aca="false">IF(OR($M18="",$N18="",$J18=""),"",IF($Z18="Yes",MAX($J18,MIN($Y18,$N18)),$J18))</f>
        <v/>
      </c>
      <c r="AD18" s="85" t="str">
        <f aca="false">IF($AC18="","",$M18*($N18-$AC18))</f>
        <v/>
      </c>
      <c r="AE18" s="83" t="str">
        <f aca="false">IF(OR(N($P18)&lt;=0,$R18="",$J18=""),"",IF($Z18="Yes",MAX($J18,MIN($Y18,$R18)),$J18))</f>
        <v/>
      </c>
      <c r="AF18" s="85" t="str">
        <f aca="false">IF($AE18="","",$P18*($R18-$AE18))</f>
        <v/>
      </c>
      <c r="AG18" s="92" t="str">
        <f aca="false">IF(OR($V18="",$X18=""),"",MAX(0,$X18+1-$V18))</f>
        <v/>
      </c>
      <c r="AH18" s="93" t="str">
        <f aca="false">IF(OR($X18="",NOT(ISNUMBER($H18)),N($P18)&lt;=0),"",$H18+$X18+1)</f>
        <v/>
      </c>
      <c r="AI18" s="91"/>
      <c r="AJ18" s="85" t="str">
        <f aca="false">IF(OR($AI18="",N($P18)&lt;=0),"",$AI18*$P18)</f>
        <v/>
      </c>
      <c r="AK18" s="79" t="str">
        <f aca="false">IF(NOT(ISNUMBER($L18)),"",IF(MONTH($L18)&gt;=4,YEAR($L18)&amp;"-"&amp;RIGHT(YEAR($L18)+1,2),(YEAR($L18)-1)&amp;"-"&amp;RIGHT(YEAR($L18),2)))</f>
        <v/>
      </c>
      <c r="AL18" s="78"/>
      <c r="AM18" s="79" t="str">
        <f aca="false">IF($A18&amp;$B18&amp;$C18="","",IF($A18="","Missing ID",IF(COUNTIF($A$6:$A$205,$A18)&gt;1,"Duplicate ID",IF($AN18="","Unknown account",IF($AO18="","Unknown security",IF(COUNTIFS(Holdings!$B$6:$B$205,$B18,Holdings!$C$6:$C$205,$C18)=0,"No holding row for this lot",IF(OR($I18="",$J18=""),"Missing purchase quantity or rate",IF(NOT(ISNUMBER($H18)),"Missing purchase date",IF(N($H18)&gt;ValDate,"Purchase after valuation date",IF(N($M18)&gt;N($I18),"Sale quantity exceeds purchase",IF(AND(N($M18)&gt;0,OR(NOT(ISNUMBER($L18)),$N18="")),"Sale date or rate missing",IF(AND(ISNUMBER($L18),N($M18)=0),"Sale date with no quantity",IF(AND(ISNUMBER($L18),N($L18)&lt;N($H18)),"Sale before purchase",IF(N($L18)&gt;ValDate,"Sale after valuation date","OK"))))))))))))))</f>
        <v/>
      </c>
      <c r="AN18" s="89" t="str">
        <f aca="false">IF($B18="","",IFERROR(MATCH($B18,Accounts!$A$6:$A$55,0),""))</f>
        <v/>
      </c>
      <c r="AO18" s="89" t="str">
        <f aca="false">IF($C18="","",IFERROR(MATCH($C18,Securities!$A$6:$A$105,0),""))</f>
        <v/>
      </c>
      <c r="AP18" s="89" t="str">
        <f aca="false">IF($AN18="","",INDEX(Accounts!$B$6:$B$55,$AN18)&amp;"")</f>
        <v/>
      </c>
      <c r="AQ18" s="89" t="str">
        <f aca="false">IF(AND(ISNUMBER($AG18),N($P18)&gt;0),IF(AND(N($AG18)&gt;0,N($AG18)&lt;=SoonDays),1,""),"")</f>
        <v/>
      </c>
      <c r="AR18" s="89" t="str">
        <f aca="false">IF($AQ18&lt;&gt;1,"",SUMPRODUCT(($AQ$6:$AQ$205=1)*ISNUMBER($AG$6:$AG$205)*($AG$6:$AG$205&lt;$AG18))+SUMPRODUCT(($AQ$6:$AQ18=1)*ISNUMBER($AG$6:$AG18)*($AG$6:$AG18=$AG18)))</f>
        <v/>
      </c>
    </row>
    <row r="19" customFormat="false" ht="15" hidden="false" customHeight="false" outlineLevel="0" collapsed="false">
      <c r="A19" s="77"/>
      <c r="B19" s="78"/>
      <c r="C19" s="78"/>
      <c r="D19" s="79" t="str">
        <f aca="false">IF($AN19="","",INDEX(Accounts!$C$6:$C$55,$AN19)&amp;"")</f>
        <v/>
      </c>
      <c r="E19" s="79" t="str">
        <f aca="false">IF($AO19="","",INDEX(Securities!$B$6:$B$105,$AO19)&amp;"")</f>
        <v/>
      </c>
      <c r="F19" s="79" t="str">
        <f aca="false">IF($AO19="","",INDEX(Securities!$C$6:$C$105,$AO19)&amp;"")</f>
        <v/>
      </c>
      <c r="G19" s="79" t="str">
        <f aca="false">IF($AO19="","",INDEX(Securities!$E$6:$E$105,$AO19)&amp;"")</f>
        <v/>
      </c>
      <c r="H19" s="80"/>
      <c r="I19" s="81"/>
      <c r="J19" s="91"/>
      <c r="K19" s="85" t="str">
        <f aca="false">IF(OR($I19="",$J19=""),"",$I19*$J19)</f>
        <v/>
      </c>
      <c r="L19" s="80"/>
      <c r="M19" s="81"/>
      <c r="N19" s="91"/>
      <c r="O19" s="85" t="str">
        <f aca="false">IF(OR($M19="",$N19=""),"",$M19*$N19)</f>
        <v/>
      </c>
      <c r="P19" s="88" t="str">
        <f aca="false">IF($C19="","",N($I19)-N($M19))</f>
        <v/>
      </c>
      <c r="Q19" s="85" t="str">
        <f aca="false">IF(OR($P19="",$J19=""),"",$P19*$J19)</f>
        <v/>
      </c>
      <c r="R19" s="83" t="str">
        <f aca="false">IF($AO19="","",IF(INDEX(Securities!$N$6:$N$105,$AO19)="At cost",IF($J19="","",$J19),IF(INDEX(Securities!$O$6:$O$105,$AO19)="","",INDEX(Securities!$O$6:$O$105,$AO19))))</f>
        <v/>
      </c>
      <c r="S19" s="85" t="str">
        <f aca="false">IF(OR($P19="",$R19=""),"",$P19*$R19)</f>
        <v/>
      </c>
      <c r="T19" s="92" t="str">
        <f aca="false">IF(OR(NOT(ISNUMBER($L19)),NOT(ISNUMBER($H19))),"",$L19-$H19)</f>
        <v/>
      </c>
      <c r="U19" s="79" t="str">
        <f aca="false">IF($T19="","",IF($X19="","Short Term",IF($T19&gt;$X19,"Long Term","Short Term")))</f>
        <v/>
      </c>
      <c r="V19" s="92" t="str">
        <f aca="false">IF(OR(NOT(ISNUMBER($H19)),N($P19)&lt;=0),"",ValDate-$H19)</f>
        <v/>
      </c>
      <c r="W19" s="79" t="str">
        <f aca="false">IF($V19="","",IF($X19="","Short Term",IF($V19&gt;$X19,"Long Term","Short Term")))</f>
        <v/>
      </c>
      <c r="X19" s="92" t="str">
        <f aca="true">IF($G19="","",IF(ISNA(MATCH($G19,L_Category,0)),"",IF(INDEX(L_CatLT,MATCH($G19,L_Category,0))="","",INDEX(L_CatLT,MATCH($G19,L_Category,0)))))</f>
        <v/>
      </c>
      <c r="Y19" s="83" t="str">
        <f aca="false">IF($AO19="","",IF(INDEX(Securities!$Q$6:$Q$105,$AO19)="","",INDEX(Securities!$Q$6:$Q$105,$AO19)))</f>
        <v/>
      </c>
      <c r="Z19" s="79" t="str">
        <f aca="false">IF($C19="","",IF(OR(NOT(ISNUMBER($H19)),$Y19=""),"No",IF($H19&lt;=GFDate,"Yes","No")))</f>
        <v/>
      </c>
      <c r="AA19" s="85" t="str">
        <f aca="false">IF(OR($M19="",$N19="",$J19=""),"",$M19*($N19-$J19))</f>
        <v/>
      </c>
      <c r="AB19" s="85" t="str">
        <f aca="false">IF(OR(N($P19)&lt;=0,$R19="",$J19=""),"",$P19*($R19-$J19))</f>
        <v/>
      </c>
      <c r="AC19" s="83" t="str">
        <f aca="false">IF(OR($M19="",$N19="",$J19=""),"",IF($Z19="Yes",MAX($J19,MIN($Y19,$N19)),$J19))</f>
        <v/>
      </c>
      <c r="AD19" s="85" t="str">
        <f aca="false">IF($AC19="","",$M19*($N19-$AC19))</f>
        <v/>
      </c>
      <c r="AE19" s="83" t="str">
        <f aca="false">IF(OR(N($P19)&lt;=0,$R19="",$J19=""),"",IF($Z19="Yes",MAX($J19,MIN($Y19,$R19)),$J19))</f>
        <v/>
      </c>
      <c r="AF19" s="85" t="str">
        <f aca="false">IF($AE19="","",$P19*($R19-$AE19))</f>
        <v/>
      </c>
      <c r="AG19" s="92" t="str">
        <f aca="false">IF(OR($V19="",$X19=""),"",MAX(0,$X19+1-$V19))</f>
        <v/>
      </c>
      <c r="AH19" s="93" t="str">
        <f aca="false">IF(OR($X19="",NOT(ISNUMBER($H19)),N($P19)&lt;=0),"",$H19+$X19+1)</f>
        <v/>
      </c>
      <c r="AI19" s="91"/>
      <c r="AJ19" s="85" t="str">
        <f aca="false">IF(OR($AI19="",N($P19)&lt;=0),"",$AI19*$P19)</f>
        <v/>
      </c>
      <c r="AK19" s="79" t="str">
        <f aca="false">IF(NOT(ISNUMBER($L19)),"",IF(MONTH($L19)&gt;=4,YEAR($L19)&amp;"-"&amp;RIGHT(YEAR($L19)+1,2),(YEAR($L19)-1)&amp;"-"&amp;RIGHT(YEAR($L19),2)))</f>
        <v/>
      </c>
      <c r="AL19" s="78"/>
      <c r="AM19" s="79" t="str">
        <f aca="false">IF($A19&amp;$B19&amp;$C19="","",IF($A19="","Missing ID",IF(COUNTIF($A$6:$A$205,$A19)&gt;1,"Duplicate ID",IF($AN19="","Unknown account",IF($AO19="","Unknown security",IF(COUNTIFS(Holdings!$B$6:$B$205,$B19,Holdings!$C$6:$C$205,$C19)=0,"No holding row for this lot",IF(OR($I19="",$J19=""),"Missing purchase quantity or rate",IF(NOT(ISNUMBER($H19)),"Missing purchase date",IF(N($H19)&gt;ValDate,"Purchase after valuation date",IF(N($M19)&gt;N($I19),"Sale quantity exceeds purchase",IF(AND(N($M19)&gt;0,OR(NOT(ISNUMBER($L19)),$N19="")),"Sale date or rate missing",IF(AND(ISNUMBER($L19),N($M19)=0),"Sale date with no quantity",IF(AND(ISNUMBER($L19),N($L19)&lt;N($H19)),"Sale before purchase",IF(N($L19)&gt;ValDate,"Sale after valuation date","OK"))))))))))))))</f>
        <v/>
      </c>
      <c r="AN19" s="89" t="str">
        <f aca="false">IF($B19="","",IFERROR(MATCH($B19,Accounts!$A$6:$A$55,0),""))</f>
        <v/>
      </c>
      <c r="AO19" s="89" t="str">
        <f aca="false">IF($C19="","",IFERROR(MATCH($C19,Securities!$A$6:$A$105,0),""))</f>
        <v/>
      </c>
      <c r="AP19" s="89" t="str">
        <f aca="false">IF($AN19="","",INDEX(Accounts!$B$6:$B$55,$AN19)&amp;"")</f>
        <v/>
      </c>
      <c r="AQ19" s="89" t="str">
        <f aca="false">IF(AND(ISNUMBER($AG19),N($P19)&gt;0),IF(AND(N($AG19)&gt;0,N($AG19)&lt;=SoonDays),1,""),"")</f>
        <v/>
      </c>
      <c r="AR19" s="89" t="str">
        <f aca="false">IF($AQ19&lt;&gt;1,"",SUMPRODUCT(($AQ$6:$AQ$205=1)*ISNUMBER($AG$6:$AG$205)*($AG$6:$AG$205&lt;$AG19))+SUMPRODUCT(($AQ$6:$AQ19=1)*ISNUMBER($AG$6:$AG19)*($AG$6:$AG19=$AG19)))</f>
        <v/>
      </c>
    </row>
    <row r="20" customFormat="false" ht="15" hidden="false" customHeight="false" outlineLevel="0" collapsed="false">
      <c r="A20" s="77"/>
      <c r="B20" s="78"/>
      <c r="C20" s="78"/>
      <c r="D20" s="79" t="str">
        <f aca="false">IF($AN20="","",INDEX(Accounts!$C$6:$C$55,$AN20)&amp;"")</f>
        <v/>
      </c>
      <c r="E20" s="79" t="str">
        <f aca="false">IF($AO20="","",INDEX(Securities!$B$6:$B$105,$AO20)&amp;"")</f>
        <v/>
      </c>
      <c r="F20" s="79" t="str">
        <f aca="false">IF($AO20="","",INDEX(Securities!$C$6:$C$105,$AO20)&amp;"")</f>
        <v/>
      </c>
      <c r="G20" s="79" t="str">
        <f aca="false">IF($AO20="","",INDEX(Securities!$E$6:$E$105,$AO20)&amp;"")</f>
        <v/>
      </c>
      <c r="H20" s="80"/>
      <c r="I20" s="81"/>
      <c r="J20" s="91"/>
      <c r="K20" s="85" t="str">
        <f aca="false">IF(OR($I20="",$J20=""),"",$I20*$J20)</f>
        <v/>
      </c>
      <c r="L20" s="80"/>
      <c r="M20" s="81"/>
      <c r="N20" s="91"/>
      <c r="O20" s="85" t="str">
        <f aca="false">IF(OR($M20="",$N20=""),"",$M20*$N20)</f>
        <v/>
      </c>
      <c r="P20" s="88" t="str">
        <f aca="false">IF($C20="","",N($I20)-N($M20))</f>
        <v/>
      </c>
      <c r="Q20" s="85" t="str">
        <f aca="false">IF(OR($P20="",$J20=""),"",$P20*$J20)</f>
        <v/>
      </c>
      <c r="R20" s="83" t="str">
        <f aca="false">IF($AO20="","",IF(INDEX(Securities!$N$6:$N$105,$AO20)="At cost",IF($J20="","",$J20),IF(INDEX(Securities!$O$6:$O$105,$AO20)="","",INDEX(Securities!$O$6:$O$105,$AO20))))</f>
        <v/>
      </c>
      <c r="S20" s="85" t="str">
        <f aca="false">IF(OR($P20="",$R20=""),"",$P20*$R20)</f>
        <v/>
      </c>
      <c r="T20" s="92" t="str">
        <f aca="false">IF(OR(NOT(ISNUMBER($L20)),NOT(ISNUMBER($H20))),"",$L20-$H20)</f>
        <v/>
      </c>
      <c r="U20" s="79" t="str">
        <f aca="false">IF($T20="","",IF($X20="","Short Term",IF($T20&gt;$X20,"Long Term","Short Term")))</f>
        <v/>
      </c>
      <c r="V20" s="92" t="str">
        <f aca="false">IF(OR(NOT(ISNUMBER($H20)),N($P20)&lt;=0),"",ValDate-$H20)</f>
        <v/>
      </c>
      <c r="W20" s="79" t="str">
        <f aca="false">IF($V20="","",IF($X20="","Short Term",IF($V20&gt;$X20,"Long Term","Short Term")))</f>
        <v/>
      </c>
      <c r="X20" s="92" t="str">
        <f aca="true">IF($G20="","",IF(ISNA(MATCH($G20,L_Category,0)),"",IF(INDEX(L_CatLT,MATCH($G20,L_Category,0))="","",INDEX(L_CatLT,MATCH($G20,L_Category,0)))))</f>
        <v/>
      </c>
      <c r="Y20" s="83" t="str">
        <f aca="false">IF($AO20="","",IF(INDEX(Securities!$Q$6:$Q$105,$AO20)="","",INDEX(Securities!$Q$6:$Q$105,$AO20)))</f>
        <v/>
      </c>
      <c r="Z20" s="79" t="str">
        <f aca="false">IF($C20="","",IF(OR(NOT(ISNUMBER($H20)),$Y20=""),"No",IF($H20&lt;=GFDate,"Yes","No")))</f>
        <v/>
      </c>
      <c r="AA20" s="85" t="str">
        <f aca="false">IF(OR($M20="",$N20="",$J20=""),"",$M20*($N20-$J20))</f>
        <v/>
      </c>
      <c r="AB20" s="85" t="str">
        <f aca="false">IF(OR(N($P20)&lt;=0,$R20="",$J20=""),"",$P20*($R20-$J20))</f>
        <v/>
      </c>
      <c r="AC20" s="83" t="str">
        <f aca="false">IF(OR($M20="",$N20="",$J20=""),"",IF($Z20="Yes",MAX($J20,MIN($Y20,$N20)),$J20))</f>
        <v/>
      </c>
      <c r="AD20" s="85" t="str">
        <f aca="false">IF($AC20="","",$M20*($N20-$AC20))</f>
        <v/>
      </c>
      <c r="AE20" s="83" t="str">
        <f aca="false">IF(OR(N($P20)&lt;=0,$R20="",$J20=""),"",IF($Z20="Yes",MAX($J20,MIN($Y20,$R20)),$J20))</f>
        <v/>
      </c>
      <c r="AF20" s="85" t="str">
        <f aca="false">IF($AE20="","",$P20*($R20-$AE20))</f>
        <v/>
      </c>
      <c r="AG20" s="92" t="str">
        <f aca="false">IF(OR($V20="",$X20=""),"",MAX(0,$X20+1-$V20))</f>
        <v/>
      </c>
      <c r="AH20" s="93" t="str">
        <f aca="false">IF(OR($X20="",NOT(ISNUMBER($H20)),N($P20)&lt;=0),"",$H20+$X20+1)</f>
        <v/>
      </c>
      <c r="AI20" s="91"/>
      <c r="AJ20" s="85" t="str">
        <f aca="false">IF(OR($AI20="",N($P20)&lt;=0),"",$AI20*$P20)</f>
        <v/>
      </c>
      <c r="AK20" s="79" t="str">
        <f aca="false">IF(NOT(ISNUMBER($L20)),"",IF(MONTH($L20)&gt;=4,YEAR($L20)&amp;"-"&amp;RIGHT(YEAR($L20)+1,2),(YEAR($L20)-1)&amp;"-"&amp;RIGHT(YEAR($L20),2)))</f>
        <v/>
      </c>
      <c r="AL20" s="78"/>
      <c r="AM20" s="79" t="str">
        <f aca="false">IF($A20&amp;$B20&amp;$C20="","",IF($A20="","Missing ID",IF(COUNTIF($A$6:$A$205,$A20)&gt;1,"Duplicate ID",IF($AN20="","Unknown account",IF($AO20="","Unknown security",IF(COUNTIFS(Holdings!$B$6:$B$205,$B20,Holdings!$C$6:$C$205,$C20)=0,"No holding row for this lot",IF(OR($I20="",$J20=""),"Missing purchase quantity or rate",IF(NOT(ISNUMBER($H20)),"Missing purchase date",IF(N($H20)&gt;ValDate,"Purchase after valuation date",IF(N($M20)&gt;N($I20),"Sale quantity exceeds purchase",IF(AND(N($M20)&gt;0,OR(NOT(ISNUMBER($L20)),$N20="")),"Sale date or rate missing",IF(AND(ISNUMBER($L20),N($M20)=0),"Sale date with no quantity",IF(AND(ISNUMBER($L20),N($L20)&lt;N($H20)),"Sale before purchase",IF(N($L20)&gt;ValDate,"Sale after valuation date","OK"))))))))))))))</f>
        <v/>
      </c>
      <c r="AN20" s="89" t="str">
        <f aca="false">IF($B20="","",IFERROR(MATCH($B20,Accounts!$A$6:$A$55,0),""))</f>
        <v/>
      </c>
      <c r="AO20" s="89" t="str">
        <f aca="false">IF($C20="","",IFERROR(MATCH($C20,Securities!$A$6:$A$105,0),""))</f>
        <v/>
      </c>
      <c r="AP20" s="89" t="str">
        <f aca="false">IF($AN20="","",INDEX(Accounts!$B$6:$B$55,$AN20)&amp;"")</f>
        <v/>
      </c>
      <c r="AQ20" s="89" t="str">
        <f aca="false">IF(AND(ISNUMBER($AG20),N($P20)&gt;0),IF(AND(N($AG20)&gt;0,N($AG20)&lt;=SoonDays),1,""),"")</f>
        <v/>
      </c>
      <c r="AR20" s="89" t="str">
        <f aca="false">IF($AQ20&lt;&gt;1,"",SUMPRODUCT(($AQ$6:$AQ$205=1)*ISNUMBER($AG$6:$AG$205)*($AG$6:$AG$205&lt;$AG20))+SUMPRODUCT(($AQ$6:$AQ20=1)*ISNUMBER($AG$6:$AG20)*($AG$6:$AG20=$AG20)))</f>
        <v/>
      </c>
    </row>
    <row r="21" customFormat="false" ht="15" hidden="false" customHeight="false" outlineLevel="0" collapsed="false">
      <c r="A21" s="77"/>
      <c r="B21" s="78"/>
      <c r="C21" s="78"/>
      <c r="D21" s="79" t="str">
        <f aca="false">IF($AN21="","",INDEX(Accounts!$C$6:$C$55,$AN21)&amp;"")</f>
        <v/>
      </c>
      <c r="E21" s="79" t="str">
        <f aca="false">IF($AO21="","",INDEX(Securities!$B$6:$B$105,$AO21)&amp;"")</f>
        <v/>
      </c>
      <c r="F21" s="79" t="str">
        <f aca="false">IF($AO21="","",INDEX(Securities!$C$6:$C$105,$AO21)&amp;"")</f>
        <v/>
      </c>
      <c r="G21" s="79" t="str">
        <f aca="false">IF($AO21="","",INDEX(Securities!$E$6:$E$105,$AO21)&amp;"")</f>
        <v/>
      </c>
      <c r="H21" s="80"/>
      <c r="I21" s="81"/>
      <c r="J21" s="91"/>
      <c r="K21" s="85" t="str">
        <f aca="false">IF(OR($I21="",$J21=""),"",$I21*$J21)</f>
        <v/>
      </c>
      <c r="L21" s="80"/>
      <c r="M21" s="81"/>
      <c r="N21" s="91"/>
      <c r="O21" s="85" t="str">
        <f aca="false">IF(OR($M21="",$N21=""),"",$M21*$N21)</f>
        <v/>
      </c>
      <c r="P21" s="88" t="str">
        <f aca="false">IF($C21="","",N($I21)-N($M21))</f>
        <v/>
      </c>
      <c r="Q21" s="85" t="str">
        <f aca="false">IF(OR($P21="",$J21=""),"",$P21*$J21)</f>
        <v/>
      </c>
      <c r="R21" s="83" t="str">
        <f aca="false">IF($AO21="","",IF(INDEX(Securities!$N$6:$N$105,$AO21)="At cost",IF($J21="","",$J21),IF(INDEX(Securities!$O$6:$O$105,$AO21)="","",INDEX(Securities!$O$6:$O$105,$AO21))))</f>
        <v/>
      </c>
      <c r="S21" s="85" t="str">
        <f aca="false">IF(OR($P21="",$R21=""),"",$P21*$R21)</f>
        <v/>
      </c>
      <c r="T21" s="92" t="str">
        <f aca="false">IF(OR(NOT(ISNUMBER($L21)),NOT(ISNUMBER($H21))),"",$L21-$H21)</f>
        <v/>
      </c>
      <c r="U21" s="79" t="str">
        <f aca="false">IF($T21="","",IF($X21="","Short Term",IF($T21&gt;$X21,"Long Term","Short Term")))</f>
        <v/>
      </c>
      <c r="V21" s="92" t="str">
        <f aca="false">IF(OR(NOT(ISNUMBER($H21)),N($P21)&lt;=0),"",ValDate-$H21)</f>
        <v/>
      </c>
      <c r="W21" s="79" t="str">
        <f aca="false">IF($V21="","",IF($X21="","Short Term",IF($V21&gt;$X21,"Long Term","Short Term")))</f>
        <v/>
      </c>
      <c r="X21" s="92" t="str">
        <f aca="true">IF($G21="","",IF(ISNA(MATCH($G21,L_Category,0)),"",IF(INDEX(L_CatLT,MATCH($G21,L_Category,0))="","",INDEX(L_CatLT,MATCH($G21,L_Category,0)))))</f>
        <v/>
      </c>
      <c r="Y21" s="83" t="str">
        <f aca="false">IF($AO21="","",IF(INDEX(Securities!$Q$6:$Q$105,$AO21)="","",INDEX(Securities!$Q$6:$Q$105,$AO21)))</f>
        <v/>
      </c>
      <c r="Z21" s="79" t="str">
        <f aca="false">IF($C21="","",IF(OR(NOT(ISNUMBER($H21)),$Y21=""),"No",IF($H21&lt;=GFDate,"Yes","No")))</f>
        <v/>
      </c>
      <c r="AA21" s="85" t="str">
        <f aca="false">IF(OR($M21="",$N21="",$J21=""),"",$M21*($N21-$J21))</f>
        <v/>
      </c>
      <c r="AB21" s="85" t="str">
        <f aca="false">IF(OR(N($P21)&lt;=0,$R21="",$J21=""),"",$P21*($R21-$J21))</f>
        <v/>
      </c>
      <c r="AC21" s="83" t="str">
        <f aca="false">IF(OR($M21="",$N21="",$J21=""),"",IF($Z21="Yes",MAX($J21,MIN($Y21,$N21)),$J21))</f>
        <v/>
      </c>
      <c r="AD21" s="85" t="str">
        <f aca="false">IF($AC21="","",$M21*($N21-$AC21))</f>
        <v/>
      </c>
      <c r="AE21" s="83" t="str">
        <f aca="false">IF(OR(N($P21)&lt;=0,$R21="",$J21=""),"",IF($Z21="Yes",MAX($J21,MIN($Y21,$R21)),$J21))</f>
        <v/>
      </c>
      <c r="AF21" s="85" t="str">
        <f aca="false">IF($AE21="","",$P21*($R21-$AE21))</f>
        <v/>
      </c>
      <c r="AG21" s="92" t="str">
        <f aca="false">IF(OR($V21="",$X21=""),"",MAX(0,$X21+1-$V21))</f>
        <v/>
      </c>
      <c r="AH21" s="93" t="str">
        <f aca="false">IF(OR($X21="",NOT(ISNUMBER($H21)),N($P21)&lt;=0),"",$H21+$X21+1)</f>
        <v/>
      </c>
      <c r="AI21" s="91"/>
      <c r="AJ21" s="85" t="str">
        <f aca="false">IF(OR($AI21="",N($P21)&lt;=0),"",$AI21*$P21)</f>
        <v/>
      </c>
      <c r="AK21" s="79" t="str">
        <f aca="false">IF(NOT(ISNUMBER($L21)),"",IF(MONTH($L21)&gt;=4,YEAR($L21)&amp;"-"&amp;RIGHT(YEAR($L21)+1,2),(YEAR($L21)-1)&amp;"-"&amp;RIGHT(YEAR($L21),2)))</f>
        <v/>
      </c>
      <c r="AL21" s="78"/>
      <c r="AM21" s="79" t="str">
        <f aca="false">IF($A21&amp;$B21&amp;$C21="","",IF($A21="","Missing ID",IF(COUNTIF($A$6:$A$205,$A21)&gt;1,"Duplicate ID",IF($AN21="","Unknown account",IF($AO21="","Unknown security",IF(COUNTIFS(Holdings!$B$6:$B$205,$B21,Holdings!$C$6:$C$205,$C21)=0,"No holding row for this lot",IF(OR($I21="",$J21=""),"Missing purchase quantity or rate",IF(NOT(ISNUMBER($H21)),"Missing purchase date",IF(N($H21)&gt;ValDate,"Purchase after valuation date",IF(N($M21)&gt;N($I21),"Sale quantity exceeds purchase",IF(AND(N($M21)&gt;0,OR(NOT(ISNUMBER($L21)),$N21="")),"Sale date or rate missing",IF(AND(ISNUMBER($L21),N($M21)=0),"Sale date with no quantity",IF(AND(ISNUMBER($L21),N($L21)&lt;N($H21)),"Sale before purchase",IF(N($L21)&gt;ValDate,"Sale after valuation date","OK"))))))))))))))</f>
        <v/>
      </c>
      <c r="AN21" s="89" t="str">
        <f aca="false">IF($B21="","",IFERROR(MATCH($B21,Accounts!$A$6:$A$55,0),""))</f>
        <v/>
      </c>
      <c r="AO21" s="89" t="str">
        <f aca="false">IF($C21="","",IFERROR(MATCH($C21,Securities!$A$6:$A$105,0),""))</f>
        <v/>
      </c>
      <c r="AP21" s="89" t="str">
        <f aca="false">IF($AN21="","",INDEX(Accounts!$B$6:$B$55,$AN21)&amp;"")</f>
        <v/>
      </c>
      <c r="AQ21" s="89" t="str">
        <f aca="false">IF(AND(ISNUMBER($AG21),N($P21)&gt;0),IF(AND(N($AG21)&gt;0,N($AG21)&lt;=SoonDays),1,""),"")</f>
        <v/>
      </c>
      <c r="AR21" s="89" t="str">
        <f aca="false">IF($AQ21&lt;&gt;1,"",SUMPRODUCT(($AQ$6:$AQ$205=1)*ISNUMBER($AG$6:$AG$205)*($AG$6:$AG$205&lt;$AG21))+SUMPRODUCT(($AQ$6:$AQ21=1)*ISNUMBER($AG$6:$AG21)*($AG$6:$AG21=$AG21)))</f>
        <v/>
      </c>
    </row>
    <row r="22" customFormat="false" ht="15" hidden="false" customHeight="false" outlineLevel="0" collapsed="false">
      <c r="A22" s="77"/>
      <c r="B22" s="78"/>
      <c r="C22" s="78"/>
      <c r="D22" s="79" t="str">
        <f aca="false">IF($AN22="","",INDEX(Accounts!$C$6:$C$55,$AN22)&amp;"")</f>
        <v/>
      </c>
      <c r="E22" s="79" t="str">
        <f aca="false">IF($AO22="","",INDEX(Securities!$B$6:$B$105,$AO22)&amp;"")</f>
        <v/>
      </c>
      <c r="F22" s="79" t="str">
        <f aca="false">IF($AO22="","",INDEX(Securities!$C$6:$C$105,$AO22)&amp;"")</f>
        <v/>
      </c>
      <c r="G22" s="79" t="str">
        <f aca="false">IF($AO22="","",INDEX(Securities!$E$6:$E$105,$AO22)&amp;"")</f>
        <v/>
      </c>
      <c r="H22" s="80"/>
      <c r="I22" s="81"/>
      <c r="J22" s="91"/>
      <c r="K22" s="85" t="str">
        <f aca="false">IF(OR($I22="",$J22=""),"",$I22*$J22)</f>
        <v/>
      </c>
      <c r="L22" s="80"/>
      <c r="M22" s="81"/>
      <c r="N22" s="91"/>
      <c r="O22" s="85" t="str">
        <f aca="false">IF(OR($M22="",$N22=""),"",$M22*$N22)</f>
        <v/>
      </c>
      <c r="P22" s="88" t="str">
        <f aca="false">IF($C22="","",N($I22)-N($M22))</f>
        <v/>
      </c>
      <c r="Q22" s="85" t="str">
        <f aca="false">IF(OR($P22="",$J22=""),"",$P22*$J22)</f>
        <v/>
      </c>
      <c r="R22" s="83" t="str">
        <f aca="false">IF($AO22="","",IF(INDEX(Securities!$N$6:$N$105,$AO22)="At cost",IF($J22="","",$J22),IF(INDEX(Securities!$O$6:$O$105,$AO22)="","",INDEX(Securities!$O$6:$O$105,$AO22))))</f>
        <v/>
      </c>
      <c r="S22" s="85" t="str">
        <f aca="false">IF(OR($P22="",$R22=""),"",$P22*$R22)</f>
        <v/>
      </c>
      <c r="T22" s="92" t="str">
        <f aca="false">IF(OR(NOT(ISNUMBER($L22)),NOT(ISNUMBER($H22))),"",$L22-$H22)</f>
        <v/>
      </c>
      <c r="U22" s="79" t="str">
        <f aca="false">IF($T22="","",IF($X22="","Short Term",IF($T22&gt;$X22,"Long Term","Short Term")))</f>
        <v/>
      </c>
      <c r="V22" s="92" t="str">
        <f aca="false">IF(OR(NOT(ISNUMBER($H22)),N($P22)&lt;=0),"",ValDate-$H22)</f>
        <v/>
      </c>
      <c r="W22" s="79" t="str">
        <f aca="false">IF($V22="","",IF($X22="","Short Term",IF($V22&gt;$X22,"Long Term","Short Term")))</f>
        <v/>
      </c>
      <c r="X22" s="92" t="str">
        <f aca="true">IF($G22="","",IF(ISNA(MATCH($G22,L_Category,0)),"",IF(INDEX(L_CatLT,MATCH($G22,L_Category,0))="","",INDEX(L_CatLT,MATCH($G22,L_Category,0)))))</f>
        <v/>
      </c>
      <c r="Y22" s="83" t="str">
        <f aca="false">IF($AO22="","",IF(INDEX(Securities!$Q$6:$Q$105,$AO22)="","",INDEX(Securities!$Q$6:$Q$105,$AO22)))</f>
        <v/>
      </c>
      <c r="Z22" s="79" t="str">
        <f aca="false">IF($C22="","",IF(OR(NOT(ISNUMBER($H22)),$Y22=""),"No",IF($H22&lt;=GFDate,"Yes","No")))</f>
        <v/>
      </c>
      <c r="AA22" s="85" t="str">
        <f aca="false">IF(OR($M22="",$N22="",$J22=""),"",$M22*($N22-$J22))</f>
        <v/>
      </c>
      <c r="AB22" s="85" t="str">
        <f aca="false">IF(OR(N($P22)&lt;=0,$R22="",$J22=""),"",$P22*($R22-$J22))</f>
        <v/>
      </c>
      <c r="AC22" s="83" t="str">
        <f aca="false">IF(OR($M22="",$N22="",$J22=""),"",IF($Z22="Yes",MAX($J22,MIN($Y22,$N22)),$J22))</f>
        <v/>
      </c>
      <c r="AD22" s="85" t="str">
        <f aca="false">IF($AC22="","",$M22*($N22-$AC22))</f>
        <v/>
      </c>
      <c r="AE22" s="83" t="str">
        <f aca="false">IF(OR(N($P22)&lt;=0,$R22="",$J22=""),"",IF($Z22="Yes",MAX($J22,MIN($Y22,$R22)),$J22))</f>
        <v/>
      </c>
      <c r="AF22" s="85" t="str">
        <f aca="false">IF($AE22="","",$P22*($R22-$AE22))</f>
        <v/>
      </c>
      <c r="AG22" s="92" t="str">
        <f aca="false">IF(OR($V22="",$X22=""),"",MAX(0,$X22+1-$V22))</f>
        <v/>
      </c>
      <c r="AH22" s="93" t="str">
        <f aca="false">IF(OR($X22="",NOT(ISNUMBER($H22)),N($P22)&lt;=0),"",$H22+$X22+1)</f>
        <v/>
      </c>
      <c r="AI22" s="91"/>
      <c r="AJ22" s="85" t="str">
        <f aca="false">IF(OR($AI22="",N($P22)&lt;=0),"",$AI22*$P22)</f>
        <v/>
      </c>
      <c r="AK22" s="79" t="str">
        <f aca="false">IF(NOT(ISNUMBER($L22)),"",IF(MONTH($L22)&gt;=4,YEAR($L22)&amp;"-"&amp;RIGHT(YEAR($L22)+1,2),(YEAR($L22)-1)&amp;"-"&amp;RIGHT(YEAR($L22),2)))</f>
        <v/>
      </c>
      <c r="AL22" s="78"/>
      <c r="AM22" s="79" t="str">
        <f aca="false">IF($A22&amp;$B22&amp;$C22="","",IF($A22="","Missing ID",IF(COUNTIF($A$6:$A$205,$A22)&gt;1,"Duplicate ID",IF($AN22="","Unknown account",IF($AO22="","Unknown security",IF(COUNTIFS(Holdings!$B$6:$B$205,$B22,Holdings!$C$6:$C$205,$C22)=0,"No holding row for this lot",IF(OR($I22="",$J22=""),"Missing purchase quantity or rate",IF(NOT(ISNUMBER($H22)),"Missing purchase date",IF(N($H22)&gt;ValDate,"Purchase after valuation date",IF(N($M22)&gt;N($I22),"Sale quantity exceeds purchase",IF(AND(N($M22)&gt;0,OR(NOT(ISNUMBER($L22)),$N22="")),"Sale date or rate missing",IF(AND(ISNUMBER($L22),N($M22)=0),"Sale date with no quantity",IF(AND(ISNUMBER($L22),N($L22)&lt;N($H22)),"Sale before purchase",IF(N($L22)&gt;ValDate,"Sale after valuation date","OK"))))))))))))))</f>
        <v/>
      </c>
      <c r="AN22" s="89" t="str">
        <f aca="false">IF($B22="","",IFERROR(MATCH($B22,Accounts!$A$6:$A$55,0),""))</f>
        <v/>
      </c>
      <c r="AO22" s="89" t="str">
        <f aca="false">IF($C22="","",IFERROR(MATCH($C22,Securities!$A$6:$A$105,0),""))</f>
        <v/>
      </c>
      <c r="AP22" s="89" t="str">
        <f aca="false">IF($AN22="","",INDEX(Accounts!$B$6:$B$55,$AN22)&amp;"")</f>
        <v/>
      </c>
      <c r="AQ22" s="89" t="str">
        <f aca="false">IF(AND(ISNUMBER($AG22),N($P22)&gt;0),IF(AND(N($AG22)&gt;0,N($AG22)&lt;=SoonDays),1,""),"")</f>
        <v/>
      </c>
      <c r="AR22" s="89" t="str">
        <f aca="false">IF($AQ22&lt;&gt;1,"",SUMPRODUCT(($AQ$6:$AQ$205=1)*ISNUMBER($AG$6:$AG$205)*($AG$6:$AG$205&lt;$AG22))+SUMPRODUCT(($AQ$6:$AQ22=1)*ISNUMBER($AG$6:$AG22)*($AG$6:$AG22=$AG22)))</f>
        <v/>
      </c>
    </row>
    <row r="23" customFormat="false" ht="15" hidden="false" customHeight="false" outlineLevel="0" collapsed="false">
      <c r="A23" s="77"/>
      <c r="B23" s="78"/>
      <c r="C23" s="78"/>
      <c r="D23" s="79" t="str">
        <f aca="false">IF($AN23="","",INDEX(Accounts!$C$6:$C$55,$AN23)&amp;"")</f>
        <v/>
      </c>
      <c r="E23" s="79" t="str">
        <f aca="false">IF($AO23="","",INDEX(Securities!$B$6:$B$105,$AO23)&amp;"")</f>
        <v/>
      </c>
      <c r="F23" s="79" t="str">
        <f aca="false">IF($AO23="","",INDEX(Securities!$C$6:$C$105,$AO23)&amp;"")</f>
        <v/>
      </c>
      <c r="G23" s="79" t="str">
        <f aca="false">IF($AO23="","",INDEX(Securities!$E$6:$E$105,$AO23)&amp;"")</f>
        <v/>
      </c>
      <c r="H23" s="80"/>
      <c r="I23" s="81"/>
      <c r="J23" s="91"/>
      <c r="K23" s="85" t="str">
        <f aca="false">IF(OR($I23="",$J23=""),"",$I23*$J23)</f>
        <v/>
      </c>
      <c r="L23" s="80"/>
      <c r="M23" s="81"/>
      <c r="N23" s="91"/>
      <c r="O23" s="85" t="str">
        <f aca="false">IF(OR($M23="",$N23=""),"",$M23*$N23)</f>
        <v/>
      </c>
      <c r="P23" s="88" t="str">
        <f aca="false">IF($C23="","",N($I23)-N($M23))</f>
        <v/>
      </c>
      <c r="Q23" s="85" t="str">
        <f aca="false">IF(OR($P23="",$J23=""),"",$P23*$J23)</f>
        <v/>
      </c>
      <c r="R23" s="83" t="str">
        <f aca="false">IF($AO23="","",IF(INDEX(Securities!$N$6:$N$105,$AO23)="At cost",IF($J23="","",$J23),IF(INDEX(Securities!$O$6:$O$105,$AO23)="","",INDEX(Securities!$O$6:$O$105,$AO23))))</f>
        <v/>
      </c>
      <c r="S23" s="85" t="str">
        <f aca="false">IF(OR($P23="",$R23=""),"",$P23*$R23)</f>
        <v/>
      </c>
      <c r="T23" s="92" t="str">
        <f aca="false">IF(OR(NOT(ISNUMBER($L23)),NOT(ISNUMBER($H23))),"",$L23-$H23)</f>
        <v/>
      </c>
      <c r="U23" s="79" t="str">
        <f aca="false">IF($T23="","",IF($X23="","Short Term",IF($T23&gt;$X23,"Long Term","Short Term")))</f>
        <v/>
      </c>
      <c r="V23" s="92" t="str">
        <f aca="false">IF(OR(NOT(ISNUMBER($H23)),N($P23)&lt;=0),"",ValDate-$H23)</f>
        <v/>
      </c>
      <c r="W23" s="79" t="str">
        <f aca="false">IF($V23="","",IF($X23="","Short Term",IF($V23&gt;$X23,"Long Term","Short Term")))</f>
        <v/>
      </c>
      <c r="X23" s="92" t="str">
        <f aca="true">IF($G23="","",IF(ISNA(MATCH($G23,L_Category,0)),"",IF(INDEX(L_CatLT,MATCH($G23,L_Category,0))="","",INDEX(L_CatLT,MATCH($G23,L_Category,0)))))</f>
        <v/>
      </c>
      <c r="Y23" s="83" t="str">
        <f aca="false">IF($AO23="","",IF(INDEX(Securities!$Q$6:$Q$105,$AO23)="","",INDEX(Securities!$Q$6:$Q$105,$AO23)))</f>
        <v/>
      </c>
      <c r="Z23" s="79" t="str">
        <f aca="false">IF($C23="","",IF(OR(NOT(ISNUMBER($H23)),$Y23=""),"No",IF($H23&lt;=GFDate,"Yes","No")))</f>
        <v/>
      </c>
      <c r="AA23" s="85" t="str">
        <f aca="false">IF(OR($M23="",$N23="",$J23=""),"",$M23*($N23-$J23))</f>
        <v/>
      </c>
      <c r="AB23" s="85" t="str">
        <f aca="false">IF(OR(N($P23)&lt;=0,$R23="",$J23=""),"",$P23*($R23-$J23))</f>
        <v/>
      </c>
      <c r="AC23" s="83" t="str">
        <f aca="false">IF(OR($M23="",$N23="",$J23=""),"",IF($Z23="Yes",MAX($J23,MIN($Y23,$N23)),$J23))</f>
        <v/>
      </c>
      <c r="AD23" s="85" t="str">
        <f aca="false">IF($AC23="","",$M23*($N23-$AC23))</f>
        <v/>
      </c>
      <c r="AE23" s="83" t="str">
        <f aca="false">IF(OR(N($P23)&lt;=0,$R23="",$J23=""),"",IF($Z23="Yes",MAX($J23,MIN($Y23,$R23)),$J23))</f>
        <v/>
      </c>
      <c r="AF23" s="85" t="str">
        <f aca="false">IF($AE23="","",$P23*($R23-$AE23))</f>
        <v/>
      </c>
      <c r="AG23" s="92" t="str">
        <f aca="false">IF(OR($V23="",$X23=""),"",MAX(0,$X23+1-$V23))</f>
        <v/>
      </c>
      <c r="AH23" s="93" t="str">
        <f aca="false">IF(OR($X23="",NOT(ISNUMBER($H23)),N($P23)&lt;=0),"",$H23+$X23+1)</f>
        <v/>
      </c>
      <c r="AI23" s="91"/>
      <c r="AJ23" s="85" t="str">
        <f aca="false">IF(OR($AI23="",N($P23)&lt;=0),"",$AI23*$P23)</f>
        <v/>
      </c>
      <c r="AK23" s="79" t="str">
        <f aca="false">IF(NOT(ISNUMBER($L23)),"",IF(MONTH($L23)&gt;=4,YEAR($L23)&amp;"-"&amp;RIGHT(YEAR($L23)+1,2),(YEAR($L23)-1)&amp;"-"&amp;RIGHT(YEAR($L23),2)))</f>
        <v/>
      </c>
      <c r="AL23" s="78"/>
      <c r="AM23" s="79" t="str">
        <f aca="false">IF($A23&amp;$B23&amp;$C23="","",IF($A23="","Missing ID",IF(COUNTIF($A$6:$A$205,$A23)&gt;1,"Duplicate ID",IF($AN23="","Unknown account",IF($AO23="","Unknown security",IF(COUNTIFS(Holdings!$B$6:$B$205,$B23,Holdings!$C$6:$C$205,$C23)=0,"No holding row for this lot",IF(OR($I23="",$J23=""),"Missing purchase quantity or rate",IF(NOT(ISNUMBER($H23)),"Missing purchase date",IF(N($H23)&gt;ValDate,"Purchase after valuation date",IF(N($M23)&gt;N($I23),"Sale quantity exceeds purchase",IF(AND(N($M23)&gt;0,OR(NOT(ISNUMBER($L23)),$N23="")),"Sale date or rate missing",IF(AND(ISNUMBER($L23),N($M23)=0),"Sale date with no quantity",IF(AND(ISNUMBER($L23),N($L23)&lt;N($H23)),"Sale before purchase",IF(N($L23)&gt;ValDate,"Sale after valuation date","OK"))))))))))))))</f>
        <v/>
      </c>
      <c r="AN23" s="89" t="str">
        <f aca="false">IF($B23="","",IFERROR(MATCH($B23,Accounts!$A$6:$A$55,0),""))</f>
        <v/>
      </c>
      <c r="AO23" s="89" t="str">
        <f aca="false">IF($C23="","",IFERROR(MATCH($C23,Securities!$A$6:$A$105,0),""))</f>
        <v/>
      </c>
      <c r="AP23" s="89" t="str">
        <f aca="false">IF($AN23="","",INDEX(Accounts!$B$6:$B$55,$AN23)&amp;"")</f>
        <v/>
      </c>
      <c r="AQ23" s="89" t="str">
        <f aca="false">IF(AND(ISNUMBER($AG23),N($P23)&gt;0),IF(AND(N($AG23)&gt;0,N($AG23)&lt;=SoonDays),1,""),"")</f>
        <v/>
      </c>
      <c r="AR23" s="89" t="str">
        <f aca="false">IF($AQ23&lt;&gt;1,"",SUMPRODUCT(($AQ$6:$AQ$205=1)*ISNUMBER($AG$6:$AG$205)*($AG$6:$AG$205&lt;$AG23))+SUMPRODUCT(($AQ$6:$AQ23=1)*ISNUMBER($AG$6:$AG23)*($AG$6:$AG23=$AG23)))</f>
        <v/>
      </c>
    </row>
    <row r="24" customFormat="false" ht="15" hidden="false" customHeight="false" outlineLevel="0" collapsed="false">
      <c r="A24" s="77"/>
      <c r="B24" s="78"/>
      <c r="C24" s="78"/>
      <c r="D24" s="79" t="str">
        <f aca="false">IF($AN24="","",INDEX(Accounts!$C$6:$C$55,$AN24)&amp;"")</f>
        <v/>
      </c>
      <c r="E24" s="79" t="str">
        <f aca="false">IF($AO24="","",INDEX(Securities!$B$6:$B$105,$AO24)&amp;"")</f>
        <v/>
      </c>
      <c r="F24" s="79" t="str">
        <f aca="false">IF($AO24="","",INDEX(Securities!$C$6:$C$105,$AO24)&amp;"")</f>
        <v/>
      </c>
      <c r="G24" s="79" t="str">
        <f aca="false">IF($AO24="","",INDEX(Securities!$E$6:$E$105,$AO24)&amp;"")</f>
        <v/>
      </c>
      <c r="H24" s="80"/>
      <c r="I24" s="81"/>
      <c r="J24" s="91"/>
      <c r="K24" s="85" t="str">
        <f aca="false">IF(OR($I24="",$J24=""),"",$I24*$J24)</f>
        <v/>
      </c>
      <c r="L24" s="80"/>
      <c r="M24" s="81"/>
      <c r="N24" s="91"/>
      <c r="O24" s="85" t="str">
        <f aca="false">IF(OR($M24="",$N24=""),"",$M24*$N24)</f>
        <v/>
      </c>
      <c r="P24" s="88" t="str">
        <f aca="false">IF($C24="","",N($I24)-N($M24))</f>
        <v/>
      </c>
      <c r="Q24" s="85" t="str">
        <f aca="false">IF(OR($P24="",$J24=""),"",$P24*$J24)</f>
        <v/>
      </c>
      <c r="R24" s="83" t="str">
        <f aca="false">IF($AO24="","",IF(INDEX(Securities!$N$6:$N$105,$AO24)="At cost",IF($J24="","",$J24),IF(INDEX(Securities!$O$6:$O$105,$AO24)="","",INDEX(Securities!$O$6:$O$105,$AO24))))</f>
        <v/>
      </c>
      <c r="S24" s="85" t="str">
        <f aca="false">IF(OR($P24="",$R24=""),"",$P24*$R24)</f>
        <v/>
      </c>
      <c r="T24" s="92" t="str">
        <f aca="false">IF(OR(NOT(ISNUMBER($L24)),NOT(ISNUMBER($H24))),"",$L24-$H24)</f>
        <v/>
      </c>
      <c r="U24" s="79" t="str">
        <f aca="false">IF($T24="","",IF($X24="","Short Term",IF($T24&gt;$X24,"Long Term","Short Term")))</f>
        <v/>
      </c>
      <c r="V24" s="92" t="str">
        <f aca="false">IF(OR(NOT(ISNUMBER($H24)),N($P24)&lt;=0),"",ValDate-$H24)</f>
        <v/>
      </c>
      <c r="W24" s="79" t="str">
        <f aca="false">IF($V24="","",IF($X24="","Short Term",IF($V24&gt;$X24,"Long Term","Short Term")))</f>
        <v/>
      </c>
      <c r="X24" s="92" t="str">
        <f aca="true">IF($G24="","",IF(ISNA(MATCH($G24,L_Category,0)),"",IF(INDEX(L_CatLT,MATCH($G24,L_Category,0))="","",INDEX(L_CatLT,MATCH($G24,L_Category,0)))))</f>
        <v/>
      </c>
      <c r="Y24" s="83" t="str">
        <f aca="false">IF($AO24="","",IF(INDEX(Securities!$Q$6:$Q$105,$AO24)="","",INDEX(Securities!$Q$6:$Q$105,$AO24)))</f>
        <v/>
      </c>
      <c r="Z24" s="79" t="str">
        <f aca="false">IF($C24="","",IF(OR(NOT(ISNUMBER($H24)),$Y24=""),"No",IF($H24&lt;=GFDate,"Yes","No")))</f>
        <v/>
      </c>
      <c r="AA24" s="85" t="str">
        <f aca="false">IF(OR($M24="",$N24="",$J24=""),"",$M24*($N24-$J24))</f>
        <v/>
      </c>
      <c r="AB24" s="85" t="str">
        <f aca="false">IF(OR(N($P24)&lt;=0,$R24="",$J24=""),"",$P24*($R24-$J24))</f>
        <v/>
      </c>
      <c r="AC24" s="83" t="str">
        <f aca="false">IF(OR($M24="",$N24="",$J24=""),"",IF($Z24="Yes",MAX($J24,MIN($Y24,$N24)),$J24))</f>
        <v/>
      </c>
      <c r="AD24" s="85" t="str">
        <f aca="false">IF($AC24="","",$M24*($N24-$AC24))</f>
        <v/>
      </c>
      <c r="AE24" s="83" t="str">
        <f aca="false">IF(OR(N($P24)&lt;=0,$R24="",$J24=""),"",IF($Z24="Yes",MAX($J24,MIN($Y24,$R24)),$J24))</f>
        <v/>
      </c>
      <c r="AF24" s="85" t="str">
        <f aca="false">IF($AE24="","",$P24*($R24-$AE24))</f>
        <v/>
      </c>
      <c r="AG24" s="92" t="str">
        <f aca="false">IF(OR($V24="",$X24=""),"",MAX(0,$X24+1-$V24))</f>
        <v/>
      </c>
      <c r="AH24" s="93" t="str">
        <f aca="false">IF(OR($X24="",NOT(ISNUMBER($H24)),N($P24)&lt;=0),"",$H24+$X24+1)</f>
        <v/>
      </c>
      <c r="AI24" s="91"/>
      <c r="AJ24" s="85" t="str">
        <f aca="false">IF(OR($AI24="",N($P24)&lt;=0),"",$AI24*$P24)</f>
        <v/>
      </c>
      <c r="AK24" s="79" t="str">
        <f aca="false">IF(NOT(ISNUMBER($L24)),"",IF(MONTH($L24)&gt;=4,YEAR($L24)&amp;"-"&amp;RIGHT(YEAR($L24)+1,2),(YEAR($L24)-1)&amp;"-"&amp;RIGHT(YEAR($L24),2)))</f>
        <v/>
      </c>
      <c r="AL24" s="78"/>
      <c r="AM24" s="79" t="str">
        <f aca="false">IF($A24&amp;$B24&amp;$C24="","",IF($A24="","Missing ID",IF(COUNTIF($A$6:$A$205,$A24)&gt;1,"Duplicate ID",IF($AN24="","Unknown account",IF($AO24="","Unknown security",IF(COUNTIFS(Holdings!$B$6:$B$205,$B24,Holdings!$C$6:$C$205,$C24)=0,"No holding row for this lot",IF(OR($I24="",$J24=""),"Missing purchase quantity or rate",IF(NOT(ISNUMBER($H24)),"Missing purchase date",IF(N($H24)&gt;ValDate,"Purchase after valuation date",IF(N($M24)&gt;N($I24),"Sale quantity exceeds purchase",IF(AND(N($M24)&gt;0,OR(NOT(ISNUMBER($L24)),$N24="")),"Sale date or rate missing",IF(AND(ISNUMBER($L24),N($M24)=0),"Sale date with no quantity",IF(AND(ISNUMBER($L24),N($L24)&lt;N($H24)),"Sale before purchase",IF(N($L24)&gt;ValDate,"Sale after valuation date","OK"))))))))))))))</f>
        <v/>
      </c>
      <c r="AN24" s="89" t="str">
        <f aca="false">IF($B24="","",IFERROR(MATCH($B24,Accounts!$A$6:$A$55,0),""))</f>
        <v/>
      </c>
      <c r="AO24" s="89" t="str">
        <f aca="false">IF($C24="","",IFERROR(MATCH($C24,Securities!$A$6:$A$105,0),""))</f>
        <v/>
      </c>
      <c r="AP24" s="89" t="str">
        <f aca="false">IF($AN24="","",INDEX(Accounts!$B$6:$B$55,$AN24)&amp;"")</f>
        <v/>
      </c>
      <c r="AQ24" s="89" t="str">
        <f aca="false">IF(AND(ISNUMBER($AG24),N($P24)&gt;0),IF(AND(N($AG24)&gt;0,N($AG24)&lt;=SoonDays),1,""),"")</f>
        <v/>
      </c>
      <c r="AR24" s="89" t="str">
        <f aca="false">IF($AQ24&lt;&gt;1,"",SUMPRODUCT(($AQ$6:$AQ$205=1)*ISNUMBER($AG$6:$AG$205)*($AG$6:$AG$205&lt;$AG24))+SUMPRODUCT(($AQ$6:$AQ24=1)*ISNUMBER($AG$6:$AG24)*($AG$6:$AG24=$AG24)))</f>
        <v/>
      </c>
    </row>
    <row r="25" customFormat="false" ht="15" hidden="false" customHeight="false" outlineLevel="0" collapsed="false">
      <c r="A25" s="77"/>
      <c r="B25" s="78"/>
      <c r="C25" s="78"/>
      <c r="D25" s="79" t="str">
        <f aca="false">IF($AN25="","",INDEX(Accounts!$C$6:$C$55,$AN25)&amp;"")</f>
        <v/>
      </c>
      <c r="E25" s="79" t="str">
        <f aca="false">IF($AO25="","",INDEX(Securities!$B$6:$B$105,$AO25)&amp;"")</f>
        <v/>
      </c>
      <c r="F25" s="79" t="str">
        <f aca="false">IF($AO25="","",INDEX(Securities!$C$6:$C$105,$AO25)&amp;"")</f>
        <v/>
      </c>
      <c r="G25" s="79" t="str">
        <f aca="false">IF($AO25="","",INDEX(Securities!$E$6:$E$105,$AO25)&amp;"")</f>
        <v/>
      </c>
      <c r="H25" s="80"/>
      <c r="I25" s="81"/>
      <c r="J25" s="91"/>
      <c r="K25" s="85" t="str">
        <f aca="false">IF(OR($I25="",$J25=""),"",$I25*$J25)</f>
        <v/>
      </c>
      <c r="L25" s="80"/>
      <c r="M25" s="81"/>
      <c r="N25" s="91"/>
      <c r="O25" s="85" t="str">
        <f aca="false">IF(OR($M25="",$N25=""),"",$M25*$N25)</f>
        <v/>
      </c>
      <c r="P25" s="88" t="str">
        <f aca="false">IF($C25="","",N($I25)-N($M25))</f>
        <v/>
      </c>
      <c r="Q25" s="85" t="str">
        <f aca="false">IF(OR($P25="",$J25=""),"",$P25*$J25)</f>
        <v/>
      </c>
      <c r="R25" s="83" t="str">
        <f aca="false">IF($AO25="","",IF(INDEX(Securities!$N$6:$N$105,$AO25)="At cost",IF($J25="","",$J25),IF(INDEX(Securities!$O$6:$O$105,$AO25)="","",INDEX(Securities!$O$6:$O$105,$AO25))))</f>
        <v/>
      </c>
      <c r="S25" s="85" t="str">
        <f aca="false">IF(OR($P25="",$R25=""),"",$P25*$R25)</f>
        <v/>
      </c>
      <c r="T25" s="92" t="str">
        <f aca="false">IF(OR(NOT(ISNUMBER($L25)),NOT(ISNUMBER($H25))),"",$L25-$H25)</f>
        <v/>
      </c>
      <c r="U25" s="79" t="str">
        <f aca="false">IF($T25="","",IF($X25="","Short Term",IF($T25&gt;$X25,"Long Term","Short Term")))</f>
        <v/>
      </c>
      <c r="V25" s="92" t="str">
        <f aca="false">IF(OR(NOT(ISNUMBER($H25)),N($P25)&lt;=0),"",ValDate-$H25)</f>
        <v/>
      </c>
      <c r="W25" s="79" t="str">
        <f aca="false">IF($V25="","",IF($X25="","Short Term",IF($V25&gt;$X25,"Long Term","Short Term")))</f>
        <v/>
      </c>
      <c r="X25" s="92" t="str">
        <f aca="true">IF($G25="","",IF(ISNA(MATCH($G25,L_Category,0)),"",IF(INDEX(L_CatLT,MATCH($G25,L_Category,0))="","",INDEX(L_CatLT,MATCH($G25,L_Category,0)))))</f>
        <v/>
      </c>
      <c r="Y25" s="83" t="str">
        <f aca="false">IF($AO25="","",IF(INDEX(Securities!$Q$6:$Q$105,$AO25)="","",INDEX(Securities!$Q$6:$Q$105,$AO25)))</f>
        <v/>
      </c>
      <c r="Z25" s="79" t="str">
        <f aca="false">IF($C25="","",IF(OR(NOT(ISNUMBER($H25)),$Y25=""),"No",IF($H25&lt;=GFDate,"Yes","No")))</f>
        <v/>
      </c>
      <c r="AA25" s="85" t="str">
        <f aca="false">IF(OR($M25="",$N25="",$J25=""),"",$M25*($N25-$J25))</f>
        <v/>
      </c>
      <c r="AB25" s="85" t="str">
        <f aca="false">IF(OR(N($P25)&lt;=0,$R25="",$J25=""),"",$P25*($R25-$J25))</f>
        <v/>
      </c>
      <c r="AC25" s="83" t="str">
        <f aca="false">IF(OR($M25="",$N25="",$J25=""),"",IF($Z25="Yes",MAX($J25,MIN($Y25,$N25)),$J25))</f>
        <v/>
      </c>
      <c r="AD25" s="85" t="str">
        <f aca="false">IF($AC25="","",$M25*($N25-$AC25))</f>
        <v/>
      </c>
      <c r="AE25" s="83" t="str">
        <f aca="false">IF(OR(N($P25)&lt;=0,$R25="",$J25=""),"",IF($Z25="Yes",MAX($J25,MIN($Y25,$R25)),$J25))</f>
        <v/>
      </c>
      <c r="AF25" s="85" t="str">
        <f aca="false">IF($AE25="","",$P25*($R25-$AE25))</f>
        <v/>
      </c>
      <c r="AG25" s="92" t="str">
        <f aca="false">IF(OR($V25="",$X25=""),"",MAX(0,$X25+1-$V25))</f>
        <v/>
      </c>
      <c r="AH25" s="93" t="str">
        <f aca="false">IF(OR($X25="",NOT(ISNUMBER($H25)),N($P25)&lt;=0),"",$H25+$X25+1)</f>
        <v/>
      </c>
      <c r="AI25" s="91"/>
      <c r="AJ25" s="85" t="str">
        <f aca="false">IF(OR($AI25="",N($P25)&lt;=0),"",$AI25*$P25)</f>
        <v/>
      </c>
      <c r="AK25" s="79" t="str">
        <f aca="false">IF(NOT(ISNUMBER($L25)),"",IF(MONTH($L25)&gt;=4,YEAR($L25)&amp;"-"&amp;RIGHT(YEAR($L25)+1,2),(YEAR($L25)-1)&amp;"-"&amp;RIGHT(YEAR($L25),2)))</f>
        <v/>
      </c>
      <c r="AL25" s="78"/>
      <c r="AM25" s="79" t="str">
        <f aca="false">IF($A25&amp;$B25&amp;$C25="","",IF($A25="","Missing ID",IF(COUNTIF($A$6:$A$205,$A25)&gt;1,"Duplicate ID",IF($AN25="","Unknown account",IF($AO25="","Unknown security",IF(COUNTIFS(Holdings!$B$6:$B$205,$B25,Holdings!$C$6:$C$205,$C25)=0,"No holding row for this lot",IF(OR($I25="",$J25=""),"Missing purchase quantity or rate",IF(NOT(ISNUMBER($H25)),"Missing purchase date",IF(N($H25)&gt;ValDate,"Purchase after valuation date",IF(N($M25)&gt;N($I25),"Sale quantity exceeds purchase",IF(AND(N($M25)&gt;0,OR(NOT(ISNUMBER($L25)),$N25="")),"Sale date or rate missing",IF(AND(ISNUMBER($L25),N($M25)=0),"Sale date with no quantity",IF(AND(ISNUMBER($L25),N($L25)&lt;N($H25)),"Sale before purchase",IF(N($L25)&gt;ValDate,"Sale after valuation date","OK"))))))))))))))</f>
        <v/>
      </c>
      <c r="AN25" s="89" t="str">
        <f aca="false">IF($B25="","",IFERROR(MATCH($B25,Accounts!$A$6:$A$55,0),""))</f>
        <v/>
      </c>
      <c r="AO25" s="89" t="str">
        <f aca="false">IF($C25="","",IFERROR(MATCH($C25,Securities!$A$6:$A$105,0),""))</f>
        <v/>
      </c>
      <c r="AP25" s="89" t="str">
        <f aca="false">IF($AN25="","",INDEX(Accounts!$B$6:$B$55,$AN25)&amp;"")</f>
        <v/>
      </c>
      <c r="AQ25" s="89" t="str">
        <f aca="false">IF(AND(ISNUMBER($AG25),N($P25)&gt;0),IF(AND(N($AG25)&gt;0,N($AG25)&lt;=SoonDays),1,""),"")</f>
        <v/>
      </c>
      <c r="AR25" s="89" t="str">
        <f aca="false">IF($AQ25&lt;&gt;1,"",SUMPRODUCT(($AQ$6:$AQ$205=1)*ISNUMBER($AG$6:$AG$205)*($AG$6:$AG$205&lt;$AG25))+SUMPRODUCT(($AQ$6:$AQ25=1)*ISNUMBER($AG$6:$AG25)*($AG$6:$AG25=$AG25)))</f>
        <v/>
      </c>
    </row>
    <row r="26" customFormat="false" ht="15" hidden="false" customHeight="false" outlineLevel="0" collapsed="false">
      <c r="A26" s="77"/>
      <c r="B26" s="78"/>
      <c r="C26" s="78"/>
      <c r="D26" s="79" t="str">
        <f aca="false">IF($AN26="","",INDEX(Accounts!$C$6:$C$55,$AN26)&amp;"")</f>
        <v/>
      </c>
      <c r="E26" s="79" t="str">
        <f aca="false">IF($AO26="","",INDEX(Securities!$B$6:$B$105,$AO26)&amp;"")</f>
        <v/>
      </c>
      <c r="F26" s="79" t="str">
        <f aca="false">IF($AO26="","",INDEX(Securities!$C$6:$C$105,$AO26)&amp;"")</f>
        <v/>
      </c>
      <c r="G26" s="79" t="str">
        <f aca="false">IF($AO26="","",INDEX(Securities!$E$6:$E$105,$AO26)&amp;"")</f>
        <v/>
      </c>
      <c r="H26" s="80"/>
      <c r="I26" s="81"/>
      <c r="J26" s="91"/>
      <c r="K26" s="85" t="str">
        <f aca="false">IF(OR($I26="",$J26=""),"",$I26*$J26)</f>
        <v/>
      </c>
      <c r="L26" s="80"/>
      <c r="M26" s="81"/>
      <c r="N26" s="91"/>
      <c r="O26" s="85" t="str">
        <f aca="false">IF(OR($M26="",$N26=""),"",$M26*$N26)</f>
        <v/>
      </c>
      <c r="P26" s="88" t="str">
        <f aca="false">IF($C26="","",N($I26)-N($M26))</f>
        <v/>
      </c>
      <c r="Q26" s="85" t="str">
        <f aca="false">IF(OR($P26="",$J26=""),"",$P26*$J26)</f>
        <v/>
      </c>
      <c r="R26" s="83" t="str">
        <f aca="false">IF($AO26="","",IF(INDEX(Securities!$N$6:$N$105,$AO26)="At cost",IF($J26="","",$J26),IF(INDEX(Securities!$O$6:$O$105,$AO26)="","",INDEX(Securities!$O$6:$O$105,$AO26))))</f>
        <v/>
      </c>
      <c r="S26" s="85" t="str">
        <f aca="false">IF(OR($P26="",$R26=""),"",$P26*$R26)</f>
        <v/>
      </c>
      <c r="T26" s="92" t="str">
        <f aca="false">IF(OR(NOT(ISNUMBER($L26)),NOT(ISNUMBER($H26))),"",$L26-$H26)</f>
        <v/>
      </c>
      <c r="U26" s="79" t="str">
        <f aca="false">IF($T26="","",IF($X26="","Short Term",IF($T26&gt;$X26,"Long Term","Short Term")))</f>
        <v/>
      </c>
      <c r="V26" s="92" t="str">
        <f aca="false">IF(OR(NOT(ISNUMBER($H26)),N($P26)&lt;=0),"",ValDate-$H26)</f>
        <v/>
      </c>
      <c r="W26" s="79" t="str">
        <f aca="false">IF($V26="","",IF($X26="","Short Term",IF($V26&gt;$X26,"Long Term","Short Term")))</f>
        <v/>
      </c>
      <c r="X26" s="92" t="str">
        <f aca="true">IF($G26="","",IF(ISNA(MATCH($G26,L_Category,0)),"",IF(INDEX(L_CatLT,MATCH($G26,L_Category,0))="","",INDEX(L_CatLT,MATCH($G26,L_Category,0)))))</f>
        <v/>
      </c>
      <c r="Y26" s="83" t="str">
        <f aca="false">IF($AO26="","",IF(INDEX(Securities!$Q$6:$Q$105,$AO26)="","",INDEX(Securities!$Q$6:$Q$105,$AO26)))</f>
        <v/>
      </c>
      <c r="Z26" s="79" t="str">
        <f aca="false">IF($C26="","",IF(OR(NOT(ISNUMBER($H26)),$Y26=""),"No",IF($H26&lt;=GFDate,"Yes","No")))</f>
        <v/>
      </c>
      <c r="AA26" s="85" t="str">
        <f aca="false">IF(OR($M26="",$N26="",$J26=""),"",$M26*($N26-$J26))</f>
        <v/>
      </c>
      <c r="AB26" s="85" t="str">
        <f aca="false">IF(OR(N($P26)&lt;=0,$R26="",$J26=""),"",$P26*($R26-$J26))</f>
        <v/>
      </c>
      <c r="AC26" s="83" t="str">
        <f aca="false">IF(OR($M26="",$N26="",$J26=""),"",IF($Z26="Yes",MAX($J26,MIN($Y26,$N26)),$J26))</f>
        <v/>
      </c>
      <c r="AD26" s="85" t="str">
        <f aca="false">IF($AC26="","",$M26*($N26-$AC26))</f>
        <v/>
      </c>
      <c r="AE26" s="83" t="str">
        <f aca="false">IF(OR(N($P26)&lt;=0,$R26="",$J26=""),"",IF($Z26="Yes",MAX($J26,MIN($Y26,$R26)),$J26))</f>
        <v/>
      </c>
      <c r="AF26" s="85" t="str">
        <f aca="false">IF($AE26="","",$P26*($R26-$AE26))</f>
        <v/>
      </c>
      <c r="AG26" s="92" t="str">
        <f aca="false">IF(OR($V26="",$X26=""),"",MAX(0,$X26+1-$V26))</f>
        <v/>
      </c>
      <c r="AH26" s="93" t="str">
        <f aca="false">IF(OR($X26="",NOT(ISNUMBER($H26)),N($P26)&lt;=0),"",$H26+$X26+1)</f>
        <v/>
      </c>
      <c r="AI26" s="91"/>
      <c r="AJ26" s="85" t="str">
        <f aca="false">IF(OR($AI26="",N($P26)&lt;=0),"",$AI26*$P26)</f>
        <v/>
      </c>
      <c r="AK26" s="79" t="str">
        <f aca="false">IF(NOT(ISNUMBER($L26)),"",IF(MONTH($L26)&gt;=4,YEAR($L26)&amp;"-"&amp;RIGHT(YEAR($L26)+1,2),(YEAR($L26)-1)&amp;"-"&amp;RIGHT(YEAR($L26),2)))</f>
        <v/>
      </c>
      <c r="AL26" s="78"/>
      <c r="AM26" s="79" t="str">
        <f aca="false">IF($A26&amp;$B26&amp;$C26="","",IF($A26="","Missing ID",IF(COUNTIF($A$6:$A$205,$A26)&gt;1,"Duplicate ID",IF($AN26="","Unknown account",IF($AO26="","Unknown security",IF(COUNTIFS(Holdings!$B$6:$B$205,$B26,Holdings!$C$6:$C$205,$C26)=0,"No holding row for this lot",IF(OR($I26="",$J26=""),"Missing purchase quantity or rate",IF(NOT(ISNUMBER($H26)),"Missing purchase date",IF(N($H26)&gt;ValDate,"Purchase after valuation date",IF(N($M26)&gt;N($I26),"Sale quantity exceeds purchase",IF(AND(N($M26)&gt;0,OR(NOT(ISNUMBER($L26)),$N26="")),"Sale date or rate missing",IF(AND(ISNUMBER($L26),N($M26)=0),"Sale date with no quantity",IF(AND(ISNUMBER($L26),N($L26)&lt;N($H26)),"Sale before purchase",IF(N($L26)&gt;ValDate,"Sale after valuation date","OK"))))))))))))))</f>
        <v/>
      </c>
      <c r="AN26" s="89" t="str">
        <f aca="false">IF($B26="","",IFERROR(MATCH($B26,Accounts!$A$6:$A$55,0),""))</f>
        <v/>
      </c>
      <c r="AO26" s="89" t="str">
        <f aca="false">IF($C26="","",IFERROR(MATCH($C26,Securities!$A$6:$A$105,0),""))</f>
        <v/>
      </c>
      <c r="AP26" s="89" t="str">
        <f aca="false">IF($AN26="","",INDEX(Accounts!$B$6:$B$55,$AN26)&amp;"")</f>
        <v/>
      </c>
      <c r="AQ26" s="89" t="str">
        <f aca="false">IF(AND(ISNUMBER($AG26),N($P26)&gt;0),IF(AND(N($AG26)&gt;0,N($AG26)&lt;=SoonDays),1,""),"")</f>
        <v/>
      </c>
      <c r="AR26" s="89" t="str">
        <f aca="false">IF($AQ26&lt;&gt;1,"",SUMPRODUCT(($AQ$6:$AQ$205=1)*ISNUMBER($AG$6:$AG$205)*($AG$6:$AG$205&lt;$AG26))+SUMPRODUCT(($AQ$6:$AQ26=1)*ISNUMBER($AG$6:$AG26)*($AG$6:$AG26=$AG26)))</f>
        <v/>
      </c>
    </row>
    <row r="27" customFormat="false" ht="15" hidden="false" customHeight="false" outlineLevel="0" collapsed="false">
      <c r="A27" s="77"/>
      <c r="B27" s="78"/>
      <c r="C27" s="78"/>
      <c r="D27" s="79" t="str">
        <f aca="false">IF($AN27="","",INDEX(Accounts!$C$6:$C$55,$AN27)&amp;"")</f>
        <v/>
      </c>
      <c r="E27" s="79" t="str">
        <f aca="false">IF($AO27="","",INDEX(Securities!$B$6:$B$105,$AO27)&amp;"")</f>
        <v/>
      </c>
      <c r="F27" s="79" t="str">
        <f aca="false">IF($AO27="","",INDEX(Securities!$C$6:$C$105,$AO27)&amp;"")</f>
        <v/>
      </c>
      <c r="G27" s="79" t="str">
        <f aca="false">IF($AO27="","",INDEX(Securities!$E$6:$E$105,$AO27)&amp;"")</f>
        <v/>
      </c>
      <c r="H27" s="80"/>
      <c r="I27" s="81"/>
      <c r="J27" s="91"/>
      <c r="K27" s="85" t="str">
        <f aca="false">IF(OR($I27="",$J27=""),"",$I27*$J27)</f>
        <v/>
      </c>
      <c r="L27" s="80"/>
      <c r="M27" s="81"/>
      <c r="N27" s="91"/>
      <c r="O27" s="85" t="str">
        <f aca="false">IF(OR($M27="",$N27=""),"",$M27*$N27)</f>
        <v/>
      </c>
      <c r="P27" s="88" t="str">
        <f aca="false">IF($C27="","",N($I27)-N($M27))</f>
        <v/>
      </c>
      <c r="Q27" s="85" t="str">
        <f aca="false">IF(OR($P27="",$J27=""),"",$P27*$J27)</f>
        <v/>
      </c>
      <c r="R27" s="83" t="str">
        <f aca="false">IF($AO27="","",IF(INDEX(Securities!$N$6:$N$105,$AO27)="At cost",IF($J27="","",$J27),IF(INDEX(Securities!$O$6:$O$105,$AO27)="","",INDEX(Securities!$O$6:$O$105,$AO27))))</f>
        <v/>
      </c>
      <c r="S27" s="85" t="str">
        <f aca="false">IF(OR($P27="",$R27=""),"",$P27*$R27)</f>
        <v/>
      </c>
      <c r="T27" s="92" t="str">
        <f aca="false">IF(OR(NOT(ISNUMBER($L27)),NOT(ISNUMBER($H27))),"",$L27-$H27)</f>
        <v/>
      </c>
      <c r="U27" s="79" t="str">
        <f aca="false">IF($T27="","",IF($X27="","Short Term",IF($T27&gt;$X27,"Long Term","Short Term")))</f>
        <v/>
      </c>
      <c r="V27" s="92" t="str">
        <f aca="false">IF(OR(NOT(ISNUMBER($H27)),N($P27)&lt;=0),"",ValDate-$H27)</f>
        <v/>
      </c>
      <c r="W27" s="79" t="str">
        <f aca="false">IF($V27="","",IF($X27="","Short Term",IF($V27&gt;$X27,"Long Term","Short Term")))</f>
        <v/>
      </c>
      <c r="X27" s="92" t="str">
        <f aca="true">IF($G27="","",IF(ISNA(MATCH($G27,L_Category,0)),"",IF(INDEX(L_CatLT,MATCH($G27,L_Category,0))="","",INDEX(L_CatLT,MATCH($G27,L_Category,0)))))</f>
        <v/>
      </c>
      <c r="Y27" s="83" t="str">
        <f aca="false">IF($AO27="","",IF(INDEX(Securities!$Q$6:$Q$105,$AO27)="","",INDEX(Securities!$Q$6:$Q$105,$AO27)))</f>
        <v/>
      </c>
      <c r="Z27" s="79" t="str">
        <f aca="false">IF($C27="","",IF(OR(NOT(ISNUMBER($H27)),$Y27=""),"No",IF($H27&lt;=GFDate,"Yes","No")))</f>
        <v/>
      </c>
      <c r="AA27" s="85" t="str">
        <f aca="false">IF(OR($M27="",$N27="",$J27=""),"",$M27*($N27-$J27))</f>
        <v/>
      </c>
      <c r="AB27" s="85" t="str">
        <f aca="false">IF(OR(N($P27)&lt;=0,$R27="",$J27=""),"",$P27*($R27-$J27))</f>
        <v/>
      </c>
      <c r="AC27" s="83" t="str">
        <f aca="false">IF(OR($M27="",$N27="",$J27=""),"",IF($Z27="Yes",MAX($J27,MIN($Y27,$N27)),$J27))</f>
        <v/>
      </c>
      <c r="AD27" s="85" t="str">
        <f aca="false">IF($AC27="","",$M27*($N27-$AC27))</f>
        <v/>
      </c>
      <c r="AE27" s="83" t="str">
        <f aca="false">IF(OR(N($P27)&lt;=0,$R27="",$J27=""),"",IF($Z27="Yes",MAX($J27,MIN($Y27,$R27)),$J27))</f>
        <v/>
      </c>
      <c r="AF27" s="85" t="str">
        <f aca="false">IF($AE27="","",$P27*($R27-$AE27))</f>
        <v/>
      </c>
      <c r="AG27" s="92" t="str">
        <f aca="false">IF(OR($V27="",$X27=""),"",MAX(0,$X27+1-$V27))</f>
        <v/>
      </c>
      <c r="AH27" s="93" t="str">
        <f aca="false">IF(OR($X27="",NOT(ISNUMBER($H27)),N($P27)&lt;=0),"",$H27+$X27+1)</f>
        <v/>
      </c>
      <c r="AI27" s="91"/>
      <c r="AJ27" s="85" t="str">
        <f aca="false">IF(OR($AI27="",N($P27)&lt;=0),"",$AI27*$P27)</f>
        <v/>
      </c>
      <c r="AK27" s="79" t="str">
        <f aca="false">IF(NOT(ISNUMBER($L27)),"",IF(MONTH($L27)&gt;=4,YEAR($L27)&amp;"-"&amp;RIGHT(YEAR($L27)+1,2),(YEAR($L27)-1)&amp;"-"&amp;RIGHT(YEAR($L27),2)))</f>
        <v/>
      </c>
      <c r="AL27" s="78"/>
      <c r="AM27" s="79" t="str">
        <f aca="false">IF($A27&amp;$B27&amp;$C27="","",IF($A27="","Missing ID",IF(COUNTIF($A$6:$A$205,$A27)&gt;1,"Duplicate ID",IF($AN27="","Unknown account",IF($AO27="","Unknown security",IF(COUNTIFS(Holdings!$B$6:$B$205,$B27,Holdings!$C$6:$C$205,$C27)=0,"No holding row for this lot",IF(OR($I27="",$J27=""),"Missing purchase quantity or rate",IF(NOT(ISNUMBER($H27)),"Missing purchase date",IF(N($H27)&gt;ValDate,"Purchase after valuation date",IF(N($M27)&gt;N($I27),"Sale quantity exceeds purchase",IF(AND(N($M27)&gt;0,OR(NOT(ISNUMBER($L27)),$N27="")),"Sale date or rate missing",IF(AND(ISNUMBER($L27),N($M27)=0),"Sale date with no quantity",IF(AND(ISNUMBER($L27),N($L27)&lt;N($H27)),"Sale before purchase",IF(N($L27)&gt;ValDate,"Sale after valuation date","OK"))))))))))))))</f>
        <v/>
      </c>
      <c r="AN27" s="89" t="str">
        <f aca="false">IF($B27="","",IFERROR(MATCH($B27,Accounts!$A$6:$A$55,0),""))</f>
        <v/>
      </c>
      <c r="AO27" s="89" t="str">
        <f aca="false">IF($C27="","",IFERROR(MATCH($C27,Securities!$A$6:$A$105,0),""))</f>
        <v/>
      </c>
      <c r="AP27" s="89" t="str">
        <f aca="false">IF($AN27="","",INDEX(Accounts!$B$6:$B$55,$AN27)&amp;"")</f>
        <v/>
      </c>
      <c r="AQ27" s="89" t="str">
        <f aca="false">IF(AND(ISNUMBER($AG27),N($P27)&gt;0),IF(AND(N($AG27)&gt;0,N($AG27)&lt;=SoonDays),1,""),"")</f>
        <v/>
      </c>
      <c r="AR27" s="89" t="str">
        <f aca="false">IF($AQ27&lt;&gt;1,"",SUMPRODUCT(($AQ$6:$AQ$205=1)*ISNUMBER($AG$6:$AG$205)*($AG$6:$AG$205&lt;$AG27))+SUMPRODUCT(($AQ$6:$AQ27=1)*ISNUMBER($AG$6:$AG27)*($AG$6:$AG27=$AG27)))</f>
        <v/>
      </c>
    </row>
    <row r="28" customFormat="false" ht="15" hidden="false" customHeight="false" outlineLevel="0" collapsed="false">
      <c r="A28" s="77"/>
      <c r="B28" s="78"/>
      <c r="C28" s="78"/>
      <c r="D28" s="79" t="str">
        <f aca="false">IF($AN28="","",INDEX(Accounts!$C$6:$C$55,$AN28)&amp;"")</f>
        <v/>
      </c>
      <c r="E28" s="79" t="str">
        <f aca="false">IF($AO28="","",INDEX(Securities!$B$6:$B$105,$AO28)&amp;"")</f>
        <v/>
      </c>
      <c r="F28" s="79" t="str">
        <f aca="false">IF($AO28="","",INDEX(Securities!$C$6:$C$105,$AO28)&amp;"")</f>
        <v/>
      </c>
      <c r="G28" s="79" t="str">
        <f aca="false">IF($AO28="","",INDEX(Securities!$E$6:$E$105,$AO28)&amp;"")</f>
        <v/>
      </c>
      <c r="H28" s="80"/>
      <c r="I28" s="81"/>
      <c r="J28" s="91"/>
      <c r="K28" s="85" t="str">
        <f aca="false">IF(OR($I28="",$J28=""),"",$I28*$J28)</f>
        <v/>
      </c>
      <c r="L28" s="80"/>
      <c r="M28" s="81"/>
      <c r="N28" s="91"/>
      <c r="O28" s="85" t="str">
        <f aca="false">IF(OR($M28="",$N28=""),"",$M28*$N28)</f>
        <v/>
      </c>
      <c r="P28" s="88" t="str">
        <f aca="false">IF($C28="","",N($I28)-N($M28))</f>
        <v/>
      </c>
      <c r="Q28" s="85" t="str">
        <f aca="false">IF(OR($P28="",$J28=""),"",$P28*$J28)</f>
        <v/>
      </c>
      <c r="R28" s="83" t="str">
        <f aca="false">IF($AO28="","",IF(INDEX(Securities!$N$6:$N$105,$AO28)="At cost",IF($J28="","",$J28),IF(INDEX(Securities!$O$6:$O$105,$AO28)="","",INDEX(Securities!$O$6:$O$105,$AO28))))</f>
        <v/>
      </c>
      <c r="S28" s="85" t="str">
        <f aca="false">IF(OR($P28="",$R28=""),"",$P28*$R28)</f>
        <v/>
      </c>
      <c r="T28" s="92" t="str">
        <f aca="false">IF(OR(NOT(ISNUMBER($L28)),NOT(ISNUMBER($H28))),"",$L28-$H28)</f>
        <v/>
      </c>
      <c r="U28" s="79" t="str">
        <f aca="false">IF($T28="","",IF($X28="","Short Term",IF($T28&gt;$X28,"Long Term","Short Term")))</f>
        <v/>
      </c>
      <c r="V28" s="92" t="str">
        <f aca="false">IF(OR(NOT(ISNUMBER($H28)),N($P28)&lt;=0),"",ValDate-$H28)</f>
        <v/>
      </c>
      <c r="W28" s="79" t="str">
        <f aca="false">IF($V28="","",IF($X28="","Short Term",IF($V28&gt;$X28,"Long Term","Short Term")))</f>
        <v/>
      </c>
      <c r="X28" s="92" t="str">
        <f aca="true">IF($G28="","",IF(ISNA(MATCH($G28,L_Category,0)),"",IF(INDEX(L_CatLT,MATCH($G28,L_Category,0))="","",INDEX(L_CatLT,MATCH($G28,L_Category,0)))))</f>
        <v/>
      </c>
      <c r="Y28" s="83" t="str">
        <f aca="false">IF($AO28="","",IF(INDEX(Securities!$Q$6:$Q$105,$AO28)="","",INDEX(Securities!$Q$6:$Q$105,$AO28)))</f>
        <v/>
      </c>
      <c r="Z28" s="79" t="str">
        <f aca="false">IF($C28="","",IF(OR(NOT(ISNUMBER($H28)),$Y28=""),"No",IF($H28&lt;=GFDate,"Yes","No")))</f>
        <v/>
      </c>
      <c r="AA28" s="85" t="str">
        <f aca="false">IF(OR($M28="",$N28="",$J28=""),"",$M28*($N28-$J28))</f>
        <v/>
      </c>
      <c r="AB28" s="85" t="str">
        <f aca="false">IF(OR(N($P28)&lt;=0,$R28="",$J28=""),"",$P28*($R28-$J28))</f>
        <v/>
      </c>
      <c r="AC28" s="83" t="str">
        <f aca="false">IF(OR($M28="",$N28="",$J28=""),"",IF($Z28="Yes",MAX($J28,MIN($Y28,$N28)),$J28))</f>
        <v/>
      </c>
      <c r="AD28" s="85" t="str">
        <f aca="false">IF($AC28="","",$M28*($N28-$AC28))</f>
        <v/>
      </c>
      <c r="AE28" s="83" t="str">
        <f aca="false">IF(OR(N($P28)&lt;=0,$R28="",$J28=""),"",IF($Z28="Yes",MAX($J28,MIN($Y28,$R28)),$J28))</f>
        <v/>
      </c>
      <c r="AF28" s="85" t="str">
        <f aca="false">IF($AE28="","",$P28*($R28-$AE28))</f>
        <v/>
      </c>
      <c r="AG28" s="92" t="str">
        <f aca="false">IF(OR($V28="",$X28=""),"",MAX(0,$X28+1-$V28))</f>
        <v/>
      </c>
      <c r="AH28" s="93" t="str">
        <f aca="false">IF(OR($X28="",NOT(ISNUMBER($H28)),N($P28)&lt;=0),"",$H28+$X28+1)</f>
        <v/>
      </c>
      <c r="AI28" s="91"/>
      <c r="AJ28" s="85" t="str">
        <f aca="false">IF(OR($AI28="",N($P28)&lt;=0),"",$AI28*$P28)</f>
        <v/>
      </c>
      <c r="AK28" s="79" t="str">
        <f aca="false">IF(NOT(ISNUMBER($L28)),"",IF(MONTH($L28)&gt;=4,YEAR($L28)&amp;"-"&amp;RIGHT(YEAR($L28)+1,2),(YEAR($L28)-1)&amp;"-"&amp;RIGHT(YEAR($L28),2)))</f>
        <v/>
      </c>
      <c r="AL28" s="78"/>
      <c r="AM28" s="79" t="str">
        <f aca="false">IF($A28&amp;$B28&amp;$C28="","",IF($A28="","Missing ID",IF(COUNTIF($A$6:$A$205,$A28)&gt;1,"Duplicate ID",IF($AN28="","Unknown account",IF($AO28="","Unknown security",IF(COUNTIFS(Holdings!$B$6:$B$205,$B28,Holdings!$C$6:$C$205,$C28)=0,"No holding row for this lot",IF(OR($I28="",$J28=""),"Missing purchase quantity or rate",IF(NOT(ISNUMBER($H28)),"Missing purchase date",IF(N($H28)&gt;ValDate,"Purchase after valuation date",IF(N($M28)&gt;N($I28),"Sale quantity exceeds purchase",IF(AND(N($M28)&gt;0,OR(NOT(ISNUMBER($L28)),$N28="")),"Sale date or rate missing",IF(AND(ISNUMBER($L28),N($M28)=0),"Sale date with no quantity",IF(AND(ISNUMBER($L28),N($L28)&lt;N($H28)),"Sale before purchase",IF(N($L28)&gt;ValDate,"Sale after valuation date","OK"))))))))))))))</f>
        <v/>
      </c>
      <c r="AN28" s="89" t="str">
        <f aca="false">IF($B28="","",IFERROR(MATCH($B28,Accounts!$A$6:$A$55,0),""))</f>
        <v/>
      </c>
      <c r="AO28" s="89" t="str">
        <f aca="false">IF($C28="","",IFERROR(MATCH($C28,Securities!$A$6:$A$105,0),""))</f>
        <v/>
      </c>
      <c r="AP28" s="89" t="str">
        <f aca="false">IF($AN28="","",INDEX(Accounts!$B$6:$B$55,$AN28)&amp;"")</f>
        <v/>
      </c>
      <c r="AQ28" s="89" t="str">
        <f aca="false">IF(AND(ISNUMBER($AG28),N($P28)&gt;0),IF(AND(N($AG28)&gt;0,N($AG28)&lt;=SoonDays),1,""),"")</f>
        <v/>
      </c>
      <c r="AR28" s="89" t="str">
        <f aca="false">IF($AQ28&lt;&gt;1,"",SUMPRODUCT(($AQ$6:$AQ$205=1)*ISNUMBER($AG$6:$AG$205)*($AG$6:$AG$205&lt;$AG28))+SUMPRODUCT(($AQ$6:$AQ28=1)*ISNUMBER($AG$6:$AG28)*($AG$6:$AG28=$AG28)))</f>
        <v/>
      </c>
    </row>
    <row r="29" customFormat="false" ht="15" hidden="false" customHeight="false" outlineLevel="0" collapsed="false">
      <c r="A29" s="77"/>
      <c r="B29" s="78"/>
      <c r="C29" s="78"/>
      <c r="D29" s="79" t="str">
        <f aca="false">IF($AN29="","",INDEX(Accounts!$C$6:$C$55,$AN29)&amp;"")</f>
        <v/>
      </c>
      <c r="E29" s="79" t="str">
        <f aca="false">IF($AO29="","",INDEX(Securities!$B$6:$B$105,$AO29)&amp;"")</f>
        <v/>
      </c>
      <c r="F29" s="79" t="str">
        <f aca="false">IF($AO29="","",INDEX(Securities!$C$6:$C$105,$AO29)&amp;"")</f>
        <v/>
      </c>
      <c r="G29" s="79" t="str">
        <f aca="false">IF($AO29="","",INDEX(Securities!$E$6:$E$105,$AO29)&amp;"")</f>
        <v/>
      </c>
      <c r="H29" s="80"/>
      <c r="I29" s="81"/>
      <c r="J29" s="91"/>
      <c r="K29" s="85" t="str">
        <f aca="false">IF(OR($I29="",$J29=""),"",$I29*$J29)</f>
        <v/>
      </c>
      <c r="L29" s="80"/>
      <c r="M29" s="81"/>
      <c r="N29" s="91"/>
      <c r="O29" s="85" t="str">
        <f aca="false">IF(OR($M29="",$N29=""),"",$M29*$N29)</f>
        <v/>
      </c>
      <c r="P29" s="88" t="str">
        <f aca="false">IF($C29="","",N($I29)-N($M29))</f>
        <v/>
      </c>
      <c r="Q29" s="85" t="str">
        <f aca="false">IF(OR($P29="",$J29=""),"",$P29*$J29)</f>
        <v/>
      </c>
      <c r="R29" s="83" t="str">
        <f aca="false">IF($AO29="","",IF(INDEX(Securities!$N$6:$N$105,$AO29)="At cost",IF($J29="","",$J29),IF(INDEX(Securities!$O$6:$O$105,$AO29)="","",INDEX(Securities!$O$6:$O$105,$AO29))))</f>
        <v/>
      </c>
      <c r="S29" s="85" t="str">
        <f aca="false">IF(OR($P29="",$R29=""),"",$P29*$R29)</f>
        <v/>
      </c>
      <c r="T29" s="92" t="str">
        <f aca="false">IF(OR(NOT(ISNUMBER($L29)),NOT(ISNUMBER($H29))),"",$L29-$H29)</f>
        <v/>
      </c>
      <c r="U29" s="79" t="str">
        <f aca="false">IF($T29="","",IF($X29="","Short Term",IF($T29&gt;$X29,"Long Term","Short Term")))</f>
        <v/>
      </c>
      <c r="V29" s="92" t="str">
        <f aca="false">IF(OR(NOT(ISNUMBER($H29)),N($P29)&lt;=0),"",ValDate-$H29)</f>
        <v/>
      </c>
      <c r="W29" s="79" t="str">
        <f aca="false">IF($V29="","",IF($X29="","Short Term",IF($V29&gt;$X29,"Long Term","Short Term")))</f>
        <v/>
      </c>
      <c r="X29" s="92" t="str">
        <f aca="true">IF($G29="","",IF(ISNA(MATCH($G29,L_Category,0)),"",IF(INDEX(L_CatLT,MATCH($G29,L_Category,0))="","",INDEX(L_CatLT,MATCH($G29,L_Category,0)))))</f>
        <v/>
      </c>
      <c r="Y29" s="83" t="str">
        <f aca="false">IF($AO29="","",IF(INDEX(Securities!$Q$6:$Q$105,$AO29)="","",INDEX(Securities!$Q$6:$Q$105,$AO29)))</f>
        <v/>
      </c>
      <c r="Z29" s="79" t="str">
        <f aca="false">IF($C29="","",IF(OR(NOT(ISNUMBER($H29)),$Y29=""),"No",IF($H29&lt;=GFDate,"Yes","No")))</f>
        <v/>
      </c>
      <c r="AA29" s="85" t="str">
        <f aca="false">IF(OR($M29="",$N29="",$J29=""),"",$M29*($N29-$J29))</f>
        <v/>
      </c>
      <c r="AB29" s="85" t="str">
        <f aca="false">IF(OR(N($P29)&lt;=0,$R29="",$J29=""),"",$P29*($R29-$J29))</f>
        <v/>
      </c>
      <c r="AC29" s="83" t="str">
        <f aca="false">IF(OR($M29="",$N29="",$J29=""),"",IF($Z29="Yes",MAX($J29,MIN($Y29,$N29)),$J29))</f>
        <v/>
      </c>
      <c r="AD29" s="85" t="str">
        <f aca="false">IF($AC29="","",$M29*($N29-$AC29))</f>
        <v/>
      </c>
      <c r="AE29" s="83" t="str">
        <f aca="false">IF(OR(N($P29)&lt;=0,$R29="",$J29=""),"",IF($Z29="Yes",MAX($J29,MIN($Y29,$R29)),$J29))</f>
        <v/>
      </c>
      <c r="AF29" s="85" t="str">
        <f aca="false">IF($AE29="","",$P29*($R29-$AE29))</f>
        <v/>
      </c>
      <c r="AG29" s="92" t="str">
        <f aca="false">IF(OR($V29="",$X29=""),"",MAX(0,$X29+1-$V29))</f>
        <v/>
      </c>
      <c r="AH29" s="93" t="str">
        <f aca="false">IF(OR($X29="",NOT(ISNUMBER($H29)),N($P29)&lt;=0),"",$H29+$X29+1)</f>
        <v/>
      </c>
      <c r="AI29" s="91"/>
      <c r="AJ29" s="85" t="str">
        <f aca="false">IF(OR($AI29="",N($P29)&lt;=0),"",$AI29*$P29)</f>
        <v/>
      </c>
      <c r="AK29" s="79" t="str">
        <f aca="false">IF(NOT(ISNUMBER($L29)),"",IF(MONTH($L29)&gt;=4,YEAR($L29)&amp;"-"&amp;RIGHT(YEAR($L29)+1,2),(YEAR($L29)-1)&amp;"-"&amp;RIGHT(YEAR($L29),2)))</f>
        <v/>
      </c>
      <c r="AL29" s="78"/>
      <c r="AM29" s="79" t="str">
        <f aca="false">IF($A29&amp;$B29&amp;$C29="","",IF($A29="","Missing ID",IF(COUNTIF($A$6:$A$205,$A29)&gt;1,"Duplicate ID",IF($AN29="","Unknown account",IF($AO29="","Unknown security",IF(COUNTIFS(Holdings!$B$6:$B$205,$B29,Holdings!$C$6:$C$205,$C29)=0,"No holding row for this lot",IF(OR($I29="",$J29=""),"Missing purchase quantity or rate",IF(NOT(ISNUMBER($H29)),"Missing purchase date",IF(N($H29)&gt;ValDate,"Purchase after valuation date",IF(N($M29)&gt;N($I29),"Sale quantity exceeds purchase",IF(AND(N($M29)&gt;0,OR(NOT(ISNUMBER($L29)),$N29="")),"Sale date or rate missing",IF(AND(ISNUMBER($L29),N($M29)=0),"Sale date with no quantity",IF(AND(ISNUMBER($L29),N($L29)&lt;N($H29)),"Sale before purchase",IF(N($L29)&gt;ValDate,"Sale after valuation date","OK"))))))))))))))</f>
        <v/>
      </c>
      <c r="AN29" s="89" t="str">
        <f aca="false">IF($B29="","",IFERROR(MATCH($B29,Accounts!$A$6:$A$55,0),""))</f>
        <v/>
      </c>
      <c r="AO29" s="89" t="str">
        <f aca="false">IF($C29="","",IFERROR(MATCH($C29,Securities!$A$6:$A$105,0),""))</f>
        <v/>
      </c>
      <c r="AP29" s="89" t="str">
        <f aca="false">IF($AN29="","",INDEX(Accounts!$B$6:$B$55,$AN29)&amp;"")</f>
        <v/>
      </c>
      <c r="AQ29" s="89" t="str">
        <f aca="false">IF(AND(ISNUMBER($AG29),N($P29)&gt;0),IF(AND(N($AG29)&gt;0,N($AG29)&lt;=SoonDays),1,""),"")</f>
        <v/>
      </c>
      <c r="AR29" s="89" t="str">
        <f aca="false">IF($AQ29&lt;&gt;1,"",SUMPRODUCT(($AQ$6:$AQ$205=1)*ISNUMBER($AG$6:$AG$205)*($AG$6:$AG$205&lt;$AG29))+SUMPRODUCT(($AQ$6:$AQ29=1)*ISNUMBER($AG$6:$AG29)*($AG$6:$AG29=$AG29)))</f>
        <v/>
      </c>
    </row>
    <row r="30" customFormat="false" ht="15" hidden="false" customHeight="false" outlineLevel="0" collapsed="false">
      <c r="A30" s="77"/>
      <c r="B30" s="78"/>
      <c r="C30" s="78"/>
      <c r="D30" s="79" t="str">
        <f aca="false">IF($AN30="","",INDEX(Accounts!$C$6:$C$55,$AN30)&amp;"")</f>
        <v/>
      </c>
      <c r="E30" s="79" t="str">
        <f aca="false">IF($AO30="","",INDEX(Securities!$B$6:$B$105,$AO30)&amp;"")</f>
        <v/>
      </c>
      <c r="F30" s="79" t="str">
        <f aca="false">IF($AO30="","",INDEX(Securities!$C$6:$C$105,$AO30)&amp;"")</f>
        <v/>
      </c>
      <c r="G30" s="79" t="str">
        <f aca="false">IF($AO30="","",INDEX(Securities!$E$6:$E$105,$AO30)&amp;"")</f>
        <v/>
      </c>
      <c r="H30" s="80"/>
      <c r="I30" s="81"/>
      <c r="J30" s="91"/>
      <c r="K30" s="85" t="str">
        <f aca="false">IF(OR($I30="",$J30=""),"",$I30*$J30)</f>
        <v/>
      </c>
      <c r="L30" s="80"/>
      <c r="M30" s="81"/>
      <c r="N30" s="91"/>
      <c r="O30" s="85" t="str">
        <f aca="false">IF(OR($M30="",$N30=""),"",$M30*$N30)</f>
        <v/>
      </c>
      <c r="P30" s="88" t="str">
        <f aca="false">IF($C30="","",N($I30)-N($M30))</f>
        <v/>
      </c>
      <c r="Q30" s="85" t="str">
        <f aca="false">IF(OR($P30="",$J30=""),"",$P30*$J30)</f>
        <v/>
      </c>
      <c r="R30" s="83" t="str">
        <f aca="false">IF($AO30="","",IF(INDEX(Securities!$N$6:$N$105,$AO30)="At cost",IF($J30="","",$J30),IF(INDEX(Securities!$O$6:$O$105,$AO30)="","",INDEX(Securities!$O$6:$O$105,$AO30))))</f>
        <v/>
      </c>
      <c r="S30" s="85" t="str">
        <f aca="false">IF(OR($P30="",$R30=""),"",$P30*$R30)</f>
        <v/>
      </c>
      <c r="T30" s="92" t="str">
        <f aca="false">IF(OR(NOT(ISNUMBER($L30)),NOT(ISNUMBER($H30))),"",$L30-$H30)</f>
        <v/>
      </c>
      <c r="U30" s="79" t="str">
        <f aca="false">IF($T30="","",IF($X30="","Short Term",IF($T30&gt;$X30,"Long Term","Short Term")))</f>
        <v/>
      </c>
      <c r="V30" s="92" t="str">
        <f aca="false">IF(OR(NOT(ISNUMBER($H30)),N($P30)&lt;=0),"",ValDate-$H30)</f>
        <v/>
      </c>
      <c r="W30" s="79" t="str">
        <f aca="false">IF($V30="","",IF($X30="","Short Term",IF($V30&gt;$X30,"Long Term","Short Term")))</f>
        <v/>
      </c>
      <c r="X30" s="92" t="str">
        <f aca="true">IF($G30="","",IF(ISNA(MATCH($G30,L_Category,0)),"",IF(INDEX(L_CatLT,MATCH($G30,L_Category,0))="","",INDEX(L_CatLT,MATCH($G30,L_Category,0)))))</f>
        <v/>
      </c>
      <c r="Y30" s="83" t="str">
        <f aca="false">IF($AO30="","",IF(INDEX(Securities!$Q$6:$Q$105,$AO30)="","",INDEX(Securities!$Q$6:$Q$105,$AO30)))</f>
        <v/>
      </c>
      <c r="Z30" s="79" t="str">
        <f aca="false">IF($C30="","",IF(OR(NOT(ISNUMBER($H30)),$Y30=""),"No",IF($H30&lt;=GFDate,"Yes","No")))</f>
        <v/>
      </c>
      <c r="AA30" s="85" t="str">
        <f aca="false">IF(OR($M30="",$N30="",$J30=""),"",$M30*($N30-$J30))</f>
        <v/>
      </c>
      <c r="AB30" s="85" t="str">
        <f aca="false">IF(OR(N($P30)&lt;=0,$R30="",$J30=""),"",$P30*($R30-$J30))</f>
        <v/>
      </c>
      <c r="AC30" s="83" t="str">
        <f aca="false">IF(OR($M30="",$N30="",$J30=""),"",IF($Z30="Yes",MAX($J30,MIN($Y30,$N30)),$J30))</f>
        <v/>
      </c>
      <c r="AD30" s="85" t="str">
        <f aca="false">IF($AC30="","",$M30*($N30-$AC30))</f>
        <v/>
      </c>
      <c r="AE30" s="83" t="str">
        <f aca="false">IF(OR(N($P30)&lt;=0,$R30="",$J30=""),"",IF($Z30="Yes",MAX($J30,MIN($Y30,$R30)),$J30))</f>
        <v/>
      </c>
      <c r="AF30" s="85" t="str">
        <f aca="false">IF($AE30="","",$P30*($R30-$AE30))</f>
        <v/>
      </c>
      <c r="AG30" s="92" t="str">
        <f aca="false">IF(OR($V30="",$X30=""),"",MAX(0,$X30+1-$V30))</f>
        <v/>
      </c>
      <c r="AH30" s="93" t="str">
        <f aca="false">IF(OR($X30="",NOT(ISNUMBER($H30)),N($P30)&lt;=0),"",$H30+$X30+1)</f>
        <v/>
      </c>
      <c r="AI30" s="91"/>
      <c r="AJ30" s="85" t="str">
        <f aca="false">IF(OR($AI30="",N($P30)&lt;=0),"",$AI30*$P30)</f>
        <v/>
      </c>
      <c r="AK30" s="79" t="str">
        <f aca="false">IF(NOT(ISNUMBER($L30)),"",IF(MONTH($L30)&gt;=4,YEAR($L30)&amp;"-"&amp;RIGHT(YEAR($L30)+1,2),(YEAR($L30)-1)&amp;"-"&amp;RIGHT(YEAR($L30),2)))</f>
        <v/>
      </c>
      <c r="AL30" s="78"/>
      <c r="AM30" s="79" t="str">
        <f aca="false">IF($A30&amp;$B30&amp;$C30="","",IF($A30="","Missing ID",IF(COUNTIF($A$6:$A$205,$A30)&gt;1,"Duplicate ID",IF($AN30="","Unknown account",IF($AO30="","Unknown security",IF(COUNTIFS(Holdings!$B$6:$B$205,$B30,Holdings!$C$6:$C$205,$C30)=0,"No holding row for this lot",IF(OR($I30="",$J30=""),"Missing purchase quantity or rate",IF(NOT(ISNUMBER($H30)),"Missing purchase date",IF(N($H30)&gt;ValDate,"Purchase after valuation date",IF(N($M30)&gt;N($I30),"Sale quantity exceeds purchase",IF(AND(N($M30)&gt;0,OR(NOT(ISNUMBER($L30)),$N30="")),"Sale date or rate missing",IF(AND(ISNUMBER($L30),N($M30)=0),"Sale date with no quantity",IF(AND(ISNUMBER($L30),N($L30)&lt;N($H30)),"Sale before purchase",IF(N($L30)&gt;ValDate,"Sale after valuation date","OK"))))))))))))))</f>
        <v/>
      </c>
      <c r="AN30" s="89" t="str">
        <f aca="false">IF($B30="","",IFERROR(MATCH($B30,Accounts!$A$6:$A$55,0),""))</f>
        <v/>
      </c>
      <c r="AO30" s="89" t="str">
        <f aca="false">IF($C30="","",IFERROR(MATCH($C30,Securities!$A$6:$A$105,0),""))</f>
        <v/>
      </c>
      <c r="AP30" s="89" t="str">
        <f aca="false">IF($AN30="","",INDEX(Accounts!$B$6:$B$55,$AN30)&amp;"")</f>
        <v/>
      </c>
      <c r="AQ30" s="89" t="str">
        <f aca="false">IF(AND(ISNUMBER($AG30),N($P30)&gt;0),IF(AND(N($AG30)&gt;0,N($AG30)&lt;=SoonDays),1,""),"")</f>
        <v/>
      </c>
      <c r="AR30" s="89" t="str">
        <f aca="false">IF($AQ30&lt;&gt;1,"",SUMPRODUCT(($AQ$6:$AQ$205=1)*ISNUMBER($AG$6:$AG$205)*($AG$6:$AG$205&lt;$AG30))+SUMPRODUCT(($AQ$6:$AQ30=1)*ISNUMBER($AG$6:$AG30)*($AG$6:$AG30=$AG30)))</f>
        <v/>
      </c>
    </row>
    <row r="31" customFormat="false" ht="15" hidden="false" customHeight="false" outlineLevel="0" collapsed="false">
      <c r="A31" s="77"/>
      <c r="B31" s="78"/>
      <c r="C31" s="78"/>
      <c r="D31" s="79" t="str">
        <f aca="false">IF($AN31="","",INDEX(Accounts!$C$6:$C$55,$AN31)&amp;"")</f>
        <v/>
      </c>
      <c r="E31" s="79" t="str">
        <f aca="false">IF($AO31="","",INDEX(Securities!$B$6:$B$105,$AO31)&amp;"")</f>
        <v/>
      </c>
      <c r="F31" s="79" t="str">
        <f aca="false">IF($AO31="","",INDEX(Securities!$C$6:$C$105,$AO31)&amp;"")</f>
        <v/>
      </c>
      <c r="G31" s="79" t="str">
        <f aca="false">IF($AO31="","",INDEX(Securities!$E$6:$E$105,$AO31)&amp;"")</f>
        <v/>
      </c>
      <c r="H31" s="80"/>
      <c r="I31" s="81"/>
      <c r="J31" s="91"/>
      <c r="K31" s="85" t="str">
        <f aca="false">IF(OR($I31="",$J31=""),"",$I31*$J31)</f>
        <v/>
      </c>
      <c r="L31" s="80"/>
      <c r="M31" s="81"/>
      <c r="N31" s="91"/>
      <c r="O31" s="85" t="str">
        <f aca="false">IF(OR($M31="",$N31=""),"",$M31*$N31)</f>
        <v/>
      </c>
      <c r="P31" s="88" t="str">
        <f aca="false">IF($C31="","",N($I31)-N($M31))</f>
        <v/>
      </c>
      <c r="Q31" s="85" t="str">
        <f aca="false">IF(OR($P31="",$J31=""),"",$P31*$J31)</f>
        <v/>
      </c>
      <c r="R31" s="83" t="str">
        <f aca="false">IF($AO31="","",IF(INDEX(Securities!$N$6:$N$105,$AO31)="At cost",IF($J31="","",$J31),IF(INDEX(Securities!$O$6:$O$105,$AO31)="","",INDEX(Securities!$O$6:$O$105,$AO31))))</f>
        <v/>
      </c>
      <c r="S31" s="85" t="str">
        <f aca="false">IF(OR($P31="",$R31=""),"",$P31*$R31)</f>
        <v/>
      </c>
      <c r="T31" s="92" t="str">
        <f aca="false">IF(OR(NOT(ISNUMBER($L31)),NOT(ISNUMBER($H31))),"",$L31-$H31)</f>
        <v/>
      </c>
      <c r="U31" s="79" t="str">
        <f aca="false">IF($T31="","",IF($X31="","Short Term",IF($T31&gt;$X31,"Long Term","Short Term")))</f>
        <v/>
      </c>
      <c r="V31" s="92" t="str">
        <f aca="false">IF(OR(NOT(ISNUMBER($H31)),N($P31)&lt;=0),"",ValDate-$H31)</f>
        <v/>
      </c>
      <c r="W31" s="79" t="str">
        <f aca="false">IF($V31="","",IF($X31="","Short Term",IF($V31&gt;$X31,"Long Term","Short Term")))</f>
        <v/>
      </c>
      <c r="X31" s="92" t="str">
        <f aca="true">IF($G31="","",IF(ISNA(MATCH($G31,L_Category,0)),"",IF(INDEX(L_CatLT,MATCH($G31,L_Category,0))="","",INDEX(L_CatLT,MATCH($G31,L_Category,0)))))</f>
        <v/>
      </c>
      <c r="Y31" s="83" t="str">
        <f aca="false">IF($AO31="","",IF(INDEX(Securities!$Q$6:$Q$105,$AO31)="","",INDEX(Securities!$Q$6:$Q$105,$AO31)))</f>
        <v/>
      </c>
      <c r="Z31" s="79" t="str">
        <f aca="false">IF($C31="","",IF(OR(NOT(ISNUMBER($H31)),$Y31=""),"No",IF($H31&lt;=GFDate,"Yes","No")))</f>
        <v/>
      </c>
      <c r="AA31" s="85" t="str">
        <f aca="false">IF(OR($M31="",$N31="",$J31=""),"",$M31*($N31-$J31))</f>
        <v/>
      </c>
      <c r="AB31" s="85" t="str">
        <f aca="false">IF(OR(N($P31)&lt;=0,$R31="",$J31=""),"",$P31*($R31-$J31))</f>
        <v/>
      </c>
      <c r="AC31" s="83" t="str">
        <f aca="false">IF(OR($M31="",$N31="",$J31=""),"",IF($Z31="Yes",MAX($J31,MIN($Y31,$N31)),$J31))</f>
        <v/>
      </c>
      <c r="AD31" s="85" t="str">
        <f aca="false">IF($AC31="","",$M31*($N31-$AC31))</f>
        <v/>
      </c>
      <c r="AE31" s="83" t="str">
        <f aca="false">IF(OR(N($P31)&lt;=0,$R31="",$J31=""),"",IF($Z31="Yes",MAX($J31,MIN($Y31,$R31)),$J31))</f>
        <v/>
      </c>
      <c r="AF31" s="85" t="str">
        <f aca="false">IF($AE31="","",$P31*($R31-$AE31))</f>
        <v/>
      </c>
      <c r="AG31" s="92" t="str">
        <f aca="false">IF(OR($V31="",$X31=""),"",MAX(0,$X31+1-$V31))</f>
        <v/>
      </c>
      <c r="AH31" s="93" t="str">
        <f aca="false">IF(OR($X31="",NOT(ISNUMBER($H31)),N($P31)&lt;=0),"",$H31+$X31+1)</f>
        <v/>
      </c>
      <c r="AI31" s="91"/>
      <c r="AJ31" s="85" t="str">
        <f aca="false">IF(OR($AI31="",N($P31)&lt;=0),"",$AI31*$P31)</f>
        <v/>
      </c>
      <c r="AK31" s="79" t="str">
        <f aca="false">IF(NOT(ISNUMBER($L31)),"",IF(MONTH($L31)&gt;=4,YEAR($L31)&amp;"-"&amp;RIGHT(YEAR($L31)+1,2),(YEAR($L31)-1)&amp;"-"&amp;RIGHT(YEAR($L31),2)))</f>
        <v/>
      </c>
      <c r="AL31" s="78"/>
      <c r="AM31" s="79" t="str">
        <f aca="false">IF($A31&amp;$B31&amp;$C31="","",IF($A31="","Missing ID",IF(COUNTIF($A$6:$A$205,$A31)&gt;1,"Duplicate ID",IF($AN31="","Unknown account",IF($AO31="","Unknown security",IF(COUNTIFS(Holdings!$B$6:$B$205,$B31,Holdings!$C$6:$C$205,$C31)=0,"No holding row for this lot",IF(OR($I31="",$J31=""),"Missing purchase quantity or rate",IF(NOT(ISNUMBER($H31)),"Missing purchase date",IF(N($H31)&gt;ValDate,"Purchase after valuation date",IF(N($M31)&gt;N($I31),"Sale quantity exceeds purchase",IF(AND(N($M31)&gt;0,OR(NOT(ISNUMBER($L31)),$N31="")),"Sale date or rate missing",IF(AND(ISNUMBER($L31),N($M31)=0),"Sale date with no quantity",IF(AND(ISNUMBER($L31),N($L31)&lt;N($H31)),"Sale before purchase",IF(N($L31)&gt;ValDate,"Sale after valuation date","OK"))))))))))))))</f>
        <v/>
      </c>
      <c r="AN31" s="89" t="str">
        <f aca="false">IF($B31="","",IFERROR(MATCH($B31,Accounts!$A$6:$A$55,0),""))</f>
        <v/>
      </c>
      <c r="AO31" s="89" t="str">
        <f aca="false">IF($C31="","",IFERROR(MATCH($C31,Securities!$A$6:$A$105,0),""))</f>
        <v/>
      </c>
      <c r="AP31" s="89" t="str">
        <f aca="false">IF($AN31="","",INDEX(Accounts!$B$6:$B$55,$AN31)&amp;"")</f>
        <v/>
      </c>
      <c r="AQ31" s="89" t="str">
        <f aca="false">IF(AND(ISNUMBER($AG31),N($P31)&gt;0),IF(AND(N($AG31)&gt;0,N($AG31)&lt;=SoonDays),1,""),"")</f>
        <v/>
      </c>
      <c r="AR31" s="89" t="str">
        <f aca="false">IF($AQ31&lt;&gt;1,"",SUMPRODUCT(($AQ$6:$AQ$205=1)*ISNUMBER($AG$6:$AG$205)*($AG$6:$AG$205&lt;$AG31))+SUMPRODUCT(($AQ$6:$AQ31=1)*ISNUMBER($AG$6:$AG31)*($AG$6:$AG31=$AG31)))</f>
        <v/>
      </c>
    </row>
    <row r="32" customFormat="false" ht="15" hidden="false" customHeight="false" outlineLevel="0" collapsed="false">
      <c r="A32" s="77"/>
      <c r="B32" s="78"/>
      <c r="C32" s="78"/>
      <c r="D32" s="79" t="str">
        <f aca="false">IF($AN32="","",INDEX(Accounts!$C$6:$C$55,$AN32)&amp;"")</f>
        <v/>
      </c>
      <c r="E32" s="79" t="str">
        <f aca="false">IF($AO32="","",INDEX(Securities!$B$6:$B$105,$AO32)&amp;"")</f>
        <v/>
      </c>
      <c r="F32" s="79" t="str">
        <f aca="false">IF($AO32="","",INDEX(Securities!$C$6:$C$105,$AO32)&amp;"")</f>
        <v/>
      </c>
      <c r="G32" s="79" t="str">
        <f aca="false">IF($AO32="","",INDEX(Securities!$E$6:$E$105,$AO32)&amp;"")</f>
        <v/>
      </c>
      <c r="H32" s="80"/>
      <c r="I32" s="81"/>
      <c r="J32" s="91"/>
      <c r="K32" s="85" t="str">
        <f aca="false">IF(OR($I32="",$J32=""),"",$I32*$J32)</f>
        <v/>
      </c>
      <c r="L32" s="80"/>
      <c r="M32" s="81"/>
      <c r="N32" s="91"/>
      <c r="O32" s="85" t="str">
        <f aca="false">IF(OR($M32="",$N32=""),"",$M32*$N32)</f>
        <v/>
      </c>
      <c r="P32" s="88" t="str">
        <f aca="false">IF($C32="","",N($I32)-N($M32))</f>
        <v/>
      </c>
      <c r="Q32" s="85" t="str">
        <f aca="false">IF(OR($P32="",$J32=""),"",$P32*$J32)</f>
        <v/>
      </c>
      <c r="R32" s="83" t="str">
        <f aca="false">IF($AO32="","",IF(INDEX(Securities!$N$6:$N$105,$AO32)="At cost",IF($J32="","",$J32),IF(INDEX(Securities!$O$6:$O$105,$AO32)="","",INDEX(Securities!$O$6:$O$105,$AO32))))</f>
        <v/>
      </c>
      <c r="S32" s="85" t="str">
        <f aca="false">IF(OR($P32="",$R32=""),"",$P32*$R32)</f>
        <v/>
      </c>
      <c r="T32" s="92" t="str">
        <f aca="false">IF(OR(NOT(ISNUMBER($L32)),NOT(ISNUMBER($H32))),"",$L32-$H32)</f>
        <v/>
      </c>
      <c r="U32" s="79" t="str">
        <f aca="false">IF($T32="","",IF($X32="","Short Term",IF($T32&gt;$X32,"Long Term","Short Term")))</f>
        <v/>
      </c>
      <c r="V32" s="92" t="str">
        <f aca="false">IF(OR(NOT(ISNUMBER($H32)),N($P32)&lt;=0),"",ValDate-$H32)</f>
        <v/>
      </c>
      <c r="W32" s="79" t="str">
        <f aca="false">IF($V32="","",IF($X32="","Short Term",IF($V32&gt;$X32,"Long Term","Short Term")))</f>
        <v/>
      </c>
      <c r="X32" s="92" t="str">
        <f aca="true">IF($G32="","",IF(ISNA(MATCH($G32,L_Category,0)),"",IF(INDEX(L_CatLT,MATCH($G32,L_Category,0))="","",INDEX(L_CatLT,MATCH($G32,L_Category,0)))))</f>
        <v/>
      </c>
      <c r="Y32" s="83" t="str">
        <f aca="false">IF($AO32="","",IF(INDEX(Securities!$Q$6:$Q$105,$AO32)="","",INDEX(Securities!$Q$6:$Q$105,$AO32)))</f>
        <v/>
      </c>
      <c r="Z32" s="79" t="str">
        <f aca="false">IF($C32="","",IF(OR(NOT(ISNUMBER($H32)),$Y32=""),"No",IF($H32&lt;=GFDate,"Yes","No")))</f>
        <v/>
      </c>
      <c r="AA32" s="85" t="str">
        <f aca="false">IF(OR($M32="",$N32="",$J32=""),"",$M32*($N32-$J32))</f>
        <v/>
      </c>
      <c r="AB32" s="85" t="str">
        <f aca="false">IF(OR(N($P32)&lt;=0,$R32="",$J32=""),"",$P32*($R32-$J32))</f>
        <v/>
      </c>
      <c r="AC32" s="83" t="str">
        <f aca="false">IF(OR($M32="",$N32="",$J32=""),"",IF($Z32="Yes",MAX($J32,MIN($Y32,$N32)),$J32))</f>
        <v/>
      </c>
      <c r="AD32" s="85" t="str">
        <f aca="false">IF($AC32="","",$M32*($N32-$AC32))</f>
        <v/>
      </c>
      <c r="AE32" s="83" t="str">
        <f aca="false">IF(OR(N($P32)&lt;=0,$R32="",$J32=""),"",IF($Z32="Yes",MAX($J32,MIN($Y32,$R32)),$J32))</f>
        <v/>
      </c>
      <c r="AF32" s="85" t="str">
        <f aca="false">IF($AE32="","",$P32*($R32-$AE32))</f>
        <v/>
      </c>
      <c r="AG32" s="92" t="str">
        <f aca="false">IF(OR($V32="",$X32=""),"",MAX(0,$X32+1-$V32))</f>
        <v/>
      </c>
      <c r="AH32" s="93" t="str">
        <f aca="false">IF(OR($X32="",NOT(ISNUMBER($H32)),N($P32)&lt;=0),"",$H32+$X32+1)</f>
        <v/>
      </c>
      <c r="AI32" s="91"/>
      <c r="AJ32" s="85" t="str">
        <f aca="false">IF(OR($AI32="",N($P32)&lt;=0),"",$AI32*$P32)</f>
        <v/>
      </c>
      <c r="AK32" s="79" t="str">
        <f aca="false">IF(NOT(ISNUMBER($L32)),"",IF(MONTH($L32)&gt;=4,YEAR($L32)&amp;"-"&amp;RIGHT(YEAR($L32)+1,2),(YEAR($L32)-1)&amp;"-"&amp;RIGHT(YEAR($L32),2)))</f>
        <v/>
      </c>
      <c r="AL32" s="78"/>
      <c r="AM32" s="79" t="str">
        <f aca="false">IF($A32&amp;$B32&amp;$C32="","",IF($A32="","Missing ID",IF(COUNTIF($A$6:$A$205,$A32)&gt;1,"Duplicate ID",IF($AN32="","Unknown account",IF($AO32="","Unknown security",IF(COUNTIFS(Holdings!$B$6:$B$205,$B32,Holdings!$C$6:$C$205,$C32)=0,"No holding row for this lot",IF(OR($I32="",$J32=""),"Missing purchase quantity or rate",IF(NOT(ISNUMBER($H32)),"Missing purchase date",IF(N($H32)&gt;ValDate,"Purchase after valuation date",IF(N($M32)&gt;N($I32),"Sale quantity exceeds purchase",IF(AND(N($M32)&gt;0,OR(NOT(ISNUMBER($L32)),$N32="")),"Sale date or rate missing",IF(AND(ISNUMBER($L32),N($M32)=0),"Sale date with no quantity",IF(AND(ISNUMBER($L32),N($L32)&lt;N($H32)),"Sale before purchase",IF(N($L32)&gt;ValDate,"Sale after valuation date","OK"))))))))))))))</f>
        <v/>
      </c>
      <c r="AN32" s="89" t="str">
        <f aca="false">IF($B32="","",IFERROR(MATCH($B32,Accounts!$A$6:$A$55,0),""))</f>
        <v/>
      </c>
      <c r="AO32" s="89" t="str">
        <f aca="false">IF($C32="","",IFERROR(MATCH($C32,Securities!$A$6:$A$105,0),""))</f>
        <v/>
      </c>
      <c r="AP32" s="89" t="str">
        <f aca="false">IF($AN32="","",INDEX(Accounts!$B$6:$B$55,$AN32)&amp;"")</f>
        <v/>
      </c>
      <c r="AQ32" s="89" t="str">
        <f aca="false">IF(AND(ISNUMBER($AG32),N($P32)&gt;0),IF(AND(N($AG32)&gt;0,N($AG32)&lt;=SoonDays),1,""),"")</f>
        <v/>
      </c>
      <c r="AR32" s="89" t="str">
        <f aca="false">IF($AQ32&lt;&gt;1,"",SUMPRODUCT(($AQ$6:$AQ$205=1)*ISNUMBER($AG$6:$AG$205)*($AG$6:$AG$205&lt;$AG32))+SUMPRODUCT(($AQ$6:$AQ32=1)*ISNUMBER($AG$6:$AG32)*($AG$6:$AG32=$AG32)))</f>
        <v/>
      </c>
    </row>
    <row r="33" customFormat="false" ht="15" hidden="false" customHeight="false" outlineLevel="0" collapsed="false">
      <c r="A33" s="77"/>
      <c r="B33" s="78"/>
      <c r="C33" s="78"/>
      <c r="D33" s="79" t="str">
        <f aca="false">IF($AN33="","",INDEX(Accounts!$C$6:$C$55,$AN33)&amp;"")</f>
        <v/>
      </c>
      <c r="E33" s="79" t="str">
        <f aca="false">IF($AO33="","",INDEX(Securities!$B$6:$B$105,$AO33)&amp;"")</f>
        <v/>
      </c>
      <c r="F33" s="79" t="str">
        <f aca="false">IF($AO33="","",INDEX(Securities!$C$6:$C$105,$AO33)&amp;"")</f>
        <v/>
      </c>
      <c r="G33" s="79" t="str">
        <f aca="false">IF($AO33="","",INDEX(Securities!$E$6:$E$105,$AO33)&amp;"")</f>
        <v/>
      </c>
      <c r="H33" s="80"/>
      <c r="I33" s="81"/>
      <c r="J33" s="91"/>
      <c r="K33" s="85" t="str">
        <f aca="false">IF(OR($I33="",$J33=""),"",$I33*$J33)</f>
        <v/>
      </c>
      <c r="L33" s="80"/>
      <c r="M33" s="81"/>
      <c r="N33" s="91"/>
      <c r="O33" s="85" t="str">
        <f aca="false">IF(OR($M33="",$N33=""),"",$M33*$N33)</f>
        <v/>
      </c>
      <c r="P33" s="88" t="str">
        <f aca="false">IF($C33="","",N($I33)-N($M33))</f>
        <v/>
      </c>
      <c r="Q33" s="85" t="str">
        <f aca="false">IF(OR($P33="",$J33=""),"",$P33*$J33)</f>
        <v/>
      </c>
      <c r="R33" s="83" t="str">
        <f aca="false">IF($AO33="","",IF(INDEX(Securities!$N$6:$N$105,$AO33)="At cost",IF($J33="","",$J33),IF(INDEX(Securities!$O$6:$O$105,$AO33)="","",INDEX(Securities!$O$6:$O$105,$AO33))))</f>
        <v/>
      </c>
      <c r="S33" s="85" t="str">
        <f aca="false">IF(OR($P33="",$R33=""),"",$P33*$R33)</f>
        <v/>
      </c>
      <c r="T33" s="92" t="str">
        <f aca="false">IF(OR(NOT(ISNUMBER($L33)),NOT(ISNUMBER($H33))),"",$L33-$H33)</f>
        <v/>
      </c>
      <c r="U33" s="79" t="str">
        <f aca="false">IF($T33="","",IF($X33="","Short Term",IF($T33&gt;$X33,"Long Term","Short Term")))</f>
        <v/>
      </c>
      <c r="V33" s="92" t="str">
        <f aca="false">IF(OR(NOT(ISNUMBER($H33)),N($P33)&lt;=0),"",ValDate-$H33)</f>
        <v/>
      </c>
      <c r="W33" s="79" t="str">
        <f aca="false">IF($V33="","",IF($X33="","Short Term",IF($V33&gt;$X33,"Long Term","Short Term")))</f>
        <v/>
      </c>
      <c r="X33" s="92" t="str">
        <f aca="true">IF($G33="","",IF(ISNA(MATCH($G33,L_Category,0)),"",IF(INDEX(L_CatLT,MATCH($G33,L_Category,0))="","",INDEX(L_CatLT,MATCH($G33,L_Category,0)))))</f>
        <v/>
      </c>
      <c r="Y33" s="83" t="str">
        <f aca="false">IF($AO33="","",IF(INDEX(Securities!$Q$6:$Q$105,$AO33)="","",INDEX(Securities!$Q$6:$Q$105,$AO33)))</f>
        <v/>
      </c>
      <c r="Z33" s="79" t="str">
        <f aca="false">IF($C33="","",IF(OR(NOT(ISNUMBER($H33)),$Y33=""),"No",IF($H33&lt;=GFDate,"Yes","No")))</f>
        <v/>
      </c>
      <c r="AA33" s="85" t="str">
        <f aca="false">IF(OR($M33="",$N33="",$J33=""),"",$M33*($N33-$J33))</f>
        <v/>
      </c>
      <c r="AB33" s="85" t="str">
        <f aca="false">IF(OR(N($P33)&lt;=0,$R33="",$J33=""),"",$P33*($R33-$J33))</f>
        <v/>
      </c>
      <c r="AC33" s="83" t="str">
        <f aca="false">IF(OR($M33="",$N33="",$J33=""),"",IF($Z33="Yes",MAX($J33,MIN($Y33,$N33)),$J33))</f>
        <v/>
      </c>
      <c r="AD33" s="85" t="str">
        <f aca="false">IF($AC33="","",$M33*($N33-$AC33))</f>
        <v/>
      </c>
      <c r="AE33" s="83" t="str">
        <f aca="false">IF(OR(N($P33)&lt;=0,$R33="",$J33=""),"",IF($Z33="Yes",MAX($J33,MIN($Y33,$R33)),$J33))</f>
        <v/>
      </c>
      <c r="AF33" s="85" t="str">
        <f aca="false">IF($AE33="","",$P33*($R33-$AE33))</f>
        <v/>
      </c>
      <c r="AG33" s="92" t="str">
        <f aca="false">IF(OR($V33="",$X33=""),"",MAX(0,$X33+1-$V33))</f>
        <v/>
      </c>
      <c r="AH33" s="93" t="str">
        <f aca="false">IF(OR($X33="",NOT(ISNUMBER($H33)),N($P33)&lt;=0),"",$H33+$X33+1)</f>
        <v/>
      </c>
      <c r="AI33" s="91"/>
      <c r="AJ33" s="85" t="str">
        <f aca="false">IF(OR($AI33="",N($P33)&lt;=0),"",$AI33*$P33)</f>
        <v/>
      </c>
      <c r="AK33" s="79" t="str">
        <f aca="false">IF(NOT(ISNUMBER($L33)),"",IF(MONTH($L33)&gt;=4,YEAR($L33)&amp;"-"&amp;RIGHT(YEAR($L33)+1,2),(YEAR($L33)-1)&amp;"-"&amp;RIGHT(YEAR($L33),2)))</f>
        <v/>
      </c>
      <c r="AL33" s="78"/>
      <c r="AM33" s="79" t="str">
        <f aca="false">IF($A33&amp;$B33&amp;$C33="","",IF($A33="","Missing ID",IF(COUNTIF($A$6:$A$205,$A33)&gt;1,"Duplicate ID",IF($AN33="","Unknown account",IF($AO33="","Unknown security",IF(COUNTIFS(Holdings!$B$6:$B$205,$B33,Holdings!$C$6:$C$205,$C33)=0,"No holding row for this lot",IF(OR($I33="",$J33=""),"Missing purchase quantity or rate",IF(NOT(ISNUMBER($H33)),"Missing purchase date",IF(N($H33)&gt;ValDate,"Purchase after valuation date",IF(N($M33)&gt;N($I33),"Sale quantity exceeds purchase",IF(AND(N($M33)&gt;0,OR(NOT(ISNUMBER($L33)),$N33="")),"Sale date or rate missing",IF(AND(ISNUMBER($L33),N($M33)=0),"Sale date with no quantity",IF(AND(ISNUMBER($L33),N($L33)&lt;N($H33)),"Sale before purchase",IF(N($L33)&gt;ValDate,"Sale after valuation date","OK"))))))))))))))</f>
        <v/>
      </c>
      <c r="AN33" s="89" t="str">
        <f aca="false">IF($B33="","",IFERROR(MATCH($B33,Accounts!$A$6:$A$55,0),""))</f>
        <v/>
      </c>
      <c r="AO33" s="89" t="str">
        <f aca="false">IF($C33="","",IFERROR(MATCH($C33,Securities!$A$6:$A$105,0),""))</f>
        <v/>
      </c>
      <c r="AP33" s="89" t="str">
        <f aca="false">IF($AN33="","",INDEX(Accounts!$B$6:$B$55,$AN33)&amp;"")</f>
        <v/>
      </c>
      <c r="AQ33" s="89" t="str">
        <f aca="false">IF(AND(ISNUMBER($AG33),N($P33)&gt;0),IF(AND(N($AG33)&gt;0,N($AG33)&lt;=SoonDays),1,""),"")</f>
        <v/>
      </c>
      <c r="AR33" s="89" t="str">
        <f aca="false">IF($AQ33&lt;&gt;1,"",SUMPRODUCT(($AQ$6:$AQ$205=1)*ISNUMBER($AG$6:$AG$205)*($AG$6:$AG$205&lt;$AG33))+SUMPRODUCT(($AQ$6:$AQ33=1)*ISNUMBER($AG$6:$AG33)*($AG$6:$AG33=$AG33)))</f>
        <v/>
      </c>
    </row>
    <row r="34" customFormat="false" ht="15" hidden="false" customHeight="false" outlineLevel="0" collapsed="false">
      <c r="A34" s="77"/>
      <c r="B34" s="78"/>
      <c r="C34" s="78"/>
      <c r="D34" s="79" t="str">
        <f aca="false">IF($AN34="","",INDEX(Accounts!$C$6:$C$55,$AN34)&amp;"")</f>
        <v/>
      </c>
      <c r="E34" s="79" t="str">
        <f aca="false">IF($AO34="","",INDEX(Securities!$B$6:$B$105,$AO34)&amp;"")</f>
        <v/>
      </c>
      <c r="F34" s="79" t="str">
        <f aca="false">IF($AO34="","",INDEX(Securities!$C$6:$C$105,$AO34)&amp;"")</f>
        <v/>
      </c>
      <c r="G34" s="79" t="str">
        <f aca="false">IF($AO34="","",INDEX(Securities!$E$6:$E$105,$AO34)&amp;"")</f>
        <v/>
      </c>
      <c r="H34" s="80"/>
      <c r="I34" s="81"/>
      <c r="J34" s="91"/>
      <c r="K34" s="85" t="str">
        <f aca="false">IF(OR($I34="",$J34=""),"",$I34*$J34)</f>
        <v/>
      </c>
      <c r="L34" s="80"/>
      <c r="M34" s="81"/>
      <c r="N34" s="91"/>
      <c r="O34" s="85" t="str">
        <f aca="false">IF(OR($M34="",$N34=""),"",$M34*$N34)</f>
        <v/>
      </c>
      <c r="P34" s="88" t="str">
        <f aca="false">IF($C34="","",N($I34)-N($M34))</f>
        <v/>
      </c>
      <c r="Q34" s="85" t="str">
        <f aca="false">IF(OR($P34="",$J34=""),"",$P34*$J34)</f>
        <v/>
      </c>
      <c r="R34" s="83" t="str">
        <f aca="false">IF($AO34="","",IF(INDEX(Securities!$N$6:$N$105,$AO34)="At cost",IF($J34="","",$J34),IF(INDEX(Securities!$O$6:$O$105,$AO34)="","",INDEX(Securities!$O$6:$O$105,$AO34))))</f>
        <v/>
      </c>
      <c r="S34" s="85" t="str">
        <f aca="false">IF(OR($P34="",$R34=""),"",$P34*$R34)</f>
        <v/>
      </c>
      <c r="T34" s="92" t="str">
        <f aca="false">IF(OR(NOT(ISNUMBER($L34)),NOT(ISNUMBER($H34))),"",$L34-$H34)</f>
        <v/>
      </c>
      <c r="U34" s="79" t="str">
        <f aca="false">IF($T34="","",IF($X34="","Short Term",IF($T34&gt;$X34,"Long Term","Short Term")))</f>
        <v/>
      </c>
      <c r="V34" s="92" t="str">
        <f aca="false">IF(OR(NOT(ISNUMBER($H34)),N($P34)&lt;=0),"",ValDate-$H34)</f>
        <v/>
      </c>
      <c r="W34" s="79" t="str">
        <f aca="false">IF($V34="","",IF($X34="","Short Term",IF($V34&gt;$X34,"Long Term","Short Term")))</f>
        <v/>
      </c>
      <c r="X34" s="92" t="str">
        <f aca="true">IF($G34="","",IF(ISNA(MATCH($G34,L_Category,0)),"",IF(INDEX(L_CatLT,MATCH($G34,L_Category,0))="","",INDEX(L_CatLT,MATCH($G34,L_Category,0)))))</f>
        <v/>
      </c>
      <c r="Y34" s="83" t="str">
        <f aca="false">IF($AO34="","",IF(INDEX(Securities!$Q$6:$Q$105,$AO34)="","",INDEX(Securities!$Q$6:$Q$105,$AO34)))</f>
        <v/>
      </c>
      <c r="Z34" s="79" t="str">
        <f aca="false">IF($C34="","",IF(OR(NOT(ISNUMBER($H34)),$Y34=""),"No",IF($H34&lt;=GFDate,"Yes","No")))</f>
        <v/>
      </c>
      <c r="AA34" s="85" t="str">
        <f aca="false">IF(OR($M34="",$N34="",$J34=""),"",$M34*($N34-$J34))</f>
        <v/>
      </c>
      <c r="AB34" s="85" t="str">
        <f aca="false">IF(OR(N($P34)&lt;=0,$R34="",$J34=""),"",$P34*($R34-$J34))</f>
        <v/>
      </c>
      <c r="AC34" s="83" t="str">
        <f aca="false">IF(OR($M34="",$N34="",$J34=""),"",IF($Z34="Yes",MAX($J34,MIN($Y34,$N34)),$J34))</f>
        <v/>
      </c>
      <c r="AD34" s="85" t="str">
        <f aca="false">IF($AC34="","",$M34*($N34-$AC34))</f>
        <v/>
      </c>
      <c r="AE34" s="83" t="str">
        <f aca="false">IF(OR(N($P34)&lt;=0,$R34="",$J34=""),"",IF($Z34="Yes",MAX($J34,MIN($Y34,$R34)),$J34))</f>
        <v/>
      </c>
      <c r="AF34" s="85" t="str">
        <f aca="false">IF($AE34="","",$P34*($R34-$AE34))</f>
        <v/>
      </c>
      <c r="AG34" s="92" t="str">
        <f aca="false">IF(OR($V34="",$X34=""),"",MAX(0,$X34+1-$V34))</f>
        <v/>
      </c>
      <c r="AH34" s="93" t="str">
        <f aca="false">IF(OR($X34="",NOT(ISNUMBER($H34)),N($P34)&lt;=0),"",$H34+$X34+1)</f>
        <v/>
      </c>
      <c r="AI34" s="91"/>
      <c r="AJ34" s="85" t="str">
        <f aca="false">IF(OR($AI34="",N($P34)&lt;=0),"",$AI34*$P34)</f>
        <v/>
      </c>
      <c r="AK34" s="79" t="str">
        <f aca="false">IF(NOT(ISNUMBER($L34)),"",IF(MONTH($L34)&gt;=4,YEAR($L34)&amp;"-"&amp;RIGHT(YEAR($L34)+1,2),(YEAR($L34)-1)&amp;"-"&amp;RIGHT(YEAR($L34),2)))</f>
        <v/>
      </c>
      <c r="AL34" s="78"/>
      <c r="AM34" s="79" t="str">
        <f aca="false">IF($A34&amp;$B34&amp;$C34="","",IF($A34="","Missing ID",IF(COUNTIF($A$6:$A$205,$A34)&gt;1,"Duplicate ID",IF($AN34="","Unknown account",IF($AO34="","Unknown security",IF(COUNTIFS(Holdings!$B$6:$B$205,$B34,Holdings!$C$6:$C$205,$C34)=0,"No holding row for this lot",IF(OR($I34="",$J34=""),"Missing purchase quantity or rate",IF(NOT(ISNUMBER($H34)),"Missing purchase date",IF(N($H34)&gt;ValDate,"Purchase after valuation date",IF(N($M34)&gt;N($I34),"Sale quantity exceeds purchase",IF(AND(N($M34)&gt;0,OR(NOT(ISNUMBER($L34)),$N34="")),"Sale date or rate missing",IF(AND(ISNUMBER($L34),N($M34)=0),"Sale date with no quantity",IF(AND(ISNUMBER($L34),N($L34)&lt;N($H34)),"Sale before purchase",IF(N($L34)&gt;ValDate,"Sale after valuation date","OK"))))))))))))))</f>
        <v/>
      </c>
      <c r="AN34" s="89" t="str">
        <f aca="false">IF($B34="","",IFERROR(MATCH($B34,Accounts!$A$6:$A$55,0),""))</f>
        <v/>
      </c>
      <c r="AO34" s="89" t="str">
        <f aca="false">IF($C34="","",IFERROR(MATCH($C34,Securities!$A$6:$A$105,0),""))</f>
        <v/>
      </c>
      <c r="AP34" s="89" t="str">
        <f aca="false">IF($AN34="","",INDEX(Accounts!$B$6:$B$55,$AN34)&amp;"")</f>
        <v/>
      </c>
      <c r="AQ34" s="89" t="str">
        <f aca="false">IF(AND(ISNUMBER($AG34),N($P34)&gt;0),IF(AND(N($AG34)&gt;0,N($AG34)&lt;=SoonDays),1,""),"")</f>
        <v/>
      </c>
      <c r="AR34" s="89" t="str">
        <f aca="false">IF($AQ34&lt;&gt;1,"",SUMPRODUCT(($AQ$6:$AQ$205=1)*ISNUMBER($AG$6:$AG$205)*($AG$6:$AG$205&lt;$AG34))+SUMPRODUCT(($AQ$6:$AQ34=1)*ISNUMBER($AG$6:$AG34)*($AG$6:$AG34=$AG34)))</f>
        <v/>
      </c>
    </row>
    <row r="35" customFormat="false" ht="15" hidden="false" customHeight="false" outlineLevel="0" collapsed="false">
      <c r="A35" s="77"/>
      <c r="B35" s="78"/>
      <c r="C35" s="78"/>
      <c r="D35" s="79" t="str">
        <f aca="false">IF($AN35="","",INDEX(Accounts!$C$6:$C$55,$AN35)&amp;"")</f>
        <v/>
      </c>
      <c r="E35" s="79" t="str">
        <f aca="false">IF($AO35="","",INDEX(Securities!$B$6:$B$105,$AO35)&amp;"")</f>
        <v/>
      </c>
      <c r="F35" s="79" t="str">
        <f aca="false">IF($AO35="","",INDEX(Securities!$C$6:$C$105,$AO35)&amp;"")</f>
        <v/>
      </c>
      <c r="G35" s="79" t="str">
        <f aca="false">IF($AO35="","",INDEX(Securities!$E$6:$E$105,$AO35)&amp;"")</f>
        <v/>
      </c>
      <c r="H35" s="80"/>
      <c r="I35" s="81"/>
      <c r="J35" s="91"/>
      <c r="K35" s="85" t="str">
        <f aca="false">IF(OR($I35="",$J35=""),"",$I35*$J35)</f>
        <v/>
      </c>
      <c r="L35" s="80"/>
      <c r="M35" s="81"/>
      <c r="N35" s="91"/>
      <c r="O35" s="85" t="str">
        <f aca="false">IF(OR($M35="",$N35=""),"",$M35*$N35)</f>
        <v/>
      </c>
      <c r="P35" s="88" t="str">
        <f aca="false">IF($C35="","",N($I35)-N($M35))</f>
        <v/>
      </c>
      <c r="Q35" s="85" t="str">
        <f aca="false">IF(OR($P35="",$J35=""),"",$P35*$J35)</f>
        <v/>
      </c>
      <c r="R35" s="83" t="str">
        <f aca="false">IF($AO35="","",IF(INDEX(Securities!$N$6:$N$105,$AO35)="At cost",IF($J35="","",$J35),IF(INDEX(Securities!$O$6:$O$105,$AO35)="","",INDEX(Securities!$O$6:$O$105,$AO35))))</f>
        <v/>
      </c>
      <c r="S35" s="85" t="str">
        <f aca="false">IF(OR($P35="",$R35=""),"",$P35*$R35)</f>
        <v/>
      </c>
      <c r="T35" s="92" t="str">
        <f aca="false">IF(OR(NOT(ISNUMBER($L35)),NOT(ISNUMBER($H35))),"",$L35-$H35)</f>
        <v/>
      </c>
      <c r="U35" s="79" t="str">
        <f aca="false">IF($T35="","",IF($X35="","Short Term",IF($T35&gt;$X35,"Long Term","Short Term")))</f>
        <v/>
      </c>
      <c r="V35" s="92" t="str">
        <f aca="false">IF(OR(NOT(ISNUMBER($H35)),N($P35)&lt;=0),"",ValDate-$H35)</f>
        <v/>
      </c>
      <c r="W35" s="79" t="str">
        <f aca="false">IF($V35="","",IF($X35="","Short Term",IF($V35&gt;$X35,"Long Term","Short Term")))</f>
        <v/>
      </c>
      <c r="X35" s="92" t="str">
        <f aca="true">IF($G35="","",IF(ISNA(MATCH($G35,L_Category,0)),"",IF(INDEX(L_CatLT,MATCH($G35,L_Category,0))="","",INDEX(L_CatLT,MATCH($G35,L_Category,0)))))</f>
        <v/>
      </c>
      <c r="Y35" s="83" t="str">
        <f aca="false">IF($AO35="","",IF(INDEX(Securities!$Q$6:$Q$105,$AO35)="","",INDEX(Securities!$Q$6:$Q$105,$AO35)))</f>
        <v/>
      </c>
      <c r="Z35" s="79" t="str">
        <f aca="false">IF($C35="","",IF(OR(NOT(ISNUMBER($H35)),$Y35=""),"No",IF($H35&lt;=GFDate,"Yes","No")))</f>
        <v/>
      </c>
      <c r="AA35" s="85" t="str">
        <f aca="false">IF(OR($M35="",$N35="",$J35=""),"",$M35*($N35-$J35))</f>
        <v/>
      </c>
      <c r="AB35" s="85" t="str">
        <f aca="false">IF(OR(N($P35)&lt;=0,$R35="",$J35=""),"",$P35*($R35-$J35))</f>
        <v/>
      </c>
      <c r="AC35" s="83" t="str">
        <f aca="false">IF(OR($M35="",$N35="",$J35=""),"",IF($Z35="Yes",MAX($J35,MIN($Y35,$N35)),$J35))</f>
        <v/>
      </c>
      <c r="AD35" s="85" t="str">
        <f aca="false">IF($AC35="","",$M35*($N35-$AC35))</f>
        <v/>
      </c>
      <c r="AE35" s="83" t="str">
        <f aca="false">IF(OR(N($P35)&lt;=0,$R35="",$J35=""),"",IF($Z35="Yes",MAX($J35,MIN($Y35,$R35)),$J35))</f>
        <v/>
      </c>
      <c r="AF35" s="85" t="str">
        <f aca="false">IF($AE35="","",$P35*($R35-$AE35))</f>
        <v/>
      </c>
      <c r="AG35" s="92" t="str">
        <f aca="false">IF(OR($V35="",$X35=""),"",MAX(0,$X35+1-$V35))</f>
        <v/>
      </c>
      <c r="AH35" s="93" t="str">
        <f aca="false">IF(OR($X35="",NOT(ISNUMBER($H35)),N($P35)&lt;=0),"",$H35+$X35+1)</f>
        <v/>
      </c>
      <c r="AI35" s="91"/>
      <c r="AJ35" s="85" t="str">
        <f aca="false">IF(OR($AI35="",N($P35)&lt;=0),"",$AI35*$P35)</f>
        <v/>
      </c>
      <c r="AK35" s="79" t="str">
        <f aca="false">IF(NOT(ISNUMBER($L35)),"",IF(MONTH($L35)&gt;=4,YEAR($L35)&amp;"-"&amp;RIGHT(YEAR($L35)+1,2),(YEAR($L35)-1)&amp;"-"&amp;RIGHT(YEAR($L35),2)))</f>
        <v/>
      </c>
      <c r="AL35" s="78"/>
      <c r="AM35" s="79" t="str">
        <f aca="false">IF($A35&amp;$B35&amp;$C35="","",IF($A35="","Missing ID",IF(COUNTIF($A$6:$A$205,$A35)&gt;1,"Duplicate ID",IF($AN35="","Unknown account",IF($AO35="","Unknown security",IF(COUNTIFS(Holdings!$B$6:$B$205,$B35,Holdings!$C$6:$C$205,$C35)=0,"No holding row for this lot",IF(OR($I35="",$J35=""),"Missing purchase quantity or rate",IF(NOT(ISNUMBER($H35)),"Missing purchase date",IF(N($H35)&gt;ValDate,"Purchase after valuation date",IF(N($M35)&gt;N($I35),"Sale quantity exceeds purchase",IF(AND(N($M35)&gt;0,OR(NOT(ISNUMBER($L35)),$N35="")),"Sale date or rate missing",IF(AND(ISNUMBER($L35),N($M35)=0),"Sale date with no quantity",IF(AND(ISNUMBER($L35),N($L35)&lt;N($H35)),"Sale before purchase",IF(N($L35)&gt;ValDate,"Sale after valuation date","OK"))))))))))))))</f>
        <v/>
      </c>
      <c r="AN35" s="89" t="str">
        <f aca="false">IF($B35="","",IFERROR(MATCH($B35,Accounts!$A$6:$A$55,0),""))</f>
        <v/>
      </c>
      <c r="AO35" s="89" t="str">
        <f aca="false">IF($C35="","",IFERROR(MATCH($C35,Securities!$A$6:$A$105,0),""))</f>
        <v/>
      </c>
      <c r="AP35" s="89" t="str">
        <f aca="false">IF($AN35="","",INDEX(Accounts!$B$6:$B$55,$AN35)&amp;"")</f>
        <v/>
      </c>
      <c r="AQ35" s="89" t="str">
        <f aca="false">IF(AND(ISNUMBER($AG35),N($P35)&gt;0),IF(AND(N($AG35)&gt;0,N($AG35)&lt;=SoonDays),1,""),"")</f>
        <v/>
      </c>
      <c r="AR35" s="89" t="str">
        <f aca="false">IF($AQ35&lt;&gt;1,"",SUMPRODUCT(($AQ$6:$AQ$205=1)*ISNUMBER($AG$6:$AG$205)*($AG$6:$AG$205&lt;$AG35))+SUMPRODUCT(($AQ$6:$AQ35=1)*ISNUMBER($AG$6:$AG35)*($AG$6:$AG35=$AG35)))</f>
        <v/>
      </c>
    </row>
    <row r="36" customFormat="false" ht="15" hidden="false" customHeight="false" outlineLevel="0" collapsed="false">
      <c r="A36" s="77"/>
      <c r="B36" s="78"/>
      <c r="C36" s="78"/>
      <c r="D36" s="79" t="str">
        <f aca="false">IF($AN36="","",INDEX(Accounts!$C$6:$C$55,$AN36)&amp;"")</f>
        <v/>
      </c>
      <c r="E36" s="79" t="str">
        <f aca="false">IF($AO36="","",INDEX(Securities!$B$6:$B$105,$AO36)&amp;"")</f>
        <v/>
      </c>
      <c r="F36" s="79" t="str">
        <f aca="false">IF($AO36="","",INDEX(Securities!$C$6:$C$105,$AO36)&amp;"")</f>
        <v/>
      </c>
      <c r="G36" s="79" t="str">
        <f aca="false">IF($AO36="","",INDEX(Securities!$E$6:$E$105,$AO36)&amp;"")</f>
        <v/>
      </c>
      <c r="H36" s="80"/>
      <c r="I36" s="81"/>
      <c r="J36" s="91"/>
      <c r="K36" s="85" t="str">
        <f aca="false">IF(OR($I36="",$J36=""),"",$I36*$J36)</f>
        <v/>
      </c>
      <c r="L36" s="80"/>
      <c r="M36" s="81"/>
      <c r="N36" s="91"/>
      <c r="O36" s="85" t="str">
        <f aca="false">IF(OR($M36="",$N36=""),"",$M36*$N36)</f>
        <v/>
      </c>
      <c r="P36" s="88" t="str">
        <f aca="false">IF($C36="","",N($I36)-N($M36))</f>
        <v/>
      </c>
      <c r="Q36" s="85" t="str">
        <f aca="false">IF(OR($P36="",$J36=""),"",$P36*$J36)</f>
        <v/>
      </c>
      <c r="R36" s="83" t="str">
        <f aca="false">IF($AO36="","",IF(INDEX(Securities!$N$6:$N$105,$AO36)="At cost",IF($J36="","",$J36),IF(INDEX(Securities!$O$6:$O$105,$AO36)="","",INDEX(Securities!$O$6:$O$105,$AO36))))</f>
        <v/>
      </c>
      <c r="S36" s="85" t="str">
        <f aca="false">IF(OR($P36="",$R36=""),"",$P36*$R36)</f>
        <v/>
      </c>
      <c r="T36" s="92" t="str">
        <f aca="false">IF(OR(NOT(ISNUMBER($L36)),NOT(ISNUMBER($H36))),"",$L36-$H36)</f>
        <v/>
      </c>
      <c r="U36" s="79" t="str">
        <f aca="false">IF($T36="","",IF($X36="","Short Term",IF($T36&gt;$X36,"Long Term","Short Term")))</f>
        <v/>
      </c>
      <c r="V36" s="92" t="str">
        <f aca="false">IF(OR(NOT(ISNUMBER($H36)),N($P36)&lt;=0),"",ValDate-$H36)</f>
        <v/>
      </c>
      <c r="W36" s="79" t="str">
        <f aca="false">IF($V36="","",IF($X36="","Short Term",IF($V36&gt;$X36,"Long Term","Short Term")))</f>
        <v/>
      </c>
      <c r="X36" s="92" t="str">
        <f aca="true">IF($G36="","",IF(ISNA(MATCH($G36,L_Category,0)),"",IF(INDEX(L_CatLT,MATCH($G36,L_Category,0))="","",INDEX(L_CatLT,MATCH($G36,L_Category,0)))))</f>
        <v/>
      </c>
      <c r="Y36" s="83" t="str">
        <f aca="false">IF($AO36="","",IF(INDEX(Securities!$Q$6:$Q$105,$AO36)="","",INDEX(Securities!$Q$6:$Q$105,$AO36)))</f>
        <v/>
      </c>
      <c r="Z36" s="79" t="str">
        <f aca="false">IF($C36="","",IF(OR(NOT(ISNUMBER($H36)),$Y36=""),"No",IF($H36&lt;=GFDate,"Yes","No")))</f>
        <v/>
      </c>
      <c r="AA36" s="85" t="str">
        <f aca="false">IF(OR($M36="",$N36="",$J36=""),"",$M36*($N36-$J36))</f>
        <v/>
      </c>
      <c r="AB36" s="85" t="str">
        <f aca="false">IF(OR(N($P36)&lt;=0,$R36="",$J36=""),"",$P36*($R36-$J36))</f>
        <v/>
      </c>
      <c r="AC36" s="83" t="str">
        <f aca="false">IF(OR($M36="",$N36="",$J36=""),"",IF($Z36="Yes",MAX($J36,MIN($Y36,$N36)),$J36))</f>
        <v/>
      </c>
      <c r="AD36" s="85" t="str">
        <f aca="false">IF($AC36="","",$M36*($N36-$AC36))</f>
        <v/>
      </c>
      <c r="AE36" s="83" t="str">
        <f aca="false">IF(OR(N($P36)&lt;=0,$R36="",$J36=""),"",IF($Z36="Yes",MAX($J36,MIN($Y36,$R36)),$J36))</f>
        <v/>
      </c>
      <c r="AF36" s="85" t="str">
        <f aca="false">IF($AE36="","",$P36*($R36-$AE36))</f>
        <v/>
      </c>
      <c r="AG36" s="92" t="str">
        <f aca="false">IF(OR($V36="",$X36=""),"",MAX(0,$X36+1-$V36))</f>
        <v/>
      </c>
      <c r="AH36" s="93" t="str">
        <f aca="false">IF(OR($X36="",NOT(ISNUMBER($H36)),N($P36)&lt;=0),"",$H36+$X36+1)</f>
        <v/>
      </c>
      <c r="AI36" s="91"/>
      <c r="AJ36" s="85" t="str">
        <f aca="false">IF(OR($AI36="",N($P36)&lt;=0),"",$AI36*$P36)</f>
        <v/>
      </c>
      <c r="AK36" s="79" t="str">
        <f aca="false">IF(NOT(ISNUMBER($L36)),"",IF(MONTH($L36)&gt;=4,YEAR($L36)&amp;"-"&amp;RIGHT(YEAR($L36)+1,2),(YEAR($L36)-1)&amp;"-"&amp;RIGHT(YEAR($L36),2)))</f>
        <v/>
      </c>
      <c r="AL36" s="78"/>
      <c r="AM36" s="79" t="str">
        <f aca="false">IF($A36&amp;$B36&amp;$C36="","",IF($A36="","Missing ID",IF(COUNTIF($A$6:$A$205,$A36)&gt;1,"Duplicate ID",IF($AN36="","Unknown account",IF($AO36="","Unknown security",IF(COUNTIFS(Holdings!$B$6:$B$205,$B36,Holdings!$C$6:$C$205,$C36)=0,"No holding row for this lot",IF(OR($I36="",$J36=""),"Missing purchase quantity or rate",IF(NOT(ISNUMBER($H36)),"Missing purchase date",IF(N($H36)&gt;ValDate,"Purchase after valuation date",IF(N($M36)&gt;N($I36),"Sale quantity exceeds purchase",IF(AND(N($M36)&gt;0,OR(NOT(ISNUMBER($L36)),$N36="")),"Sale date or rate missing",IF(AND(ISNUMBER($L36),N($M36)=0),"Sale date with no quantity",IF(AND(ISNUMBER($L36),N($L36)&lt;N($H36)),"Sale before purchase",IF(N($L36)&gt;ValDate,"Sale after valuation date","OK"))))))))))))))</f>
        <v/>
      </c>
      <c r="AN36" s="89" t="str">
        <f aca="false">IF($B36="","",IFERROR(MATCH($B36,Accounts!$A$6:$A$55,0),""))</f>
        <v/>
      </c>
      <c r="AO36" s="89" t="str">
        <f aca="false">IF($C36="","",IFERROR(MATCH($C36,Securities!$A$6:$A$105,0),""))</f>
        <v/>
      </c>
      <c r="AP36" s="89" t="str">
        <f aca="false">IF($AN36="","",INDEX(Accounts!$B$6:$B$55,$AN36)&amp;"")</f>
        <v/>
      </c>
      <c r="AQ36" s="89" t="str">
        <f aca="false">IF(AND(ISNUMBER($AG36),N($P36)&gt;0),IF(AND(N($AG36)&gt;0,N($AG36)&lt;=SoonDays),1,""),"")</f>
        <v/>
      </c>
      <c r="AR36" s="89" t="str">
        <f aca="false">IF($AQ36&lt;&gt;1,"",SUMPRODUCT(($AQ$6:$AQ$205=1)*ISNUMBER($AG$6:$AG$205)*($AG$6:$AG$205&lt;$AG36))+SUMPRODUCT(($AQ$6:$AQ36=1)*ISNUMBER($AG$6:$AG36)*($AG$6:$AG36=$AG36)))</f>
        <v/>
      </c>
    </row>
    <row r="37" customFormat="false" ht="15" hidden="false" customHeight="false" outlineLevel="0" collapsed="false">
      <c r="A37" s="77"/>
      <c r="B37" s="78"/>
      <c r="C37" s="78"/>
      <c r="D37" s="79" t="str">
        <f aca="false">IF($AN37="","",INDEX(Accounts!$C$6:$C$55,$AN37)&amp;"")</f>
        <v/>
      </c>
      <c r="E37" s="79" t="str">
        <f aca="false">IF($AO37="","",INDEX(Securities!$B$6:$B$105,$AO37)&amp;"")</f>
        <v/>
      </c>
      <c r="F37" s="79" t="str">
        <f aca="false">IF($AO37="","",INDEX(Securities!$C$6:$C$105,$AO37)&amp;"")</f>
        <v/>
      </c>
      <c r="G37" s="79" t="str">
        <f aca="false">IF($AO37="","",INDEX(Securities!$E$6:$E$105,$AO37)&amp;"")</f>
        <v/>
      </c>
      <c r="H37" s="80"/>
      <c r="I37" s="81"/>
      <c r="J37" s="91"/>
      <c r="K37" s="85" t="str">
        <f aca="false">IF(OR($I37="",$J37=""),"",$I37*$J37)</f>
        <v/>
      </c>
      <c r="L37" s="80"/>
      <c r="M37" s="81"/>
      <c r="N37" s="91"/>
      <c r="O37" s="85" t="str">
        <f aca="false">IF(OR($M37="",$N37=""),"",$M37*$N37)</f>
        <v/>
      </c>
      <c r="P37" s="88" t="str">
        <f aca="false">IF($C37="","",N($I37)-N($M37))</f>
        <v/>
      </c>
      <c r="Q37" s="85" t="str">
        <f aca="false">IF(OR($P37="",$J37=""),"",$P37*$J37)</f>
        <v/>
      </c>
      <c r="R37" s="83" t="str">
        <f aca="false">IF($AO37="","",IF(INDEX(Securities!$N$6:$N$105,$AO37)="At cost",IF($J37="","",$J37),IF(INDEX(Securities!$O$6:$O$105,$AO37)="","",INDEX(Securities!$O$6:$O$105,$AO37))))</f>
        <v/>
      </c>
      <c r="S37" s="85" t="str">
        <f aca="false">IF(OR($P37="",$R37=""),"",$P37*$R37)</f>
        <v/>
      </c>
      <c r="T37" s="92" t="str">
        <f aca="false">IF(OR(NOT(ISNUMBER($L37)),NOT(ISNUMBER($H37))),"",$L37-$H37)</f>
        <v/>
      </c>
      <c r="U37" s="79" t="str">
        <f aca="false">IF($T37="","",IF($X37="","Short Term",IF($T37&gt;$X37,"Long Term","Short Term")))</f>
        <v/>
      </c>
      <c r="V37" s="92" t="str">
        <f aca="false">IF(OR(NOT(ISNUMBER($H37)),N($P37)&lt;=0),"",ValDate-$H37)</f>
        <v/>
      </c>
      <c r="W37" s="79" t="str">
        <f aca="false">IF($V37="","",IF($X37="","Short Term",IF($V37&gt;$X37,"Long Term","Short Term")))</f>
        <v/>
      </c>
      <c r="X37" s="92" t="str">
        <f aca="true">IF($G37="","",IF(ISNA(MATCH($G37,L_Category,0)),"",IF(INDEX(L_CatLT,MATCH($G37,L_Category,0))="","",INDEX(L_CatLT,MATCH($G37,L_Category,0)))))</f>
        <v/>
      </c>
      <c r="Y37" s="83" t="str">
        <f aca="false">IF($AO37="","",IF(INDEX(Securities!$Q$6:$Q$105,$AO37)="","",INDEX(Securities!$Q$6:$Q$105,$AO37)))</f>
        <v/>
      </c>
      <c r="Z37" s="79" t="str">
        <f aca="false">IF($C37="","",IF(OR(NOT(ISNUMBER($H37)),$Y37=""),"No",IF($H37&lt;=GFDate,"Yes","No")))</f>
        <v/>
      </c>
      <c r="AA37" s="85" t="str">
        <f aca="false">IF(OR($M37="",$N37="",$J37=""),"",$M37*($N37-$J37))</f>
        <v/>
      </c>
      <c r="AB37" s="85" t="str">
        <f aca="false">IF(OR(N($P37)&lt;=0,$R37="",$J37=""),"",$P37*($R37-$J37))</f>
        <v/>
      </c>
      <c r="AC37" s="83" t="str">
        <f aca="false">IF(OR($M37="",$N37="",$J37=""),"",IF($Z37="Yes",MAX($J37,MIN($Y37,$N37)),$J37))</f>
        <v/>
      </c>
      <c r="AD37" s="85" t="str">
        <f aca="false">IF($AC37="","",$M37*($N37-$AC37))</f>
        <v/>
      </c>
      <c r="AE37" s="83" t="str">
        <f aca="false">IF(OR(N($P37)&lt;=0,$R37="",$J37=""),"",IF($Z37="Yes",MAX($J37,MIN($Y37,$R37)),$J37))</f>
        <v/>
      </c>
      <c r="AF37" s="85" t="str">
        <f aca="false">IF($AE37="","",$P37*($R37-$AE37))</f>
        <v/>
      </c>
      <c r="AG37" s="92" t="str">
        <f aca="false">IF(OR($V37="",$X37=""),"",MAX(0,$X37+1-$V37))</f>
        <v/>
      </c>
      <c r="AH37" s="93" t="str">
        <f aca="false">IF(OR($X37="",NOT(ISNUMBER($H37)),N($P37)&lt;=0),"",$H37+$X37+1)</f>
        <v/>
      </c>
      <c r="AI37" s="91"/>
      <c r="AJ37" s="85" t="str">
        <f aca="false">IF(OR($AI37="",N($P37)&lt;=0),"",$AI37*$P37)</f>
        <v/>
      </c>
      <c r="AK37" s="79" t="str">
        <f aca="false">IF(NOT(ISNUMBER($L37)),"",IF(MONTH($L37)&gt;=4,YEAR($L37)&amp;"-"&amp;RIGHT(YEAR($L37)+1,2),(YEAR($L37)-1)&amp;"-"&amp;RIGHT(YEAR($L37),2)))</f>
        <v/>
      </c>
      <c r="AL37" s="78"/>
      <c r="AM37" s="79" t="str">
        <f aca="false">IF($A37&amp;$B37&amp;$C37="","",IF($A37="","Missing ID",IF(COUNTIF($A$6:$A$205,$A37)&gt;1,"Duplicate ID",IF($AN37="","Unknown account",IF($AO37="","Unknown security",IF(COUNTIFS(Holdings!$B$6:$B$205,$B37,Holdings!$C$6:$C$205,$C37)=0,"No holding row for this lot",IF(OR($I37="",$J37=""),"Missing purchase quantity or rate",IF(NOT(ISNUMBER($H37)),"Missing purchase date",IF(N($H37)&gt;ValDate,"Purchase after valuation date",IF(N($M37)&gt;N($I37),"Sale quantity exceeds purchase",IF(AND(N($M37)&gt;0,OR(NOT(ISNUMBER($L37)),$N37="")),"Sale date or rate missing",IF(AND(ISNUMBER($L37),N($M37)=0),"Sale date with no quantity",IF(AND(ISNUMBER($L37),N($L37)&lt;N($H37)),"Sale before purchase",IF(N($L37)&gt;ValDate,"Sale after valuation date","OK"))))))))))))))</f>
        <v/>
      </c>
      <c r="AN37" s="89" t="str">
        <f aca="false">IF($B37="","",IFERROR(MATCH($B37,Accounts!$A$6:$A$55,0),""))</f>
        <v/>
      </c>
      <c r="AO37" s="89" t="str">
        <f aca="false">IF($C37="","",IFERROR(MATCH($C37,Securities!$A$6:$A$105,0),""))</f>
        <v/>
      </c>
      <c r="AP37" s="89" t="str">
        <f aca="false">IF($AN37="","",INDEX(Accounts!$B$6:$B$55,$AN37)&amp;"")</f>
        <v/>
      </c>
      <c r="AQ37" s="89" t="str">
        <f aca="false">IF(AND(ISNUMBER($AG37),N($P37)&gt;0),IF(AND(N($AG37)&gt;0,N($AG37)&lt;=SoonDays),1,""),"")</f>
        <v/>
      </c>
      <c r="AR37" s="89" t="str">
        <f aca="false">IF($AQ37&lt;&gt;1,"",SUMPRODUCT(($AQ$6:$AQ$205=1)*ISNUMBER($AG$6:$AG$205)*($AG$6:$AG$205&lt;$AG37))+SUMPRODUCT(($AQ$6:$AQ37=1)*ISNUMBER($AG$6:$AG37)*($AG$6:$AG37=$AG37)))</f>
        <v/>
      </c>
    </row>
    <row r="38" customFormat="false" ht="15" hidden="false" customHeight="false" outlineLevel="0" collapsed="false">
      <c r="A38" s="77"/>
      <c r="B38" s="78"/>
      <c r="C38" s="78"/>
      <c r="D38" s="79" t="str">
        <f aca="false">IF($AN38="","",INDEX(Accounts!$C$6:$C$55,$AN38)&amp;"")</f>
        <v/>
      </c>
      <c r="E38" s="79" t="str">
        <f aca="false">IF($AO38="","",INDEX(Securities!$B$6:$B$105,$AO38)&amp;"")</f>
        <v/>
      </c>
      <c r="F38" s="79" t="str">
        <f aca="false">IF($AO38="","",INDEX(Securities!$C$6:$C$105,$AO38)&amp;"")</f>
        <v/>
      </c>
      <c r="G38" s="79" t="str">
        <f aca="false">IF($AO38="","",INDEX(Securities!$E$6:$E$105,$AO38)&amp;"")</f>
        <v/>
      </c>
      <c r="H38" s="80"/>
      <c r="I38" s="81"/>
      <c r="J38" s="91"/>
      <c r="K38" s="85" t="str">
        <f aca="false">IF(OR($I38="",$J38=""),"",$I38*$J38)</f>
        <v/>
      </c>
      <c r="L38" s="80"/>
      <c r="M38" s="81"/>
      <c r="N38" s="91"/>
      <c r="O38" s="85" t="str">
        <f aca="false">IF(OR($M38="",$N38=""),"",$M38*$N38)</f>
        <v/>
      </c>
      <c r="P38" s="88" t="str">
        <f aca="false">IF($C38="","",N($I38)-N($M38))</f>
        <v/>
      </c>
      <c r="Q38" s="85" t="str">
        <f aca="false">IF(OR($P38="",$J38=""),"",$P38*$J38)</f>
        <v/>
      </c>
      <c r="R38" s="83" t="str">
        <f aca="false">IF($AO38="","",IF(INDEX(Securities!$N$6:$N$105,$AO38)="At cost",IF($J38="","",$J38),IF(INDEX(Securities!$O$6:$O$105,$AO38)="","",INDEX(Securities!$O$6:$O$105,$AO38))))</f>
        <v/>
      </c>
      <c r="S38" s="85" t="str">
        <f aca="false">IF(OR($P38="",$R38=""),"",$P38*$R38)</f>
        <v/>
      </c>
      <c r="T38" s="92" t="str">
        <f aca="false">IF(OR(NOT(ISNUMBER($L38)),NOT(ISNUMBER($H38))),"",$L38-$H38)</f>
        <v/>
      </c>
      <c r="U38" s="79" t="str">
        <f aca="false">IF($T38="","",IF($X38="","Short Term",IF($T38&gt;$X38,"Long Term","Short Term")))</f>
        <v/>
      </c>
      <c r="V38" s="92" t="str">
        <f aca="false">IF(OR(NOT(ISNUMBER($H38)),N($P38)&lt;=0),"",ValDate-$H38)</f>
        <v/>
      </c>
      <c r="W38" s="79" t="str">
        <f aca="false">IF($V38="","",IF($X38="","Short Term",IF($V38&gt;$X38,"Long Term","Short Term")))</f>
        <v/>
      </c>
      <c r="X38" s="92" t="str">
        <f aca="true">IF($G38="","",IF(ISNA(MATCH($G38,L_Category,0)),"",IF(INDEX(L_CatLT,MATCH($G38,L_Category,0))="","",INDEX(L_CatLT,MATCH($G38,L_Category,0)))))</f>
        <v/>
      </c>
      <c r="Y38" s="83" t="str">
        <f aca="false">IF($AO38="","",IF(INDEX(Securities!$Q$6:$Q$105,$AO38)="","",INDEX(Securities!$Q$6:$Q$105,$AO38)))</f>
        <v/>
      </c>
      <c r="Z38" s="79" t="str">
        <f aca="false">IF($C38="","",IF(OR(NOT(ISNUMBER($H38)),$Y38=""),"No",IF($H38&lt;=GFDate,"Yes","No")))</f>
        <v/>
      </c>
      <c r="AA38" s="85" t="str">
        <f aca="false">IF(OR($M38="",$N38="",$J38=""),"",$M38*($N38-$J38))</f>
        <v/>
      </c>
      <c r="AB38" s="85" t="str">
        <f aca="false">IF(OR(N($P38)&lt;=0,$R38="",$J38=""),"",$P38*($R38-$J38))</f>
        <v/>
      </c>
      <c r="AC38" s="83" t="str">
        <f aca="false">IF(OR($M38="",$N38="",$J38=""),"",IF($Z38="Yes",MAX($J38,MIN($Y38,$N38)),$J38))</f>
        <v/>
      </c>
      <c r="AD38" s="85" t="str">
        <f aca="false">IF($AC38="","",$M38*($N38-$AC38))</f>
        <v/>
      </c>
      <c r="AE38" s="83" t="str">
        <f aca="false">IF(OR(N($P38)&lt;=0,$R38="",$J38=""),"",IF($Z38="Yes",MAX($J38,MIN($Y38,$R38)),$J38))</f>
        <v/>
      </c>
      <c r="AF38" s="85" t="str">
        <f aca="false">IF($AE38="","",$P38*($R38-$AE38))</f>
        <v/>
      </c>
      <c r="AG38" s="92" t="str">
        <f aca="false">IF(OR($V38="",$X38=""),"",MAX(0,$X38+1-$V38))</f>
        <v/>
      </c>
      <c r="AH38" s="93" t="str">
        <f aca="false">IF(OR($X38="",NOT(ISNUMBER($H38)),N($P38)&lt;=0),"",$H38+$X38+1)</f>
        <v/>
      </c>
      <c r="AI38" s="91"/>
      <c r="AJ38" s="85" t="str">
        <f aca="false">IF(OR($AI38="",N($P38)&lt;=0),"",$AI38*$P38)</f>
        <v/>
      </c>
      <c r="AK38" s="79" t="str">
        <f aca="false">IF(NOT(ISNUMBER($L38)),"",IF(MONTH($L38)&gt;=4,YEAR($L38)&amp;"-"&amp;RIGHT(YEAR($L38)+1,2),(YEAR($L38)-1)&amp;"-"&amp;RIGHT(YEAR($L38),2)))</f>
        <v/>
      </c>
      <c r="AL38" s="78"/>
      <c r="AM38" s="79" t="str">
        <f aca="false">IF($A38&amp;$B38&amp;$C38="","",IF($A38="","Missing ID",IF(COUNTIF($A$6:$A$205,$A38)&gt;1,"Duplicate ID",IF($AN38="","Unknown account",IF($AO38="","Unknown security",IF(COUNTIFS(Holdings!$B$6:$B$205,$B38,Holdings!$C$6:$C$205,$C38)=0,"No holding row for this lot",IF(OR($I38="",$J38=""),"Missing purchase quantity or rate",IF(NOT(ISNUMBER($H38)),"Missing purchase date",IF(N($H38)&gt;ValDate,"Purchase after valuation date",IF(N($M38)&gt;N($I38),"Sale quantity exceeds purchase",IF(AND(N($M38)&gt;0,OR(NOT(ISNUMBER($L38)),$N38="")),"Sale date or rate missing",IF(AND(ISNUMBER($L38),N($M38)=0),"Sale date with no quantity",IF(AND(ISNUMBER($L38),N($L38)&lt;N($H38)),"Sale before purchase",IF(N($L38)&gt;ValDate,"Sale after valuation date","OK"))))))))))))))</f>
        <v/>
      </c>
      <c r="AN38" s="89" t="str">
        <f aca="false">IF($B38="","",IFERROR(MATCH($B38,Accounts!$A$6:$A$55,0),""))</f>
        <v/>
      </c>
      <c r="AO38" s="89" t="str">
        <f aca="false">IF($C38="","",IFERROR(MATCH($C38,Securities!$A$6:$A$105,0),""))</f>
        <v/>
      </c>
      <c r="AP38" s="89" t="str">
        <f aca="false">IF($AN38="","",INDEX(Accounts!$B$6:$B$55,$AN38)&amp;"")</f>
        <v/>
      </c>
      <c r="AQ38" s="89" t="str">
        <f aca="false">IF(AND(ISNUMBER($AG38),N($P38)&gt;0),IF(AND(N($AG38)&gt;0,N($AG38)&lt;=SoonDays),1,""),"")</f>
        <v/>
      </c>
      <c r="AR38" s="89" t="str">
        <f aca="false">IF($AQ38&lt;&gt;1,"",SUMPRODUCT(($AQ$6:$AQ$205=1)*ISNUMBER($AG$6:$AG$205)*($AG$6:$AG$205&lt;$AG38))+SUMPRODUCT(($AQ$6:$AQ38=1)*ISNUMBER($AG$6:$AG38)*($AG$6:$AG38=$AG38)))</f>
        <v/>
      </c>
    </row>
    <row r="39" customFormat="false" ht="15" hidden="false" customHeight="false" outlineLevel="0" collapsed="false">
      <c r="A39" s="77"/>
      <c r="B39" s="78"/>
      <c r="C39" s="78"/>
      <c r="D39" s="79" t="str">
        <f aca="false">IF($AN39="","",INDEX(Accounts!$C$6:$C$55,$AN39)&amp;"")</f>
        <v/>
      </c>
      <c r="E39" s="79" t="str">
        <f aca="false">IF($AO39="","",INDEX(Securities!$B$6:$B$105,$AO39)&amp;"")</f>
        <v/>
      </c>
      <c r="F39" s="79" t="str">
        <f aca="false">IF($AO39="","",INDEX(Securities!$C$6:$C$105,$AO39)&amp;"")</f>
        <v/>
      </c>
      <c r="G39" s="79" t="str">
        <f aca="false">IF($AO39="","",INDEX(Securities!$E$6:$E$105,$AO39)&amp;"")</f>
        <v/>
      </c>
      <c r="H39" s="80"/>
      <c r="I39" s="81"/>
      <c r="J39" s="91"/>
      <c r="K39" s="85" t="str">
        <f aca="false">IF(OR($I39="",$J39=""),"",$I39*$J39)</f>
        <v/>
      </c>
      <c r="L39" s="80"/>
      <c r="M39" s="81"/>
      <c r="N39" s="91"/>
      <c r="O39" s="85" t="str">
        <f aca="false">IF(OR($M39="",$N39=""),"",$M39*$N39)</f>
        <v/>
      </c>
      <c r="P39" s="88" t="str">
        <f aca="false">IF($C39="","",N($I39)-N($M39))</f>
        <v/>
      </c>
      <c r="Q39" s="85" t="str">
        <f aca="false">IF(OR($P39="",$J39=""),"",$P39*$J39)</f>
        <v/>
      </c>
      <c r="R39" s="83" t="str">
        <f aca="false">IF($AO39="","",IF(INDEX(Securities!$N$6:$N$105,$AO39)="At cost",IF($J39="","",$J39),IF(INDEX(Securities!$O$6:$O$105,$AO39)="","",INDEX(Securities!$O$6:$O$105,$AO39))))</f>
        <v/>
      </c>
      <c r="S39" s="85" t="str">
        <f aca="false">IF(OR($P39="",$R39=""),"",$P39*$R39)</f>
        <v/>
      </c>
      <c r="T39" s="92" t="str">
        <f aca="false">IF(OR(NOT(ISNUMBER($L39)),NOT(ISNUMBER($H39))),"",$L39-$H39)</f>
        <v/>
      </c>
      <c r="U39" s="79" t="str">
        <f aca="false">IF($T39="","",IF($X39="","Short Term",IF($T39&gt;$X39,"Long Term","Short Term")))</f>
        <v/>
      </c>
      <c r="V39" s="92" t="str">
        <f aca="false">IF(OR(NOT(ISNUMBER($H39)),N($P39)&lt;=0),"",ValDate-$H39)</f>
        <v/>
      </c>
      <c r="W39" s="79" t="str">
        <f aca="false">IF($V39="","",IF($X39="","Short Term",IF($V39&gt;$X39,"Long Term","Short Term")))</f>
        <v/>
      </c>
      <c r="X39" s="92" t="str">
        <f aca="true">IF($G39="","",IF(ISNA(MATCH($G39,L_Category,0)),"",IF(INDEX(L_CatLT,MATCH($G39,L_Category,0))="","",INDEX(L_CatLT,MATCH($G39,L_Category,0)))))</f>
        <v/>
      </c>
      <c r="Y39" s="83" t="str">
        <f aca="false">IF($AO39="","",IF(INDEX(Securities!$Q$6:$Q$105,$AO39)="","",INDEX(Securities!$Q$6:$Q$105,$AO39)))</f>
        <v/>
      </c>
      <c r="Z39" s="79" t="str">
        <f aca="false">IF($C39="","",IF(OR(NOT(ISNUMBER($H39)),$Y39=""),"No",IF($H39&lt;=GFDate,"Yes","No")))</f>
        <v/>
      </c>
      <c r="AA39" s="85" t="str">
        <f aca="false">IF(OR($M39="",$N39="",$J39=""),"",$M39*($N39-$J39))</f>
        <v/>
      </c>
      <c r="AB39" s="85" t="str">
        <f aca="false">IF(OR(N($P39)&lt;=0,$R39="",$J39=""),"",$P39*($R39-$J39))</f>
        <v/>
      </c>
      <c r="AC39" s="83" t="str">
        <f aca="false">IF(OR($M39="",$N39="",$J39=""),"",IF($Z39="Yes",MAX($J39,MIN($Y39,$N39)),$J39))</f>
        <v/>
      </c>
      <c r="AD39" s="85" t="str">
        <f aca="false">IF($AC39="","",$M39*($N39-$AC39))</f>
        <v/>
      </c>
      <c r="AE39" s="83" t="str">
        <f aca="false">IF(OR(N($P39)&lt;=0,$R39="",$J39=""),"",IF($Z39="Yes",MAX($J39,MIN($Y39,$R39)),$J39))</f>
        <v/>
      </c>
      <c r="AF39" s="85" t="str">
        <f aca="false">IF($AE39="","",$P39*($R39-$AE39))</f>
        <v/>
      </c>
      <c r="AG39" s="92" t="str">
        <f aca="false">IF(OR($V39="",$X39=""),"",MAX(0,$X39+1-$V39))</f>
        <v/>
      </c>
      <c r="AH39" s="93" t="str">
        <f aca="false">IF(OR($X39="",NOT(ISNUMBER($H39)),N($P39)&lt;=0),"",$H39+$X39+1)</f>
        <v/>
      </c>
      <c r="AI39" s="91"/>
      <c r="AJ39" s="85" t="str">
        <f aca="false">IF(OR($AI39="",N($P39)&lt;=0),"",$AI39*$P39)</f>
        <v/>
      </c>
      <c r="AK39" s="79" t="str">
        <f aca="false">IF(NOT(ISNUMBER($L39)),"",IF(MONTH($L39)&gt;=4,YEAR($L39)&amp;"-"&amp;RIGHT(YEAR($L39)+1,2),(YEAR($L39)-1)&amp;"-"&amp;RIGHT(YEAR($L39),2)))</f>
        <v/>
      </c>
      <c r="AL39" s="78"/>
      <c r="AM39" s="79" t="str">
        <f aca="false">IF($A39&amp;$B39&amp;$C39="","",IF($A39="","Missing ID",IF(COUNTIF($A$6:$A$205,$A39)&gt;1,"Duplicate ID",IF($AN39="","Unknown account",IF($AO39="","Unknown security",IF(COUNTIFS(Holdings!$B$6:$B$205,$B39,Holdings!$C$6:$C$205,$C39)=0,"No holding row for this lot",IF(OR($I39="",$J39=""),"Missing purchase quantity or rate",IF(NOT(ISNUMBER($H39)),"Missing purchase date",IF(N($H39)&gt;ValDate,"Purchase after valuation date",IF(N($M39)&gt;N($I39),"Sale quantity exceeds purchase",IF(AND(N($M39)&gt;0,OR(NOT(ISNUMBER($L39)),$N39="")),"Sale date or rate missing",IF(AND(ISNUMBER($L39),N($M39)=0),"Sale date with no quantity",IF(AND(ISNUMBER($L39),N($L39)&lt;N($H39)),"Sale before purchase",IF(N($L39)&gt;ValDate,"Sale after valuation date","OK"))))))))))))))</f>
        <v/>
      </c>
      <c r="AN39" s="89" t="str">
        <f aca="false">IF($B39="","",IFERROR(MATCH($B39,Accounts!$A$6:$A$55,0),""))</f>
        <v/>
      </c>
      <c r="AO39" s="89" t="str">
        <f aca="false">IF($C39="","",IFERROR(MATCH($C39,Securities!$A$6:$A$105,0),""))</f>
        <v/>
      </c>
      <c r="AP39" s="89" t="str">
        <f aca="false">IF($AN39="","",INDEX(Accounts!$B$6:$B$55,$AN39)&amp;"")</f>
        <v/>
      </c>
      <c r="AQ39" s="89" t="str">
        <f aca="false">IF(AND(ISNUMBER($AG39),N($P39)&gt;0),IF(AND(N($AG39)&gt;0,N($AG39)&lt;=SoonDays),1,""),"")</f>
        <v/>
      </c>
      <c r="AR39" s="89" t="str">
        <f aca="false">IF($AQ39&lt;&gt;1,"",SUMPRODUCT(($AQ$6:$AQ$205=1)*ISNUMBER($AG$6:$AG$205)*($AG$6:$AG$205&lt;$AG39))+SUMPRODUCT(($AQ$6:$AQ39=1)*ISNUMBER($AG$6:$AG39)*($AG$6:$AG39=$AG39)))</f>
        <v/>
      </c>
    </row>
    <row r="40" customFormat="false" ht="15" hidden="false" customHeight="false" outlineLevel="0" collapsed="false">
      <c r="A40" s="77"/>
      <c r="B40" s="78"/>
      <c r="C40" s="78"/>
      <c r="D40" s="79" t="str">
        <f aca="false">IF($AN40="","",INDEX(Accounts!$C$6:$C$55,$AN40)&amp;"")</f>
        <v/>
      </c>
      <c r="E40" s="79" t="str">
        <f aca="false">IF($AO40="","",INDEX(Securities!$B$6:$B$105,$AO40)&amp;"")</f>
        <v/>
      </c>
      <c r="F40" s="79" t="str">
        <f aca="false">IF($AO40="","",INDEX(Securities!$C$6:$C$105,$AO40)&amp;"")</f>
        <v/>
      </c>
      <c r="G40" s="79" t="str">
        <f aca="false">IF($AO40="","",INDEX(Securities!$E$6:$E$105,$AO40)&amp;"")</f>
        <v/>
      </c>
      <c r="H40" s="80"/>
      <c r="I40" s="81"/>
      <c r="J40" s="91"/>
      <c r="K40" s="85" t="str">
        <f aca="false">IF(OR($I40="",$J40=""),"",$I40*$J40)</f>
        <v/>
      </c>
      <c r="L40" s="80"/>
      <c r="M40" s="81"/>
      <c r="N40" s="91"/>
      <c r="O40" s="85" t="str">
        <f aca="false">IF(OR($M40="",$N40=""),"",$M40*$N40)</f>
        <v/>
      </c>
      <c r="P40" s="88" t="str">
        <f aca="false">IF($C40="","",N($I40)-N($M40))</f>
        <v/>
      </c>
      <c r="Q40" s="85" t="str">
        <f aca="false">IF(OR($P40="",$J40=""),"",$P40*$J40)</f>
        <v/>
      </c>
      <c r="R40" s="83" t="str">
        <f aca="false">IF($AO40="","",IF(INDEX(Securities!$N$6:$N$105,$AO40)="At cost",IF($J40="","",$J40),IF(INDEX(Securities!$O$6:$O$105,$AO40)="","",INDEX(Securities!$O$6:$O$105,$AO40))))</f>
        <v/>
      </c>
      <c r="S40" s="85" t="str">
        <f aca="false">IF(OR($P40="",$R40=""),"",$P40*$R40)</f>
        <v/>
      </c>
      <c r="T40" s="92" t="str">
        <f aca="false">IF(OR(NOT(ISNUMBER($L40)),NOT(ISNUMBER($H40))),"",$L40-$H40)</f>
        <v/>
      </c>
      <c r="U40" s="79" t="str">
        <f aca="false">IF($T40="","",IF($X40="","Short Term",IF($T40&gt;$X40,"Long Term","Short Term")))</f>
        <v/>
      </c>
      <c r="V40" s="92" t="str">
        <f aca="false">IF(OR(NOT(ISNUMBER($H40)),N($P40)&lt;=0),"",ValDate-$H40)</f>
        <v/>
      </c>
      <c r="W40" s="79" t="str">
        <f aca="false">IF($V40="","",IF($X40="","Short Term",IF($V40&gt;$X40,"Long Term","Short Term")))</f>
        <v/>
      </c>
      <c r="X40" s="92" t="str">
        <f aca="true">IF($G40="","",IF(ISNA(MATCH($G40,L_Category,0)),"",IF(INDEX(L_CatLT,MATCH($G40,L_Category,0))="","",INDEX(L_CatLT,MATCH($G40,L_Category,0)))))</f>
        <v/>
      </c>
      <c r="Y40" s="83" t="str">
        <f aca="false">IF($AO40="","",IF(INDEX(Securities!$Q$6:$Q$105,$AO40)="","",INDEX(Securities!$Q$6:$Q$105,$AO40)))</f>
        <v/>
      </c>
      <c r="Z40" s="79" t="str">
        <f aca="false">IF($C40="","",IF(OR(NOT(ISNUMBER($H40)),$Y40=""),"No",IF($H40&lt;=GFDate,"Yes","No")))</f>
        <v/>
      </c>
      <c r="AA40" s="85" t="str">
        <f aca="false">IF(OR($M40="",$N40="",$J40=""),"",$M40*($N40-$J40))</f>
        <v/>
      </c>
      <c r="AB40" s="85" t="str">
        <f aca="false">IF(OR(N($P40)&lt;=0,$R40="",$J40=""),"",$P40*($R40-$J40))</f>
        <v/>
      </c>
      <c r="AC40" s="83" t="str">
        <f aca="false">IF(OR($M40="",$N40="",$J40=""),"",IF($Z40="Yes",MAX($J40,MIN($Y40,$N40)),$J40))</f>
        <v/>
      </c>
      <c r="AD40" s="85" t="str">
        <f aca="false">IF($AC40="","",$M40*($N40-$AC40))</f>
        <v/>
      </c>
      <c r="AE40" s="83" t="str">
        <f aca="false">IF(OR(N($P40)&lt;=0,$R40="",$J40=""),"",IF($Z40="Yes",MAX($J40,MIN($Y40,$R40)),$J40))</f>
        <v/>
      </c>
      <c r="AF40" s="85" t="str">
        <f aca="false">IF($AE40="","",$P40*($R40-$AE40))</f>
        <v/>
      </c>
      <c r="AG40" s="92" t="str">
        <f aca="false">IF(OR($V40="",$X40=""),"",MAX(0,$X40+1-$V40))</f>
        <v/>
      </c>
      <c r="AH40" s="93" t="str">
        <f aca="false">IF(OR($X40="",NOT(ISNUMBER($H40)),N($P40)&lt;=0),"",$H40+$X40+1)</f>
        <v/>
      </c>
      <c r="AI40" s="91"/>
      <c r="AJ40" s="85" t="str">
        <f aca="false">IF(OR($AI40="",N($P40)&lt;=0),"",$AI40*$P40)</f>
        <v/>
      </c>
      <c r="AK40" s="79" t="str">
        <f aca="false">IF(NOT(ISNUMBER($L40)),"",IF(MONTH($L40)&gt;=4,YEAR($L40)&amp;"-"&amp;RIGHT(YEAR($L40)+1,2),(YEAR($L40)-1)&amp;"-"&amp;RIGHT(YEAR($L40),2)))</f>
        <v/>
      </c>
      <c r="AL40" s="78"/>
      <c r="AM40" s="79" t="str">
        <f aca="false">IF($A40&amp;$B40&amp;$C40="","",IF($A40="","Missing ID",IF(COUNTIF($A$6:$A$205,$A40)&gt;1,"Duplicate ID",IF($AN40="","Unknown account",IF($AO40="","Unknown security",IF(COUNTIFS(Holdings!$B$6:$B$205,$B40,Holdings!$C$6:$C$205,$C40)=0,"No holding row for this lot",IF(OR($I40="",$J40=""),"Missing purchase quantity or rate",IF(NOT(ISNUMBER($H40)),"Missing purchase date",IF(N($H40)&gt;ValDate,"Purchase after valuation date",IF(N($M40)&gt;N($I40),"Sale quantity exceeds purchase",IF(AND(N($M40)&gt;0,OR(NOT(ISNUMBER($L40)),$N40="")),"Sale date or rate missing",IF(AND(ISNUMBER($L40),N($M40)=0),"Sale date with no quantity",IF(AND(ISNUMBER($L40),N($L40)&lt;N($H40)),"Sale before purchase",IF(N($L40)&gt;ValDate,"Sale after valuation date","OK"))))))))))))))</f>
        <v/>
      </c>
      <c r="AN40" s="89" t="str">
        <f aca="false">IF($B40="","",IFERROR(MATCH($B40,Accounts!$A$6:$A$55,0),""))</f>
        <v/>
      </c>
      <c r="AO40" s="89" t="str">
        <f aca="false">IF($C40="","",IFERROR(MATCH($C40,Securities!$A$6:$A$105,0),""))</f>
        <v/>
      </c>
      <c r="AP40" s="89" t="str">
        <f aca="false">IF($AN40="","",INDEX(Accounts!$B$6:$B$55,$AN40)&amp;"")</f>
        <v/>
      </c>
      <c r="AQ40" s="89" t="str">
        <f aca="false">IF(AND(ISNUMBER($AG40),N($P40)&gt;0),IF(AND(N($AG40)&gt;0,N($AG40)&lt;=SoonDays),1,""),"")</f>
        <v/>
      </c>
      <c r="AR40" s="89" t="str">
        <f aca="false">IF($AQ40&lt;&gt;1,"",SUMPRODUCT(($AQ$6:$AQ$205=1)*ISNUMBER($AG$6:$AG$205)*($AG$6:$AG$205&lt;$AG40))+SUMPRODUCT(($AQ$6:$AQ40=1)*ISNUMBER($AG$6:$AG40)*($AG$6:$AG40=$AG40)))</f>
        <v/>
      </c>
    </row>
    <row r="41" customFormat="false" ht="15" hidden="false" customHeight="false" outlineLevel="0" collapsed="false">
      <c r="A41" s="77"/>
      <c r="B41" s="78"/>
      <c r="C41" s="78"/>
      <c r="D41" s="79" t="str">
        <f aca="false">IF($AN41="","",INDEX(Accounts!$C$6:$C$55,$AN41)&amp;"")</f>
        <v/>
      </c>
      <c r="E41" s="79" t="str">
        <f aca="false">IF($AO41="","",INDEX(Securities!$B$6:$B$105,$AO41)&amp;"")</f>
        <v/>
      </c>
      <c r="F41" s="79" t="str">
        <f aca="false">IF($AO41="","",INDEX(Securities!$C$6:$C$105,$AO41)&amp;"")</f>
        <v/>
      </c>
      <c r="G41" s="79" t="str">
        <f aca="false">IF($AO41="","",INDEX(Securities!$E$6:$E$105,$AO41)&amp;"")</f>
        <v/>
      </c>
      <c r="H41" s="80"/>
      <c r="I41" s="81"/>
      <c r="J41" s="91"/>
      <c r="K41" s="85" t="str">
        <f aca="false">IF(OR($I41="",$J41=""),"",$I41*$J41)</f>
        <v/>
      </c>
      <c r="L41" s="80"/>
      <c r="M41" s="81"/>
      <c r="N41" s="91"/>
      <c r="O41" s="85" t="str">
        <f aca="false">IF(OR($M41="",$N41=""),"",$M41*$N41)</f>
        <v/>
      </c>
      <c r="P41" s="88" t="str">
        <f aca="false">IF($C41="","",N($I41)-N($M41))</f>
        <v/>
      </c>
      <c r="Q41" s="85" t="str">
        <f aca="false">IF(OR($P41="",$J41=""),"",$P41*$J41)</f>
        <v/>
      </c>
      <c r="R41" s="83" t="str">
        <f aca="false">IF($AO41="","",IF(INDEX(Securities!$N$6:$N$105,$AO41)="At cost",IF($J41="","",$J41),IF(INDEX(Securities!$O$6:$O$105,$AO41)="","",INDEX(Securities!$O$6:$O$105,$AO41))))</f>
        <v/>
      </c>
      <c r="S41" s="85" t="str">
        <f aca="false">IF(OR($P41="",$R41=""),"",$P41*$R41)</f>
        <v/>
      </c>
      <c r="T41" s="92" t="str">
        <f aca="false">IF(OR(NOT(ISNUMBER($L41)),NOT(ISNUMBER($H41))),"",$L41-$H41)</f>
        <v/>
      </c>
      <c r="U41" s="79" t="str">
        <f aca="false">IF($T41="","",IF($X41="","Short Term",IF($T41&gt;$X41,"Long Term","Short Term")))</f>
        <v/>
      </c>
      <c r="V41" s="92" t="str">
        <f aca="false">IF(OR(NOT(ISNUMBER($H41)),N($P41)&lt;=0),"",ValDate-$H41)</f>
        <v/>
      </c>
      <c r="W41" s="79" t="str">
        <f aca="false">IF($V41="","",IF($X41="","Short Term",IF($V41&gt;$X41,"Long Term","Short Term")))</f>
        <v/>
      </c>
      <c r="X41" s="92" t="str">
        <f aca="true">IF($G41="","",IF(ISNA(MATCH($G41,L_Category,0)),"",IF(INDEX(L_CatLT,MATCH($G41,L_Category,0))="","",INDEX(L_CatLT,MATCH($G41,L_Category,0)))))</f>
        <v/>
      </c>
      <c r="Y41" s="83" t="str">
        <f aca="false">IF($AO41="","",IF(INDEX(Securities!$Q$6:$Q$105,$AO41)="","",INDEX(Securities!$Q$6:$Q$105,$AO41)))</f>
        <v/>
      </c>
      <c r="Z41" s="79" t="str">
        <f aca="false">IF($C41="","",IF(OR(NOT(ISNUMBER($H41)),$Y41=""),"No",IF($H41&lt;=GFDate,"Yes","No")))</f>
        <v/>
      </c>
      <c r="AA41" s="85" t="str">
        <f aca="false">IF(OR($M41="",$N41="",$J41=""),"",$M41*($N41-$J41))</f>
        <v/>
      </c>
      <c r="AB41" s="85" t="str">
        <f aca="false">IF(OR(N($P41)&lt;=0,$R41="",$J41=""),"",$P41*($R41-$J41))</f>
        <v/>
      </c>
      <c r="AC41" s="83" t="str">
        <f aca="false">IF(OR($M41="",$N41="",$J41=""),"",IF($Z41="Yes",MAX($J41,MIN($Y41,$N41)),$J41))</f>
        <v/>
      </c>
      <c r="AD41" s="85" t="str">
        <f aca="false">IF($AC41="","",$M41*($N41-$AC41))</f>
        <v/>
      </c>
      <c r="AE41" s="83" t="str">
        <f aca="false">IF(OR(N($P41)&lt;=0,$R41="",$J41=""),"",IF($Z41="Yes",MAX($J41,MIN($Y41,$R41)),$J41))</f>
        <v/>
      </c>
      <c r="AF41" s="85" t="str">
        <f aca="false">IF($AE41="","",$P41*($R41-$AE41))</f>
        <v/>
      </c>
      <c r="AG41" s="92" t="str">
        <f aca="false">IF(OR($V41="",$X41=""),"",MAX(0,$X41+1-$V41))</f>
        <v/>
      </c>
      <c r="AH41" s="93" t="str">
        <f aca="false">IF(OR($X41="",NOT(ISNUMBER($H41)),N($P41)&lt;=0),"",$H41+$X41+1)</f>
        <v/>
      </c>
      <c r="AI41" s="91"/>
      <c r="AJ41" s="85" t="str">
        <f aca="false">IF(OR($AI41="",N($P41)&lt;=0),"",$AI41*$P41)</f>
        <v/>
      </c>
      <c r="AK41" s="79" t="str">
        <f aca="false">IF(NOT(ISNUMBER($L41)),"",IF(MONTH($L41)&gt;=4,YEAR($L41)&amp;"-"&amp;RIGHT(YEAR($L41)+1,2),(YEAR($L41)-1)&amp;"-"&amp;RIGHT(YEAR($L41),2)))</f>
        <v/>
      </c>
      <c r="AL41" s="78"/>
      <c r="AM41" s="79" t="str">
        <f aca="false">IF($A41&amp;$B41&amp;$C41="","",IF($A41="","Missing ID",IF(COUNTIF($A$6:$A$205,$A41)&gt;1,"Duplicate ID",IF($AN41="","Unknown account",IF($AO41="","Unknown security",IF(COUNTIFS(Holdings!$B$6:$B$205,$B41,Holdings!$C$6:$C$205,$C41)=0,"No holding row for this lot",IF(OR($I41="",$J41=""),"Missing purchase quantity or rate",IF(NOT(ISNUMBER($H41)),"Missing purchase date",IF(N($H41)&gt;ValDate,"Purchase after valuation date",IF(N($M41)&gt;N($I41),"Sale quantity exceeds purchase",IF(AND(N($M41)&gt;0,OR(NOT(ISNUMBER($L41)),$N41="")),"Sale date or rate missing",IF(AND(ISNUMBER($L41),N($M41)=0),"Sale date with no quantity",IF(AND(ISNUMBER($L41),N($L41)&lt;N($H41)),"Sale before purchase",IF(N($L41)&gt;ValDate,"Sale after valuation date","OK"))))))))))))))</f>
        <v/>
      </c>
      <c r="AN41" s="89" t="str">
        <f aca="false">IF($B41="","",IFERROR(MATCH($B41,Accounts!$A$6:$A$55,0),""))</f>
        <v/>
      </c>
      <c r="AO41" s="89" t="str">
        <f aca="false">IF($C41="","",IFERROR(MATCH($C41,Securities!$A$6:$A$105,0),""))</f>
        <v/>
      </c>
      <c r="AP41" s="89" t="str">
        <f aca="false">IF($AN41="","",INDEX(Accounts!$B$6:$B$55,$AN41)&amp;"")</f>
        <v/>
      </c>
      <c r="AQ41" s="89" t="str">
        <f aca="false">IF(AND(ISNUMBER($AG41),N($P41)&gt;0),IF(AND(N($AG41)&gt;0,N($AG41)&lt;=SoonDays),1,""),"")</f>
        <v/>
      </c>
      <c r="AR41" s="89" t="str">
        <f aca="false">IF($AQ41&lt;&gt;1,"",SUMPRODUCT(($AQ$6:$AQ$205=1)*ISNUMBER($AG$6:$AG$205)*($AG$6:$AG$205&lt;$AG41))+SUMPRODUCT(($AQ$6:$AQ41=1)*ISNUMBER($AG$6:$AG41)*($AG$6:$AG41=$AG41)))</f>
        <v/>
      </c>
    </row>
    <row r="42" customFormat="false" ht="15" hidden="false" customHeight="false" outlineLevel="0" collapsed="false">
      <c r="A42" s="77"/>
      <c r="B42" s="78"/>
      <c r="C42" s="78"/>
      <c r="D42" s="79" t="str">
        <f aca="false">IF($AN42="","",INDEX(Accounts!$C$6:$C$55,$AN42)&amp;"")</f>
        <v/>
      </c>
      <c r="E42" s="79" t="str">
        <f aca="false">IF($AO42="","",INDEX(Securities!$B$6:$B$105,$AO42)&amp;"")</f>
        <v/>
      </c>
      <c r="F42" s="79" t="str">
        <f aca="false">IF($AO42="","",INDEX(Securities!$C$6:$C$105,$AO42)&amp;"")</f>
        <v/>
      </c>
      <c r="G42" s="79" t="str">
        <f aca="false">IF($AO42="","",INDEX(Securities!$E$6:$E$105,$AO42)&amp;"")</f>
        <v/>
      </c>
      <c r="H42" s="80"/>
      <c r="I42" s="81"/>
      <c r="J42" s="91"/>
      <c r="K42" s="85" t="str">
        <f aca="false">IF(OR($I42="",$J42=""),"",$I42*$J42)</f>
        <v/>
      </c>
      <c r="L42" s="80"/>
      <c r="M42" s="81"/>
      <c r="N42" s="91"/>
      <c r="O42" s="85" t="str">
        <f aca="false">IF(OR($M42="",$N42=""),"",$M42*$N42)</f>
        <v/>
      </c>
      <c r="P42" s="88" t="str">
        <f aca="false">IF($C42="","",N($I42)-N($M42))</f>
        <v/>
      </c>
      <c r="Q42" s="85" t="str">
        <f aca="false">IF(OR($P42="",$J42=""),"",$P42*$J42)</f>
        <v/>
      </c>
      <c r="R42" s="83" t="str">
        <f aca="false">IF($AO42="","",IF(INDEX(Securities!$N$6:$N$105,$AO42)="At cost",IF($J42="","",$J42),IF(INDEX(Securities!$O$6:$O$105,$AO42)="","",INDEX(Securities!$O$6:$O$105,$AO42))))</f>
        <v/>
      </c>
      <c r="S42" s="85" t="str">
        <f aca="false">IF(OR($P42="",$R42=""),"",$P42*$R42)</f>
        <v/>
      </c>
      <c r="T42" s="92" t="str">
        <f aca="false">IF(OR(NOT(ISNUMBER($L42)),NOT(ISNUMBER($H42))),"",$L42-$H42)</f>
        <v/>
      </c>
      <c r="U42" s="79" t="str">
        <f aca="false">IF($T42="","",IF($X42="","Short Term",IF($T42&gt;$X42,"Long Term","Short Term")))</f>
        <v/>
      </c>
      <c r="V42" s="92" t="str">
        <f aca="false">IF(OR(NOT(ISNUMBER($H42)),N($P42)&lt;=0),"",ValDate-$H42)</f>
        <v/>
      </c>
      <c r="W42" s="79" t="str">
        <f aca="false">IF($V42="","",IF($X42="","Short Term",IF($V42&gt;$X42,"Long Term","Short Term")))</f>
        <v/>
      </c>
      <c r="X42" s="92" t="str">
        <f aca="true">IF($G42="","",IF(ISNA(MATCH($G42,L_Category,0)),"",IF(INDEX(L_CatLT,MATCH($G42,L_Category,0))="","",INDEX(L_CatLT,MATCH($G42,L_Category,0)))))</f>
        <v/>
      </c>
      <c r="Y42" s="83" t="str">
        <f aca="false">IF($AO42="","",IF(INDEX(Securities!$Q$6:$Q$105,$AO42)="","",INDEX(Securities!$Q$6:$Q$105,$AO42)))</f>
        <v/>
      </c>
      <c r="Z42" s="79" t="str">
        <f aca="false">IF($C42="","",IF(OR(NOT(ISNUMBER($H42)),$Y42=""),"No",IF($H42&lt;=GFDate,"Yes","No")))</f>
        <v/>
      </c>
      <c r="AA42" s="85" t="str">
        <f aca="false">IF(OR($M42="",$N42="",$J42=""),"",$M42*($N42-$J42))</f>
        <v/>
      </c>
      <c r="AB42" s="85" t="str">
        <f aca="false">IF(OR(N($P42)&lt;=0,$R42="",$J42=""),"",$P42*($R42-$J42))</f>
        <v/>
      </c>
      <c r="AC42" s="83" t="str">
        <f aca="false">IF(OR($M42="",$N42="",$J42=""),"",IF($Z42="Yes",MAX($J42,MIN($Y42,$N42)),$J42))</f>
        <v/>
      </c>
      <c r="AD42" s="85" t="str">
        <f aca="false">IF($AC42="","",$M42*($N42-$AC42))</f>
        <v/>
      </c>
      <c r="AE42" s="83" t="str">
        <f aca="false">IF(OR(N($P42)&lt;=0,$R42="",$J42=""),"",IF($Z42="Yes",MAX($J42,MIN($Y42,$R42)),$J42))</f>
        <v/>
      </c>
      <c r="AF42" s="85" t="str">
        <f aca="false">IF($AE42="","",$P42*($R42-$AE42))</f>
        <v/>
      </c>
      <c r="AG42" s="92" t="str">
        <f aca="false">IF(OR($V42="",$X42=""),"",MAX(0,$X42+1-$V42))</f>
        <v/>
      </c>
      <c r="AH42" s="93" t="str">
        <f aca="false">IF(OR($X42="",NOT(ISNUMBER($H42)),N($P42)&lt;=0),"",$H42+$X42+1)</f>
        <v/>
      </c>
      <c r="AI42" s="91"/>
      <c r="AJ42" s="85" t="str">
        <f aca="false">IF(OR($AI42="",N($P42)&lt;=0),"",$AI42*$P42)</f>
        <v/>
      </c>
      <c r="AK42" s="79" t="str">
        <f aca="false">IF(NOT(ISNUMBER($L42)),"",IF(MONTH($L42)&gt;=4,YEAR($L42)&amp;"-"&amp;RIGHT(YEAR($L42)+1,2),(YEAR($L42)-1)&amp;"-"&amp;RIGHT(YEAR($L42),2)))</f>
        <v/>
      </c>
      <c r="AL42" s="78"/>
      <c r="AM42" s="79" t="str">
        <f aca="false">IF($A42&amp;$B42&amp;$C42="","",IF($A42="","Missing ID",IF(COUNTIF($A$6:$A$205,$A42)&gt;1,"Duplicate ID",IF($AN42="","Unknown account",IF($AO42="","Unknown security",IF(COUNTIFS(Holdings!$B$6:$B$205,$B42,Holdings!$C$6:$C$205,$C42)=0,"No holding row for this lot",IF(OR($I42="",$J42=""),"Missing purchase quantity or rate",IF(NOT(ISNUMBER($H42)),"Missing purchase date",IF(N($H42)&gt;ValDate,"Purchase after valuation date",IF(N($M42)&gt;N($I42),"Sale quantity exceeds purchase",IF(AND(N($M42)&gt;0,OR(NOT(ISNUMBER($L42)),$N42="")),"Sale date or rate missing",IF(AND(ISNUMBER($L42),N($M42)=0),"Sale date with no quantity",IF(AND(ISNUMBER($L42),N($L42)&lt;N($H42)),"Sale before purchase",IF(N($L42)&gt;ValDate,"Sale after valuation date","OK"))))))))))))))</f>
        <v/>
      </c>
      <c r="AN42" s="89" t="str">
        <f aca="false">IF($B42="","",IFERROR(MATCH($B42,Accounts!$A$6:$A$55,0),""))</f>
        <v/>
      </c>
      <c r="AO42" s="89" t="str">
        <f aca="false">IF($C42="","",IFERROR(MATCH($C42,Securities!$A$6:$A$105,0),""))</f>
        <v/>
      </c>
      <c r="AP42" s="89" t="str">
        <f aca="false">IF($AN42="","",INDEX(Accounts!$B$6:$B$55,$AN42)&amp;"")</f>
        <v/>
      </c>
      <c r="AQ42" s="89" t="str">
        <f aca="false">IF(AND(ISNUMBER($AG42),N($P42)&gt;0),IF(AND(N($AG42)&gt;0,N($AG42)&lt;=SoonDays),1,""),"")</f>
        <v/>
      </c>
      <c r="AR42" s="89" t="str">
        <f aca="false">IF($AQ42&lt;&gt;1,"",SUMPRODUCT(($AQ$6:$AQ$205=1)*ISNUMBER($AG$6:$AG$205)*($AG$6:$AG$205&lt;$AG42))+SUMPRODUCT(($AQ$6:$AQ42=1)*ISNUMBER($AG$6:$AG42)*($AG$6:$AG42=$AG42)))</f>
        <v/>
      </c>
    </row>
    <row r="43" customFormat="false" ht="15" hidden="false" customHeight="false" outlineLevel="0" collapsed="false">
      <c r="A43" s="77"/>
      <c r="B43" s="78"/>
      <c r="C43" s="78"/>
      <c r="D43" s="79" t="str">
        <f aca="false">IF($AN43="","",INDEX(Accounts!$C$6:$C$55,$AN43)&amp;"")</f>
        <v/>
      </c>
      <c r="E43" s="79" t="str">
        <f aca="false">IF($AO43="","",INDEX(Securities!$B$6:$B$105,$AO43)&amp;"")</f>
        <v/>
      </c>
      <c r="F43" s="79" t="str">
        <f aca="false">IF($AO43="","",INDEX(Securities!$C$6:$C$105,$AO43)&amp;"")</f>
        <v/>
      </c>
      <c r="G43" s="79" t="str">
        <f aca="false">IF($AO43="","",INDEX(Securities!$E$6:$E$105,$AO43)&amp;"")</f>
        <v/>
      </c>
      <c r="H43" s="80"/>
      <c r="I43" s="81"/>
      <c r="J43" s="91"/>
      <c r="K43" s="85" t="str">
        <f aca="false">IF(OR($I43="",$J43=""),"",$I43*$J43)</f>
        <v/>
      </c>
      <c r="L43" s="80"/>
      <c r="M43" s="81"/>
      <c r="N43" s="91"/>
      <c r="O43" s="85" t="str">
        <f aca="false">IF(OR($M43="",$N43=""),"",$M43*$N43)</f>
        <v/>
      </c>
      <c r="P43" s="88" t="str">
        <f aca="false">IF($C43="","",N($I43)-N($M43))</f>
        <v/>
      </c>
      <c r="Q43" s="85" t="str">
        <f aca="false">IF(OR($P43="",$J43=""),"",$P43*$J43)</f>
        <v/>
      </c>
      <c r="R43" s="83" t="str">
        <f aca="false">IF($AO43="","",IF(INDEX(Securities!$N$6:$N$105,$AO43)="At cost",IF($J43="","",$J43),IF(INDEX(Securities!$O$6:$O$105,$AO43)="","",INDEX(Securities!$O$6:$O$105,$AO43))))</f>
        <v/>
      </c>
      <c r="S43" s="85" t="str">
        <f aca="false">IF(OR($P43="",$R43=""),"",$P43*$R43)</f>
        <v/>
      </c>
      <c r="T43" s="92" t="str">
        <f aca="false">IF(OR(NOT(ISNUMBER($L43)),NOT(ISNUMBER($H43))),"",$L43-$H43)</f>
        <v/>
      </c>
      <c r="U43" s="79" t="str">
        <f aca="false">IF($T43="","",IF($X43="","Short Term",IF($T43&gt;$X43,"Long Term","Short Term")))</f>
        <v/>
      </c>
      <c r="V43" s="92" t="str">
        <f aca="false">IF(OR(NOT(ISNUMBER($H43)),N($P43)&lt;=0),"",ValDate-$H43)</f>
        <v/>
      </c>
      <c r="W43" s="79" t="str">
        <f aca="false">IF($V43="","",IF($X43="","Short Term",IF($V43&gt;$X43,"Long Term","Short Term")))</f>
        <v/>
      </c>
      <c r="X43" s="92" t="str">
        <f aca="true">IF($G43="","",IF(ISNA(MATCH($G43,L_Category,0)),"",IF(INDEX(L_CatLT,MATCH($G43,L_Category,0))="","",INDEX(L_CatLT,MATCH($G43,L_Category,0)))))</f>
        <v/>
      </c>
      <c r="Y43" s="83" t="str">
        <f aca="false">IF($AO43="","",IF(INDEX(Securities!$Q$6:$Q$105,$AO43)="","",INDEX(Securities!$Q$6:$Q$105,$AO43)))</f>
        <v/>
      </c>
      <c r="Z43" s="79" t="str">
        <f aca="false">IF($C43="","",IF(OR(NOT(ISNUMBER($H43)),$Y43=""),"No",IF($H43&lt;=GFDate,"Yes","No")))</f>
        <v/>
      </c>
      <c r="AA43" s="85" t="str">
        <f aca="false">IF(OR($M43="",$N43="",$J43=""),"",$M43*($N43-$J43))</f>
        <v/>
      </c>
      <c r="AB43" s="85" t="str">
        <f aca="false">IF(OR(N($P43)&lt;=0,$R43="",$J43=""),"",$P43*($R43-$J43))</f>
        <v/>
      </c>
      <c r="AC43" s="83" t="str">
        <f aca="false">IF(OR($M43="",$N43="",$J43=""),"",IF($Z43="Yes",MAX($J43,MIN($Y43,$N43)),$J43))</f>
        <v/>
      </c>
      <c r="AD43" s="85" t="str">
        <f aca="false">IF($AC43="","",$M43*($N43-$AC43))</f>
        <v/>
      </c>
      <c r="AE43" s="83" t="str">
        <f aca="false">IF(OR(N($P43)&lt;=0,$R43="",$J43=""),"",IF($Z43="Yes",MAX($J43,MIN($Y43,$R43)),$J43))</f>
        <v/>
      </c>
      <c r="AF43" s="85" t="str">
        <f aca="false">IF($AE43="","",$P43*($R43-$AE43))</f>
        <v/>
      </c>
      <c r="AG43" s="92" t="str">
        <f aca="false">IF(OR($V43="",$X43=""),"",MAX(0,$X43+1-$V43))</f>
        <v/>
      </c>
      <c r="AH43" s="93" t="str">
        <f aca="false">IF(OR($X43="",NOT(ISNUMBER($H43)),N($P43)&lt;=0),"",$H43+$X43+1)</f>
        <v/>
      </c>
      <c r="AI43" s="91"/>
      <c r="AJ43" s="85" t="str">
        <f aca="false">IF(OR($AI43="",N($P43)&lt;=0),"",$AI43*$P43)</f>
        <v/>
      </c>
      <c r="AK43" s="79" t="str">
        <f aca="false">IF(NOT(ISNUMBER($L43)),"",IF(MONTH($L43)&gt;=4,YEAR($L43)&amp;"-"&amp;RIGHT(YEAR($L43)+1,2),(YEAR($L43)-1)&amp;"-"&amp;RIGHT(YEAR($L43),2)))</f>
        <v/>
      </c>
      <c r="AL43" s="78"/>
      <c r="AM43" s="79" t="str">
        <f aca="false">IF($A43&amp;$B43&amp;$C43="","",IF($A43="","Missing ID",IF(COUNTIF($A$6:$A$205,$A43)&gt;1,"Duplicate ID",IF($AN43="","Unknown account",IF($AO43="","Unknown security",IF(COUNTIFS(Holdings!$B$6:$B$205,$B43,Holdings!$C$6:$C$205,$C43)=0,"No holding row for this lot",IF(OR($I43="",$J43=""),"Missing purchase quantity or rate",IF(NOT(ISNUMBER($H43)),"Missing purchase date",IF(N($H43)&gt;ValDate,"Purchase after valuation date",IF(N($M43)&gt;N($I43),"Sale quantity exceeds purchase",IF(AND(N($M43)&gt;0,OR(NOT(ISNUMBER($L43)),$N43="")),"Sale date or rate missing",IF(AND(ISNUMBER($L43),N($M43)=0),"Sale date with no quantity",IF(AND(ISNUMBER($L43),N($L43)&lt;N($H43)),"Sale before purchase",IF(N($L43)&gt;ValDate,"Sale after valuation date","OK"))))))))))))))</f>
        <v/>
      </c>
      <c r="AN43" s="89" t="str">
        <f aca="false">IF($B43="","",IFERROR(MATCH($B43,Accounts!$A$6:$A$55,0),""))</f>
        <v/>
      </c>
      <c r="AO43" s="89" t="str">
        <f aca="false">IF($C43="","",IFERROR(MATCH($C43,Securities!$A$6:$A$105,0),""))</f>
        <v/>
      </c>
      <c r="AP43" s="89" t="str">
        <f aca="false">IF($AN43="","",INDEX(Accounts!$B$6:$B$55,$AN43)&amp;"")</f>
        <v/>
      </c>
      <c r="AQ43" s="89" t="str">
        <f aca="false">IF(AND(ISNUMBER($AG43),N($P43)&gt;0),IF(AND(N($AG43)&gt;0,N($AG43)&lt;=SoonDays),1,""),"")</f>
        <v/>
      </c>
      <c r="AR43" s="89" t="str">
        <f aca="false">IF($AQ43&lt;&gt;1,"",SUMPRODUCT(($AQ$6:$AQ$205=1)*ISNUMBER($AG$6:$AG$205)*($AG$6:$AG$205&lt;$AG43))+SUMPRODUCT(($AQ$6:$AQ43=1)*ISNUMBER($AG$6:$AG43)*($AG$6:$AG43=$AG43)))</f>
        <v/>
      </c>
    </row>
    <row r="44" customFormat="false" ht="15" hidden="false" customHeight="false" outlineLevel="0" collapsed="false">
      <c r="A44" s="77"/>
      <c r="B44" s="78"/>
      <c r="C44" s="78"/>
      <c r="D44" s="79" t="str">
        <f aca="false">IF($AN44="","",INDEX(Accounts!$C$6:$C$55,$AN44)&amp;"")</f>
        <v/>
      </c>
      <c r="E44" s="79" t="str">
        <f aca="false">IF($AO44="","",INDEX(Securities!$B$6:$B$105,$AO44)&amp;"")</f>
        <v/>
      </c>
      <c r="F44" s="79" t="str">
        <f aca="false">IF($AO44="","",INDEX(Securities!$C$6:$C$105,$AO44)&amp;"")</f>
        <v/>
      </c>
      <c r="G44" s="79" t="str">
        <f aca="false">IF($AO44="","",INDEX(Securities!$E$6:$E$105,$AO44)&amp;"")</f>
        <v/>
      </c>
      <c r="H44" s="80"/>
      <c r="I44" s="81"/>
      <c r="J44" s="91"/>
      <c r="K44" s="85" t="str">
        <f aca="false">IF(OR($I44="",$J44=""),"",$I44*$J44)</f>
        <v/>
      </c>
      <c r="L44" s="80"/>
      <c r="M44" s="81"/>
      <c r="N44" s="91"/>
      <c r="O44" s="85" t="str">
        <f aca="false">IF(OR($M44="",$N44=""),"",$M44*$N44)</f>
        <v/>
      </c>
      <c r="P44" s="88" t="str">
        <f aca="false">IF($C44="","",N($I44)-N($M44))</f>
        <v/>
      </c>
      <c r="Q44" s="85" t="str">
        <f aca="false">IF(OR($P44="",$J44=""),"",$P44*$J44)</f>
        <v/>
      </c>
      <c r="R44" s="83" t="str">
        <f aca="false">IF($AO44="","",IF(INDEX(Securities!$N$6:$N$105,$AO44)="At cost",IF($J44="","",$J44),IF(INDEX(Securities!$O$6:$O$105,$AO44)="","",INDEX(Securities!$O$6:$O$105,$AO44))))</f>
        <v/>
      </c>
      <c r="S44" s="85" t="str">
        <f aca="false">IF(OR($P44="",$R44=""),"",$P44*$R44)</f>
        <v/>
      </c>
      <c r="T44" s="92" t="str">
        <f aca="false">IF(OR(NOT(ISNUMBER($L44)),NOT(ISNUMBER($H44))),"",$L44-$H44)</f>
        <v/>
      </c>
      <c r="U44" s="79" t="str">
        <f aca="false">IF($T44="","",IF($X44="","Short Term",IF($T44&gt;$X44,"Long Term","Short Term")))</f>
        <v/>
      </c>
      <c r="V44" s="92" t="str">
        <f aca="false">IF(OR(NOT(ISNUMBER($H44)),N($P44)&lt;=0),"",ValDate-$H44)</f>
        <v/>
      </c>
      <c r="W44" s="79" t="str">
        <f aca="false">IF($V44="","",IF($X44="","Short Term",IF($V44&gt;$X44,"Long Term","Short Term")))</f>
        <v/>
      </c>
      <c r="X44" s="92" t="str">
        <f aca="true">IF($G44="","",IF(ISNA(MATCH($G44,L_Category,0)),"",IF(INDEX(L_CatLT,MATCH($G44,L_Category,0))="","",INDEX(L_CatLT,MATCH($G44,L_Category,0)))))</f>
        <v/>
      </c>
      <c r="Y44" s="83" t="str">
        <f aca="false">IF($AO44="","",IF(INDEX(Securities!$Q$6:$Q$105,$AO44)="","",INDEX(Securities!$Q$6:$Q$105,$AO44)))</f>
        <v/>
      </c>
      <c r="Z44" s="79" t="str">
        <f aca="false">IF($C44="","",IF(OR(NOT(ISNUMBER($H44)),$Y44=""),"No",IF($H44&lt;=GFDate,"Yes","No")))</f>
        <v/>
      </c>
      <c r="AA44" s="85" t="str">
        <f aca="false">IF(OR($M44="",$N44="",$J44=""),"",$M44*($N44-$J44))</f>
        <v/>
      </c>
      <c r="AB44" s="85" t="str">
        <f aca="false">IF(OR(N($P44)&lt;=0,$R44="",$J44=""),"",$P44*($R44-$J44))</f>
        <v/>
      </c>
      <c r="AC44" s="83" t="str">
        <f aca="false">IF(OR($M44="",$N44="",$J44=""),"",IF($Z44="Yes",MAX($J44,MIN($Y44,$N44)),$J44))</f>
        <v/>
      </c>
      <c r="AD44" s="85" t="str">
        <f aca="false">IF($AC44="","",$M44*($N44-$AC44))</f>
        <v/>
      </c>
      <c r="AE44" s="83" t="str">
        <f aca="false">IF(OR(N($P44)&lt;=0,$R44="",$J44=""),"",IF($Z44="Yes",MAX($J44,MIN($Y44,$R44)),$J44))</f>
        <v/>
      </c>
      <c r="AF44" s="85" t="str">
        <f aca="false">IF($AE44="","",$P44*($R44-$AE44))</f>
        <v/>
      </c>
      <c r="AG44" s="92" t="str">
        <f aca="false">IF(OR($V44="",$X44=""),"",MAX(0,$X44+1-$V44))</f>
        <v/>
      </c>
      <c r="AH44" s="93" t="str">
        <f aca="false">IF(OR($X44="",NOT(ISNUMBER($H44)),N($P44)&lt;=0),"",$H44+$X44+1)</f>
        <v/>
      </c>
      <c r="AI44" s="91"/>
      <c r="AJ44" s="85" t="str">
        <f aca="false">IF(OR($AI44="",N($P44)&lt;=0),"",$AI44*$P44)</f>
        <v/>
      </c>
      <c r="AK44" s="79" t="str">
        <f aca="false">IF(NOT(ISNUMBER($L44)),"",IF(MONTH($L44)&gt;=4,YEAR($L44)&amp;"-"&amp;RIGHT(YEAR($L44)+1,2),(YEAR($L44)-1)&amp;"-"&amp;RIGHT(YEAR($L44),2)))</f>
        <v/>
      </c>
      <c r="AL44" s="78"/>
      <c r="AM44" s="79" t="str">
        <f aca="false">IF($A44&amp;$B44&amp;$C44="","",IF($A44="","Missing ID",IF(COUNTIF($A$6:$A$205,$A44)&gt;1,"Duplicate ID",IF($AN44="","Unknown account",IF($AO44="","Unknown security",IF(COUNTIFS(Holdings!$B$6:$B$205,$B44,Holdings!$C$6:$C$205,$C44)=0,"No holding row for this lot",IF(OR($I44="",$J44=""),"Missing purchase quantity or rate",IF(NOT(ISNUMBER($H44)),"Missing purchase date",IF(N($H44)&gt;ValDate,"Purchase after valuation date",IF(N($M44)&gt;N($I44),"Sale quantity exceeds purchase",IF(AND(N($M44)&gt;0,OR(NOT(ISNUMBER($L44)),$N44="")),"Sale date or rate missing",IF(AND(ISNUMBER($L44),N($M44)=0),"Sale date with no quantity",IF(AND(ISNUMBER($L44),N($L44)&lt;N($H44)),"Sale before purchase",IF(N($L44)&gt;ValDate,"Sale after valuation date","OK"))))))))))))))</f>
        <v/>
      </c>
      <c r="AN44" s="89" t="str">
        <f aca="false">IF($B44="","",IFERROR(MATCH($B44,Accounts!$A$6:$A$55,0),""))</f>
        <v/>
      </c>
      <c r="AO44" s="89" t="str">
        <f aca="false">IF($C44="","",IFERROR(MATCH($C44,Securities!$A$6:$A$105,0),""))</f>
        <v/>
      </c>
      <c r="AP44" s="89" t="str">
        <f aca="false">IF($AN44="","",INDEX(Accounts!$B$6:$B$55,$AN44)&amp;"")</f>
        <v/>
      </c>
      <c r="AQ44" s="89" t="str">
        <f aca="false">IF(AND(ISNUMBER($AG44),N($P44)&gt;0),IF(AND(N($AG44)&gt;0,N($AG44)&lt;=SoonDays),1,""),"")</f>
        <v/>
      </c>
      <c r="AR44" s="89" t="str">
        <f aca="false">IF($AQ44&lt;&gt;1,"",SUMPRODUCT(($AQ$6:$AQ$205=1)*ISNUMBER($AG$6:$AG$205)*($AG$6:$AG$205&lt;$AG44))+SUMPRODUCT(($AQ$6:$AQ44=1)*ISNUMBER($AG$6:$AG44)*($AG$6:$AG44=$AG44)))</f>
        <v/>
      </c>
    </row>
    <row r="45" customFormat="false" ht="15" hidden="false" customHeight="false" outlineLevel="0" collapsed="false">
      <c r="A45" s="77"/>
      <c r="B45" s="78"/>
      <c r="C45" s="78"/>
      <c r="D45" s="79" t="str">
        <f aca="false">IF($AN45="","",INDEX(Accounts!$C$6:$C$55,$AN45)&amp;"")</f>
        <v/>
      </c>
      <c r="E45" s="79" t="str">
        <f aca="false">IF($AO45="","",INDEX(Securities!$B$6:$B$105,$AO45)&amp;"")</f>
        <v/>
      </c>
      <c r="F45" s="79" t="str">
        <f aca="false">IF($AO45="","",INDEX(Securities!$C$6:$C$105,$AO45)&amp;"")</f>
        <v/>
      </c>
      <c r="G45" s="79" t="str">
        <f aca="false">IF($AO45="","",INDEX(Securities!$E$6:$E$105,$AO45)&amp;"")</f>
        <v/>
      </c>
      <c r="H45" s="80"/>
      <c r="I45" s="81"/>
      <c r="J45" s="91"/>
      <c r="K45" s="85" t="str">
        <f aca="false">IF(OR($I45="",$J45=""),"",$I45*$J45)</f>
        <v/>
      </c>
      <c r="L45" s="80"/>
      <c r="M45" s="81"/>
      <c r="N45" s="91"/>
      <c r="O45" s="85" t="str">
        <f aca="false">IF(OR($M45="",$N45=""),"",$M45*$N45)</f>
        <v/>
      </c>
      <c r="P45" s="88" t="str">
        <f aca="false">IF($C45="","",N($I45)-N($M45))</f>
        <v/>
      </c>
      <c r="Q45" s="85" t="str">
        <f aca="false">IF(OR($P45="",$J45=""),"",$P45*$J45)</f>
        <v/>
      </c>
      <c r="R45" s="83" t="str">
        <f aca="false">IF($AO45="","",IF(INDEX(Securities!$N$6:$N$105,$AO45)="At cost",IF($J45="","",$J45),IF(INDEX(Securities!$O$6:$O$105,$AO45)="","",INDEX(Securities!$O$6:$O$105,$AO45))))</f>
        <v/>
      </c>
      <c r="S45" s="85" t="str">
        <f aca="false">IF(OR($P45="",$R45=""),"",$P45*$R45)</f>
        <v/>
      </c>
      <c r="T45" s="92" t="str">
        <f aca="false">IF(OR(NOT(ISNUMBER($L45)),NOT(ISNUMBER($H45))),"",$L45-$H45)</f>
        <v/>
      </c>
      <c r="U45" s="79" t="str">
        <f aca="false">IF($T45="","",IF($X45="","Short Term",IF($T45&gt;$X45,"Long Term","Short Term")))</f>
        <v/>
      </c>
      <c r="V45" s="92" t="str">
        <f aca="false">IF(OR(NOT(ISNUMBER($H45)),N($P45)&lt;=0),"",ValDate-$H45)</f>
        <v/>
      </c>
      <c r="W45" s="79" t="str">
        <f aca="false">IF($V45="","",IF($X45="","Short Term",IF($V45&gt;$X45,"Long Term","Short Term")))</f>
        <v/>
      </c>
      <c r="X45" s="92" t="str">
        <f aca="true">IF($G45="","",IF(ISNA(MATCH($G45,L_Category,0)),"",IF(INDEX(L_CatLT,MATCH($G45,L_Category,0))="","",INDEX(L_CatLT,MATCH($G45,L_Category,0)))))</f>
        <v/>
      </c>
      <c r="Y45" s="83" t="str">
        <f aca="false">IF($AO45="","",IF(INDEX(Securities!$Q$6:$Q$105,$AO45)="","",INDEX(Securities!$Q$6:$Q$105,$AO45)))</f>
        <v/>
      </c>
      <c r="Z45" s="79" t="str">
        <f aca="false">IF($C45="","",IF(OR(NOT(ISNUMBER($H45)),$Y45=""),"No",IF($H45&lt;=GFDate,"Yes","No")))</f>
        <v/>
      </c>
      <c r="AA45" s="85" t="str">
        <f aca="false">IF(OR($M45="",$N45="",$J45=""),"",$M45*($N45-$J45))</f>
        <v/>
      </c>
      <c r="AB45" s="85" t="str">
        <f aca="false">IF(OR(N($P45)&lt;=0,$R45="",$J45=""),"",$P45*($R45-$J45))</f>
        <v/>
      </c>
      <c r="AC45" s="83" t="str">
        <f aca="false">IF(OR($M45="",$N45="",$J45=""),"",IF($Z45="Yes",MAX($J45,MIN($Y45,$N45)),$J45))</f>
        <v/>
      </c>
      <c r="AD45" s="85" t="str">
        <f aca="false">IF($AC45="","",$M45*($N45-$AC45))</f>
        <v/>
      </c>
      <c r="AE45" s="83" t="str">
        <f aca="false">IF(OR(N($P45)&lt;=0,$R45="",$J45=""),"",IF($Z45="Yes",MAX($J45,MIN($Y45,$R45)),$J45))</f>
        <v/>
      </c>
      <c r="AF45" s="85" t="str">
        <f aca="false">IF($AE45="","",$P45*($R45-$AE45))</f>
        <v/>
      </c>
      <c r="AG45" s="92" t="str">
        <f aca="false">IF(OR($V45="",$X45=""),"",MAX(0,$X45+1-$V45))</f>
        <v/>
      </c>
      <c r="AH45" s="93" t="str">
        <f aca="false">IF(OR($X45="",NOT(ISNUMBER($H45)),N($P45)&lt;=0),"",$H45+$X45+1)</f>
        <v/>
      </c>
      <c r="AI45" s="91"/>
      <c r="AJ45" s="85" t="str">
        <f aca="false">IF(OR($AI45="",N($P45)&lt;=0),"",$AI45*$P45)</f>
        <v/>
      </c>
      <c r="AK45" s="79" t="str">
        <f aca="false">IF(NOT(ISNUMBER($L45)),"",IF(MONTH($L45)&gt;=4,YEAR($L45)&amp;"-"&amp;RIGHT(YEAR($L45)+1,2),(YEAR($L45)-1)&amp;"-"&amp;RIGHT(YEAR($L45),2)))</f>
        <v/>
      </c>
      <c r="AL45" s="78"/>
      <c r="AM45" s="79" t="str">
        <f aca="false">IF($A45&amp;$B45&amp;$C45="","",IF($A45="","Missing ID",IF(COUNTIF($A$6:$A$205,$A45)&gt;1,"Duplicate ID",IF($AN45="","Unknown account",IF($AO45="","Unknown security",IF(COUNTIFS(Holdings!$B$6:$B$205,$B45,Holdings!$C$6:$C$205,$C45)=0,"No holding row for this lot",IF(OR($I45="",$J45=""),"Missing purchase quantity or rate",IF(NOT(ISNUMBER($H45)),"Missing purchase date",IF(N($H45)&gt;ValDate,"Purchase after valuation date",IF(N($M45)&gt;N($I45),"Sale quantity exceeds purchase",IF(AND(N($M45)&gt;0,OR(NOT(ISNUMBER($L45)),$N45="")),"Sale date or rate missing",IF(AND(ISNUMBER($L45),N($M45)=0),"Sale date with no quantity",IF(AND(ISNUMBER($L45),N($L45)&lt;N($H45)),"Sale before purchase",IF(N($L45)&gt;ValDate,"Sale after valuation date","OK"))))))))))))))</f>
        <v/>
      </c>
      <c r="AN45" s="89" t="str">
        <f aca="false">IF($B45="","",IFERROR(MATCH($B45,Accounts!$A$6:$A$55,0),""))</f>
        <v/>
      </c>
      <c r="AO45" s="89" t="str">
        <f aca="false">IF($C45="","",IFERROR(MATCH($C45,Securities!$A$6:$A$105,0),""))</f>
        <v/>
      </c>
      <c r="AP45" s="89" t="str">
        <f aca="false">IF($AN45="","",INDEX(Accounts!$B$6:$B$55,$AN45)&amp;"")</f>
        <v/>
      </c>
      <c r="AQ45" s="89" t="str">
        <f aca="false">IF(AND(ISNUMBER($AG45),N($P45)&gt;0),IF(AND(N($AG45)&gt;0,N($AG45)&lt;=SoonDays),1,""),"")</f>
        <v/>
      </c>
      <c r="AR45" s="89" t="str">
        <f aca="false">IF($AQ45&lt;&gt;1,"",SUMPRODUCT(($AQ$6:$AQ$205=1)*ISNUMBER($AG$6:$AG$205)*($AG$6:$AG$205&lt;$AG45))+SUMPRODUCT(($AQ$6:$AQ45=1)*ISNUMBER($AG$6:$AG45)*($AG$6:$AG45=$AG45)))</f>
        <v/>
      </c>
    </row>
    <row r="46" customFormat="false" ht="15" hidden="false" customHeight="false" outlineLevel="0" collapsed="false">
      <c r="A46" s="77"/>
      <c r="B46" s="78"/>
      <c r="C46" s="78"/>
      <c r="D46" s="79" t="str">
        <f aca="false">IF($AN46="","",INDEX(Accounts!$C$6:$C$55,$AN46)&amp;"")</f>
        <v/>
      </c>
      <c r="E46" s="79" t="str">
        <f aca="false">IF($AO46="","",INDEX(Securities!$B$6:$B$105,$AO46)&amp;"")</f>
        <v/>
      </c>
      <c r="F46" s="79" t="str">
        <f aca="false">IF($AO46="","",INDEX(Securities!$C$6:$C$105,$AO46)&amp;"")</f>
        <v/>
      </c>
      <c r="G46" s="79" t="str">
        <f aca="false">IF($AO46="","",INDEX(Securities!$E$6:$E$105,$AO46)&amp;"")</f>
        <v/>
      </c>
      <c r="H46" s="80"/>
      <c r="I46" s="81"/>
      <c r="J46" s="91"/>
      <c r="K46" s="85" t="str">
        <f aca="false">IF(OR($I46="",$J46=""),"",$I46*$J46)</f>
        <v/>
      </c>
      <c r="L46" s="80"/>
      <c r="M46" s="81"/>
      <c r="N46" s="91"/>
      <c r="O46" s="85" t="str">
        <f aca="false">IF(OR($M46="",$N46=""),"",$M46*$N46)</f>
        <v/>
      </c>
      <c r="P46" s="88" t="str">
        <f aca="false">IF($C46="","",N($I46)-N($M46))</f>
        <v/>
      </c>
      <c r="Q46" s="85" t="str">
        <f aca="false">IF(OR($P46="",$J46=""),"",$P46*$J46)</f>
        <v/>
      </c>
      <c r="R46" s="83" t="str">
        <f aca="false">IF($AO46="","",IF(INDEX(Securities!$N$6:$N$105,$AO46)="At cost",IF($J46="","",$J46),IF(INDEX(Securities!$O$6:$O$105,$AO46)="","",INDEX(Securities!$O$6:$O$105,$AO46))))</f>
        <v/>
      </c>
      <c r="S46" s="85" t="str">
        <f aca="false">IF(OR($P46="",$R46=""),"",$P46*$R46)</f>
        <v/>
      </c>
      <c r="T46" s="92" t="str">
        <f aca="false">IF(OR(NOT(ISNUMBER($L46)),NOT(ISNUMBER($H46))),"",$L46-$H46)</f>
        <v/>
      </c>
      <c r="U46" s="79" t="str">
        <f aca="false">IF($T46="","",IF($X46="","Short Term",IF($T46&gt;$X46,"Long Term","Short Term")))</f>
        <v/>
      </c>
      <c r="V46" s="92" t="str">
        <f aca="false">IF(OR(NOT(ISNUMBER($H46)),N($P46)&lt;=0),"",ValDate-$H46)</f>
        <v/>
      </c>
      <c r="W46" s="79" t="str">
        <f aca="false">IF($V46="","",IF($X46="","Short Term",IF($V46&gt;$X46,"Long Term","Short Term")))</f>
        <v/>
      </c>
      <c r="X46" s="92" t="str">
        <f aca="true">IF($G46="","",IF(ISNA(MATCH($G46,L_Category,0)),"",IF(INDEX(L_CatLT,MATCH($G46,L_Category,0))="","",INDEX(L_CatLT,MATCH($G46,L_Category,0)))))</f>
        <v/>
      </c>
      <c r="Y46" s="83" t="str">
        <f aca="false">IF($AO46="","",IF(INDEX(Securities!$Q$6:$Q$105,$AO46)="","",INDEX(Securities!$Q$6:$Q$105,$AO46)))</f>
        <v/>
      </c>
      <c r="Z46" s="79" t="str">
        <f aca="false">IF($C46="","",IF(OR(NOT(ISNUMBER($H46)),$Y46=""),"No",IF($H46&lt;=GFDate,"Yes","No")))</f>
        <v/>
      </c>
      <c r="AA46" s="85" t="str">
        <f aca="false">IF(OR($M46="",$N46="",$J46=""),"",$M46*($N46-$J46))</f>
        <v/>
      </c>
      <c r="AB46" s="85" t="str">
        <f aca="false">IF(OR(N($P46)&lt;=0,$R46="",$J46=""),"",$P46*($R46-$J46))</f>
        <v/>
      </c>
      <c r="AC46" s="83" t="str">
        <f aca="false">IF(OR($M46="",$N46="",$J46=""),"",IF($Z46="Yes",MAX($J46,MIN($Y46,$N46)),$J46))</f>
        <v/>
      </c>
      <c r="AD46" s="85" t="str">
        <f aca="false">IF($AC46="","",$M46*($N46-$AC46))</f>
        <v/>
      </c>
      <c r="AE46" s="83" t="str">
        <f aca="false">IF(OR(N($P46)&lt;=0,$R46="",$J46=""),"",IF($Z46="Yes",MAX($J46,MIN($Y46,$R46)),$J46))</f>
        <v/>
      </c>
      <c r="AF46" s="85" t="str">
        <f aca="false">IF($AE46="","",$P46*($R46-$AE46))</f>
        <v/>
      </c>
      <c r="AG46" s="92" t="str">
        <f aca="false">IF(OR($V46="",$X46=""),"",MAX(0,$X46+1-$V46))</f>
        <v/>
      </c>
      <c r="AH46" s="93" t="str">
        <f aca="false">IF(OR($X46="",NOT(ISNUMBER($H46)),N($P46)&lt;=0),"",$H46+$X46+1)</f>
        <v/>
      </c>
      <c r="AI46" s="91"/>
      <c r="AJ46" s="85" t="str">
        <f aca="false">IF(OR($AI46="",N($P46)&lt;=0),"",$AI46*$P46)</f>
        <v/>
      </c>
      <c r="AK46" s="79" t="str">
        <f aca="false">IF(NOT(ISNUMBER($L46)),"",IF(MONTH($L46)&gt;=4,YEAR($L46)&amp;"-"&amp;RIGHT(YEAR($L46)+1,2),(YEAR($L46)-1)&amp;"-"&amp;RIGHT(YEAR($L46),2)))</f>
        <v/>
      </c>
      <c r="AL46" s="78"/>
      <c r="AM46" s="79" t="str">
        <f aca="false">IF($A46&amp;$B46&amp;$C46="","",IF($A46="","Missing ID",IF(COUNTIF($A$6:$A$205,$A46)&gt;1,"Duplicate ID",IF($AN46="","Unknown account",IF($AO46="","Unknown security",IF(COUNTIFS(Holdings!$B$6:$B$205,$B46,Holdings!$C$6:$C$205,$C46)=0,"No holding row for this lot",IF(OR($I46="",$J46=""),"Missing purchase quantity or rate",IF(NOT(ISNUMBER($H46)),"Missing purchase date",IF(N($H46)&gt;ValDate,"Purchase after valuation date",IF(N($M46)&gt;N($I46),"Sale quantity exceeds purchase",IF(AND(N($M46)&gt;0,OR(NOT(ISNUMBER($L46)),$N46="")),"Sale date or rate missing",IF(AND(ISNUMBER($L46),N($M46)=0),"Sale date with no quantity",IF(AND(ISNUMBER($L46),N($L46)&lt;N($H46)),"Sale before purchase",IF(N($L46)&gt;ValDate,"Sale after valuation date","OK"))))))))))))))</f>
        <v/>
      </c>
      <c r="AN46" s="89" t="str">
        <f aca="false">IF($B46="","",IFERROR(MATCH($B46,Accounts!$A$6:$A$55,0),""))</f>
        <v/>
      </c>
      <c r="AO46" s="89" t="str">
        <f aca="false">IF($C46="","",IFERROR(MATCH($C46,Securities!$A$6:$A$105,0),""))</f>
        <v/>
      </c>
      <c r="AP46" s="89" t="str">
        <f aca="false">IF($AN46="","",INDEX(Accounts!$B$6:$B$55,$AN46)&amp;"")</f>
        <v/>
      </c>
      <c r="AQ46" s="89" t="str">
        <f aca="false">IF(AND(ISNUMBER($AG46),N($P46)&gt;0),IF(AND(N($AG46)&gt;0,N($AG46)&lt;=SoonDays),1,""),"")</f>
        <v/>
      </c>
      <c r="AR46" s="89" t="str">
        <f aca="false">IF($AQ46&lt;&gt;1,"",SUMPRODUCT(($AQ$6:$AQ$205=1)*ISNUMBER($AG$6:$AG$205)*($AG$6:$AG$205&lt;$AG46))+SUMPRODUCT(($AQ$6:$AQ46=1)*ISNUMBER($AG$6:$AG46)*($AG$6:$AG46=$AG46)))</f>
        <v/>
      </c>
    </row>
    <row r="47" customFormat="false" ht="15" hidden="false" customHeight="false" outlineLevel="0" collapsed="false">
      <c r="A47" s="77"/>
      <c r="B47" s="78"/>
      <c r="C47" s="78"/>
      <c r="D47" s="79" t="str">
        <f aca="false">IF($AN47="","",INDEX(Accounts!$C$6:$C$55,$AN47)&amp;"")</f>
        <v/>
      </c>
      <c r="E47" s="79" t="str">
        <f aca="false">IF($AO47="","",INDEX(Securities!$B$6:$B$105,$AO47)&amp;"")</f>
        <v/>
      </c>
      <c r="F47" s="79" t="str">
        <f aca="false">IF($AO47="","",INDEX(Securities!$C$6:$C$105,$AO47)&amp;"")</f>
        <v/>
      </c>
      <c r="G47" s="79" t="str">
        <f aca="false">IF($AO47="","",INDEX(Securities!$E$6:$E$105,$AO47)&amp;"")</f>
        <v/>
      </c>
      <c r="H47" s="80"/>
      <c r="I47" s="81"/>
      <c r="J47" s="91"/>
      <c r="K47" s="85" t="str">
        <f aca="false">IF(OR($I47="",$J47=""),"",$I47*$J47)</f>
        <v/>
      </c>
      <c r="L47" s="80"/>
      <c r="M47" s="81"/>
      <c r="N47" s="91"/>
      <c r="O47" s="85" t="str">
        <f aca="false">IF(OR($M47="",$N47=""),"",$M47*$N47)</f>
        <v/>
      </c>
      <c r="P47" s="88" t="str">
        <f aca="false">IF($C47="","",N($I47)-N($M47))</f>
        <v/>
      </c>
      <c r="Q47" s="85" t="str">
        <f aca="false">IF(OR($P47="",$J47=""),"",$P47*$J47)</f>
        <v/>
      </c>
      <c r="R47" s="83" t="str">
        <f aca="false">IF($AO47="","",IF(INDEX(Securities!$N$6:$N$105,$AO47)="At cost",IF($J47="","",$J47),IF(INDEX(Securities!$O$6:$O$105,$AO47)="","",INDEX(Securities!$O$6:$O$105,$AO47))))</f>
        <v/>
      </c>
      <c r="S47" s="85" t="str">
        <f aca="false">IF(OR($P47="",$R47=""),"",$P47*$R47)</f>
        <v/>
      </c>
      <c r="T47" s="92" t="str">
        <f aca="false">IF(OR(NOT(ISNUMBER($L47)),NOT(ISNUMBER($H47))),"",$L47-$H47)</f>
        <v/>
      </c>
      <c r="U47" s="79" t="str">
        <f aca="false">IF($T47="","",IF($X47="","Short Term",IF($T47&gt;$X47,"Long Term","Short Term")))</f>
        <v/>
      </c>
      <c r="V47" s="92" t="str">
        <f aca="false">IF(OR(NOT(ISNUMBER($H47)),N($P47)&lt;=0),"",ValDate-$H47)</f>
        <v/>
      </c>
      <c r="W47" s="79" t="str">
        <f aca="false">IF($V47="","",IF($X47="","Short Term",IF($V47&gt;$X47,"Long Term","Short Term")))</f>
        <v/>
      </c>
      <c r="X47" s="92" t="str">
        <f aca="true">IF($G47="","",IF(ISNA(MATCH($G47,L_Category,0)),"",IF(INDEX(L_CatLT,MATCH($G47,L_Category,0))="","",INDEX(L_CatLT,MATCH($G47,L_Category,0)))))</f>
        <v/>
      </c>
      <c r="Y47" s="83" t="str">
        <f aca="false">IF($AO47="","",IF(INDEX(Securities!$Q$6:$Q$105,$AO47)="","",INDEX(Securities!$Q$6:$Q$105,$AO47)))</f>
        <v/>
      </c>
      <c r="Z47" s="79" t="str">
        <f aca="false">IF($C47="","",IF(OR(NOT(ISNUMBER($H47)),$Y47=""),"No",IF($H47&lt;=GFDate,"Yes","No")))</f>
        <v/>
      </c>
      <c r="AA47" s="85" t="str">
        <f aca="false">IF(OR($M47="",$N47="",$J47=""),"",$M47*($N47-$J47))</f>
        <v/>
      </c>
      <c r="AB47" s="85" t="str">
        <f aca="false">IF(OR(N($P47)&lt;=0,$R47="",$J47=""),"",$P47*($R47-$J47))</f>
        <v/>
      </c>
      <c r="AC47" s="83" t="str">
        <f aca="false">IF(OR($M47="",$N47="",$J47=""),"",IF($Z47="Yes",MAX($J47,MIN($Y47,$N47)),$J47))</f>
        <v/>
      </c>
      <c r="AD47" s="85" t="str">
        <f aca="false">IF($AC47="","",$M47*($N47-$AC47))</f>
        <v/>
      </c>
      <c r="AE47" s="83" t="str">
        <f aca="false">IF(OR(N($P47)&lt;=0,$R47="",$J47=""),"",IF($Z47="Yes",MAX($J47,MIN($Y47,$R47)),$J47))</f>
        <v/>
      </c>
      <c r="AF47" s="85" t="str">
        <f aca="false">IF($AE47="","",$P47*($R47-$AE47))</f>
        <v/>
      </c>
      <c r="AG47" s="92" t="str">
        <f aca="false">IF(OR($V47="",$X47=""),"",MAX(0,$X47+1-$V47))</f>
        <v/>
      </c>
      <c r="AH47" s="93" t="str">
        <f aca="false">IF(OR($X47="",NOT(ISNUMBER($H47)),N($P47)&lt;=0),"",$H47+$X47+1)</f>
        <v/>
      </c>
      <c r="AI47" s="91"/>
      <c r="AJ47" s="85" t="str">
        <f aca="false">IF(OR($AI47="",N($P47)&lt;=0),"",$AI47*$P47)</f>
        <v/>
      </c>
      <c r="AK47" s="79" t="str">
        <f aca="false">IF(NOT(ISNUMBER($L47)),"",IF(MONTH($L47)&gt;=4,YEAR($L47)&amp;"-"&amp;RIGHT(YEAR($L47)+1,2),(YEAR($L47)-1)&amp;"-"&amp;RIGHT(YEAR($L47),2)))</f>
        <v/>
      </c>
      <c r="AL47" s="78"/>
      <c r="AM47" s="79" t="str">
        <f aca="false">IF($A47&amp;$B47&amp;$C47="","",IF($A47="","Missing ID",IF(COUNTIF($A$6:$A$205,$A47)&gt;1,"Duplicate ID",IF($AN47="","Unknown account",IF($AO47="","Unknown security",IF(COUNTIFS(Holdings!$B$6:$B$205,$B47,Holdings!$C$6:$C$205,$C47)=0,"No holding row for this lot",IF(OR($I47="",$J47=""),"Missing purchase quantity or rate",IF(NOT(ISNUMBER($H47)),"Missing purchase date",IF(N($H47)&gt;ValDate,"Purchase after valuation date",IF(N($M47)&gt;N($I47),"Sale quantity exceeds purchase",IF(AND(N($M47)&gt;0,OR(NOT(ISNUMBER($L47)),$N47="")),"Sale date or rate missing",IF(AND(ISNUMBER($L47),N($M47)=0),"Sale date with no quantity",IF(AND(ISNUMBER($L47),N($L47)&lt;N($H47)),"Sale before purchase",IF(N($L47)&gt;ValDate,"Sale after valuation date","OK"))))))))))))))</f>
        <v/>
      </c>
      <c r="AN47" s="89" t="str">
        <f aca="false">IF($B47="","",IFERROR(MATCH($B47,Accounts!$A$6:$A$55,0),""))</f>
        <v/>
      </c>
      <c r="AO47" s="89" t="str">
        <f aca="false">IF($C47="","",IFERROR(MATCH($C47,Securities!$A$6:$A$105,0),""))</f>
        <v/>
      </c>
      <c r="AP47" s="89" t="str">
        <f aca="false">IF($AN47="","",INDEX(Accounts!$B$6:$B$55,$AN47)&amp;"")</f>
        <v/>
      </c>
      <c r="AQ47" s="89" t="str">
        <f aca="false">IF(AND(ISNUMBER($AG47),N($P47)&gt;0),IF(AND(N($AG47)&gt;0,N($AG47)&lt;=SoonDays),1,""),"")</f>
        <v/>
      </c>
      <c r="AR47" s="89" t="str">
        <f aca="false">IF($AQ47&lt;&gt;1,"",SUMPRODUCT(($AQ$6:$AQ$205=1)*ISNUMBER($AG$6:$AG$205)*($AG$6:$AG$205&lt;$AG47))+SUMPRODUCT(($AQ$6:$AQ47=1)*ISNUMBER($AG$6:$AG47)*($AG$6:$AG47=$AG47)))</f>
        <v/>
      </c>
    </row>
    <row r="48" customFormat="false" ht="15" hidden="false" customHeight="false" outlineLevel="0" collapsed="false">
      <c r="A48" s="77"/>
      <c r="B48" s="78"/>
      <c r="C48" s="78"/>
      <c r="D48" s="79" t="str">
        <f aca="false">IF($AN48="","",INDEX(Accounts!$C$6:$C$55,$AN48)&amp;"")</f>
        <v/>
      </c>
      <c r="E48" s="79" t="str">
        <f aca="false">IF($AO48="","",INDEX(Securities!$B$6:$B$105,$AO48)&amp;"")</f>
        <v/>
      </c>
      <c r="F48" s="79" t="str">
        <f aca="false">IF($AO48="","",INDEX(Securities!$C$6:$C$105,$AO48)&amp;"")</f>
        <v/>
      </c>
      <c r="G48" s="79" t="str">
        <f aca="false">IF($AO48="","",INDEX(Securities!$E$6:$E$105,$AO48)&amp;"")</f>
        <v/>
      </c>
      <c r="H48" s="80"/>
      <c r="I48" s="81"/>
      <c r="J48" s="91"/>
      <c r="K48" s="85" t="str">
        <f aca="false">IF(OR($I48="",$J48=""),"",$I48*$J48)</f>
        <v/>
      </c>
      <c r="L48" s="80"/>
      <c r="M48" s="81"/>
      <c r="N48" s="91"/>
      <c r="O48" s="85" t="str">
        <f aca="false">IF(OR($M48="",$N48=""),"",$M48*$N48)</f>
        <v/>
      </c>
      <c r="P48" s="88" t="str">
        <f aca="false">IF($C48="","",N($I48)-N($M48))</f>
        <v/>
      </c>
      <c r="Q48" s="85" t="str">
        <f aca="false">IF(OR($P48="",$J48=""),"",$P48*$J48)</f>
        <v/>
      </c>
      <c r="R48" s="83" t="str">
        <f aca="false">IF($AO48="","",IF(INDEX(Securities!$N$6:$N$105,$AO48)="At cost",IF($J48="","",$J48),IF(INDEX(Securities!$O$6:$O$105,$AO48)="","",INDEX(Securities!$O$6:$O$105,$AO48))))</f>
        <v/>
      </c>
      <c r="S48" s="85" t="str">
        <f aca="false">IF(OR($P48="",$R48=""),"",$P48*$R48)</f>
        <v/>
      </c>
      <c r="T48" s="92" t="str">
        <f aca="false">IF(OR(NOT(ISNUMBER($L48)),NOT(ISNUMBER($H48))),"",$L48-$H48)</f>
        <v/>
      </c>
      <c r="U48" s="79" t="str">
        <f aca="false">IF($T48="","",IF($X48="","Short Term",IF($T48&gt;$X48,"Long Term","Short Term")))</f>
        <v/>
      </c>
      <c r="V48" s="92" t="str">
        <f aca="false">IF(OR(NOT(ISNUMBER($H48)),N($P48)&lt;=0),"",ValDate-$H48)</f>
        <v/>
      </c>
      <c r="W48" s="79" t="str">
        <f aca="false">IF($V48="","",IF($X48="","Short Term",IF($V48&gt;$X48,"Long Term","Short Term")))</f>
        <v/>
      </c>
      <c r="X48" s="92" t="str">
        <f aca="true">IF($G48="","",IF(ISNA(MATCH($G48,L_Category,0)),"",IF(INDEX(L_CatLT,MATCH($G48,L_Category,0))="","",INDEX(L_CatLT,MATCH($G48,L_Category,0)))))</f>
        <v/>
      </c>
      <c r="Y48" s="83" t="str">
        <f aca="false">IF($AO48="","",IF(INDEX(Securities!$Q$6:$Q$105,$AO48)="","",INDEX(Securities!$Q$6:$Q$105,$AO48)))</f>
        <v/>
      </c>
      <c r="Z48" s="79" t="str">
        <f aca="false">IF($C48="","",IF(OR(NOT(ISNUMBER($H48)),$Y48=""),"No",IF($H48&lt;=GFDate,"Yes","No")))</f>
        <v/>
      </c>
      <c r="AA48" s="85" t="str">
        <f aca="false">IF(OR($M48="",$N48="",$J48=""),"",$M48*($N48-$J48))</f>
        <v/>
      </c>
      <c r="AB48" s="85" t="str">
        <f aca="false">IF(OR(N($P48)&lt;=0,$R48="",$J48=""),"",$P48*($R48-$J48))</f>
        <v/>
      </c>
      <c r="AC48" s="83" t="str">
        <f aca="false">IF(OR($M48="",$N48="",$J48=""),"",IF($Z48="Yes",MAX($J48,MIN($Y48,$N48)),$J48))</f>
        <v/>
      </c>
      <c r="AD48" s="85" t="str">
        <f aca="false">IF($AC48="","",$M48*($N48-$AC48))</f>
        <v/>
      </c>
      <c r="AE48" s="83" t="str">
        <f aca="false">IF(OR(N($P48)&lt;=0,$R48="",$J48=""),"",IF($Z48="Yes",MAX($J48,MIN($Y48,$R48)),$J48))</f>
        <v/>
      </c>
      <c r="AF48" s="85" t="str">
        <f aca="false">IF($AE48="","",$P48*($R48-$AE48))</f>
        <v/>
      </c>
      <c r="AG48" s="92" t="str">
        <f aca="false">IF(OR($V48="",$X48=""),"",MAX(0,$X48+1-$V48))</f>
        <v/>
      </c>
      <c r="AH48" s="93" t="str">
        <f aca="false">IF(OR($X48="",NOT(ISNUMBER($H48)),N($P48)&lt;=0),"",$H48+$X48+1)</f>
        <v/>
      </c>
      <c r="AI48" s="91"/>
      <c r="AJ48" s="85" t="str">
        <f aca="false">IF(OR($AI48="",N($P48)&lt;=0),"",$AI48*$P48)</f>
        <v/>
      </c>
      <c r="AK48" s="79" t="str">
        <f aca="false">IF(NOT(ISNUMBER($L48)),"",IF(MONTH($L48)&gt;=4,YEAR($L48)&amp;"-"&amp;RIGHT(YEAR($L48)+1,2),(YEAR($L48)-1)&amp;"-"&amp;RIGHT(YEAR($L48),2)))</f>
        <v/>
      </c>
      <c r="AL48" s="78"/>
      <c r="AM48" s="79" t="str">
        <f aca="false">IF($A48&amp;$B48&amp;$C48="","",IF($A48="","Missing ID",IF(COUNTIF($A$6:$A$205,$A48)&gt;1,"Duplicate ID",IF($AN48="","Unknown account",IF($AO48="","Unknown security",IF(COUNTIFS(Holdings!$B$6:$B$205,$B48,Holdings!$C$6:$C$205,$C48)=0,"No holding row for this lot",IF(OR($I48="",$J48=""),"Missing purchase quantity or rate",IF(NOT(ISNUMBER($H48)),"Missing purchase date",IF(N($H48)&gt;ValDate,"Purchase after valuation date",IF(N($M48)&gt;N($I48),"Sale quantity exceeds purchase",IF(AND(N($M48)&gt;0,OR(NOT(ISNUMBER($L48)),$N48="")),"Sale date or rate missing",IF(AND(ISNUMBER($L48),N($M48)=0),"Sale date with no quantity",IF(AND(ISNUMBER($L48),N($L48)&lt;N($H48)),"Sale before purchase",IF(N($L48)&gt;ValDate,"Sale after valuation date","OK"))))))))))))))</f>
        <v/>
      </c>
      <c r="AN48" s="89" t="str">
        <f aca="false">IF($B48="","",IFERROR(MATCH($B48,Accounts!$A$6:$A$55,0),""))</f>
        <v/>
      </c>
      <c r="AO48" s="89" t="str">
        <f aca="false">IF($C48="","",IFERROR(MATCH($C48,Securities!$A$6:$A$105,0),""))</f>
        <v/>
      </c>
      <c r="AP48" s="89" t="str">
        <f aca="false">IF($AN48="","",INDEX(Accounts!$B$6:$B$55,$AN48)&amp;"")</f>
        <v/>
      </c>
      <c r="AQ48" s="89" t="str">
        <f aca="false">IF(AND(ISNUMBER($AG48),N($P48)&gt;0),IF(AND(N($AG48)&gt;0,N($AG48)&lt;=SoonDays),1,""),"")</f>
        <v/>
      </c>
      <c r="AR48" s="89" t="str">
        <f aca="false">IF($AQ48&lt;&gt;1,"",SUMPRODUCT(($AQ$6:$AQ$205=1)*ISNUMBER($AG$6:$AG$205)*($AG$6:$AG$205&lt;$AG48))+SUMPRODUCT(($AQ$6:$AQ48=1)*ISNUMBER($AG$6:$AG48)*($AG$6:$AG48=$AG48)))</f>
        <v/>
      </c>
    </row>
    <row r="49" customFormat="false" ht="15" hidden="false" customHeight="false" outlineLevel="0" collapsed="false">
      <c r="A49" s="77"/>
      <c r="B49" s="78"/>
      <c r="C49" s="78"/>
      <c r="D49" s="79" t="str">
        <f aca="false">IF($AN49="","",INDEX(Accounts!$C$6:$C$55,$AN49)&amp;"")</f>
        <v/>
      </c>
      <c r="E49" s="79" t="str">
        <f aca="false">IF($AO49="","",INDEX(Securities!$B$6:$B$105,$AO49)&amp;"")</f>
        <v/>
      </c>
      <c r="F49" s="79" t="str">
        <f aca="false">IF($AO49="","",INDEX(Securities!$C$6:$C$105,$AO49)&amp;"")</f>
        <v/>
      </c>
      <c r="G49" s="79" t="str">
        <f aca="false">IF($AO49="","",INDEX(Securities!$E$6:$E$105,$AO49)&amp;"")</f>
        <v/>
      </c>
      <c r="H49" s="80"/>
      <c r="I49" s="81"/>
      <c r="J49" s="91"/>
      <c r="K49" s="85" t="str">
        <f aca="false">IF(OR($I49="",$J49=""),"",$I49*$J49)</f>
        <v/>
      </c>
      <c r="L49" s="80"/>
      <c r="M49" s="81"/>
      <c r="N49" s="91"/>
      <c r="O49" s="85" t="str">
        <f aca="false">IF(OR($M49="",$N49=""),"",$M49*$N49)</f>
        <v/>
      </c>
      <c r="P49" s="88" t="str">
        <f aca="false">IF($C49="","",N($I49)-N($M49))</f>
        <v/>
      </c>
      <c r="Q49" s="85" t="str">
        <f aca="false">IF(OR($P49="",$J49=""),"",$P49*$J49)</f>
        <v/>
      </c>
      <c r="R49" s="83" t="str">
        <f aca="false">IF($AO49="","",IF(INDEX(Securities!$N$6:$N$105,$AO49)="At cost",IF($J49="","",$J49),IF(INDEX(Securities!$O$6:$O$105,$AO49)="","",INDEX(Securities!$O$6:$O$105,$AO49))))</f>
        <v/>
      </c>
      <c r="S49" s="85" t="str">
        <f aca="false">IF(OR($P49="",$R49=""),"",$P49*$R49)</f>
        <v/>
      </c>
      <c r="T49" s="92" t="str">
        <f aca="false">IF(OR(NOT(ISNUMBER($L49)),NOT(ISNUMBER($H49))),"",$L49-$H49)</f>
        <v/>
      </c>
      <c r="U49" s="79" t="str">
        <f aca="false">IF($T49="","",IF($X49="","Short Term",IF($T49&gt;$X49,"Long Term","Short Term")))</f>
        <v/>
      </c>
      <c r="V49" s="92" t="str">
        <f aca="false">IF(OR(NOT(ISNUMBER($H49)),N($P49)&lt;=0),"",ValDate-$H49)</f>
        <v/>
      </c>
      <c r="W49" s="79" t="str">
        <f aca="false">IF($V49="","",IF($X49="","Short Term",IF($V49&gt;$X49,"Long Term","Short Term")))</f>
        <v/>
      </c>
      <c r="X49" s="92" t="str">
        <f aca="true">IF($G49="","",IF(ISNA(MATCH($G49,L_Category,0)),"",IF(INDEX(L_CatLT,MATCH($G49,L_Category,0))="","",INDEX(L_CatLT,MATCH($G49,L_Category,0)))))</f>
        <v/>
      </c>
      <c r="Y49" s="83" t="str">
        <f aca="false">IF($AO49="","",IF(INDEX(Securities!$Q$6:$Q$105,$AO49)="","",INDEX(Securities!$Q$6:$Q$105,$AO49)))</f>
        <v/>
      </c>
      <c r="Z49" s="79" t="str">
        <f aca="false">IF($C49="","",IF(OR(NOT(ISNUMBER($H49)),$Y49=""),"No",IF($H49&lt;=GFDate,"Yes","No")))</f>
        <v/>
      </c>
      <c r="AA49" s="85" t="str">
        <f aca="false">IF(OR($M49="",$N49="",$J49=""),"",$M49*($N49-$J49))</f>
        <v/>
      </c>
      <c r="AB49" s="85" t="str">
        <f aca="false">IF(OR(N($P49)&lt;=0,$R49="",$J49=""),"",$P49*($R49-$J49))</f>
        <v/>
      </c>
      <c r="AC49" s="83" t="str">
        <f aca="false">IF(OR($M49="",$N49="",$J49=""),"",IF($Z49="Yes",MAX($J49,MIN($Y49,$N49)),$J49))</f>
        <v/>
      </c>
      <c r="AD49" s="85" t="str">
        <f aca="false">IF($AC49="","",$M49*($N49-$AC49))</f>
        <v/>
      </c>
      <c r="AE49" s="83" t="str">
        <f aca="false">IF(OR(N($P49)&lt;=0,$R49="",$J49=""),"",IF($Z49="Yes",MAX($J49,MIN($Y49,$R49)),$J49))</f>
        <v/>
      </c>
      <c r="AF49" s="85" t="str">
        <f aca="false">IF($AE49="","",$P49*($R49-$AE49))</f>
        <v/>
      </c>
      <c r="AG49" s="92" t="str">
        <f aca="false">IF(OR($V49="",$X49=""),"",MAX(0,$X49+1-$V49))</f>
        <v/>
      </c>
      <c r="AH49" s="93" t="str">
        <f aca="false">IF(OR($X49="",NOT(ISNUMBER($H49)),N($P49)&lt;=0),"",$H49+$X49+1)</f>
        <v/>
      </c>
      <c r="AI49" s="91"/>
      <c r="AJ49" s="85" t="str">
        <f aca="false">IF(OR($AI49="",N($P49)&lt;=0),"",$AI49*$P49)</f>
        <v/>
      </c>
      <c r="AK49" s="79" t="str">
        <f aca="false">IF(NOT(ISNUMBER($L49)),"",IF(MONTH($L49)&gt;=4,YEAR($L49)&amp;"-"&amp;RIGHT(YEAR($L49)+1,2),(YEAR($L49)-1)&amp;"-"&amp;RIGHT(YEAR($L49),2)))</f>
        <v/>
      </c>
      <c r="AL49" s="78"/>
      <c r="AM49" s="79" t="str">
        <f aca="false">IF($A49&amp;$B49&amp;$C49="","",IF($A49="","Missing ID",IF(COUNTIF($A$6:$A$205,$A49)&gt;1,"Duplicate ID",IF($AN49="","Unknown account",IF($AO49="","Unknown security",IF(COUNTIFS(Holdings!$B$6:$B$205,$B49,Holdings!$C$6:$C$205,$C49)=0,"No holding row for this lot",IF(OR($I49="",$J49=""),"Missing purchase quantity or rate",IF(NOT(ISNUMBER($H49)),"Missing purchase date",IF(N($H49)&gt;ValDate,"Purchase after valuation date",IF(N($M49)&gt;N($I49),"Sale quantity exceeds purchase",IF(AND(N($M49)&gt;0,OR(NOT(ISNUMBER($L49)),$N49="")),"Sale date or rate missing",IF(AND(ISNUMBER($L49),N($M49)=0),"Sale date with no quantity",IF(AND(ISNUMBER($L49),N($L49)&lt;N($H49)),"Sale before purchase",IF(N($L49)&gt;ValDate,"Sale after valuation date","OK"))))))))))))))</f>
        <v/>
      </c>
      <c r="AN49" s="89" t="str">
        <f aca="false">IF($B49="","",IFERROR(MATCH($B49,Accounts!$A$6:$A$55,0),""))</f>
        <v/>
      </c>
      <c r="AO49" s="89" t="str">
        <f aca="false">IF($C49="","",IFERROR(MATCH($C49,Securities!$A$6:$A$105,0),""))</f>
        <v/>
      </c>
      <c r="AP49" s="89" t="str">
        <f aca="false">IF($AN49="","",INDEX(Accounts!$B$6:$B$55,$AN49)&amp;"")</f>
        <v/>
      </c>
      <c r="AQ49" s="89" t="str">
        <f aca="false">IF(AND(ISNUMBER($AG49),N($P49)&gt;0),IF(AND(N($AG49)&gt;0,N($AG49)&lt;=SoonDays),1,""),"")</f>
        <v/>
      </c>
      <c r="AR49" s="89" t="str">
        <f aca="false">IF($AQ49&lt;&gt;1,"",SUMPRODUCT(($AQ$6:$AQ$205=1)*ISNUMBER($AG$6:$AG$205)*($AG$6:$AG$205&lt;$AG49))+SUMPRODUCT(($AQ$6:$AQ49=1)*ISNUMBER($AG$6:$AG49)*($AG$6:$AG49=$AG49)))</f>
        <v/>
      </c>
    </row>
    <row r="50" customFormat="false" ht="15" hidden="false" customHeight="false" outlineLevel="0" collapsed="false">
      <c r="A50" s="77"/>
      <c r="B50" s="78"/>
      <c r="C50" s="78"/>
      <c r="D50" s="79" t="str">
        <f aca="false">IF($AN50="","",INDEX(Accounts!$C$6:$C$55,$AN50)&amp;"")</f>
        <v/>
      </c>
      <c r="E50" s="79" t="str">
        <f aca="false">IF($AO50="","",INDEX(Securities!$B$6:$B$105,$AO50)&amp;"")</f>
        <v/>
      </c>
      <c r="F50" s="79" t="str">
        <f aca="false">IF($AO50="","",INDEX(Securities!$C$6:$C$105,$AO50)&amp;"")</f>
        <v/>
      </c>
      <c r="G50" s="79" t="str">
        <f aca="false">IF($AO50="","",INDEX(Securities!$E$6:$E$105,$AO50)&amp;"")</f>
        <v/>
      </c>
      <c r="H50" s="80"/>
      <c r="I50" s="81"/>
      <c r="J50" s="91"/>
      <c r="K50" s="85" t="str">
        <f aca="false">IF(OR($I50="",$J50=""),"",$I50*$J50)</f>
        <v/>
      </c>
      <c r="L50" s="80"/>
      <c r="M50" s="81"/>
      <c r="N50" s="91"/>
      <c r="O50" s="85" t="str">
        <f aca="false">IF(OR($M50="",$N50=""),"",$M50*$N50)</f>
        <v/>
      </c>
      <c r="P50" s="88" t="str">
        <f aca="false">IF($C50="","",N($I50)-N($M50))</f>
        <v/>
      </c>
      <c r="Q50" s="85" t="str">
        <f aca="false">IF(OR($P50="",$J50=""),"",$P50*$J50)</f>
        <v/>
      </c>
      <c r="R50" s="83" t="str">
        <f aca="false">IF($AO50="","",IF(INDEX(Securities!$N$6:$N$105,$AO50)="At cost",IF($J50="","",$J50),IF(INDEX(Securities!$O$6:$O$105,$AO50)="","",INDEX(Securities!$O$6:$O$105,$AO50))))</f>
        <v/>
      </c>
      <c r="S50" s="85" t="str">
        <f aca="false">IF(OR($P50="",$R50=""),"",$P50*$R50)</f>
        <v/>
      </c>
      <c r="T50" s="92" t="str">
        <f aca="false">IF(OR(NOT(ISNUMBER($L50)),NOT(ISNUMBER($H50))),"",$L50-$H50)</f>
        <v/>
      </c>
      <c r="U50" s="79" t="str">
        <f aca="false">IF($T50="","",IF($X50="","Short Term",IF($T50&gt;$X50,"Long Term","Short Term")))</f>
        <v/>
      </c>
      <c r="V50" s="92" t="str">
        <f aca="false">IF(OR(NOT(ISNUMBER($H50)),N($P50)&lt;=0),"",ValDate-$H50)</f>
        <v/>
      </c>
      <c r="W50" s="79" t="str">
        <f aca="false">IF($V50="","",IF($X50="","Short Term",IF($V50&gt;$X50,"Long Term","Short Term")))</f>
        <v/>
      </c>
      <c r="X50" s="92" t="str">
        <f aca="true">IF($G50="","",IF(ISNA(MATCH($G50,L_Category,0)),"",IF(INDEX(L_CatLT,MATCH($G50,L_Category,0))="","",INDEX(L_CatLT,MATCH($G50,L_Category,0)))))</f>
        <v/>
      </c>
      <c r="Y50" s="83" t="str">
        <f aca="false">IF($AO50="","",IF(INDEX(Securities!$Q$6:$Q$105,$AO50)="","",INDEX(Securities!$Q$6:$Q$105,$AO50)))</f>
        <v/>
      </c>
      <c r="Z50" s="79" t="str">
        <f aca="false">IF($C50="","",IF(OR(NOT(ISNUMBER($H50)),$Y50=""),"No",IF($H50&lt;=GFDate,"Yes","No")))</f>
        <v/>
      </c>
      <c r="AA50" s="85" t="str">
        <f aca="false">IF(OR($M50="",$N50="",$J50=""),"",$M50*($N50-$J50))</f>
        <v/>
      </c>
      <c r="AB50" s="85" t="str">
        <f aca="false">IF(OR(N($P50)&lt;=0,$R50="",$J50=""),"",$P50*($R50-$J50))</f>
        <v/>
      </c>
      <c r="AC50" s="83" t="str">
        <f aca="false">IF(OR($M50="",$N50="",$J50=""),"",IF($Z50="Yes",MAX($J50,MIN($Y50,$N50)),$J50))</f>
        <v/>
      </c>
      <c r="AD50" s="85" t="str">
        <f aca="false">IF($AC50="","",$M50*($N50-$AC50))</f>
        <v/>
      </c>
      <c r="AE50" s="83" t="str">
        <f aca="false">IF(OR(N($P50)&lt;=0,$R50="",$J50=""),"",IF($Z50="Yes",MAX($J50,MIN($Y50,$R50)),$J50))</f>
        <v/>
      </c>
      <c r="AF50" s="85" t="str">
        <f aca="false">IF($AE50="","",$P50*($R50-$AE50))</f>
        <v/>
      </c>
      <c r="AG50" s="92" t="str">
        <f aca="false">IF(OR($V50="",$X50=""),"",MAX(0,$X50+1-$V50))</f>
        <v/>
      </c>
      <c r="AH50" s="93" t="str">
        <f aca="false">IF(OR($X50="",NOT(ISNUMBER($H50)),N($P50)&lt;=0),"",$H50+$X50+1)</f>
        <v/>
      </c>
      <c r="AI50" s="91"/>
      <c r="AJ50" s="85" t="str">
        <f aca="false">IF(OR($AI50="",N($P50)&lt;=0),"",$AI50*$P50)</f>
        <v/>
      </c>
      <c r="AK50" s="79" t="str">
        <f aca="false">IF(NOT(ISNUMBER($L50)),"",IF(MONTH($L50)&gt;=4,YEAR($L50)&amp;"-"&amp;RIGHT(YEAR($L50)+1,2),(YEAR($L50)-1)&amp;"-"&amp;RIGHT(YEAR($L50),2)))</f>
        <v/>
      </c>
      <c r="AL50" s="78"/>
      <c r="AM50" s="79" t="str">
        <f aca="false">IF($A50&amp;$B50&amp;$C50="","",IF($A50="","Missing ID",IF(COUNTIF($A$6:$A$205,$A50)&gt;1,"Duplicate ID",IF($AN50="","Unknown account",IF($AO50="","Unknown security",IF(COUNTIFS(Holdings!$B$6:$B$205,$B50,Holdings!$C$6:$C$205,$C50)=0,"No holding row for this lot",IF(OR($I50="",$J50=""),"Missing purchase quantity or rate",IF(NOT(ISNUMBER($H50)),"Missing purchase date",IF(N($H50)&gt;ValDate,"Purchase after valuation date",IF(N($M50)&gt;N($I50),"Sale quantity exceeds purchase",IF(AND(N($M50)&gt;0,OR(NOT(ISNUMBER($L50)),$N50="")),"Sale date or rate missing",IF(AND(ISNUMBER($L50),N($M50)=0),"Sale date with no quantity",IF(AND(ISNUMBER($L50),N($L50)&lt;N($H50)),"Sale before purchase",IF(N($L50)&gt;ValDate,"Sale after valuation date","OK"))))))))))))))</f>
        <v/>
      </c>
      <c r="AN50" s="89" t="str">
        <f aca="false">IF($B50="","",IFERROR(MATCH($B50,Accounts!$A$6:$A$55,0),""))</f>
        <v/>
      </c>
      <c r="AO50" s="89" t="str">
        <f aca="false">IF($C50="","",IFERROR(MATCH($C50,Securities!$A$6:$A$105,0),""))</f>
        <v/>
      </c>
      <c r="AP50" s="89" t="str">
        <f aca="false">IF($AN50="","",INDEX(Accounts!$B$6:$B$55,$AN50)&amp;"")</f>
        <v/>
      </c>
      <c r="AQ50" s="89" t="str">
        <f aca="false">IF(AND(ISNUMBER($AG50),N($P50)&gt;0),IF(AND(N($AG50)&gt;0,N($AG50)&lt;=SoonDays),1,""),"")</f>
        <v/>
      </c>
      <c r="AR50" s="89" t="str">
        <f aca="false">IF($AQ50&lt;&gt;1,"",SUMPRODUCT(($AQ$6:$AQ$205=1)*ISNUMBER($AG$6:$AG$205)*($AG$6:$AG$205&lt;$AG50))+SUMPRODUCT(($AQ$6:$AQ50=1)*ISNUMBER($AG$6:$AG50)*($AG$6:$AG50=$AG50)))</f>
        <v/>
      </c>
    </row>
    <row r="51" customFormat="false" ht="15" hidden="false" customHeight="false" outlineLevel="0" collapsed="false">
      <c r="A51" s="77"/>
      <c r="B51" s="78"/>
      <c r="C51" s="78"/>
      <c r="D51" s="79" t="str">
        <f aca="false">IF($AN51="","",INDEX(Accounts!$C$6:$C$55,$AN51)&amp;"")</f>
        <v/>
      </c>
      <c r="E51" s="79" t="str">
        <f aca="false">IF($AO51="","",INDEX(Securities!$B$6:$B$105,$AO51)&amp;"")</f>
        <v/>
      </c>
      <c r="F51" s="79" t="str">
        <f aca="false">IF($AO51="","",INDEX(Securities!$C$6:$C$105,$AO51)&amp;"")</f>
        <v/>
      </c>
      <c r="G51" s="79" t="str">
        <f aca="false">IF($AO51="","",INDEX(Securities!$E$6:$E$105,$AO51)&amp;"")</f>
        <v/>
      </c>
      <c r="H51" s="80"/>
      <c r="I51" s="81"/>
      <c r="J51" s="91"/>
      <c r="K51" s="85" t="str">
        <f aca="false">IF(OR($I51="",$J51=""),"",$I51*$J51)</f>
        <v/>
      </c>
      <c r="L51" s="80"/>
      <c r="M51" s="81"/>
      <c r="N51" s="91"/>
      <c r="O51" s="85" t="str">
        <f aca="false">IF(OR($M51="",$N51=""),"",$M51*$N51)</f>
        <v/>
      </c>
      <c r="P51" s="88" t="str">
        <f aca="false">IF($C51="","",N($I51)-N($M51))</f>
        <v/>
      </c>
      <c r="Q51" s="85" t="str">
        <f aca="false">IF(OR($P51="",$J51=""),"",$P51*$J51)</f>
        <v/>
      </c>
      <c r="R51" s="83" t="str">
        <f aca="false">IF($AO51="","",IF(INDEX(Securities!$N$6:$N$105,$AO51)="At cost",IF($J51="","",$J51),IF(INDEX(Securities!$O$6:$O$105,$AO51)="","",INDEX(Securities!$O$6:$O$105,$AO51))))</f>
        <v/>
      </c>
      <c r="S51" s="85" t="str">
        <f aca="false">IF(OR($P51="",$R51=""),"",$P51*$R51)</f>
        <v/>
      </c>
      <c r="T51" s="92" t="str">
        <f aca="false">IF(OR(NOT(ISNUMBER($L51)),NOT(ISNUMBER($H51))),"",$L51-$H51)</f>
        <v/>
      </c>
      <c r="U51" s="79" t="str">
        <f aca="false">IF($T51="","",IF($X51="","Short Term",IF($T51&gt;$X51,"Long Term","Short Term")))</f>
        <v/>
      </c>
      <c r="V51" s="92" t="str">
        <f aca="false">IF(OR(NOT(ISNUMBER($H51)),N($P51)&lt;=0),"",ValDate-$H51)</f>
        <v/>
      </c>
      <c r="W51" s="79" t="str">
        <f aca="false">IF($V51="","",IF($X51="","Short Term",IF($V51&gt;$X51,"Long Term","Short Term")))</f>
        <v/>
      </c>
      <c r="X51" s="92" t="str">
        <f aca="true">IF($G51="","",IF(ISNA(MATCH($G51,L_Category,0)),"",IF(INDEX(L_CatLT,MATCH($G51,L_Category,0))="","",INDEX(L_CatLT,MATCH($G51,L_Category,0)))))</f>
        <v/>
      </c>
      <c r="Y51" s="83" t="str">
        <f aca="false">IF($AO51="","",IF(INDEX(Securities!$Q$6:$Q$105,$AO51)="","",INDEX(Securities!$Q$6:$Q$105,$AO51)))</f>
        <v/>
      </c>
      <c r="Z51" s="79" t="str">
        <f aca="false">IF($C51="","",IF(OR(NOT(ISNUMBER($H51)),$Y51=""),"No",IF($H51&lt;=GFDate,"Yes","No")))</f>
        <v/>
      </c>
      <c r="AA51" s="85" t="str">
        <f aca="false">IF(OR($M51="",$N51="",$J51=""),"",$M51*($N51-$J51))</f>
        <v/>
      </c>
      <c r="AB51" s="85" t="str">
        <f aca="false">IF(OR(N($P51)&lt;=0,$R51="",$J51=""),"",$P51*($R51-$J51))</f>
        <v/>
      </c>
      <c r="AC51" s="83" t="str">
        <f aca="false">IF(OR($M51="",$N51="",$J51=""),"",IF($Z51="Yes",MAX($J51,MIN($Y51,$N51)),$J51))</f>
        <v/>
      </c>
      <c r="AD51" s="85" t="str">
        <f aca="false">IF($AC51="","",$M51*($N51-$AC51))</f>
        <v/>
      </c>
      <c r="AE51" s="83" t="str">
        <f aca="false">IF(OR(N($P51)&lt;=0,$R51="",$J51=""),"",IF($Z51="Yes",MAX($J51,MIN($Y51,$R51)),$J51))</f>
        <v/>
      </c>
      <c r="AF51" s="85" t="str">
        <f aca="false">IF($AE51="","",$P51*($R51-$AE51))</f>
        <v/>
      </c>
      <c r="AG51" s="92" t="str">
        <f aca="false">IF(OR($V51="",$X51=""),"",MAX(0,$X51+1-$V51))</f>
        <v/>
      </c>
      <c r="AH51" s="93" t="str">
        <f aca="false">IF(OR($X51="",NOT(ISNUMBER($H51)),N($P51)&lt;=0),"",$H51+$X51+1)</f>
        <v/>
      </c>
      <c r="AI51" s="91"/>
      <c r="AJ51" s="85" t="str">
        <f aca="false">IF(OR($AI51="",N($P51)&lt;=0),"",$AI51*$P51)</f>
        <v/>
      </c>
      <c r="AK51" s="79" t="str">
        <f aca="false">IF(NOT(ISNUMBER($L51)),"",IF(MONTH($L51)&gt;=4,YEAR($L51)&amp;"-"&amp;RIGHT(YEAR($L51)+1,2),(YEAR($L51)-1)&amp;"-"&amp;RIGHT(YEAR($L51),2)))</f>
        <v/>
      </c>
      <c r="AL51" s="78"/>
      <c r="AM51" s="79" t="str">
        <f aca="false">IF($A51&amp;$B51&amp;$C51="","",IF($A51="","Missing ID",IF(COUNTIF($A$6:$A$205,$A51)&gt;1,"Duplicate ID",IF($AN51="","Unknown account",IF($AO51="","Unknown security",IF(COUNTIFS(Holdings!$B$6:$B$205,$B51,Holdings!$C$6:$C$205,$C51)=0,"No holding row for this lot",IF(OR($I51="",$J51=""),"Missing purchase quantity or rate",IF(NOT(ISNUMBER($H51)),"Missing purchase date",IF(N($H51)&gt;ValDate,"Purchase after valuation date",IF(N($M51)&gt;N($I51),"Sale quantity exceeds purchase",IF(AND(N($M51)&gt;0,OR(NOT(ISNUMBER($L51)),$N51="")),"Sale date or rate missing",IF(AND(ISNUMBER($L51),N($M51)=0),"Sale date with no quantity",IF(AND(ISNUMBER($L51),N($L51)&lt;N($H51)),"Sale before purchase",IF(N($L51)&gt;ValDate,"Sale after valuation date","OK"))))))))))))))</f>
        <v/>
      </c>
      <c r="AN51" s="89" t="str">
        <f aca="false">IF($B51="","",IFERROR(MATCH($B51,Accounts!$A$6:$A$55,0),""))</f>
        <v/>
      </c>
      <c r="AO51" s="89" t="str">
        <f aca="false">IF($C51="","",IFERROR(MATCH($C51,Securities!$A$6:$A$105,0),""))</f>
        <v/>
      </c>
      <c r="AP51" s="89" t="str">
        <f aca="false">IF($AN51="","",INDEX(Accounts!$B$6:$B$55,$AN51)&amp;"")</f>
        <v/>
      </c>
      <c r="AQ51" s="89" t="str">
        <f aca="false">IF(AND(ISNUMBER($AG51),N($P51)&gt;0),IF(AND(N($AG51)&gt;0,N($AG51)&lt;=SoonDays),1,""),"")</f>
        <v/>
      </c>
      <c r="AR51" s="89" t="str">
        <f aca="false">IF($AQ51&lt;&gt;1,"",SUMPRODUCT(($AQ$6:$AQ$205=1)*ISNUMBER($AG$6:$AG$205)*($AG$6:$AG$205&lt;$AG51))+SUMPRODUCT(($AQ$6:$AQ51=1)*ISNUMBER($AG$6:$AG51)*($AG$6:$AG51=$AG51)))</f>
        <v/>
      </c>
    </row>
    <row r="52" customFormat="false" ht="15" hidden="false" customHeight="false" outlineLevel="0" collapsed="false">
      <c r="A52" s="77"/>
      <c r="B52" s="78"/>
      <c r="C52" s="78"/>
      <c r="D52" s="79" t="str">
        <f aca="false">IF($AN52="","",INDEX(Accounts!$C$6:$C$55,$AN52)&amp;"")</f>
        <v/>
      </c>
      <c r="E52" s="79" t="str">
        <f aca="false">IF($AO52="","",INDEX(Securities!$B$6:$B$105,$AO52)&amp;"")</f>
        <v/>
      </c>
      <c r="F52" s="79" t="str">
        <f aca="false">IF($AO52="","",INDEX(Securities!$C$6:$C$105,$AO52)&amp;"")</f>
        <v/>
      </c>
      <c r="G52" s="79" t="str">
        <f aca="false">IF($AO52="","",INDEX(Securities!$E$6:$E$105,$AO52)&amp;"")</f>
        <v/>
      </c>
      <c r="H52" s="80"/>
      <c r="I52" s="81"/>
      <c r="J52" s="91"/>
      <c r="K52" s="85" t="str">
        <f aca="false">IF(OR($I52="",$J52=""),"",$I52*$J52)</f>
        <v/>
      </c>
      <c r="L52" s="80"/>
      <c r="M52" s="81"/>
      <c r="N52" s="91"/>
      <c r="O52" s="85" t="str">
        <f aca="false">IF(OR($M52="",$N52=""),"",$M52*$N52)</f>
        <v/>
      </c>
      <c r="P52" s="88" t="str">
        <f aca="false">IF($C52="","",N($I52)-N($M52))</f>
        <v/>
      </c>
      <c r="Q52" s="85" t="str">
        <f aca="false">IF(OR($P52="",$J52=""),"",$P52*$J52)</f>
        <v/>
      </c>
      <c r="R52" s="83" t="str">
        <f aca="false">IF($AO52="","",IF(INDEX(Securities!$N$6:$N$105,$AO52)="At cost",IF($J52="","",$J52),IF(INDEX(Securities!$O$6:$O$105,$AO52)="","",INDEX(Securities!$O$6:$O$105,$AO52))))</f>
        <v/>
      </c>
      <c r="S52" s="85" t="str">
        <f aca="false">IF(OR($P52="",$R52=""),"",$P52*$R52)</f>
        <v/>
      </c>
      <c r="T52" s="92" t="str">
        <f aca="false">IF(OR(NOT(ISNUMBER($L52)),NOT(ISNUMBER($H52))),"",$L52-$H52)</f>
        <v/>
      </c>
      <c r="U52" s="79" t="str">
        <f aca="false">IF($T52="","",IF($X52="","Short Term",IF($T52&gt;$X52,"Long Term","Short Term")))</f>
        <v/>
      </c>
      <c r="V52" s="92" t="str">
        <f aca="false">IF(OR(NOT(ISNUMBER($H52)),N($P52)&lt;=0),"",ValDate-$H52)</f>
        <v/>
      </c>
      <c r="W52" s="79" t="str">
        <f aca="false">IF($V52="","",IF($X52="","Short Term",IF($V52&gt;$X52,"Long Term","Short Term")))</f>
        <v/>
      </c>
      <c r="X52" s="92" t="str">
        <f aca="true">IF($G52="","",IF(ISNA(MATCH($G52,L_Category,0)),"",IF(INDEX(L_CatLT,MATCH($G52,L_Category,0))="","",INDEX(L_CatLT,MATCH($G52,L_Category,0)))))</f>
        <v/>
      </c>
      <c r="Y52" s="83" t="str">
        <f aca="false">IF($AO52="","",IF(INDEX(Securities!$Q$6:$Q$105,$AO52)="","",INDEX(Securities!$Q$6:$Q$105,$AO52)))</f>
        <v/>
      </c>
      <c r="Z52" s="79" t="str">
        <f aca="false">IF($C52="","",IF(OR(NOT(ISNUMBER($H52)),$Y52=""),"No",IF($H52&lt;=GFDate,"Yes","No")))</f>
        <v/>
      </c>
      <c r="AA52" s="85" t="str">
        <f aca="false">IF(OR($M52="",$N52="",$J52=""),"",$M52*($N52-$J52))</f>
        <v/>
      </c>
      <c r="AB52" s="85" t="str">
        <f aca="false">IF(OR(N($P52)&lt;=0,$R52="",$J52=""),"",$P52*($R52-$J52))</f>
        <v/>
      </c>
      <c r="AC52" s="83" t="str">
        <f aca="false">IF(OR($M52="",$N52="",$J52=""),"",IF($Z52="Yes",MAX($J52,MIN($Y52,$N52)),$J52))</f>
        <v/>
      </c>
      <c r="AD52" s="85" t="str">
        <f aca="false">IF($AC52="","",$M52*($N52-$AC52))</f>
        <v/>
      </c>
      <c r="AE52" s="83" t="str">
        <f aca="false">IF(OR(N($P52)&lt;=0,$R52="",$J52=""),"",IF($Z52="Yes",MAX($J52,MIN($Y52,$R52)),$J52))</f>
        <v/>
      </c>
      <c r="AF52" s="85" t="str">
        <f aca="false">IF($AE52="","",$P52*($R52-$AE52))</f>
        <v/>
      </c>
      <c r="AG52" s="92" t="str">
        <f aca="false">IF(OR($V52="",$X52=""),"",MAX(0,$X52+1-$V52))</f>
        <v/>
      </c>
      <c r="AH52" s="93" t="str">
        <f aca="false">IF(OR($X52="",NOT(ISNUMBER($H52)),N($P52)&lt;=0),"",$H52+$X52+1)</f>
        <v/>
      </c>
      <c r="AI52" s="91"/>
      <c r="AJ52" s="85" t="str">
        <f aca="false">IF(OR($AI52="",N($P52)&lt;=0),"",$AI52*$P52)</f>
        <v/>
      </c>
      <c r="AK52" s="79" t="str">
        <f aca="false">IF(NOT(ISNUMBER($L52)),"",IF(MONTH($L52)&gt;=4,YEAR($L52)&amp;"-"&amp;RIGHT(YEAR($L52)+1,2),(YEAR($L52)-1)&amp;"-"&amp;RIGHT(YEAR($L52),2)))</f>
        <v/>
      </c>
      <c r="AL52" s="78"/>
      <c r="AM52" s="79" t="str">
        <f aca="false">IF($A52&amp;$B52&amp;$C52="","",IF($A52="","Missing ID",IF(COUNTIF($A$6:$A$205,$A52)&gt;1,"Duplicate ID",IF($AN52="","Unknown account",IF($AO52="","Unknown security",IF(COUNTIFS(Holdings!$B$6:$B$205,$B52,Holdings!$C$6:$C$205,$C52)=0,"No holding row for this lot",IF(OR($I52="",$J52=""),"Missing purchase quantity or rate",IF(NOT(ISNUMBER($H52)),"Missing purchase date",IF(N($H52)&gt;ValDate,"Purchase after valuation date",IF(N($M52)&gt;N($I52),"Sale quantity exceeds purchase",IF(AND(N($M52)&gt;0,OR(NOT(ISNUMBER($L52)),$N52="")),"Sale date or rate missing",IF(AND(ISNUMBER($L52),N($M52)=0),"Sale date with no quantity",IF(AND(ISNUMBER($L52),N($L52)&lt;N($H52)),"Sale before purchase",IF(N($L52)&gt;ValDate,"Sale after valuation date","OK"))))))))))))))</f>
        <v/>
      </c>
      <c r="AN52" s="89" t="str">
        <f aca="false">IF($B52="","",IFERROR(MATCH($B52,Accounts!$A$6:$A$55,0),""))</f>
        <v/>
      </c>
      <c r="AO52" s="89" t="str">
        <f aca="false">IF($C52="","",IFERROR(MATCH($C52,Securities!$A$6:$A$105,0),""))</f>
        <v/>
      </c>
      <c r="AP52" s="89" t="str">
        <f aca="false">IF($AN52="","",INDEX(Accounts!$B$6:$B$55,$AN52)&amp;"")</f>
        <v/>
      </c>
      <c r="AQ52" s="89" t="str">
        <f aca="false">IF(AND(ISNUMBER($AG52),N($P52)&gt;0),IF(AND(N($AG52)&gt;0,N($AG52)&lt;=SoonDays),1,""),"")</f>
        <v/>
      </c>
      <c r="AR52" s="89" t="str">
        <f aca="false">IF($AQ52&lt;&gt;1,"",SUMPRODUCT(($AQ$6:$AQ$205=1)*ISNUMBER($AG$6:$AG$205)*($AG$6:$AG$205&lt;$AG52))+SUMPRODUCT(($AQ$6:$AQ52=1)*ISNUMBER($AG$6:$AG52)*($AG$6:$AG52=$AG52)))</f>
        <v/>
      </c>
    </row>
    <row r="53" customFormat="false" ht="15" hidden="false" customHeight="false" outlineLevel="0" collapsed="false">
      <c r="A53" s="77"/>
      <c r="B53" s="78"/>
      <c r="C53" s="78"/>
      <c r="D53" s="79" t="str">
        <f aca="false">IF($AN53="","",INDEX(Accounts!$C$6:$C$55,$AN53)&amp;"")</f>
        <v/>
      </c>
      <c r="E53" s="79" t="str">
        <f aca="false">IF($AO53="","",INDEX(Securities!$B$6:$B$105,$AO53)&amp;"")</f>
        <v/>
      </c>
      <c r="F53" s="79" t="str">
        <f aca="false">IF($AO53="","",INDEX(Securities!$C$6:$C$105,$AO53)&amp;"")</f>
        <v/>
      </c>
      <c r="G53" s="79" t="str">
        <f aca="false">IF($AO53="","",INDEX(Securities!$E$6:$E$105,$AO53)&amp;"")</f>
        <v/>
      </c>
      <c r="H53" s="80"/>
      <c r="I53" s="81"/>
      <c r="J53" s="91"/>
      <c r="K53" s="85" t="str">
        <f aca="false">IF(OR($I53="",$J53=""),"",$I53*$J53)</f>
        <v/>
      </c>
      <c r="L53" s="80"/>
      <c r="M53" s="81"/>
      <c r="N53" s="91"/>
      <c r="O53" s="85" t="str">
        <f aca="false">IF(OR($M53="",$N53=""),"",$M53*$N53)</f>
        <v/>
      </c>
      <c r="P53" s="88" t="str">
        <f aca="false">IF($C53="","",N($I53)-N($M53))</f>
        <v/>
      </c>
      <c r="Q53" s="85" t="str">
        <f aca="false">IF(OR($P53="",$J53=""),"",$P53*$J53)</f>
        <v/>
      </c>
      <c r="R53" s="83" t="str">
        <f aca="false">IF($AO53="","",IF(INDEX(Securities!$N$6:$N$105,$AO53)="At cost",IF($J53="","",$J53),IF(INDEX(Securities!$O$6:$O$105,$AO53)="","",INDEX(Securities!$O$6:$O$105,$AO53))))</f>
        <v/>
      </c>
      <c r="S53" s="85" t="str">
        <f aca="false">IF(OR($P53="",$R53=""),"",$P53*$R53)</f>
        <v/>
      </c>
      <c r="T53" s="92" t="str">
        <f aca="false">IF(OR(NOT(ISNUMBER($L53)),NOT(ISNUMBER($H53))),"",$L53-$H53)</f>
        <v/>
      </c>
      <c r="U53" s="79" t="str">
        <f aca="false">IF($T53="","",IF($X53="","Short Term",IF($T53&gt;$X53,"Long Term","Short Term")))</f>
        <v/>
      </c>
      <c r="V53" s="92" t="str">
        <f aca="false">IF(OR(NOT(ISNUMBER($H53)),N($P53)&lt;=0),"",ValDate-$H53)</f>
        <v/>
      </c>
      <c r="W53" s="79" t="str">
        <f aca="false">IF($V53="","",IF($X53="","Short Term",IF($V53&gt;$X53,"Long Term","Short Term")))</f>
        <v/>
      </c>
      <c r="X53" s="92" t="str">
        <f aca="true">IF($G53="","",IF(ISNA(MATCH($G53,L_Category,0)),"",IF(INDEX(L_CatLT,MATCH($G53,L_Category,0))="","",INDEX(L_CatLT,MATCH($G53,L_Category,0)))))</f>
        <v/>
      </c>
      <c r="Y53" s="83" t="str">
        <f aca="false">IF($AO53="","",IF(INDEX(Securities!$Q$6:$Q$105,$AO53)="","",INDEX(Securities!$Q$6:$Q$105,$AO53)))</f>
        <v/>
      </c>
      <c r="Z53" s="79" t="str">
        <f aca="false">IF($C53="","",IF(OR(NOT(ISNUMBER($H53)),$Y53=""),"No",IF($H53&lt;=GFDate,"Yes","No")))</f>
        <v/>
      </c>
      <c r="AA53" s="85" t="str">
        <f aca="false">IF(OR($M53="",$N53="",$J53=""),"",$M53*($N53-$J53))</f>
        <v/>
      </c>
      <c r="AB53" s="85" t="str">
        <f aca="false">IF(OR(N($P53)&lt;=0,$R53="",$J53=""),"",$P53*($R53-$J53))</f>
        <v/>
      </c>
      <c r="AC53" s="83" t="str">
        <f aca="false">IF(OR($M53="",$N53="",$J53=""),"",IF($Z53="Yes",MAX($J53,MIN($Y53,$N53)),$J53))</f>
        <v/>
      </c>
      <c r="AD53" s="85" t="str">
        <f aca="false">IF($AC53="","",$M53*($N53-$AC53))</f>
        <v/>
      </c>
      <c r="AE53" s="83" t="str">
        <f aca="false">IF(OR(N($P53)&lt;=0,$R53="",$J53=""),"",IF($Z53="Yes",MAX($J53,MIN($Y53,$R53)),$J53))</f>
        <v/>
      </c>
      <c r="AF53" s="85" t="str">
        <f aca="false">IF($AE53="","",$P53*($R53-$AE53))</f>
        <v/>
      </c>
      <c r="AG53" s="92" t="str">
        <f aca="false">IF(OR($V53="",$X53=""),"",MAX(0,$X53+1-$V53))</f>
        <v/>
      </c>
      <c r="AH53" s="93" t="str">
        <f aca="false">IF(OR($X53="",NOT(ISNUMBER($H53)),N($P53)&lt;=0),"",$H53+$X53+1)</f>
        <v/>
      </c>
      <c r="AI53" s="91"/>
      <c r="AJ53" s="85" t="str">
        <f aca="false">IF(OR($AI53="",N($P53)&lt;=0),"",$AI53*$P53)</f>
        <v/>
      </c>
      <c r="AK53" s="79" t="str">
        <f aca="false">IF(NOT(ISNUMBER($L53)),"",IF(MONTH($L53)&gt;=4,YEAR($L53)&amp;"-"&amp;RIGHT(YEAR($L53)+1,2),(YEAR($L53)-1)&amp;"-"&amp;RIGHT(YEAR($L53),2)))</f>
        <v/>
      </c>
      <c r="AL53" s="78"/>
      <c r="AM53" s="79" t="str">
        <f aca="false">IF($A53&amp;$B53&amp;$C53="","",IF($A53="","Missing ID",IF(COUNTIF($A$6:$A$205,$A53)&gt;1,"Duplicate ID",IF($AN53="","Unknown account",IF($AO53="","Unknown security",IF(COUNTIFS(Holdings!$B$6:$B$205,$B53,Holdings!$C$6:$C$205,$C53)=0,"No holding row for this lot",IF(OR($I53="",$J53=""),"Missing purchase quantity or rate",IF(NOT(ISNUMBER($H53)),"Missing purchase date",IF(N($H53)&gt;ValDate,"Purchase after valuation date",IF(N($M53)&gt;N($I53),"Sale quantity exceeds purchase",IF(AND(N($M53)&gt;0,OR(NOT(ISNUMBER($L53)),$N53="")),"Sale date or rate missing",IF(AND(ISNUMBER($L53),N($M53)=0),"Sale date with no quantity",IF(AND(ISNUMBER($L53),N($L53)&lt;N($H53)),"Sale before purchase",IF(N($L53)&gt;ValDate,"Sale after valuation date","OK"))))))))))))))</f>
        <v/>
      </c>
      <c r="AN53" s="89" t="str">
        <f aca="false">IF($B53="","",IFERROR(MATCH($B53,Accounts!$A$6:$A$55,0),""))</f>
        <v/>
      </c>
      <c r="AO53" s="89" t="str">
        <f aca="false">IF($C53="","",IFERROR(MATCH($C53,Securities!$A$6:$A$105,0),""))</f>
        <v/>
      </c>
      <c r="AP53" s="89" t="str">
        <f aca="false">IF($AN53="","",INDEX(Accounts!$B$6:$B$55,$AN53)&amp;"")</f>
        <v/>
      </c>
      <c r="AQ53" s="89" t="str">
        <f aca="false">IF(AND(ISNUMBER($AG53),N($P53)&gt;0),IF(AND(N($AG53)&gt;0,N($AG53)&lt;=SoonDays),1,""),"")</f>
        <v/>
      </c>
      <c r="AR53" s="89" t="str">
        <f aca="false">IF($AQ53&lt;&gt;1,"",SUMPRODUCT(($AQ$6:$AQ$205=1)*ISNUMBER($AG$6:$AG$205)*($AG$6:$AG$205&lt;$AG53))+SUMPRODUCT(($AQ$6:$AQ53=1)*ISNUMBER($AG$6:$AG53)*($AG$6:$AG53=$AG53)))</f>
        <v/>
      </c>
    </row>
    <row r="54" customFormat="false" ht="15" hidden="false" customHeight="false" outlineLevel="0" collapsed="false">
      <c r="A54" s="77"/>
      <c r="B54" s="78"/>
      <c r="C54" s="78"/>
      <c r="D54" s="79" t="str">
        <f aca="false">IF($AN54="","",INDEX(Accounts!$C$6:$C$55,$AN54)&amp;"")</f>
        <v/>
      </c>
      <c r="E54" s="79" t="str">
        <f aca="false">IF($AO54="","",INDEX(Securities!$B$6:$B$105,$AO54)&amp;"")</f>
        <v/>
      </c>
      <c r="F54" s="79" t="str">
        <f aca="false">IF($AO54="","",INDEX(Securities!$C$6:$C$105,$AO54)&amp;"")</f>
        <v/>
      </c>
      <c r="G54" s="79" t="str">
        <f aca="false">IF($AO54="","",INDEX(Securities!$E$6:$E$105,$AO54)&amp;"")</f>
        <v/>
      </c>
      <c r="H54" s="80"/>
      <c r="I54" s="81"/>
      <c r="J54" s="91"/>
      <c r="K54" s="85" t="str">
        <f aca="false">IF(OR($I54="",$J54=""),"",$I54*$J54)</f>
        <v/>
      </c>
      <c r="L54" s="80"/>
      <c r="M54" s="81"/>
      <c r="N54" s="91"/>
      <c r="O54" s="85" t="str">
        <f aca="false">IF(OR($M54="",$N54=""),"",$M54*$N54)</f>
        <v/>
      </c>
      <c r="P54" s="88" t="str">
        <f aca="false">IF($C54="","",N($I54)-N($M54))</f>
        <v/>
      </c>
      <c r="Q54" s="85" t="str">
        <f aca="false">IF(OR($P54="",$J54=""),"",$P54*$J54)</f>
        <v/>
      </c>
      <c r="R54" s="83" t="str">
        <f aca="false">IF($AO54="","",IF(INDEX(Securities!$N$6:$N$105,$AO54)="At cost",IF($J54="","",$J54),IF(INDEX(Securities!$O$6:$O$105,$AO54)="","",INDEX(Securities!$O$6:$O$105,$AO54))))</f>
        <v/>
      </c>
      <c r="S54" s="85" t="str">
        <f aca="false">IF(OR($P54="",$R54=""),"",$P54*$R54)</f>
        <v/>
      </c>
      <c r="T54" s="92" t="str">
        <f aca="false">IF(OR(NOT(ISNUMBER($L54)),NOT(ISNUMBER($H54))),"",$L54-$H54)</f>
        <v/>
      </c>
      <c r="U54" s="79" t="str">
        <f aca="false">IF($T54="","",IF($X54="","Short Term",IF($T54&gt;$X54,"Long Term","Short Term")))</f>
        <v/>
      </c>
      <c r="V54" s="92" t="str">
        <f aca="false">IF(OR(NOT(ISNUMBER($H54)),N($P54)&lt;=0),"",ValDate-$H54)</f>
        <v/>
      </c>
      <c r="W54" s="79" t="str">
        <f aca="false">IF($V54="","",IF($X54="","Short Term",IF($V54&gt;$X54,"Long Term","Short Term")))</f>
        <v/>
      </c>
      <c r="X54" s="92" t="str">
        <f aca="true">IF($G54="","",IF(ISNA(MATCH($G54,L_Category,0)),"",IF(INDEX(L_CatLT,MATCH($G54,L_Category,0))="","",INDEX(L_CatLT,MATCH($G54,L_Category,0)))))</f>
        <v/>
      </c>
      <c r="Y54" s="83" t="str">
        <f aca="false">IF($AO54="","",IF(INDEX(Securities!$Q$6:$Q$105,$AO54)="","",INDEX(Securities!$Q$6:$Q$105,$AO54)))</f>
        <v/>
      </c>
      <c r="Z54" s="79" t="str">
        <f aca="false">IF($C54="","",IF(OR(NOT(ISNUMBER($H54)),$Y54=""),"No",IF($H54&lt;=GFDate,"Yes","No")))</f>
        <v/>
      </c>
      <c r="AA54" s="85" t="str">
        <f aca="false">IF(OR($M54="",$N54="",$J54=""),"",$M54*($N54-$J54))</f>
        <v/>
      </c>
      <c r="AB54" s="85" t="str">
        <f aca="false">IF(OR(N($P54)&lt;=0,$R54="",$J54=""),"",$P54*($R54-$J54))</f>
        <v/>
      </c>
      <c r="AC54" s="83" t="str">
        <f aca="false">IF(OR($M54="",$N54="",$J54=""),"",IF($Z54="Yes",MAX($J54,MIN($Y54,$N54)),$J54))</f>
        <v/>
      </c>
      <c r="AD54" s="85" t="str">
        <f aca="false">IF($AC54="","",$M54*($N54-$AC54))</f>
        <v/>
      </c>
      <c r="AE54" s="83" t="str">
        <f aca="false">IF(OR(N($P54)&lt;=0,$R54="",$J54=""),"",IF($Z54="Yes",MAX($J54,MIN($Y54,$R54)),$J54))</f>
        <v/>
      </c>
      <c r="AF54" s="85" t="str">
        <f aca="false">IF($AE54="","",$P54*($R54-$AE54))</f>
        <v/>
      </c>
      <c r="AG54" s="92" t="str">
        <f aca="false">IF(OR($V54="",$X54=""),"",MAX(0,$X54+1-$V54))</f>
        <v/>
      </c>
      <c r="AH54" s="93" t="str">
        <f aca="false">IF(OR($X54="",NOT(ISNUMBER($H54)),N($P54)&lt;=0),"",$H54+$X54+1)</f>
        <v/>
      </c>
      <c r="AI54" s="91"/>
      <c r="AJ54" s="85" t="str">
        <f aca="false">IF(OR($AI54="",N($P54)&lt;=0),"",$AI54*$P54)</f>
        <v/>
      </c>
      <c r="AK54" s="79" t="str">
        <f aca="false">IF(NOT(ISNUMBER($L54)),"",IF(MONTH($L54)&gt;=4,YEAR($L54)&amp;"-"&amp;RIGHT(YEAR($L54)+1,2),(YEAR($L54)-1)&amp;"-"&amp;RIGHT(YEAR($L54),2)))</f>
        <v/>
      </c>
      <c r="AL54" s="78"/>
      <c r="AM54" s="79" t="str">
        <f aca="false">IF($A54&amp;$B54&amp;$C54="","",IF($A54="","Missing ID",IF(COUNTIF($A$6:$A$205,$A54)&gt;1,"Duplicate ID",IF($AN54="","Unknown account",IF($AO54="","Unknown security",IF(COUNTIFS(Holdings!$B$6:$B$205,$B54,Holdings!$C$6:$C$205,$C54)=0,"No holding row for this lot",IF(OR($I54="",$J54=""),"Missing purchase quantity or rate",IF(NOT(ISNUMBER($H54)),"Missing purchase date",IF(N($H54)&gt;ValDate,"Purchase after valuation date",IF(N($M54)&gt;N($I54),"Sale quantity exceeds purchase",IF(AND(N($M54)&gt;0,OR(NOT(ISNUMBER($L54)),$N54="")),"Sale date or rate missing",IF(AND(ISNUMBER($L54),N($M54)=0),"Sale date with no quantity",IF(AND(ISNUMBER($L54),N($L54)&lt;N($H54)),"Sale before purchase",IF(N($L54)&gt;ValDate,"Sale after valuation date","OK"))))))))))))))</f>
        <v/>
      </c>
      <c r="AN54" s="89" t="str">
        <f aca="false">IF($B54="","",IFERROR(MATCH($B54,Accounts!$A$6:$A$55,0),""))</f>
        <v/>
      </c>
      <c r="AO54" s="89" t="str">
        <f aca="false">IF($C54="","",IFERROR(MATCH($C54,Securities!$A$6:$A$105,0),""))</f>
        <v/>
      </c>
      <c r="AP54" s="89" t="str">
        <f aca="false">IF($AN54="","",INDEX(Accounts!$B$6:$B$55,$AN54)&amp;"")</f>
        <v/>
      </c>
      <c r="AQ54" s="89" t="str">
        <f aca="false">IF(AND(ISNUMBER($AG54),N($P54)&gt;0),IF(AND(N($AG54)&gt;0,N($AG54)&lt;=SoonDays),1,""),"")</f>
        <v/>
      </c>
      <c r="AR54" s="89" t="str">
        <f aca="false">IF($AQ54&lt;&gt;1,"",SUMPRODUCT(($AQ$6:$AQ$205=1)*ISNUMBER($AG$6:$AG$205)*($AG$6:$AG$205&lt;$AG54))+SUMPRODUCT(($AQ$6:$AQ54=1)*ISNUMBER($AG$6:$AG54)*($AG$6:$AG54=$AG54)))</f>
        <v/>
      </c>
    </row>
    <row r="55" customFormat="false" ht="15" hidden="false" customHeight="false" outlineLevel="0" collapsed="false">
      <c r="A55" s="77"/>
      <c r="B55" s="78"/>
      <c r="C55" s="78"/>
      <c r="D55" s="79" t="str">
        <f aca="false">IF($AN55="","",INDEX(Accounts!$C$6:$C$55,$AN55)&amp;"")</f>
        <v/>
      </c>
      <c r="E55" s="79" t="str">
        <f aca="false">IF($AO55="","",INDEX(Securities!$B$6:$B$105,$AO55)&amp;"")</f>
        <v/>
      </c>
      <c r="F55" s="79" t="str">
        <f aca="false">IF($AO55="","",INDEX(Securities!$C$6:$C$105,$AO55)&amp;"")</f>
        <v/>
      </c>
      <c r="G55" s="79" t="str">
        <f aca="false">IF($AO55="","",INDEX(Securities!$E$6:$E$105,$AO55)&amp;"")</f>
        <v/>
      </c>
      <c r="H55" s="80"/>
      <c r="I55" s="81"/>
      <c r="J55" s="91"/>
      <c r="K55" s="85" t="str">
        <f aca="false">IF(OR($I55="",$J55=""),"",$I55*$J55)</f>
        <v/>
      </c>
      <c r="L55" s="80"/>
      <c r="M55" s="81"/>
      <c r="N55" s="91"/>
      <c r="O55" s="85" t="str">
        <f aca="false">IF(OR($M55="",$N55=""),"",$M55*$N55)</f>
        <v/>
      </c>
      <c r="P55" s="88" t="str">
        <f aca="false">IF($C55="","",N($I55)-N($M55))</f>
        <v/>
      </c>
      <c r="Q55" s="85" t="str">
        <f aca="false">IF(OR($P55="",$J55=""),"",$P55*$J55)</f>
        <v/>
      </c>
      <c r="R55" s="83" t="str">
        <f aca="false">IF($AO55="","",IF(INDEX(Securities!$N$6:$N$105,$AO55)="At cost",IF($J55="","",$J55),IF(INDEX(Securities!$O$6:$O$105,$AO55)="","",INDEX(Securities!$O$6:$O$105,$AO55))))</f>
        <v/>
      </c>
      <c r="S55" s="85" t="str">
        <f aca="false">IF(OR($P55="",$R55=""),"",$P55*$R55)</f>
        <v/>
      </c>
      <c r="T55" s="92" t="str">
        <f aca="false">IF(OR(NOT(ISNUMBER($L55)),NOT(ISNUMBER($H55))),"",$L55-$H55)</f>
        <v/>
      </c>
      <c r="U55" s="79" t="str">
        <f aca="false">IF($T55="","",IF($X55="","Short Term",IF($T55&gt;$X55,"Long Term","Short Term")))</f>
        <v/>
      </c>
      <c r="V55" s="92" t="str">
        <f aca="false">IF(OR(NOT(ISNUMBER($H55)),N($P55)&lt;=0),"",ValDate-$H55)</f>
        <v/>
      </c>
      <c r="W55" s="79" t="str">
        <f aca="false">IF($V55="","",IF($X55="","Short Term",IF($V55&gt;$X55,"Long Term","Short Term")))</f>
        <v/>
      </c>
      <c r="X55" s="92" t="str">
        <f aca="true">IF($G55="","",IF(ISNA(MATCH($G55,L_Category,0)),"",IF(INDEX(L_CatLT,MATCH($G55,L_Category,0))="","",INDEX(L_CatLT,MATCH($G55,L_Category,0)))))</f>
        <v/>
      </c>
      <c r="Y55" s="83" t="str">
        <f aca="false">IF($AO55="","",IF(INDEX(Securities!$Q$6:$Q$105,$AO55)="","",INDEX(Securities!$Q$6:$Q$105,$AO55)))</f>
        <v/>
      </c>
      <c r="Z55" s="79" t="str">
        <f aca="false">IF($C55="","",IF(OR(NOT(ISNUMBER($H55)),$Y55=""),"No",IF($H55&lt;=GFDate,"Yes","No")))</f>
        <v/>
      </c>
      <c r="AA55" s="85" t="str">
        <f aca="false">IF(OR($M55="",$N55="",$J55=""),"",$M55*($N55-$J55))</f>
        <v/>
      </c>
      <c r="AB55" s="85" t="str">
        <f aca="false">IF(OR(N($P55)&lt;=0,$R55="",$J55=""),"",$P55*($R55-$J55))</f>
        <v/>
      </c>
      <c r="AC55" s="83" t="str">
        <f aca="false">IF(OR($M55="",$N55="",$J55=""),"",IF($Z55="Yes",MAX($J55,MIN($Y55,$N55)),$J55))</f>
        <v/>
      </c>
      <c r="AD55" s="85" t="str">
        <f aca="false">IF($AC55="","",$M55*($N55-$AC55))</f>
        <v/>
      </c>
      <c r="AE55" s="83" t="str">
        <f aca="false">IF(OR(N($P55)&lt;=0,$R55="",$J55=""),"",IF($Z55="Yes",MAX($J55,MIN($Y55,$R55)),$J55))</f>
        <v/>
      </c>
      <c r="AF55" s="85" t="str">
        <f aca="false">IF($AE55="","",$P55*($R55-$AE55))</f>
        <v/>
      </c>
      <c r="AG55" s="92" t="str">
        <f aca="false">IF(OR($V55="",$X55=""),"",MAX(0,$X55+1-$V55))</f>
        <v/>
      </c>
      <c r="AH55" s="93" t="str">
        <f aca="false">IF(OR($X55="",NOT(ISNUMBER($H55)),N($P55)&lt;=0),"",$H55+$X55+1)</f>
        <v/>
      </c>
      <c r="AI55" s="91"/>
      <c r="AJ55" s="85" t="str">
        <f aca="false">IF(OR($AI55="",N($P55)&lt;=0),"",$AI55*$P55)</f>
        <v/>
      </c>
      <c r="AK55" s="79" t="str">
        <f aca="false">IF(NOT(ISNUMBER($L55)),"",IF(MONTH($L55)&gt;=4,YEAR($L55)&amp;"-"&amp;RIGHT(YEAR($L55)+1,2),(YEAR($L55)-1)&amp;"-"&amp;RIGHT(YEAR($L55),2)))</f>
        <v/>
      </c>
      <c r="AL55" s="78"/>
      <c r="AM55" s="79" t="str">
        <f aca="false">IF($A55&amp;$B55&amp;$C55="","",IF($A55="","Missing ID",IF(COUNTIF($A$6:$A$205,$A55)&gt;1,"Duplicate ID",IF($AN55="","Unknown account",IF($AO55="","Unknown security",IF(COUNTIFS(Holdings!$B$6:$B$205,$B55,Holdings!$C$6:$C$205,$C55)=0,"No holding row for this lot",IF(OR($I55="",$J55=""),"Missing purchase quantity or rate",IF(NOT(ISNUMBER($H55)),"Missing purchase date",IF(N($H55)&gt;ValDate,"Purchase after valuation date",IF(N($M55)&gt;N($I55),"Sale quantity exceeds purchase",IF(AND(N($M55)&gt;0,OR(NOT(ISNUMBER($L55)),$N55="")),"Sale date or rate missing",IF(AND(ISNUMBER($L55),N($M55)=0),"Sale date with no quantity",IF(AND(ISNUMBER($L55),N($L55)&lt;N($H55)),"Sale before purchase",IF(N($L55)&gt;ValDate,"Sale after valuation date","OK"))))))))))))))</f>
        <v/>
      </c>
      <c r="AN55" s="89" t="str">
        <f aca="false">IF($B55="","",IFERROR(MATCH($B55,Accounts!$A$6:$A$55,0),""))</f>
        <v/>
      </c>
      <c r="AO55" s="89" t="str">
        <f aca="false">IF($C55="","",IFERROR(MATCH($C55,Securities!$A$6:$A$105,0),""))</f>
        <v/>
      </c>
      <c r="AP55" s="89" t="str">
        <f aca="false">IF($AN55="","",INDEX(Accounts!$B$6:$B$55,$AN55)&amp;"")</f>
        <v/>
      </c>
      <c r="AQ55" s="89" t="str">
        <f aca="false">IF(AND(ISNUMBER($AG55),N($P55)&gt;0),IF(AND(N($AG55)&gt;0,N($AG55)&lt;=SoonDays),1,""),"")</f>
        <v/>
      </c>
      <c r="AR55" s="89" t="str">
        <f aca="false">IF($AQ55&lt;&gt;1,"",SUMPRODUCT(($AQ$6:$AQ$205=1)*ISNUMBER($AG$6:$AG$205)*($AG$6:$AG$205&lt;$AG55))+SUMPRODUCT(($AQ$6:$AQ55=1)*ISNUMBER($AG$6:$AG55)*($AG$6:$AG55=$AG55)))</f>
        <v/>
      </c>
    </row>
    <row r="56" customFormat="false" ht="15" hidden="false" customHeight="false" outlineLevel="0" collapsed="false">
      <c r="A56" s="77"/>
      <c r="B56" s="78"/>
      <c r="C56" s="78"/>
      <c r="D56" s="79" t="str">
        <f aca="false">IF($AN56="","",INDEX(Accounts!$C$6:$C$55,$AN56)&amp;"")</f>
        <v/>
      </c>
      <c r="E56" s="79" t="str">
        <f aca="false">IF($AO56="","",INDEX(Securities!$B$6:$B$105,$AO56)&amp;"")</f>
        <v/>
      </c>
      <c r="F56" s="79" t="str">
        <f aca="false">IF($AO56="","",INDEX(Securities!$C$6:$C$105,$AO56)&amp;"")</f>
        <v/>
      </c>
      <c r="G56" s="79" t="str">
        <f aca="false">IF($AO56="","",INDEX(Securities!$E$6:$E$105,$AO56)&amp;"")</f>
        <v/>
      </c>
      <c r="H56" s="80"/>
      <c r="I56" s="81"/>
      <c r="J56" s="91"/>
      <c r="K56" s="85" t="str">
        <f aca="false">IF(OR($I56="",$J56=""),"",$I56*$J56)</f>
        <v/>
      </c>
      <c r="L56" s="80"/>
      <c r="M56" s="81"/>
      <c r="N56" s="91"/>
      <c r="O56" s="85" t="str">
        <f aca="false">IF(OR($M56="",$N56=""),"",$M56*$N56)</f>
        <v/>
      </c>
      <c r="P56" s="88" t="str">
        <f aca="false">IF($C56="","",N($I56)-N($M56))</f>
        <v/>
      </c>
      <c r="Q56" s="85" t="str">
        <f aca="false">IF(OR($P56="",$J56=""),"",$P56*$J56)</f>
        <v/>
      </c>
      <c r="R56" s="83" t="str">
        <f aca="false">IF($AO56="","",IF(INDEX(Securities!$N$6:$N$105,$AO56)="At cost",IF($J56="","",$J56),IF(INDEX(Securities!$O$6:$O$105,$AO56)="","",INDEX(Securities!$O$6:$O$105,$AO56))))</f>
        <v/>
      </c>
      <c r="S56" s="85" t="str">
        <f aca="false">IF(OR($P56="",$R56=""),"",$P56*$R56)</f>
        <v/>
      </c>
      <c r="T56" s="92" t="str">
        <f aca="false">IF(OR(NOT(ISNUMBER($L56)),NOT(ISNUMBER($H56))),"",$L56-$H56)</f>
        <v/>
      </c>
      <c r="U56" s="79" t="str">
        <f aca="false">IF($T56="","",IF($X56="","Short Term",IF($T56&gt;$X56,"Long Term","Short Term")))</f>
        <v/>
      </c>
      <c r="V56" s="92" t="str">
        <f aca="false">IF(OR(NOT(ISNUMBER($H56)),N($P56)&lt;=0),"",ValDate-$H56)</f>
        <v/>
      </c>
      <c r="W56" s="79" t="str">
        <f aca="false">IF($V56="","",IF($X56="","Short Term",IF($V56&gt;$X56,"Long Term","Short Term")))</f>
        <v/>
      </c>
      <c r="X56" s="92" t="str">
        <f aca="true">IF($G56="","",IF(ISNA(MATCH($G56,L_Category,0)),"",IF(INDEX(L_CatLT,MATCH($G56,L_Category,0))="","",INDEX(L_CatLT,MATCH($G56,L_Category,0)))))</f>
        <v/>
      </c>
      <c r="Y56" s="83" t="str">
        <f aca="false">IF($AO56="","",IF(INDEX(Securities!$Q$6:$Q$105,$AO56)="","",INDEX(Securities!$Q$6:$Q$105,$AO56)))</f>
        <v/>
      </c>
      <c r="Z56" s="79" t="str">
        <f aca="false">IF($C56="","",IF(OR(NOT(ISNUMBER($H56)),$Y56=""),"No",IF($H56&lt;=GFDate,"Yes","No")))</f>
        <v/>
      </c>
      <c r="AA56" s="85" t="str">
        <f aca="false">IF(OR($M56="",$N56="",$J56=""),"",$M56*($N56-$J56))</f>
        <v/>
      </c>
      <c r="AB56" s="85" t="str">
        <f aca="false">IF(OR(N($P56)&lt;=0,$R56="",$J56=""),"",$P56*($R56-$J56))</f>
        <v/>
      </c>
      <c r="AC56" s="83" t="str">
        <f aca="false">IF(OR($M56="",$N56="",$J56=""),"",IF($Z56="Yes",MAX($J56,MIN($Y56,$N56)),$J56))</f>
        <v/>
      </c>
      <c r="AD56" s="85" t="str">
        <f aca="false">IF($AC56="","",$M56*($N56-$AC56))</f>
        <v/>
      </c>
      <c r="AE56" s="83" t="str">
        <f aca="false">IF(OR(N($P56)&lt;=0,$R56="",$J56=""),"",IF($Z56="Yes",MAX($J56,MIN($Y56,$R56)),$J56))</f>
        <v/>
      </c>
      <c r="AF56" s="85" t="str">
        <f aca="false">IF($AE56="","",$P56*($R56-$AE56))</f>
        <v/>
      </c>
      <c r="AG56" s="92" t="str">
        <f aca="false">IF(OR($V56="",$X56=""),"",MAX(0,$X56+1-$V56))</f>
        <v/>
      </c>
      <c r="AH56" s="93" t="str">
        <f aca="false">IF(OR($X56="",NOT(ISNUMBER($H56)),N($P56)&lt;=0),"",$H56+$X56+1)</f>
        <v/>
      </c>
      <c r="AI56" s="91"/>
      <c r="AJ56" s="85" t="str">
        <f aca="false">IF(OR($AI56="",N($P56)&lt;=0),"",$AI56*$P56)</f>
        <v/>
      </c>
      <c r="AK56" s="79" t="str">
        <f aca="false">IF(NOT(ISNUMBER($L56)),"",IF(MONTH($L56)&gt;=4,YEAR($L56)&amp;"-"&amp;RIGHT(YEAR($L56)+1,2),(YEAR($L56)-1)&amp;"-"&amp;RIGHT(YEAR($L56),2)))</f>
        <v/>
      </c>
      <c r="AL56" s="78"/>
      <c r="AM56" s="79" t="str">
        <f aca="false">IF($A56&amp;$B56&amp;$C56="","",IF($A56="","Missing ID",IF(COUNTIF($A$6:$A$205,$A56)&gt;1,"Duplicate ID",IF($AN56="","Unknown account",IF($AO56="","Unknown security",IF(COUNTIFS(Holdings!$B$6:$B$205,$B56,Holdings!$C$6:$C$205,$C56)=0,"No holding row for this lot",IF(OR($I56="",$J56=""),"Missing purchase quantity or rate",IF(NOT(ISNUMBER($H56)),"Missing purchase date",IF(N($H56)&gt;ValDate,"Purchase after valuation date",IF(N($M56)&gt;N($I56),"Sale quantity exceeds purchase",IF(AND(N($M56)&gt;0,OR(NOT(ISNUMBER($L56)),$N56="")),"Sale date or rate missing",IF(AND(ISNUMBER($L56),N($M56)=0),"Sale date with no quantity",IF(AND(ISNUMBER($L56),N($L56)&lt;N($H56)),"Sale before purchase",IF(N($L56)&gt;ValDate,"Sale after valuation date","OK"))))))))))))))</f>
        <v/>
      </c>
      <c r="AN56" s="89" t="str">
        <f aca="false">IF($B56="","",IFERROR(MATCH($B56,Accounts!$A$6:$A$55,0),""))</f>
        <v/>
      </c>
      <c r="AO56" s="89" t="str">
        <f aca="false">IF($C56="","",IFERROR(MATCH($C56,Securities!$A$6:$A$105,0),""))</f>
        <v/>
      </c>
      <c r="AP56" s="89" t="str">
        <f aca="false">IF($AN56="","",INDEX(Accounts!$B$6:$B$55,$AN56)&amp;"")</f>
        <v/>
      </c>
      <c r="AQ56" s="89" t="str">
        <f aca="false">IF(AND(ISNUMBER($AG56),N($P56)&gt;0),IF(AND(N($AG56)&gt;0,N($AG56)&lt;=SoonDays),1,""),"")</f>
        <v/>
      </c>
      <c r="AR56" s="89" t="str">
        <f aca="false">IF($AQ56&lt;&gt;1,"",SUMPRODUCT(($AQ$6:$AQ$205=1)*ISNUMBER($AG$6:$AG$205)*($AG$6:$AG$205&lt;$AG56))+SUMPRODUCT(($AQ$6:$AQ56=1)*ISNUMBER($AG$6:$AG56)*($AG$6:$AG56=$AG56)))</f>
        <v/>
      </c>
    </row>
    <row r="57" customFormat="false" ht="15" hidden="false" customHeight="false" outlineLevel="0" collapsed="false">
      <c r="A57" s="77"/>
      <c r="B57" s="78"/>
      <c r="C57" s="78"/>
      <c r="D57" s="79" t="str">
        <f aca="false">IF($AN57="","",INDEX(Accounts!$C$6:$C$55,$AN57)&amp;"")</f>
        <v/>
      </c>
      <c r="E57" s="79" t="str">
        <f aca="false">IF($AO57="","",INDEX(Securities!$B$6:$B$105,$AO57)&amp;"")</f>
        <v/>
      </c>
      <c r="F57" s="79" t="str">
        <f aca="false">IF($AO57="","",INDEX(Securities!$C$6:$C$105,$AO57)&amp;"")</f>
        <v/>
      </c>
      <c r="G57" s="79" t="str">
        <f aca="false">IF($AO57="","",INDEX(Securities!$E$6:$E$105,$AO57)&amp;"")</f>
        <v/>
      </c>
      <c r="H57" s="80"/>
      <c r="I57" s="81"/>
      <c r="J57" s="91"/>
      <c r="K57" s="85" t="str">
        <f aca="false">IF(OR($I57="",$J57=""),"",$I57*$J57)</f>
        <v/>
      </c>
      <c r="L57" s="80"/>
      <c r="M57" s="81"/>
      <c r="N57" s="91"/>
      <c r="O57" s="85" t="str">
        <f aca="false">IF(OR($M57="",$N57=""),"",$M57*$N57)</f>
        <v/>
      </c>
      <c r="P57" s="88" t="str">
        <f aca="false">IF($C57="","",N($I57)-N($M57))</f>
        <v/>
      </c>
      <c r="Q57" s="85" t="str">
        <f aca="false">IF(OR($P57="",$J57=""),"",$P57*$J57)</f>
        <v/>
      </c>
      <c r="R57" s="83" t="str">
        <f aca="false">IF($AO57="","",IF(INDEX(Securities!$N$6:$N$105,$AO57)="At cost",IF($J57="","",$J57),IF(INDEX(Securities!$O$6:$O$105,$AO57)="","",INDEX(Securities!$O$6:$O$105,$AO57))))</f>
        <v/>
      </c>
      <c r="S57" s="85" t="str">
        <f aca="false">IF(OR($P57="",$R57=""),"",$P57*$R57)</f>
        <v/>
      </c>
      <c r="T57" s="92" t="str">
        <f aca="false">IF(OR(NOT(ISNUMBER($L57)),NOT(ISNUMBER($H57))),"",$L57-$H57)</f>
        <v/>
      </c>
      <c r="U57" s="79" t="str">
        <f aca="false">IF($T57="","",IF($X57="","Short Term",IF($T57&gt;$X57,"Long Term","Short Term")))</f>
        <v/>
      </c>
      <c r="V57" s="92" t="str">
        <f aca="false">IF(OR(NOT(ISNUMBER($H57)),N($P57)&lt;=0),"",ValDate-$H57)</f>
        <v/>
      </c>
      <c r="W57" s="79" t="str">
        <f aca="false">IF($V57="","",IF($X57="","Short Term",IF($V57&gt;$X57,"Long Term","Short Term")))</f>
        <v/>
      </c>
      <c r="X57" s="92" t="str">
        <f aca="true">IF($G57="","",IF(ISNA(MATCH($G57,L_Category,0)),"",IF(INDEX(L_CatLT,MATCH($G57,L_Category,0))="","",INDEX(L_CatLT,MATCH($G57,L_Category,0)))))</f>
        <v/>
      </c>
      <c r="Y57" s="83" t="str">
        <f aca="false">IF($AO57="","",IF(INDEX(Securities!$Q$6:$Q$105,$AO57)="","",INDEX(Securities!$Q$6:$Q$105,$AO57)))</f>
        <v/>
      </c>
      <c r="Z57" s="79" t="str">
        <f aca="false">IF($C57="","",IF(OR(NOT(ISNUMBER($H57)),$Y57=""),"No",IF($H57&lt;=GFDate,"Yes","No")))</f>
        <v/>
      </c>
      <c r="AA57" s="85" t="str">
        <f aca="false">IF(OR($M57="",$N57="",$J57=""),"",$M57*($N57-$J57))</f>
        <v/>
      </c>
      <c r="AB57" s="85" t="str">
        <f aca="false">IF(OR(N($P57)&lt;=0,$R57="",$J57=""),"",$P57*($R57-$J57))</f>
        <v/>
      </c>
      <c r="AC57" s="83" t="str">
        <f aca="false">IF(OR($M57="",$N57="",$J57=""),"",IF($Z57="Yes",MAX($J57,MIN($Y57,$N57)),$J57))</f>
        <v/>
      </c>
      <c r="AD57" s="85" t="str">
        <f aca="false">IF($AC57="","",$M57*($N57-$AC57))</f>
        <v/>
      </c>
      <c r="AE57" s="83" t="str">
        <f aca="false">IF(OR(N($P57)&lt;=0,$R57="",$J57=""),"",IF($Z57="Yes",MAX($J57,MIN($Y57,$R57)),$J57))</f>
        <v/>
      </c>
      <c r="AF57" s="85" t="str">
        <f aca="false">IF($AE57="","",$P57*($R57-$AE57))</f>
        <v/>
      </c>
      <c r="AG57" s="92" t="str">
        <f aca="false">IF(OR($V57="",$X57=""),"",MAX(0,$X57+1-$V57))</f>
        <v/>
      </c>
      <c r="AH57" s="93" t="str">
        <f aca="false">IF(OR($X57="",NOT(ISNUMBER($H57)),N($P57)&lt;=0),"",$H57+$X57+1)</f>
        <v/>
      </c>
      <c r="AI57" s="91"/>
      <c r="AJ57" s="85" t="str">
        <f aca="false">IF(OR($AI57="",N($P57)&lt;=0),"",$AI57*$P57)</f>
        <v/>
      </c>
      <c r="AK57" s="79" t="str">
        <f aca="false">IF(NOT(ISNUMBER($L57)),"",IF(MONTH($L57)&gt;=4,YEAR($L57)&amp;"-"&amp;RIGHT(YEAR($L57)+1,2),(YEAR($L57)-1)&amp;"-"&amp;RIGHT(YEAR($L57),2)))</f>
        <v/>
      </c>
      <c r="AL57" s="78"/>
      <c r="AM57" s="79" t="str">
        <f aca="false">IF($A57&amp;$B57&amp;$C57="","",IF($A57="","Missing ID",IF(COUNTIF($A$6:$A$205,$A57)&gt;1,"Duplicate ID",IF($AN57="","Unknown account",IF($AO57="","Unknown security",IF(COUNTIFS(Holdings!$B$6:$B$205,$B57,Holdings!$C$6:$C$205,$C57)=0,"No holding row for this lot",IF(OR($I57="",$J57=""),"Missing purchase quantity or rate",IF(NOT(ISNUMBER($H57)),"Missing purchase date",IF(N($H57)&gt;ValDate,"Purchase after valuation date",IF(N($M57)&gt;N($I57),"Sale quantity exceeds purchase",IF(AND(N($M57)&gt;0,OR(NOT(ISNUMBER($L57)),$N57="")),"Sale date or rate missing",IF(AND(ISNUMBER($L57),N($M57)=0),"Sale date with no quantity",IF(AND(ISNUMBER($L57),N($L57)&lt;N($H57)),"Sale before purchase",IF(N($L57)&gt;ValDate,"Sale after valuation date","OK"))))))))))))))</f>
        <v/>
      </c>
      <c r="AN57" s="89" t="str">
        <f aca="false">IF($B57="","",IFERROR(MATCH($B57,Accounts!$A$6:$A$55,0),""))</f>
        <v/>
      </c>
      <c r="AO57" s="89" t="str">
        <f aca="false">IF($C57="","",IFERROR(MATCH($C57,Securities!$A$6:$A$105,0),""))</f>
        <v/>
      </c>
      <c r="AP57" s="89" t="str">
        <f aca="false">IF($AN57="","",INDEX(Accounts!$B$6:$B$55,$AN57)&amp;"")</f>
        <v/>
      </c>
      <c r="AQ57" s="89" t="str">
        <f aca="false">IF(AND(ISNUMBER($AG57),N($P57)&gt;0),IF(AND(N($AG57)&gt;0,N($AG57)&lt;=SoonDays),1,""),"")</f>
        <v/>
      </c>
      <c r="AR57" s="89" t="str">
        <f aca="false">IF($AQ57&lt;&gt;1,"",SUMPRODUCT(($AQ$6:$AQ$205=1)*ISNUMBER($AG$6:$AG$205)*($AG$6:$AG$205&lt;$AG57))+SUMPRODUCT(($AQ$6:$AQ57=1)*ISNUMBER($AG$6:$AG57)*($AG$6:$AG57=$AG57)))</f>
        <v/>
      </c>
    </row>
    <row r="58" customFormat="false" ht="15" hidden="false" customHeight="false" outlineLevel="0" collapsed="false">
      <c r="A58" s="77"/>
      <c r="B58" s="78"/>
      <c r="C58" s="78"/>
      <c r="D58" s="79" t="str">
        <f aca="false">IF($AN58="","",INDEX(Accounts!$C$6:$C$55,$AN58)&amp;"")</f>
        <v/>
      </c>
      <c r="E58" s="79" t="str">
        <f aca="false">IF($AO58="","",INDEX(Securities!$B$6:$B$105,$AO58)&amp;"")</f>
        <v/>
      </c>
      <c r="F58" s="79" t="str">
        <f aca="false">IF($AO58="","",INDEX(Securities!$C$6:$C$105,$AO58)&amp;"")</f>
        <v/>
      </c>
      <c r="G58" s="79" t="str">
        <f aca="false">IF($AO58="","",INDEX(Securities!$E$6:$E$105,$AO58)&amp;"")</f>
        <v/>
      </c>
      <c r="H58" s="80"/>
      <c r="I58" s="81"/>
      <c r="J58" s="91"/>
      <c r="K58" s="85" t="str">
        <f aca="false">IF(OR($I58="",$J58=""),"",$I58*$J58)</f>
        <v/>
      </c>
      <c r="L58" s="80"/>
      <c r="M58" s="81"/>
      <c r="N58" s="91"/>
      <c r="O58" s="85" t="str">
        <f aca="false">IF(OR($M58="",$N58=""),"",$M58*$N58)</f>
        <v/>
      </c>
      <c r="P58" s="88" t="str">
        <f aca="false">IF($C58="","",N($I58)-N($M58))</f>
        <v/>
      </c>
      <c r="Q58" s="85" t="str">
        <f aca="false">IF(OR($P58="",$J58=""),"",$P58*$J58)</f>
        <v/>
      </c>
      <c r="R58" s="83" t="str">
        <f aca="false">IF($AO58="","",IF(INDEX(Securities!$N$6:$N$105,$AO58)="At cost",IF($J58="","",$J58),IF(INDEX(Securities!$O$6:$O$105,$AO58)="","",INDEX(Securities!$O$6:$O$105,$AO58))))</f>
        <v/>
      </c>
      <c r="S58" s="85" t="str">
        <f aca="false">IF(OR($P58="",$R58=""),"",$P58*$R58)</f>
        <v/>
      </c>
      <c r="T58" s="92" t="str">
        <f aca="false">IF(OR(NOT(ISNUMBER($L58)),NOT(ISNUMBER($H58))),"",$L58-$H58)</f>
        <v/>
      </c>
      <c r="U58" s="79" t="str">
        <f aca="false">IF($T58="","",IF($X58="","Short Term",IF($T58&gt;$X58,"Long Term","Short Term")))</f>
        <v/>
      </c>
      <c r="V58" s="92" t="str">
        <f aca="false">IF(OR(NOT(ISNUMBER($H58)),N($P58)&lt;=0),"",ValDate-$H58)</f>
        <v/>
      </c>
      <c r="W58" s="79" t="str">
        <f aca="false">IF($V58="","",IF($X58="","Short Term",IF($V58&gt;$X58,"Long Term","Short Term")))</f>
        <v/>
      </c>
      <c r="X58" s="92" t="str">
        <f aca="true">IF($G58="","",IF(ISNA(MATCH($G58,L_Category,0)),"",IF(INDEX(L_CatLT,MATCH($G58,L_Category,0))="","",INDEX(L_CatLT,MATCH($G58,L_Category,0)))))</f>
        <v/>
      </c>
      <c r="Y58" s="83" t="str">
        <f aca="false">IF($AO58="","",IF(INDEX(Securities!$Q$6:$Q$105,$AO58)="","",INDEX(Securities!$Q$6:$Q$105,$AO58)))</f>
        <v/>
      </c>
      <c r="Z58" s="79" t="str">
        <f aca="false">IF($C58="","",IF(OR(NOT(ISNUMBER($H58)),$Y58=""),"No",IF($H58&lt;=GFDate,"Yes","No")))</f>
        <v/>
      </c>
      <c r="AA58" s="85" t="str">
        <f aca="false">IF(OR($M58="",$N58="",$J58=""),"",$M58*($N58-$J58))</f>
        <v/>
      </c>
      <c r="AB58" s="85" t="str">
        <f aca="false">IF(OR(N($P58)&lt;=0,$R58="",$J58=""),"",$P58*($R58-$J58))</f>
        <v/>
      </c>
      <c r="AC58" s="83" t="str">
        <f aca="false">IF(OR($M58="",$N58="",$J58=""),"",IF($Z58="Yes",MAX($J58,MIN($Y58,$N58)),$J58))</f>
        <v/>
      </c>
      <c r="AD58" s="85" t="str">
        <f aca="false">IF($AC58="","",$M58*($N58-$AC58))</f>
        <v/>
      </c>
      <c r="AE58" s="83" t="str">
        <f aca="false">IF(OR(N($P58)&lt;=0,$R58="",$J58=""),"",IF($Z58="Yes",MAX($J58,MIN($Y58,$R58)),$J58))</f>
        <v/>
      </c>
      <c r="AF58" s="85" t="str">
        <f aca="false">IF($AE58="","",$P58*($R58-$AE58))</f>
        <v/>
      </c>
      <c r="AG58" s="92" t="str">
        <f aca="false">IF(OR($V58="",$X58=""),"",MAX(0,$X58+1-$V58))</f>
        <v/>
      </c>
      <c r="AH58" s="93" t="str">
        <f aca="false">IF(OR($X58="",NOT(ISNUMBER($H58)),N($P58)&lt;=0),"",$H58+$X58+1)</f>
        <v/>
      </c>
      <c r="AI58" s="91"/>
      <c r="AJ58" s="85" t="str">
        <f aca="false">IF(OR($AI58="",N($P58)&lt;=0),"",$AI58*$P58)</f>
        <v/>
      </c>
      <c r="AK58" s="79" t="str">
        <f aca="false">IF(NOT(ISNUMBER($L58)),"",IF(MONTH($L58)&gt;=4,YEAR($L58)&amp;"-"&amp;RIGHT(YEAR($L58)+1,2),(YEAR($L58)-1)&amp;"-"&amp;RIGHT(YEAR($L58),2)))</f>
        <v/>
      </c>
      <c r="AL58" s="78"/>
      <c r="AM58" s="79" t="str">
        <f aca="false">IF($A58&amp;$B58&amp;$C58="","",IF($A58="","Missing ID",IF(COUNTIF($A$6:$A$205,$A58)&gt;1,"Duplicate ID",IF($AN58="","Unknown account",IF($AO58="","Unknown security",IF(COUNTIFS(Holdings!$B$6:$B$205,$B58,Holdings!$C$6:$C$205,$C58)=0,"No holding row for this lot",IF(OR($I58="",$J58=""),"Missing purchase quantity or rate",IF(NOT(ISNUMBER($H58)),"Missing purchase date",IF(N($H58)&gt;ValDate,"Purchase after valuation date",IF(N($M58)&gt;N($I58),"Sale quantity exceeds purchase",IF(AND(N($M58)&gt;0,OR(NOT(ISNUMBER($L58)),$N58="")),"Sale date or rate missing",IF(AND(ISNUMBER($L58),N($M58)=0),"Sale date with no quantity",IF(AND(ISNUMBER($L58),N($L58)&lt;N($H58)),"Sale before purchase",IF(N($L58)&gt;ValDate,"Sale after valuation date","OK"))))))))))))))</f>
        <v/>
      </c>
      <c r="AN58" s="89" t="str">
        <f aca="false">IF($B58="","",IFERROR(MATCH($B58,Accounts!$A$6:$A$55,0),""))</f>
        <v/>
      </c>
      <c r="AO58" s="89" t="str">
        <f aca="false">IF($C58="","",IFERROR(MATCH($C58,Securities!$A$6:$A$105,0),""))</f>
        <v/>
      </c>
      <c r="AP58" s="89" t="str">
        <f aca="false">IF($AN58="","",INDEX(Accounts!$B$6:$B$55,$AN58)&amp;"")</f>
        <v/>
      </c>
      <c r="AQ58" s="89" t="str">
        <f aca="false">IF(AND(ISNUMBER($AG58),N($P58)&gt;0),IF(AND(N($AG58)&gt;0,N($AG58)&lt;=SoonDays),1,""),"")</f>
        <v/>
      </c>
      <c r="AR58" s="89" t="str">
        <f aca="false">IF($AQ58&lt;&gt;1,"",SUMPRODUCT(($AQ$6:$AQ$205=1)*ISNUMBER($AG$6:$AG$205)*($AG$6:$AG$205&lt;$AG58))+SUMPRODUCT(($AQ$6:$AQ58=1)*ISNUMBER($AG$6:$AG58)*($AG$6:$AG58=$AG58)))</f>
        <v/>
      </c>
    </row>
    <row r="59" customFormat="false" ht="15" hidden="false" customHeight="false" outlineLevel="0" collapsed="false">
      <c r="A59" s="77"/>
      <c r="B59" s="78"/>
      <c r="C59" s="78"/>
      <c r="D59" s="79" t="str">
        <f aca="false">IF($AN59="","",INDEX(Accounts!$C$6:$C$55,$AN59)&amp;"")</f>
        <v/>
      </c>
      <c r="E59" s="79" t="str">
        <f aca="false">IF($AO59="","",INDEX(Securities!$B$6:$B$105,$AO59)&amp;"")</f>
        <v/>
      </c>
      <c r="F59" s="79" t="str">
        <f aca="false">IF($AO59="","",INDEX(Securities!$C$6:$C$105,$AO59)&amp;"")</f>
        <v/>
      </c>
      <c r="G59" s="79" t="str">
        <f aca="false">IF($AO59="","",INDEX(Securities!$E$6:$E$105,$AO59)&amp;"")</f>
        <v/>
      </c>
      <c r="H59" s="80"/>
      <c r="I59" s="81"/>
      <c r="J59" s="91"/>
      <c r="K59" s="85" t="str">
        <f aca="false">IF(OR($I59="",$J59=""),"",$I59*$J59)</f>
        <v/>
      </c>
      <c r="L59" s="80"/>
      <c r="M59" s="81"/>
      <c r="N59" s="91"/>
      <c r="O59" s="85" t="str">
        <f aca="false">IF(OR($M59="",$N59=""),"",$M59*$N59)</f>
        <v/>
      </c>
      <c r="P59" s="88" t="str">
        <f aca="false">IF($C59="","",N($I59)-N($M59))</f>
        <v/>
      </c>
      <c r="Q59" s="85" t="str">
        <f aca="false">IF(OR($P59="",$J59=""),"",$P59*$J59)</f>
        <v/>
      </c>
      <c r="R59" s="83" t="str">
        <f aca="false">IF($AO59="","",IF(INDEX(Securities!$N$6:$N$105,$AO59)="At cost",IF($J59="","",$J59),IF(INDEX(Securities!$O$6:$O$105,$AO59)="","",INDEX(Securities!$O$6:$O$105,$AO59))))</f>
        <v/>
      </c>
      <c r="S59" s="85" t="str">
        <f aca="false">IF(OR($P59="",$R59=""),"",$P59*$R59)</f>
        <v/>
      </c>
      <c r="T59" s="92" t="str">
        <f aca="false">IF(OR(NOT(ISNUMBER($L59)),NOT(ISNUMBER($H59))),"",$L59-$H59)</f>
        <v/>
      </c>
      <c r="U59" s="79" t="str">
        <f aca="false">IF($T59="","",IF($X59="","Short Term",IF($T59&gt;$X59,"Long Term","Short Term")))</f>
        <v/>
      </c>
      <c r="V59" s="92" t="str">
        <f aca="false">IF(OR(NOT(ISNUMBER($H59)),N($P59)&lt;=0),"",ValDate-$H59)</f>
        <v/>
      </c>
      <c r="W59" s="79" t="str">
        <f aca="false">IF($V59="","",IF($X59="","Short Term",IF($V59&gt;$X59,"Long Term","Short Term")))</f>
        <v/>
      </c>
      <c r="X59" s="92" t="str">
        <f aca="true">IF($G59="","",IF(ISNA(MATCH($G59,L_Category,0)),"",IF(INDEX(L_CatLT,MATCH($G59,L_Category,0))="","",INDEX(L_CatLT,MATCH($G59,L_Category,0)))))</f>
        <v/>
      </c>
      <c r="Y59" s="83" t="str">
        <f aca="false">IF($AO59="","",IF(INDEX(Securities!$Q$6:$Q$105,$AO59)="","",INDEX(Securities!$Q$6:$Q$105,$AO59)))</f>
        <v/>
      </c>
      <c r="Z59" s="79" t="str">
        <f aca="false">IF($C59="","",IF(OR(NOT(ISNUMBER($H59)),$Y59=""),"No",IF($H59&lt;=GFDate,"Yes","No")))</f>
        <v/>
      </c>
      <c r="AA59" s="85" t="str">
        <f aca="false">IF(OR($M59="",$N59="",$J59=""),"",$M59*($N59-$J59))</f>
        <v/>
      </c>
      <c r="AB59" s="85" t="str">
        <f aca="false">IF(OR(N($P59)&lt;=0,$R59="",$J59=""),"",$P59*($R59-$J59))</f>
        <v/>
      </c>
      <c r="AC59" s="83" t="str">
        <f aca="false">IF(OR($M59="",$N59="",$J59=""),"",IF($Z59="Yes",MAX($J59,MIN($Y59,$N59)),$J59))</f>
        <v/>
      </c>
      <c r="AD59" s="85" t="str">
        <f aca="false">IF($AC59="","",$M59*($N59-$AC59))</f>
        <v/>
      </c>
      <c r="AE59" s="83" t="str">
        <f aca="false">IF(OR(N($P59)&lt;=0,$R59="",$J59=""),"",IF($Z59="Yes",MAX($J59,MIN($Y59,$R59)),$J59))</f>
        <v/>
      </c>
      <c r="AF59" s="85" t="str">
        <f aca="false">IF($AE59="","",$P59*($R59-$AE59))</f>
        <v/>
      </c>
      <c r="AG59" s="92" t="str">
        <f aca="false">IF(OR($V59="",$X59=""),"",MAX(0,$X59+1-$V59))</f>
        <v/>
      </c>
      <c r="AH59" s="93" t="str">
        <f aca="false">IF(OR($X59="",NOT(ISNUMBER($H59)),N($P59)&lt;=0),"",$H59+$X59+1)</f>
        <v/>
      </c>
      <c r="AI59" s="91"/>
      <c r="AJ59" s="85" t="str">
        <f aca="false">IF(OR($AI59="",N($P59)&lt;=0),"",$AI59*$P59)</f>
        <v/>
      </c>
      <c r="AK59" s="79" t="str">
        <f aca="false">IF(NOT(ISNUMBER($L59)),"",IF(MONTH($L59)&gt;=4,YEAR($L59)&amp;"-"&amp;RIGHT(YEAR($L59)+1,2),(YEAR($L59)-1)&amp;"-"&amp;RIGHT(YEAR($L59),2)))</f>
        <v/>
      </c>
      <c r="AL59" s="78"/>
      <c r="AM59" s="79" t="str">
        <f aca="false">IF($A59&amp;$B59&amp;$C59="","",IF($A59="","Missing ID",IF(COUNTIF($A$6:$A$205,$A59)&gt;1,"Duplicate ID",IF($AN59="","Unknown account",IF($AO59="","Unknown security",IF(COUNTIFS(Holdings!$B$6:$B$205,$B59,Holdings!$C$6:$C$205,$C59)=0,"No holding row for this lot",IF(OR($I59="",$J59=""),"Missing purchase quantity or rate",IF(NOT(ISNUMBER($H59)),"Missing purchase date",IF(N($H59)&gt;ValDate,"Purchase after valuation date",IF(N($M59)&gt;N($I59),"Sale quantity exceeds purchase",IF(AND(N($M59)&gt;0,OR(NOT(ISNUMBER($L59)),$N59="")),"Sale date or rate missing",IF(AND(ISNUMBER($L59),N($M59)=0),"Sale date with no quantity",IF(AND(ISNUMBER($L59),N($L59)&lt;N($H59)),"Sale before purchase",IF(N($L59)&gt;ValDate,"Sale after valuation date","OK"))))))))))))))</f>
        <v/>
      </c>
      <c r="AN59" s="89" t="str">
        <f aca="false">IF($B59="","",IFERROR(MATCH($B59,Accounts!$A$6:$A$55,0),""))</f>
        <v/>
      </c>
      <c r="AO59" s="89" t="str">
        <f aca="false">IF($C59="","",IFERROR(MATCH($C59,Securities!$A$6:$A$105,0),""))</f>
        <v/>
      </c>
      <c r="AP59" s="89" t="str">
        <f aca="false">IF($AN59="","",INDEX(Accounts!$B$6:$B$55,$AN59)&amp;"")</f>
        <v/>
      </c>
      <c r="AQ59" s="89" t="str">
        <f aca="false">IF(AND(ISNUMBER($AG59),N($P59)&gt;0),IF(AND(N($AG59)&gt;0,N($AG59)&lt;=SoonDays),1,""),"")</f>
        <v/>
      </c>
      <c r="AR59" s="89" t="str">
        <f aca="false">IF($AQ59&lt;&gt;1,"",SUMPRODUCT(($AQ$6:$AQ$205=1)*ISNUMBER($AG$6:$AG$205)*($AG$6:$AG$205&lt;$AG59))+SUMPRODUCT(($AQ$6:$AQ59=1)*ISNUMBER($AG$6:$AG59)*($AG$6:$AG59=$AG59)))</f>
        <v/>
      </c>
    </row>
    <row r="60" customFormat="false" ht="15" hidden="false" customHeight="false" outlineLevel="0" collapsed="false">
      <c r="A60" s="77"/>
      <c r="B60" s="78"/>
      <c r="C60" s="78"/>
      <c r="D60" s="79" t="str">
        <f aca="false">IF($AN60="","",INDEX(Accounts!$C$6:$C$55,$AN60)&amp;"")</f>
        <v/>
      </c>
      <c r="E60" s="79" t="str">
        <f aca="false">IF($AO60="","",INDEX(Securities!$B$6:$B$105,$AO60)&amp;"")</f>
        <v/>
      </c>
      <c r="F60" s="79" t="str">
        <f aca="false">IF($AO60="","",INDEX(Securities!$C$6:$C$105,$AO60)&amp;"")</f>
        <v/>
      </c>
      <c r="G60" s="79" t="str">
        <f aca="false">IF($AO60="","",INDEX(Securities!$E$6:$E$105,$AO60)&amp;"")</f>
        <v/>
      </c>
      <c r="H60" s="80"/>
      <c r="I60" s="81"/>
      <c r="J60" s="91"/>
      <c r="K60" s="85" t="str">
        <f aca="false">IF(OR($I60="",$J60=""),"",$I60*$J60)</f>
        <v/>
      </c>
      <c r="L60" s="80"/>
      <c r="M60" s="81"/>
      <c r="N60" s="91"/>
      <c r="O60" s="85" t="str">
        <f aca="false">IF(OR($M60="",$N60=""),"",$M60*$N60)</f>
        <v/>
      </c>
      <c r="P60" s="88" t="str">
        <f aca="false">IF($C60="","",N($I60)-N($M60))</f>
        <v/>
      </c>
      <c r="Q60" s="85" t="str">
        <f aca="false">IF(OR($P60="",$J60=""),"",$P60*$J60)</f>
        <v/>
      </c>
      <c r="R60" s="83" t="str">
        <f aca="false">IF($AO60="","",IF(INDEX(Securities!$N$6:$N$105,$AO60)="At cost",IF($J60="","",$J60),IF(INDEX(Securities!$O$6:$O$105,$AO60)="","",INDEX(Securities!$O$6:$O$105,$AO60))))</f>
        <v/>
      </c>
      <c r="S60" s="85" t="str">
        <f aca="false">IF(OR($P60="",$R60=""),"",$P60*$R60)</f>
        <v/>
      </c>
      <c r="T60" s="92" t="str">
        <f aca="false">IF(OR(NOT(ISNUMBER($L60)),NOT(ISNUMBER($H60))),"",$L60-$H60)</f>
        <v/>
      </c>
      <c r="U60" s="79" t="str">
        <f aca="false">IF($T60="","",IF($X60="","Short Term",IF($T60&gt;$X60,"Long Term","Short Term")))</f>
        <v/>
      </c>
      <c r="V60" s="92" t="str">
        <f aca="false">IF(OR(NOT(ISNUMBER($H60)),N($P60)&lt;=0),"",ValDate-$H60)</f>
        <v/>
      </c>
      <c r="W60" s="79" t="str">
        <f aca="false">IF($V60="","",IF($X60="","Short Term",IF($V60&gt;$X60,"Long Term","Short Term")))</f>
        <v/>
      </c>
      <c r="X60" s="92" t="str">
        <f aca="true">IF($G60="","",IF(ISNA(MATCH($G60,L_Category,0)),"",IF(INDEX(L_CatLT,MATCH($G60,L_Category,0))="","",INDEX(L_CatLT,MATCH($G60,L_Category,0)))))</f>
        <v/>
      </c>
      <c r="Y60" s="83" t="str">
        <f aca="false">IF($AO60="","",IF(INDEX(Securities!$Q$6:$Q$105,$AO60)="","",INDEX(Securities!$Q$6:$Q$105,$AO60)))</f>
        <v/>
      </c>
      <c r="Z60" s="79" t="str">
        <f aca="false">IF($C60="","",IF(OR(NOT(ISNUMBER($H60)),$Y60=""),"No",IF($H60&lt;=GFDate,"Yes","No")))</f>
        <v/>
      </c>
      <c r="AA60" s="85" t="str">
        <f aca="false">IF(OR($M60="",$N60="",$J60=""),"",$M60*($N60-$J60))</f>
        <v/>
      </c>
      <c r="AB60" s="85" t="str">
        <f aca="false">IF(OR(N($P60)&lt;=0,$R60="",$J60=""),"",$P60*($R60-$J60))</f>
        <v/>
      </c>
      <c r="AC60" s="83" t="str">
        <f aca="false">IF(OR($M60="",$N60="",$J60=""),"",IF($Z60="Yes",MAX($J60,MIN($Y60,$N60)),$J60))</f>
        <v/>
      </c>
      <c r="AD60" s="85" t="str">
        <f aca="false">IF($AC60="","",$M60*($N60-$AC60))</f>
        <v/>
      </c>
      <c r="AE60" s="83" t="str">
        <f aca="false">IF(OR(N($P60)&lt;=0,$R60="",$J60=""),"",IF($Z60="Yes",MAX($J60,MIN($Y60,$R60)),$J60))</f>
        <v/>
      </c>
      <c r="AF60" s="85" t="str">
        <f aca="false">IF($AE60="","",$P60*($R60-$AE60))</f>
        <v/>
      </c>
      <c r="AG60" s="92" t="str">
        <f aca="false">IF(OR($V60="",$X60=""),"",MAX(0,$X60+1-$V60))</f>
        <v/>
      </c>
      <c r="AH60" s="93" t="str">
        <f aca="false">IF(OR($X60="",NOT(ISNUMBER($H60)),N($P60)&lt;=0),"",$H60+$X60+1)</f>
        <v/>
      </c>
      <c r="AI60" s="91"/>
      <c r="AJ60" s="85" t="str">
        <f aca="false">IF(OR($AI60="",N($P60)&lt;=0),"",$AI60*$P60)</f>
        <v/>
      </c>
      <c r="AK60" s="79" t="str">
        <f aca="false">IF(NOT(ISNUMBER($L60)),"",IF(MONTH($L60)&gt;=4,YEAR($L60)&amp;"-"&amp;RIGHT(YEAR($L60)+1,2),(YEAR($L60)-1)&amp;"-"&amp;RIGHT(YEAR($L60),2)))</f>
        <v/>
      </c>
      <c r="AL60" s="78"/>
      <c r="AM60" s="79" t="str">
        <f aca="false">IF($A60&amp;$B60&amp;$C60="","",IF($A60="","Missing ID",IF(COUNTIF($A$6:$A$205,$A60)&gt;1,"Duplicate ID",IF($AN60="","Unknown account",IF($AO60="","Unknown security",IF(COUNTIFS(Holdings!$B$6:$B$205,$B60,Holdings!$C$6:$C$205,$C60)=0,"No holding row for this lot",IF(OR($I60="",$J60=""),"Missing purchase quantity or rate",IF(NOT(ISNUMBER($H60)),"Missing purchase date",IF(N($H60)&gt;ValDate,"Purchase after valuation date",IF(N($M60)&gt;N($I60),"Sale quantity exceeds purchase",IF(AND(N($M60)&gt;0,OR(NOT(ISNUMBER($L60)),$N60="")),"Sale date or rate missing",IF(AND(ISNUMBER($L60),N($M60)=0),"Sale date with no quantity",IF(AND(ISNUMBER($L60),N($L60)&lt;N($H60)),"Sale before purchase",IF(N($L60)&gt;ValDate,"Sale after valuation date","OK"))))))))))))))</f>
        <v/>
      </c>
      <c r="AN60" s="89" t="str">
        <f aca="false">IF($B60="","",IFERROR(MATCH($B60,Accounts!$A$6:$A$55,0),""))</f>
        <v/>
      </c>
      <c r="AO60" s="89" t="str">
        <f aca="false">IF($C60="","",IFERROR(MATCH($C60,Securities!$A$6:$A$105,0),""))</f>
        <v/>
      </c>
      <c r="AP60" s="89" t="str">
        <f aca="false">IF($AN60="","",INDEX(Accounts!$B$6:$B$55,$AN60)&amp;"")</f>
        <v/>
      </c>
      <c r="AQ60" s="89" t="str">
        <f aca="false">IF(AND(ISNUMBER($AG60),N($P60)&gt;0),IF(AND(N($AG60)&gt;0,N($AG60)&lt;=SoonDays),1,""),"")</f>
        <v/>
      </c>
      <c r="AR60" s="89" t="str">
        <f aca="false">IF($AQ60&lt;&gt;1,"",SUMPRODUCT(($AQ$6:$AQ$205=1)*ISNUMBER($AG$6:$AG$205)*($AG$6:$AG$205&lt;$AG60))+SUMPRODUCT(($AQ$6:$AQ60=1)*ISNUMBER($AG$6:$AG60)*($AG$6:$AG60=$AG60)))</f>
        <v/>
      </c>
    </row>
    <row r="61" customFormat="false" ht="15" hidden="false" customHeight="false" outlineLevel="0" collapsed="false">
      <c r="A61" s="77"/>
      <c r="B61" s="78"/>
      <c r="C61" s="78"/>
      <c r="D61" s="79" t="str">
        <f aca="false">IF($AN61="","",INDEX(Accounts!$C$6:$C$55,$AN61)&amp;"")</f>
        <v/>
      </c>
      <c r="E61" s="79" t="str">
        <f aca="false">IF($AO61="","",INDEX(Securities!$B$6:$B$105,$AO61)&amp;"")</f>
        <v/>
      </c>
      <c r="F61" s="79" t="str">
        <f aca="false">IF($AO61="","",INDEX(Securities!$C$6:$C$105,$AO61)&amp;"")</f>
        <v/>
      </c>
      <c r="G61" s="79" t="str">
        <f aca="false">IF($AO61="","",INDEX(Securities!$E$6:$E$105,$AO61)&amp;"")</f>
        <v/>
      </c>
      <c r="H61" s="80"/>
      <c r="I61" s="81"/>
      <c r="J61" s="91"/>
      <c r="K61" s="85" t="str">
        <f aca="false">IF(OR($I61="",$J61=""),"",$I61*$J61)</f>
        <v/>
      </c>
      <c r="L61" s="80"/>
      <c r="M61" s="81"/>
      <c r="N61" s="91"/>
      <c r="O61" s="85" t="str">
        <f aca="false">IF(OR($M61="",$N61=""),"",$M61*$N61)</f>
        <v/>
      </c>
      <c r="P61" s="88" t="str">
        <f aca="false">IF($C61="","",N($I61)-N($M61))</f>
        <v/>
      </c>
      <c r="Q61" s="85" t="str">
        <f aca="false">IF(OR($P61="",$J61=""),"",$P61*$J61)</f>
        <v/>
      </c>
      <c r="R61" s="83" t="str">
        <f aca="false">IF($AO61="","",IF(INDEX(Securities!$N$6:$N$105,$AO61)="At cost",IF($J61="","",$J61),IF(INDEX(Securities!$O$6:$O$105,$AO61)="","",INDEX(Securities!$O$6:$O$105,$AO61))))</f>
        <v/>
      </c>
      <c r="S61" s="85" t="str">
        <f aca="false">IF(OR($P61="",$R61=""),"",$P61*$R61)</f>
        <v/>
      </c>
      <c r="T61" s="92" t="str">
        <f aca="false">IF(OR(NOT(ISNUMBER($L61)),NOT(ISNUMBER($H61))),"",$L61-$H61)</f>
        <v/>
      </c>
      <c r="U61" s="79" t="str">
        <f aca="false">IF($T61="","",IF($X61="","Short Term",IF($T61&gt;$X61,"Long Term","Short Term")))</f>
        <v/>
      </c>
      <c r="V61" s="92" t="str">
        <f aca="false">IF(OR(NOT(ISNUMBER($H61)),N($P61)&lt;=0),"",ValDate-$H61)</f>
        <v/>
      </c>
      <c r="W61" s="79" t="str">
        <f aca="false">IF($V61="","",IF($X61="","Short Term",IF($V61&gt;$X61,"Long Term","Short Term")))</f>
        <v/>
      </c>
      <c r="X61" s="92" t="str">
        <f aca="true">IF($G61="","",IF(ISNA(MATCH($G61,L_Category,0)),"",IF(INDEX(L_CatLT,MATCH($G61,L_Category,0))="","",INDEX(L_CatLT,MATCH($G61,L_Category,0)))))</f>
        <v/>
      </c>
      <c r="Y61" s="83" t="str">
        <f aca="false">IF($AO61="","",IF(INDEX(Securities!$Q$6:$Q$105,$AO61)="","",INDEX(Securities!$Q$6:$Q$105,$AO61)))</f>
        <v/>
      </c>
      <c r="Z61" s="79" t="str">
        <f aca="false">IF($C61="","",IF(OR(NOT(ISNUMBER($H61)),$Y61=""),"No",IF($H61&lt;=GFDate,"Yes","No")))</f>
        <v/>
      </c>
      <c r="AA61" s="85" t="str">
        <f aca="false">IF(OR($M61="",$N61="",$J61=""),"",$M61*($N61-$J61))</f>
        <v/>
      </c>
      <c r="AB61" s="85" t="str">
        <f aca="false">IF(OR(N($P61)&lt;=0,$R61="",$J61=""),"",$P61*($R61-$J61))</f>
        <v/>
      </c>
      <c r="AC61" s="83" t="str">
        <f aca="false">IF(OR($M61="",$N61="",$J61=""),"",IF($Z61="Yes",MAX($J61,MIN($Y61,$N61)),$J61))</f>
        <v/>
      </c>
      <c r="AD61" s="85" t="str">
        <f aca="false">IF($AC61="","",$M61*($N61-$AC61))</f>
        <v/>
      </c>
      <c r="AE61" s="83" t="str">
        <f aca="false">IF(OR(N($P61)&lt;=0,$R61="",$J61=""),"",IF($Z61="Yes",MAX($J61,MIN($Y61,$R61)),$J61))</f>
        <v/>
      </c>
      <c r="AF61" s="85" t="str">
        <f aca="false">IF($AE61="","",$P61*($R61-$AE61))</f>
        <v/>
      </c>
      <c r="AG61" s="92" t="str">
        <f aca="false">IF(OR($V61="",$X61=""),"",MAX(0,$X61+1-$V61))</f>
        <v/>
      </c>
      <c r="AH61" s="93" t="str">
        <f aca="false">IF(OR($X61="",NOT(ISNUMBER($H61)),N($P61)&lt;=0),"",$H61+$X61+1)</f>
        <v/>
      </c>
      <c r="AI61" s="91"/>
      <c r="AJ61" s="85" t="str">
        <f aca="false">IF(OR($AI61="",N($P61)&lt;=0),"",$AI61*$P61)</f>
        <v/>
      </c>
      <c r="AK61" s="79" t="str">
        <f aca="false">IF(NOT(ISNUMBER($L61)),"",IF(MONTH($L61)&gt;=4,YEAR($L61)&amp;"-"&amp;RIGHT(YEAR($L61)+1,2),(YEAR($L61)-1)&amp;"-"&amp;RIGHT(YEAR($L61),2)))</f>
        <v/>
      </c>
      <c r="AL61" s="78"/>
      <c r="AM61" s="79" t="str">
        <f aca="false">IF($A61&amp;$B61&amp;$C61="","",IF($A61="","Missing ID",IF(COUNTIF($A$6:$A$205,$A61)&gt;1,"Duplicate ID",IF($AN61="","Unknown account",IF($AO61="","Unknown security",IF(COUNTIFS(Holdings!$B$6:$B$205,$B61,Holdings!$C$6:$C$205,$C61)=0,"No holding row for this lot",IF(OR($I61="",$J61=""),"Missing purchase quantity or rate",IF(NOT(ISNUMBER($H61)),"Missing purchase date",IF(N($H61)&gt;ValDate,"Purchase after valuation date",IF(N($M61)&gt;N($I61),"Sale quantity exceeds purchase",IF(AND(N($M61)&gt;0,OR(NOT(ISNUMBER($L61)),$N61="")),"Sale date or rate missing",IF(AND(ISNUMBER($L61),N($M61)=0),"Sale date with no quantity",IF(AND(ISNUMBER($L61),N($L61)&lt;N($H61)),"Sale before purchase",IF(N($L61)&gt;ValDate,"Sale after valuation date","OK"))))))))))))))</f>
        <v/>
      </c>
      <c r="AN61" s="89" t="str">
        <f aca="false">IF($B61="","",IFERROR(MATCH($B61,Accounts!$A$6:$A$55,0),""))</f>
        <v/>
      </c>
      <c r="AO61" s="89" t="str">
        <f aca="false">IF($C61="","",IFERROR(MATCH($C61,Securities!$A$6:$A$105,0),""))</f>
        <v/>
      </c>
      <c r="AP61" s="89" t="str">
        <f aca="false">IF($AN61="","",INDEX(Accounts!$B$6:$B$55,$AN61)&amp;"")</f>
        <v/>
      </c>
      <c r="AQ61" s="89" t="str">
        <f aca="false">IF(AND(ISNUMBER($AG61),N($P61)&gt;0),IF(AND(N($AG61)&gt;0,N($AG61)&lt;=SoonDays),1,""),"")</f>
        <v/>
      </c>
      <c r="AR61" s="89" t="str">
        <f aca="false">IF($AQ61&lt;&gt;1,"",SUMPRODUCT(($AQ$6:$AQ$205=1)*ISNUMBER($AG$6:$AG$205)*($AG$6:$AG$205&lt;$AG61))+SUMPRODUCT(($AQ$6:$AQ61=1)*ISNUMBER($AG$6:$AG61)*($AG$6:$AG61=$AG61)))</f>
        <v/>
      </c>
    </row>
    <row r="62" customFormat="false" ht="15" hidden="false" customHeight="false" outlineLevel="0" collapsed="false">
      <c r="A62" s="77"/>
      <c r="B62" s="78"/>
      <c r="C62" s="78"/>
      <c r="D62" s="79" t="str">
        <f aca="false">IF($AN62="","",INDEX(Accounts!$C$6:$C$55,$AN62)&amp;"")</f>
        <v/>
      </c>
      <c r="E62" s="79" t="str">
        <f aca="false">IF($AO62="","",INDEX(Securities!$B$6:$B$105,$AO62)&amp;"")</f>
        <v/>
      </c>
      <c r="F62" s="79" t="str">
        <f aca="false">IF($AO62="","",INDEX(Securities!$C$6:$C$105,$AO62)&amp;"")</f>
        <v/>
      </c>
      <c r="G62" s="79" t="str">
        <f aca="false">IF($AO62="","",INDEX(Securities!$E$6:$E$105,$AO62)&amp;"")</f>
        <v/>
      </c>
      <c r="H62" s="80"/>
      <c r="I62" s="81"/>
      <c r="J62" s="91"/>
      <c r="K62" s="85" t="str">
        <f aca="false">IF(OR($I62="",$J62=""),"",$I62*$J62)</f>
        <v/>
      </c>
      <c r="L62" s="80"/>
      <c r="M62" s="81"/>
      <c r="N62" s="91"/>
      <c r="O62" s="85" t="str">
        <f aca="false">IF(OR($M62="",$N62=""),"",$M62*$N62)</f>
        <v/>
      </c>
      <c r="P62" s="88" t="str">
        <f aca="false">IF($C62="","",N($I62)-N($M62))</f>
        <v/>
      </c>
      <c r="Q62" s="85" t="str">
        <f aca="false">IF(OR($P62="",$J62=""),"",$P62*$J62)</f>
        <v/>
      </c>
      <c r="R62" s="83" t="str">
        <f aca="false">IF($AO62="","",IF(INDEX(Securities!$N$6:$N$105,$AO62)="At cost",IF($J62="","",$J62),IF(INDEX(Securities!$O$6:$O$105,$AO62)="","",INDEX(Securities!$O$6:$O$105,$AO62))))</f>
        <v/>
      </c>
      <c r="S62" s="85" t="str">
        <f aca="false">IF(OR($P62="",$R62=""),"",$P62*$R62)</f>
        <v/>
      </c>
      <c r="T62" s="92" t="str">
        <f aca="false">IF(OR(NOT(ISNUMBER($L62)),NOT(ISNUMBER($H62))),"",$L62-$H62)</f>
        <v/>
      </c>
      <c r="U62" s="79" t="str">
        <f aca="false">IF($T62="","",IF($X62="","Short Term",IF($T62&gt;$X62,"Long Term","Short Term")))</f>
        <v/>
      </c>
      <c r="V62" s="92" t="str">
        <f aca="false">IF(OR(NOT(ISNUMBER($H62)),N($P62)&lt;=0),"",ValDate-$H62)</f>
        <v/>
      </c>
      <c r="W62" s="79" t="str">
        <f aca="false">IF($V62="","",IF($X62="","Short Term",IF($V62&gt;$X62,"Long Term","Short Term")))</f>
        <v/>
      </c>
      <c r="X62" s="92" t="str">
        <f aca="true">IF($G62="","",IF(ISNA(MATCH($G62,L_Category,0)),"",IF(INDEX(L_CatLT,MATCH($G62,L_Category,0))="","",INDEX(L_CatLT,MATCH($G62,L_Category,0)))))</f>
        <v/>
      </c>
      <c r="Y62" s="83" t="str">
        <f aca="false">IF($AO62="","",IF(INDEX(Securities!$Q$6:$Q$105,$AO62)="","",INDEX(Securities!$Q$6:$Q$105,$AO62)))</f>
        <v/>
      </c>
      <c r="Z62" s="79" t="str">
        <f aca="false">IF($C62="","",IF(OR(NOT(ISNUMBER($H62)),$Y62=""),"No",IF($H62&lt;=GFDate,"Yes","No")))</f>
        <v/>
      </c>
      <c r="AA62" s="85" t="str">
        <f aca="false">IF(OR($M62="",$N62="",$J62=""),"",$M62*($N62-$J62))</f>
        <v/>
      </c>
      <c r="AB62" s="85" t="str">
        <f aca="false">IF(OR(N($P62)&lt;=0,$R62="",$J62=""),"",$P62*($R62-$J62))</f>
        <v/>
      </c>
      <c r="AC62" s="83" t="str">
        <f aca="false">IF(OR($M62="",$N62="",$J62=""),"",IF($Z62="Yes",MAX($J62,MIN($Y62,$N62)),$J62))</f>
        <v/>
      </c>
      <c r="AD62" s="85" t="str">
        <f aca="false">IF($AC62="","",$M62*($N62-$AC62))</f>
        <v/>
      </c>
      <c r="AE62" s="83" t="str">
        <f aca="false">IF(OR(N($P62)&lt;=0,$R62="",$J62=""),"",IF($Z62="Yes",MAX($J62,MIN($Y62,$R62)),$J62))</f>
        <v/>
      </c>
      <c r="AF62" s="85" t="str">
        <f aca="false">IF($AE62="","",$P62*($R62-$AE62))</f>
        <v/>
      </c>
      <c r="AG62" s="92" t="str">
        <f aca="false">IF(OR($V62="",$X62=""),"",MAX(0,$X62+1-$V62))</f>
        <v/>
      </c>
      <c r="AH62" s="93" t="str">
        <f aca="false">IF(OR($X62="",NOT(ISNUMBER($H62)),N($P62)&lt;=0),"",$H62+$X62+1)</f>
        <v/>
      </c>
      <c r="AI62" s="91"/>
      <c r="AJ62" s="85" t="str">
        <f aca="false">IF(OR($AI62="",N($P62)&lt;=0),"",$AI62*$P62)</f>
        <v/>
      </c>
      <c r="AK62" s="79" t="str">
        <f aca="false">IF(NOT(ISNUMBER($L62)),"",IF(MONTH($L62)&gt;=4,YEAR($L62)&amp;"-"&amp;RIGHT(YEAR($L62)+1,2),(YEAR($L62)-1)&amp;"-"&amp;RIGHT(YEAR($L62),2)))</f>
        <v/>
      </c>
      <c r="AL62" s="78"/>
      <c r="AM62" s="79" t="str">
        <f aca="false">IF($A62&amp;$B62&amp;$C62="","",IF($A62="","Missing ID",IF(COUNTIF($A$6:$A$205,$A62)&gt;1,"Duplicate ID",IF($AN62="","Unknown account",IF($AO62="","Unknown security",IF(COUNTIFS(Holdings!$B$6:$B$205,$B62,Holdings!$C$6:$C$205,$C62)=0,"No holding row for this lot",IF(OR($I62="",$J62=""),"Missing purchase quantity or rate",IF(NOT(ISNUMBER($H62)),"Missing purchase date",IF(N($H62)&gt;ValDate,"Purchase after valuation date",IF(N($M62)&gt;N($I62),"Sale quantity exceeds purchase",IF(AND(N($M62)&gt;0,OR(NOT(ISNUMBER($L62)),$N62="")),"Sale date or rate missing",IF(AND(ISNUMBER($L62),N($M62)=0),"Sale date with no quantity",IF(AND(ISNUMBER($L62),N($L62)&lt;N($H62)),"Sale before purchase",IF(N($L62)&gt;ValDate,"Sale after valuation date","OK"))))))))))))))</f>
        <v/>
      </c>
      <c r="AN62" s="89" t="str">
        <f aca="false">IF($B62="","",IFERROR(MATCH($B62,Accounts!$A$6:$A$55,0),""))</f>
        <v/>
      </c>
      <c r="AO62" s="89" t="str">
        <f aca="false">IF($C62="","",IFERROR(MATCH($C62,Securities!$A$6:$A$105,0),""))</f>
        <v/>
      </c>
      <c r="AP62" s="89" t="str">
        <f aca="false">IF($AN62="","",INDEX(Accounts!$B$6:$B$55,$AN62)&amp;"")</f>
        <v/>
      </c>
      <c r="AQ62" s="89" t="str">
        <f aca="false">IF(AND(ISNUMBER($AG62),N($P62)&gt;0),IF(AND(N($AG62)&gt;0,N($AG62)&lt;=SoonDays),1,""),"")</f>
        <v/>
      </c>
      <c r="AR62" s="89" t="str">
        <f aca="false">IF($AQ62&lt;&gt;1,"",SUMPRODUCT(($AQ$6:$AQ$205=1)*ISNUMBER($AG$6:$AG$205)*($AG$6:$AG$205&lt;$AG62))+SUMPRODUCT(($AQ$6:$AQ62=1)*ISNUMBER($AG$6:$AG62)*($AG$6:$AG62=$AG62)))</f>
        <v/>
      </c>
    </row>
    <row r="63" customFormat="false" ht="15" hidden="false" customHeight="false" outlineLevel="0" collapsed="false">
      <c r="A63" s="77"/>
      <c r="B63" s="78"/>
      <c r="C63" s="78"/>
      <c r="D63" s="79" t="str">
        <f aca="false">IF($AN63="","",INDEX(Accounts!$C$6:$C$55,$AN63)&amp;"")</f>
        <v/>
      </c>
      <c r="E63" s="79" t="str">
        <f aca="false">IF($AO63="","",INDEX(Securities!$B$6:$B$105,$AO63)&amp;"")</f>
        <v/>
      </c>
      <c r="F63" s="79" t="str">
        <f aca="false">IF($AO63="","",INDEX(Securities!$C$6:$C$105,$AO63)&amp;"")</f>
        <v/>
      </c>
      <c r="G63" s="79" t="str">
        <f aca="false">IF($AO63="","",INDEX(Securities!$E$6:$E$105,$AO63)&amp;"")</f>
        <v/>
      </c>
      <c r="H63" s="80"/>
      <c r="I63" s="81"/>
      <c r="J63" s="91"/>
      <c r="K63" s="85" t="str">
        <f aca="false">IF(OR($I63="",$J63=""),"",$I63*$J63)</f>
        <v/>
      </c>
      <c r="L63" s="80"/>
      <c r="M63" s="81"/>
      <c r="N63" s="91"/>
      <c r="O63" s="85" t="str">
        <f aca="false">IF(OR($M63="",$N63=""),"",$M63*$N63)</f>
        <v/>
      </c>
      <c r="P63" s="88" t="str">
        <f aca="false">IF($C63="","",N($I63)-N($M63))</f>
        <v/>
      </c>
      <c r="Q63" s="85" t="str">
        <f aca="false">IF(OR($P63="",$J63=""),"",$P63*$J63)</f>
        <v/>
      </c>
      <c r="R63" s="83" t="str">
        <f aca="false">IF($AO63="","",IF(INDEX(Securities!$N$6:$N$105,$AO63)="At cost",IF($J63="","",$J63),IF(INDEX(Securities!$O$6:$O$105,$AO63)="","",INDEX(Securities!$O$6:$O$105,$AO63))))</f>
        <v/>
      </c>
      <c r="S63" s="85" t="str">
        <f aca="false">IF(OR($P63="",$R63=""),"",$P63*$R63)</f>
        <v/>
      </c>
      <c r="T63" s="92" t="str">
        <f aca="false">IF(OR(NOT(ISNUMBER($L63)),NOT(ISNUMBER($H63))),"",$L63-$H63)</f>
        <v/>
      </c>
      <c r="U63" s="79" t="str">
        <f aca="false">IF($T63="","",IF($X63="","Short Term",IF($T63&gt;$X63,"Long Term","Short Term")))</f>
        <v/>
      </c>
      <c r="V63" s="92" t="str">
        <f aca="false">IF(OR(NOT(ISNUMBER($H63)),N($P63)&lt;=0),"",ValDate-$H63)</f>
        <v/>
      </c>
      <c r="W63" s="79" t="str">
        <f aca="false">IF($V63="","",IF($X63="","Short Term",IF($V63&gt;$X63,"Long Term","Short Term")))</f>
        <v/>
      </c>
      <c r="X63" s="92" t="str">
        <f aca="true">IF($G63="","",IF(ISNA(MATCH($G63,L_Category,0)),"",IF(INDEX(L_CatLT,MATCH($G63,L_Category,0))="","",INDEX(L_CatLT,MATCH($G63,L_Category,0)))))</f>
        <v/>
      </c>
      <c r="Y63" s="83" t="str">
        <f aca="false">IF($AO63="","",IF(INDEX(Securities!$Q$6:$Q$105,$AO63)="","",INDEX(Securities!$Q$6:$Q$105,$AO63)))</f>
        <v/>
      </c>
      <c r="Z63" s="79" t="str">
        <f aca="false">IF($C63="","",IF(OR(NOT(ISNUMBER($H63)),$Y63=""),"No",IF($H63&lt;=GFDate,"Yes","No")))</f>
        <v/>
      </c>
      <c r="AA63" s="85" t="str">
        <f aca="false">IF(OR($M63="",$N63="",$J63=""),"",$M63*($N63-$J63))</f>
        <v/>
      </c>
      <c r="AB63" s="85" t="str">
        <f aca="false">IF(OR(N($P63)&lt;=0,$R63="",$J63=""),"",$P63*($R63-$J63))</f>
        <v/>
      </c>
      <c r="AC63" s="83" t="str">
        <f aca="false">IF(OR($M63="",$N63="",$J63=""),"",IF($Z63="Yes",MAX($J63,MIN($Y63,$N63)),$J63))</f>
        <v/>
      </c>
      <c r="AD63" s="85" t="str">
        <f aca="false">IF($AC63="","",$M63*($N63-$AC63))</f>
        <v/>
      </c>
      <c r="AE63" s="83" t="str">
        <f aca="false">IF(OR(N($P63)&lt;=0,$R63="",$J63=""),"",IF($Z63="Yes",MAX($J63,MIN($Y63,$R63)),$J63))</f>
        <v/>
      </c>
      <c r="AF63" s="85" t="str">
        <f aca="false">IF($AE63="","",$P63*($R63-$AE63))</f>
        <v/>
      </c>
      <c r="AG63" s="92" t="str">
        <f aca="false">IF(OR($V63="",$X63=""),"",MAX(0,$X63+1-$V63))</f>
        <v/>
      </c>
      <c r="AH63" s="93" t="str">
        <f aca="false">IF(OR($X63="",NOT(ISNUMBER($H63)),N($P63)&lt;=0),"",$H63+$X63+1)</f>
        <v/>
      </c>
      <c r="AI63" s="91"/>
      <c r="AJ63" s="85" t="str">
        <f aca="false">IF(OR($AI63="",N($P63)&lt;=0),"",$AI63*$P63)</f>
        <v/>
      </c>
      <c r="AK63" s="79" t="str">
        <f aca="false">IF(NOT(ISNUMBER($L63)),"",IF(MONTH($L63)&gt;=4,YEAR($L63)&amp;"-"&amp;RIGHT(YEAR($L63)+1,2),(YEAR($L63)-1)&amp;"-"&amp;RIGHT(YEAR($L63),2)))</f>
        <v/>
      </c>
      <c r="AL63" s="78"/>
      <c r="AM63" s="79" t="str">
        <f aca="false">IF($A63&amp;$B63&amp;$C63="","",IF($A63="","Missing ID",IF(COUNTIF($A$6:$A$205,$A63)&gt;1,"Duplicate ID",IF($AN63="","Unknown account",IF($AO63="","Unknown security",IF(COUNTIFS(Holdings!$B$6:$B$205,$B63,Holdings!$C$6:$C$205,$C63)=0,"No holding row for this lot",IF(OR($I63="",$J63=""),"Missing purchase quantity or rate",IF(NOT(ISNUMBER($H63)),"Missing purchase date",IF(N($H63)&gt;ValDate,"Purchase after valuation date",IF(N($M63)&gt;N($I63),"Sale quantity exceeds purchase",IF(AND(N($M63)&gt;0,OR(NOT(ISNUMBER($L63)),$N63="")),"Sale date or rate missing",IF(AND(ISNUMBER($L63),N($M63)=0),"Sale date with no quantity",IF(AND(ISNUMBER($L63),N($L63)&lt;N($H63)),"Sale before purchase",IF(N($L63)&gt;ValDate,"Sale after valuation date","OK"))))))))))))))</f>
        <v/>
      </c>
      <c r="AN63" s="89" t="str">
        <f aca="false">IF($B63="","",IFERROR(MATCH($B63,Accounts!$A$6:$A$55,0),""))</f>
        <v/>
      </c>
      <c r="AO63" s="89" t="str">
        <f aca="false">IF($C63="","",IFERROR(MATCH($C63,Securities!$A$6:$A$105,0),""))</f>
        <v/>
      </c>
      <c r="AP63" s="89" t="str">
        <f aca="false">IF($AN63="","",INDEX(Accounts!$B$6:$B$55,$AN63)&amp;"")</f>
        <v/>
      </c>
      <c r="AQ63" s="89" t="str">
        <f aca="false">IF(AND(ISNUMBER($AG63),N($P63)&gt;0),IF(AND(N($AG63)&gt;0,N($AG63)&lt;=SoonDays),1,""),"")</f>
        <v/>
      </c>
      <c r="AR63" s="89" t="str">
        <f aca="false">IF($AQ63&lt;&gt;1,"",SUMPRODUCT(($AQ$6:$AQ$205=1)*ISNUMBER($AG$6:$AG$205)*($AG$6:$AG$205&lt;$AG63))+SUMPRODUCT(($AQ$6:$AQ63=1)*ISNUMBER($AG$6:$AG63)*($AG$6:$AG63=$AG63)))</f>
        <v/>
      </c>
    </row>
    <row r="64" customFormat="false" ht="15" hidden="false" customHeight="false" outlineLevel="0" collapsed="false">
      <c r="A64" s="77"/>
      <c r="B64" s="78"/>
      <c r="C64" s="78"/>
      <c r="D64" s="79" t="str">
        <f aca="false">IF($AN64="","",INDEX(Accounts!$C$6:$C$55,$AN64)&amp;"")</f>
        <v/>
      </c>
      <c r="E64" s="79" t="str">
        <f aca="false">IF($AO64="","",INDEX(Securities!$B$6:$B$105,$AO64)&amp;"")</f>
        <v/>
      </c>
      <c r="F64" s="79" t="str">
        <f aca="false">IF($AO64="","",INDEX(Securities!$C$6:$C$105,$AO64)&amp;"")</f>
        <v/>
      </c>
      <c r="G64" s="79" t="str">
        <f aca="false">IF($AO64="","",INDEX(Securities!$E$6:$E$105,$AO64)&amp;"")</f>
        <v/>
      </c>
      <c r="H64" s="80"/>
      <c r="I64" s="81"/>
      <c r="J64" s="91"/>
      <c r="K64" s="85" t="str">
        <f aca="false">IF(OR($I64="",$J64=""),"",$I64*$J64)</f>
        <v/>
      </c>
      <c r="L64" s="80"/>
      <c r="M64" s="81"/>
      <c r="N64" s="91"/>
      <c r="O64" s="85" t="str">
        <f aca="false">IF(OR($M64="",$N64=""),"",$M64*$N64)</f>
        <v/>
      </c>
      <c r="P64" s="88" t="str">
        <f aca="false">IF($C64="","",N($I64)-N($M64))</f>
        <v/>
      </c>
      <c r="Q64" s="85" t="str">
        <f aca="false">IF(OR($P64="",$J64=""),"",$P64*$J64)</f>
        <v/>
      </c>
      <c r="R64" s="83" t="str">
        <f aca="false">IF($AO64="","",IF(INDEX(Securities!$N$6:$N$105,$AO64)="At cost",IF($J64="","",$J64),IF(INDEX(Securities!$O$6:$O$105,$AO64)="","",INDEX(Securities!$O$6:$O$105,$AO64))))</f>
        <v/>
      </c>
      <c r="S64" s="85" t="str">
        <f aca="false">IF(OR($P64="",$R64=""),"",$P64*$R64)</f>
        <v/>
      </c>
      <c r="T64" s="92" t="str">
        <f aca="false">IF(OR(NOT(ISNUMBER($L64)),NOT(ISNUMBER($H64))),"",$L64-$H64)</f>
        <v/>
      </c>
      <c r="U64" s="79" t="str">
        <f aca="false">IF($T64="","",IF($X64="","Short Term",IF($T64&gt;$X64,"Long Term","Short Term")))</f>
        <v/>
      </c>
      <c r="V64" s="92" t="str">
        <f aca="false">IF(OR(NOT(ISNUMBER($H64)),N($P64)&lt;=0),"",ValDate-$H64)</f>
        <v/>
      </c>
      <c r="W64" s="79" t="str">
        <f aca="false">IF($V64="","",IF($X64="","Short Term",IF($V64&gt;$X64,"Long Term","Short Term")))</f>
        <v/>
      </c>
      <c r="X64" s="92" t="str">
        <f aca="true">IF($G64="","",IF(ISNA(MATCH($G64,L_Category,0)),"",IF(INDEX(L_CatLT,MATCH($G64,L_Category,0))="","",INDEX(L_CatLT,MATCH($G64,L_Category,0)))))</f>
        <v/>
      </c>
      <c r="Y64" s="83" t="str">
        <f aca="false">IF($AO64="","",IF(INDEX(Securities!$Q$6:$Q$105,$AO64)="","",INDEX(Securities!$Q$6:$Q$105,$AO64)))</f>
        <v/>
      </c>
      <c r="Z64" s="79" t="str">
        <f aca="false">IF($C64="","",IF(OR(NOT(ISNUMBER($H64)),$Y64=""),"No",IF($H64&lt;=GFDate,"Yes","No")))</f>
        <v/>
      </c>
      <c r="AA64" s="85" t="str">
        <f aca="false">IF(OR($M64="",$N64="",$J64=""),"",$M64*($N64-$J64))</f>
        <v/>
      </c>
      <c r="AB64" s="85" t="str">
        <f aca="false">IF(OR(N($P64)&lt;=0,$R64="",$J64=""),"",$P64*($R64-$J64))</f>
        <v/>
      </c>
      <c r="AC64" s="83" t="str">
        <f aca="false">IF(OR($M64="",$N64="",$J64=""),"",IF($Z64="Yes",MAX($J64,MIN($Y64,$N64)),$J64))</f>
        <v/>
      </c>
      <c r="AD64" s="85" t="str">
        <f aca="false">IF($AC64="","",$M64*($N64-$AC64))</f>
        <v/>
      </c>
      <c r="AE64" s="83" t="str">
        <f aca="false">IF(OR(N($P64)&lt;=0,$R64="",$J64=""),"",IF($Z64="Yes",MAX($J64,MIN($Y64,$R64)),$J64))</f>
        <v/>
      </c>
      <c r="AF64" s="85" t="str">
        <f aca="false">IF($AE64="","",$P64*($R64-$AE64))</f>
        <v/>
      </c>
      <c r="AG64" s="92" t="str">
        <f aca="false">IF(OR($V64="",$X64=""),"",MAX(0,$X64+1-$V64))</f>
        <v/>
      </c>
      <c r="AH64" s="93" t="str">
        <f aca="false">IF(OR($X64="",NOT(ISNUMBER($H64)),N($P64)&lt;=0),"",$H64+$X64+1)</f>
        <v/>
      </c>
      <c r="AI64" s="91"/>
      <c r="AJ64" s="85" t="str">
        <f aca="false">IF(OR($AI64="",N($P64)&lt;=0),"",$AI64*$P64)</f>
        <v/>
      </c>
      <c r="AK64" s="79" t="str">
        <f aca="false">IF(NOT(ISNUMBER($L64)),"",IF(MONTH($L64)&gt;=4,YEAR($L64)&amp;"-"&amp;RIGHT(YEAR($L64)+1,2),(YEAR($L64)-1)&amp;"-"&amp;RIGHT(YEAR($L64),2)))</f>
        <v/>
      </c>
      <c r="AL64" s="78"/>
      <c r="AM64" s="79" t="str">
        <f aca="false">IF($A64&amp;$B64&amp;$C64="","",IF($A64="","Missing ID",IF(COUNTIF($A$6:$A$205,$A64)&gt;1,"Duplicate ID",IF($AN64="","Unknown account",IF($AO64="","Unknown security",IF(COUNTIFS(Holdings!$B$6:$B$205,$B64,Holdings!$C$6:$C$205,$C64)=0,"No holding row for this lot",IF(OR($I64="",$J64=""),"Missing purchase quantity or rate",IF(NOT(ISNUMBER($H64)),"Missing purchase date",IF(N($H64)&gt;ValDate,"Purchase after valuation date",IF(N($M64)&gt;N($I64),"Sale quantity exceeds purchase",IF(AND(N($M64)&gt;0,OR(NOT(ISNUMBER($L64)),$N64="")),"Sale date or rate missing",IF(AND(ISNUMBER($L64),N($M64)=0),"Sale date with no quantity",IF(AND(ISNUMBER($L64),N($L64)&lt;N($H64)),"Sale before purchase",IF(N($L64)&gt;ValDate,"Sale after valuation date","OK"))))))))))))))</f>
        <v/>
      </c>
      <c r="AN64" s="89" t="str">
        <f aca="false">IF($B64="","",IFERROR(MATCH($B64,Accounts!$A$6:$A$55,0),""))</f>
        <v/>
      </c>
      <c r="AO64" s="89" t="str">
        <f aca="false">IF($C64="","",IFERROR(MATCH($C64,Securities!$A$6:$A$105,0),""))</f>
        <v/>
      </c>
      <c r="AP64" s="89" t="str">
        <f aca="false">IF($AN64="","",INDEX(Accounts!$B$6:$B$55,$AN64)&amp;"")</f>
        <v/>
      </c>
      <c r="AQ64" s="89" t="str">
        <f aca="false">IF(AND(ISNUMBER($AG64),N($P64)&gt;0),IF(AND(N($AG64)&gt;0,N($AG64)&lt;=SoonDays),1,""),"")</f>
        <v/>
      </c>
      <c r="AR64" s="89" t="str">
        <f aca="false">IF($AQ64&lt;&gt;1,"",SUMPRODUCT(($AQ$6:$AQ$205=1)*ISNUMBER($AG$6:$AG$205)*($AG$6:$AG$205&lt;$AG64))+SUMPRODUCT(($AQ$6:$AQ64=1)*ISNUMBER($AG$6:$AG64)*($AG$6:$AG64=$AG64)))</f>
        <v/>
      </c>
    </row>
    <row r="65" customFormat="false" ht="15" hidden="false" customHeight="false" outlineLevel="0" collapsed="false">
      <c r="A65" s="77"/>
      <c r="B65" s="78"/>
      <c r="C65" s="78"/>
      <c r="D65" s="79" t="str">
        <f aca="false">IF($AN65="","",INDEX(Accounts!$C$6:$C$55,$AN65)&amp;"")</f>
        <v/>
      </c>
      <c r="E65" s="79" t="str">
        <f aca="false">IF($AO65="","",INDEX(Securities!$B$6:$B$105,$AO65)&amp;"")</f>
        <v/>
      </c>
      <c r="F65" s="79" t="str">
        <f aca="false">IF($AO65="","",INDEX(Securities!$C$6:$C$105,$AO65)&amp;"")</f>
        <v/>
      </c>
      <c r="G65" s="79" t="str">
        <f aca="false">IF($AO65="","",INDEX(Securities!$E$6:$E$105,$AO65)&amp;"")</f>
        <v/>
      </c>
      <c r="H65" s="80"/>
      <c r="I65" s="81"/>
      <c r="J65" s="91"/>
      <c r="K65" s="85" t="str">
        <f aca="false">IF(OR($I65="",$J65=""),"",$I65*$J65)</f>
        <v/>
      </c>
      <c r="L65" s="80"/>
      <c r="M65" s="81"/>
      <c r="N65" s="91"/>
      <c r="O65" s="85" t="str">
        <f aca="false">IF(OR($M65="",$N65=""),"",$M65*$N65)</f>
        <v/>
      </c>
      <c r="P65" s="88" t="str">
        <f aca="false">IF($C65="","",N($I65)-N($M65))</f>
        <v/>
      </c>
      <c r="Q65" s="85" t="str">
        <f aca="false">IF(OR($P65="",$J65=""),"",$P65*$J65)</f>
        <v/>
      </c>
      <c r="R65" s="83" t="str">
        <f aca="false">IF($AO65="","",IF(INDEX(Securities!$N$6:$N$105,$AO65)="At cost",IF($J65="","",$J65),IF(INDEX(Securities!$O$6:$O$105,$AO65)="","",INDEX(Securities!$O$6:$O$105,$AO65))))</f>
        <v/>
      </c>
      <c r="S65" s="85" t="str">
        <f aca="false">IF(OR($P65="",$R65=""),"",$P65*$R65)</f>
        <v/>
      </c>
      <c r="T65" s="92" t="str">
        <f aca="false">IF(OR(NOT(ISNUMBER($L65)),NOT(ISNUMBER($H65))),"",$L65-$H65)</f>
        <v/>
      </c>
      <c r="U65" s="79" t="str">
        <f aca="false">IF($T65="","",IF($X65="","Short Term",IF($T65&gt;$X65,"Long Term","Short Term")))</f>
        <v/>
      </c>
      <c r="V65" s="92" t="str">
        <f aca="false">IF(OR(NOT(ISNUMBER($H65)),N($P65)&lt;=0),"",ValDate-$H65)</f>
        <v/>
      </c>
      <c r="W65" s="79" t="str">
        <f aca="false">IF($V65="","",IF($X65="","Short Term",IF($V65&gt;$X65,"Long Term","Short Term")))</f>
        <v/>
      </c>
      <c r="X65" s="92" t="str">
        <f aca="true">IF($G65="","",IF(ISNA(MATCH($G65,L_Category,0)),"",IF(INDEX(L_CatLT,MATCH($G65,L_Category,0))="","",INDEX(L_CatLT,MATCH($G65,L_Category,0)))))</f>
        <v/>
      </c>
      <c r="Y65" s="83" t="str">
        <f aca="false">IF($AO65="","",IF(INDEX(Securities!$Q$6:$Q$105,$AO65)="","",INDEX(Securities!$Q$6:$Q$105,$AO65)))</f>
        <v/>
      </c>
      <c r="Z65" s="79" t="str">
        <f aca="false">IF($C65="","",IF(OR(NOT(ISNUMBER($H65)),$Y65=""),"No",IF($H65&lt;=GFDate,"Yes","No")))</f>
        <v/>
      </c>
      <c r="AA65" s="85" t="str">
        <f aca="false">IF(OR($M65="",$N65="",$J65=""),"",$M65*($N65-$J65))</f>
        <v/>
      </c>
      <c r="AB65" s="85" t="str">
        <f aca="false">IF(OR(N($P65)&lt;=0,$R65="",$J65=""),"",$P65*($R65-$J65))</f>
        <v/>
      </c>
      <c r="AC65" s="83" t="str">
        <f aca="false">IF(OR($M65="",$N65="",$J65=""),"",IF($Z65="Yes",MAX($J65,MIN($Y65,$N65)),$J65))</f>
        <v/>
      </c>
      <c r="AD65" s="85" t="str">
        <f aca="false">IF($AC65="","",$M65*($N65-$AC65))</f>
        <v/>
      </c>
      <c r="AE65" s="83" t="str">
        <f aca="false">IF(OR(N($P65)&lt;=0,$R65="",$J65=""),"",IF($Z65="Yes",MAX($J65,MIN($Y65,$R65)),$J65))</f>
        <v/>
      </c>
      <c r="AF65" s="85" t="str">
        <f aca="false">IF($AE65="","",$P65*($R65-$AE65))</f>
        <v/>
      </c>
      <c r="AG65" s="92" t="str">
        <f aca="false">IF(OR($V65="",$X65=""),"",MAX(0,$X65+1-$V65))</f>
        <v/>
      </c>
      <c r="AH65" s="93" t="str">
        <f aca="false">IF(OR($X65="",NOT(ISNUMBER($H65)),N($P65)&lt;=0),"",$H65+$X65+1)</f>
        <v/>
      </c>
      <c r="AI65" s="91"/>
      <c r="AJ65" s="85" t="str">
        <f aca="false">IF(OR($AI65="",N($P65)&lt;=0),"",$AI65*$P65)</f>
        <v/>
      </c>
      <c r="AK65" s="79" t="str">
        <f aca="false">IF(NOT(ISNUMBER($L65)),"",IF(MONTH($L65)&gt;=4,YEAR($L65)&amp;"-"&amp;RIGHT(YEAR($L65)+1,2),(YEAR($L65)-1)&amp;"-"&amp;RIGHT(YEAR($L65),2)))</f>
        <v/>
      </c>
      <c r="AL65" s="78"/>
      <c r="AM65" s="79" t="str">
        <f aca="false">IF($A65&amp;$B65&amp;$C65="","",IF($A65="","Missing ID",IF(COUNTIF($A$6:$A$205,$A65)&gt;1,"Duplicate ID",IF($AN65="","Unknown account",IF($AO65="","Unknown security",IF(COUNTIFS(Holdings!$B$6:$B$205,$B65,Holdings!$C$6:$C$205,$C65)=0,"No holding row for this lot",IF(OR($I65="",$J65=""),"Missing purchase quantity or rate",IF(NOT(ISNUMBER($H65)),"Missing purchase date",IF(N($H65)&gt;ValDate,"Purchase after valuation date",IF(N($M65)&gt;N($I65),"Sale quantity exceeds purchase",IF(AND(N($M65)&gt;0,OR(NOT(ISNUMBER($L65)),$N65="")),"Sale date or rate missing",IF(AND(ISNUMBER($L65),N($M65)=0),"Sale date with no quantity",IF(AND(ISNUMBER($L65),N($L65)&lt;N($H65)),"Sale before purchase",IF(N($L65)&gt;ValDate,"Sale after valuation date","OK"))))))))))))))</f>
        <v/>
      </c>
      <c r="AN65" s="89" t="str">
        <f aca="false">IF($B65="","",IFERROR(MATCH($B65,Accounts!$A$6:$A$55,0),""))</f>
        <v/>
      </c>
      <c r="AO65" s="89" t="str">
        <f aca="false">IF($C65="","",IFERROR(MATCH($C65,Securities!$A$6:$A$105,0),""))</f>
        <v/>
      </c>
      <c r="AP65" s="89" t="str">
        <f aca="false">IF($AN65="","",INDEX(Accounts!$B$6:$B$55,$AN65)&amp;"")</f>
        <v/>
      </c>
      <c r="AQ65" s="89" t="str">
        <f aca="false">IF(AND(ISNUMBER($AG65),N($P65)&gt;0),IF(AND(N($AG65)&gt;0,N($AG65)&lt;=SoonDays),1,""),"")</f>
        <v/>
      </c>
      <c r="AR65" s="89" t="str">
        <f aca="false">IF($AQ65&lt;&gt;1,"",SUMPRODUCT(($AQ$6:$AQ$205=1)*ISNUMBER($AG$6:$AG$205)*($AG$6:$AG$205&lt;$AG65))+SUMPRODUCT(($AQ$6:$AQ65=1)*ISNUMBER($AG$6:$AG65)*($AG$6:$AG65=$AG65)))</f>
        <v/>
      </c>
    </row>
    <row r="66" customFormat="false" ht="15" hidden="false" customHeight="false" outlineLevel="0" collapsed="false">
      <c r="A66" s="77"/>
      <c r="B66" s="78"/>
      <c r="C66" s="78"/>
      <c r="D66" s="79" t="str">
        <f aca="false">IF($AN66="","",INDEX(Accounts!$C$6:$C$55,$AN66)&amp;"")</f>
        <v/>
      </c>
      <c r="E66" s="79" t="str">
        <f aca="false">IF($AO66="","",INDEX(Securities!$B$6:$B$105,$AO66)&amp;"")</f>
        <v/>
      </c>
      <c r="F66" s="79" t="str">
        <f aca="false">IF($AO66="","",INDEX(Securities!$C$6:$C$105,$AO66)&amp;"")</f>
        <v/>
      </c>
      <c r="G66" s="79" t="str">
        <f aca="false">IF($AO66="","",INDEX(Securities!$E$6:$E$105,$AO66)&amp;"")</f>
        <v/>
      </c>
      <c r="H66" s="80"/>
      <c r="I66" s="81"/>
      <c r="J66" s="91"/>
      <c r="K66" s="85" t="str">
        <f aca="false">IF(OR($I66="",$J66=""),"",$I66*$J66)</f>
        <v/>
      </c>
      <c r="L66" s="80"/>
      <c r="M66" s="81"/>
      <c r="N66" s="91"/>
      <c r="O66" s="85" t="str">
        <f aca="false">IF(OR($M66="",$N66=""),"",$M66*$N66)</f>
        <v/>
      </c>
      <c r="P66" s="88" t="str">
        <f aca="false">IF($C66="","",N($I66)-N($M66))</f>
        <v/>
      </c>
      <c r="Q66" s="85" t="str">
        <f aca="false">IF(OR($P66="",$J66=""),"",$P66*$J66)</f>
        <v/>
      </c>
      <c r="R66" s="83" t="str">
        <f aca="false">IF($AO66="","",IF(INDEX(Securities!$N$6:$N$105,$AO66)="At cost",IF($J66="","",$J66),IF(INDEX(Securities!$O$6:$O$105,$AO66)="","",INDEX(Securities!$O$6:$O$105,$AO66))))</f>
        <v/>
      </c>
      <c r="S66" s="85" t="str">
        <f aca="false">IF(OR($P66="",$R66=""),"",$P66*$R66)</f>
        <v/>
      </c>
      <c r="T66" s="92" t="str">
        <f aca="false">IF(OR(NOT(ISNUMBER($L66)),NOT(ISNUMBER($H66))),"",$L66-$H66)</f>
        <v/>
      </c>
      <c r="U66" s="79" t="str">
        <f aca="false">IF($T66="","",IF($X66="","Short Term",IF($T66&gt;$X66,"Long Term","Short Term")))</f>
        <v/>
      </c>
      <c r="V66" s="92" t="str">
        <f aca="false">IF(OR(NOT(ISNUMBER($H66)),N($P66)&lt;=0),"",ValDate-$H66)</f>
        <v/>
      </c>
      <c r="W66" s="79" t="str">
        <f aca="false">IF($V66="","",IF($X66="","Short Term",IF($V66&gt;$X66,"Long Term","Short Term")))</f>
        <v/>
      </c>
      <c r="X66" s="92" t="str">
        <f aca="true">IF($G66="","",IF(ISNA(MATCH($G66,L_Category,0)),"",IF(INDEX(L_CatLT,MATCH($G66,L_Category,0))="","",INDEX(L_CatLT,MATCH($G66,L_Category,0)))))</f>
        <v/>
      </c>
      <c r="Y66" s="83" t="str">
        <f aca="false">IF($AO66="","",IF(INDEX(Securities!$Q$6:$Q$105,$AO66)="","",INDEX(Securities!$Q$6:$Q$105,$AO66)))</f>
        <v/>
      </c>
      <c r="Z66" s="79" t="str">
        <f aca="false">IF($C66="","",IF(OR(NOT(ISNUMBER($H66)),$Y66=""),"No",IF($H66&lt;=GFDate,"Yes","No")))</f>
        <v/>
      </c>
      <c r="AA66" s="85" t="str">
        <f aca="false">IF(OR($M66="",$N66="",$J66=""),"",$M66*($N66-$J66))</f>
        <v/>
      </c>
      <c r="AB66" s="85" t="str">
        <f aca="false">IF(OR(N($P66)&lt;=0,$R66="",$J66=""),"",$P66*($R66-$J66))</f>
        <v/>
      </c>
      <c r="AC66" s="83" t="str">
        <f aca="false">IF(OR($M66="",$N66="",$J66=""),"",IF($Z66="Yes",MAX($J66,MIN($Y66,$N66)),$J66))</f>
        <v/>
      </c>
      <c r="AD66" s="85" t="str">
        <f aca="false">IF($AC66="","",$M66*($N66-$AC66))</f>
        <v/>
      </c>
      <c r="AE66" s="83" t="str">
        <f aca="false">IF(OR(N($P66)&lt;=0,$R66="",$J66=""),"",IF($Z66="Yes",MAX($J66,MIN($Y66,$R66)),$J66))</f>
        <v/>
      </c>
      <c r="AF66" s="85" t="str">
        <f aca="false">IF($AE66="","",$P66*($R66-$AE66))</f>
        <v/>
      </c>
      <c r="AG66" s="92" t="str">
        <f aca="false">IF(OR($V66="",$X66=""),"",MAX(0,$X66+1-$V66))</f>
        <v/>
      </c>
      <c r="AH66" s="93" t="str">
        <f aca="false">IF(OR($X66="",NOT(ISNUMBER($H66)),N($P66)&lt;=0),"",$H66+$X66+1)</f>
        <v/>
      </c>
      <c r="AI66" s="91"/>
      <c r="AJ66" s="85" t="str">
        <f aca="false">IF(OR($AI66="",N($P66)&lt;=0),"",$AI66*$P66)</f>
        <v/>
      </c>
      <c r="AK66" s="79" t="str">
        <f aca="false">IF(NOT(ISNUMBER($L66)),"",IF(MONTH($L66)&gt;=4,YEAR($L66)&amp;"-"&amp;RIGHT(YEAR($L66)+1,2),(YEAR($L66)-1)&amp;"-"&amp;RIGHT(YEAR($L66),2)))</f>
        <v/>
      </c>
      <c r="AL66" s="78"/>
      <c r="AM66" s="79" t="str">
        <f aca="false">IF($A66&amp;$B66&amp;$C66="","",IF($A66="","Missing ID",IF(COUNTIF($A$6:$A$205,$A66)&gt;1,"Duplicate ID",IF($AN66="","Unknown account",IF($AO66="","Unknown security",IF(COUNTIFS(Holdings!$B$6:$B$205,$B66,Holdings!$C$6:$C$205,$C66)=0,"No holding row for this lot",IF(OR($I66="",$J66=""),"Missing purchase quantity or rate",IF(NOT(ISNUMBER($H66)),"Missing purchase date",IF(N($H66)&gt;ValDate,"Purchase after valuation date",IF(N($M66)&gt;N($I66),"Sale quantity exceeds purchase",IF(AND(N($M66)&gt;0,OR(NOT(ISNUMBER($L66)),$N66="")),"Sale date or rate missing",IF(AND(ISNUMBER($L66),N($M66)=0),"Sale date with no quantity",IF(AND(ISNUMBER($L66),N($L66)&lt;N($H66)),"Sale before purchase",IF(N($L66)&gt;ValDate,"Sale after valuation date","OK"))))))))))))))</f>
        <v/>
      </c>
      <c r="AN66" s="89" t="str">
        <f aca="false">IF($B66="","",IFERROR(MATCH($B66,Accounts!$A$6:$A$55,0),""))</f>
        <v/>
      </c>
      <c r="AO66" s="89" t="str">
        <f aca="false">IF($C66="","",IFERROR(MATCH($C66,Securities!$A$6:$A$105,0),""))</f>
        <v/>
      </c>
      <c r="AP66" s="89" t="str">
        <f aca="false">IF($AN66="","",INDEX(Accounts!$B$6:$B$55,$AN66)&amp;"")</f>
        <v/>
      </c>
      <c r="AQ66" s="89" t="str">
        <f aca="false">IF(AND(ISNUMBER($AG66),N($P66)&gt;0),IF(AND(N($AG66)&gt;0,N($AG66)&lt;=SoonDays),1,""),"")</f>
        <v/>
      </c>
      <c r="AR66" s="89" t="str">
        <f aca="false">IF($AQ66&lt;&gt;1,"",SUMPRODUCT(($AQ$6:$AQ$205=1)*ISNUMBER($AG$6:$AG$205)*($AG$6:$AG$205&lt;$AG66))+SUMPRODUCT(($AQ$6:$AQ66=1)*ISNUMBER($AG$6:$AG66)*($AG$6:$AG66=$AG66)))</f>
        <v/>
      </c>
    </row>
    <row r="67" customFormat="false" ht="15" hidden="false" customHeight="false" outlineLevel="0" collapsed="false">
      <c r="A67" s="77"/>
      <c r="B67" s="78"/>
      <c r="C67" s="78"/>
      <c r="D67" s="79" t="str">
        <f aca="false">IF($AN67="","",INDEX(Accounts!$C$6:$C$55,$AN67)&amp;"")</f>
        <v/>
      </c>
      <c r="E67" s="79" t="str">
        <f aca="false">IF($AO67="","",INDEX(Securities!$B$6:$B$105,$AO67)&amp;"")</f>
        <v/>
      </c>
      <c r="F67" s="79" t="str">
        <f aca="false">IF($AO67="","",INDEX(Securities!$C$6:$C$105,$AO67)&amp;"")</f>
        <v/>
      </c>
      <c r="G67" s="79" t="str">
        <f aca="false">IF($AO67="","",INDEX(Securities!$E$6:$E$105,$AO67)&amp;"")</f>
        <v/>
      </c>
      <c r="H67" s="80"/>
      <c r="I67" s="81"/>
      <c r="J67" s="91"/>
      <c r="K67" s="85" t="str">
        <f aca="false">IF(OR($I67="",$J67=""),"",$I67*$J67)</f>
        <v/>
      </c>
      <c r="L67" s="80"/>
      <c r="M67" s="81"/>
      <c r="N67" s="91"/>
      <c r="O67" s="85" t="str">
        <f aca="false">IF(OR($M67="",$N67=""),"",$M67*$N67)</f>
        <v/>
      </c>
      <c r="P67" s="88" t="str">
        <f aca="false">IF($C67="","",N($I67)-N($M67))</f>
        <v/>
      </c>
      <c r="Q67" s="85" t="str">
        <f aca="false">IF(OR($P67="",$J67=""),"",$P67*$J67)</f>
        <v/>
      </c>
      <c r="R67" s="83" t="str">
        <f aca="false">IF($AO67="","",IF(INDEX(Securities!$N$6:$N$105,$AO67)="At cost",IF($J67="","",$J67),IF(INDEX(Securities!$O$6:$O$105,$AO67)="","",INDEX(Securities!$O$6:$O$105,$AO67))))</f>
        <v/>
      </c>
      <c r="S67" s="85" t="str">
        <f aca="false">IF(OR($P67="",$R67=""),"",$P67*$R67)</f>
        <v/>
      </c>
      <c r="T67" s="92" t="str">
        <f aca="false">IF(OR(NOT(ISNUMBER($L67)),NOT(ISNUMBER($H67))),"",$L67-$H67)</f>
        <v/>
      </c>
      <c r="U67" s="79" t="str">
        <f aca="false">IF($T67="","",IF($X67="","Short Term",IF($T67&gt;$X67,"Long Term","Short Term")))</f>
        <v/>
      </c>
      <c r="V67" s="92" t="str">
        <f aca="false">IF(OR(NOT(ISNUMBER($H67)),N($P67)&lt;=0),"",ValDate-$H67)</f>
        <v/>
      </c>
      <c r="W67" s="79" t="str">
        <f aca="false">IF($V67="","",IF($X67="","Short Term",IF($V67&gt;$X67,"Long Term","Short Term")))</f>
        <v/>
      </c>
      <c r="X67" s="92" t="str">
        <f aca="true">IF($G67="","",IF(ISNA(MATCH($G67,L_Category,0)),"",IF(INDEX(L_CatLT,MATCH($G67,L_Category,0))="","",INDEX(L_CatLT,MATCH($G67,L_Category,0)))))</f>
        <v/>
      </c>
      <c r="Y67" s="83" t="str">
        <f aca="false">IF($AO67="","",IF(INDEX(Securities!$Q$6:$Q$105,$AO67)="","",INDEX(Securities!$Q$6:$Q$105,$AO67)))</f>
        <v/>
      </c>
      <c r="Z67" s="79" t="str">
        <f aca="false">IF($C67="","",IF(OR(NOT(ISNUMBER($H67)),$Y67=""),"No",IF($H67&lt;=GFDate,"Yes","No")))</f>
        <v/>
      </c>
      <c r="AA67" s="85" t="str">
        <f aca="false">IF(OR($M67="",$N67="",$J67=""),"",$M67*($N67-$J67))</f>
        <v/>
      </c>
      <c r="AB67" s="85" t="str">
        <f aca="false">IF(OR(N($P67)&lt;=0,$R67="",$J67=""),"",$P67*($R67-$J67))</f>
        <v/>
      </c>
      <c r="AC67" s="83" t="str">
        <f aca="false">IF(OR($M67="",$N67="",$J67=""),"",IF($Z67="Yes",MAX($J67,MIN($Y67,$N67)),$J67))</f>
        <v/>
      </c>
      <c r="AD67" s="85" t="str">
        <f aca="false">IF($AC67="","",$M67*($N67-$AC67))</f>
        <v/>
      </c>
      <c r="AE67" s="83" t="str">
        <f aca="false">IF(OR(N($P67)&lt;=0,$R67="",$J67=""),"",IF($Z67="Yes",MAX($J67,MIN($Y67,$R67)),$J67))</f>
        <v/>
      </c>
      <c r="AF67" s="85" t="str">
        <f aca="false">IF($AE67="","",$P67*($R67-$AE67))</f>
        <v/>
      </c>
      <c r="AG67" s="92" t="str">
        <f aca="false">IF(OR($V67="",$X67=""),"",MAX(0,$X67+1-$V67))</f>
        <v/>
      </c>
      <c r="AH67" s="93" t="str">
        <f aca="false">IF(OR($X67="",NOT(ISNUMBER($H67)),N($P67)&lt;=0),"",$H67+$X67+1)</f>
        <v/>
      </c>
      <c r="AI67" s="91"/>
      <c r="AJ67" s="85" t="str">
        <f aca="false">IF(OR($AI67="",N($P67)&lt;=0),"",$AI67*$P67)</f>
        <v/>
      </c>
      <c r="AK67" s="79" t="str">
        <f aca="false">IF(NOT(ISNUMBER($L67)),"",IF(MONTH($L67)&gt;=4,YEAR($L67)&amp;"-"&amp;RIGHT(YEAR($L67)+1,2),(YEAR($L67)-1)&amp;"-"&amp;RIGHT(YEAR($L67),2)))</f>
        <v/>
      </c>
      <c r="AL67" s="78"/>
      <c r="AM67" s="79" t="str">
        <f aca="false">IF($A67&amp;$B67&amp;$C67="","",IF($A67="","Missing ID",IF(COUNTIF($A$6:$A$205,$A67)&gt;1,"Duplicate ID",IF($AN67="","Unknown account",IF($AO67="","Unknown security",IF(COUNTIFS(Holdings!$B$6:$B$205,$B67,Holdings!$C$6:$C$205,$C67)=0,"No holding row for this lot",IF(OR($I67="",$J67=""),"Missing purchase quantity or rate",IF(NOT(ISNUMBER($H67)),"Missing purchase date",IF(N($H67)&gt;ValDate,"Purchase after valuation date",IF(N($M67)&gt;N($I67),"Sale quantity exceeds purchase",IF(AND(N($M67)&gt;0,OR(NOT(ISNUMBER($L67)),$N67="")),"Sale date or rate missing",IF(AND(ISNUMBER($L67),N($M67)=0),"Sale date with no quantity",IF(AND(ISNUMBER($L67),N($L67)&lt;N($H67)),"Sale before purchase",IF(N($L67)&gt;ValDate,"Sale after valuation date","OK"))))))))))))))</f>
        <v/>
      </c>
      <c r="AN67" s="89" t="str">
        <f aca="false">IF($B67="","",IFERROR(MATCH($B67,Accounts!$A$6:$A$55,0),""))</f>
        <v/>
      </c>
      <c r="AO67" s="89" t="str">
        <f aca="false">IF($C67="","",IFERROR(MATCH($C67,Securities!$A$6:$A$105,0),""))</f>
        <v/>
      </c>
      <c r="AP67" s="89" t="str">
        <f aca="false">IF($AN67="","",INDEX(Accounts!$B$6:$B$55,$AN67)&amp;"")</f>
        <v/>
      </c>
      <c r="AQ67" s="89" t="str">
        <f aca="false">IF(AND(ISNUMBER($AG67),N($P67)&gt;0),IF(AND(N($AG67)&gt;0,N($AG67)&lt;=SoonDays),1,""),"")</f>
        <v/>
      </c>
      <c r="AR67" s="89" t="str">
        <f aca="false">IF($AQ67&lt;&gt;1,"",SUMPRODUCT(($AQ$6:$AQ$205=1)*ISNUMBER($AG$6:$AG$205)*($AG$6:$AG$205&lt;$AG67))+SUMPRODUCT(($AQ$6:$AQ67=1)*ISNUMBER($AG$6:$AG67)*($AG$6:$AG67=$AG67)))</f>
        <v/>
      </c>
    </row>
    <row r="68" customFormat="false" ht="15" hidden="false" customHeight="false" outlineLevel="0" collapsed="false">
      <c r="A68" s="77"/>
      <c r="B68" s="78"/>
      <c r="C68" s="78"/>
      <c r="D68" s="79" t="str">
        <f aca="false">IF($AN68="","",INDEX(Accounts!$C$6:$C$55,$AN68)&amp;"")</f>
        <v/>
      </c>
      <c r="E68" s="79" t="str">
        <f aca="false">IF($AO68="","",INDEX(Securities!$B$6:$B$105,$AO68)&amp;"")</f>
        <v/>
      </c>
      <c r="F68" s="79" t="str">
        <f aca="false">IF($AO68="","",INDEX(Securities!$C$6:$C$105,$AO68)&amp;"")</f>
        <v/>
      </c>
      <c r="G68" s="79" t="str">
        <f aca="false">IF($AO68="","",INDEX(Securities!$E$6:$E$105,$AO68)&amp;"")</f>
        <v/>
      </c>
      <c r="H68" s="80"/>
      <c r="I68" s="81"/>
      <c r="J68" s="91"/>
      <c r="K68" s="85" t="str">
        <f aca="false">IF(OR($I68="",$J68=""),"",$I68*$J68)</f>
        <v/>
      </c>
      <c r="L68" s="80"/>
      <c r="M68" s="81"/>
      <c r="N68" s="91"/>
      <c r="O68" s="85" t="str">
        <f aca="false">IF(OR($M68="",$N68=""),"",$M68*$N68)</f>
        <v/>
      </c>
      <c r="P68" s="88" t="str">
        <f aca="false">IF($C68="","",N($I68)-N($M68))</f>
        <v/>
      </c>
      <c r="Q68" s="85" t="str">
        <f aca="false">IF(OR($P68="",$J68=""),"",$P68*$J68)</f>
        <v/>
      </c>
      <c r="R68" s="83" t="str">
        <f aca="false">IF($AO68="","",IF(INDEX(Securities!$N$6:$N$105,$AO68)="At cost",IF($J68="","",$J68),IF(INDEX(Securities!$O$6:$O$105,$AO68)="","",INDEX(Securities!$O$6:$O$105,$AO68))))</f>
        <v/>
      </c>
      <c r="S68" s="85" t="str">
        <f aca="false">IF(OR($P68="",$R68=""),"",$P68*$R68)</f>
        <v/>
      </c>
      <c r="T68" s="92" t="str">
        <f aca="false">IF(OR(NOT(ISNUMBER($L68)),NOT(ISNUMBER($H68))),"",$L68-$H68)</f>
        <v/>
      </c>
      <c r="U68" s="79" t="str">
        <f aca="false">IF($T68="","",IF($X68="","Short Term",IF($T68&gt;$X68,"Long Term","Short Term")))</f>
        <v/>
      </c>
      <c r="V68" s="92" t="str">
        <f aca="false">IF(OR(NOT(ISNUMBER($H68)),N($P68)&lt;=0),"",ValDate-$H68)</f>
        <v/>
      </c>
      <c r="W68" s="79" t="str">
        <f aca="false">IF($V68="","",IF($X68="","Short Term",IF($V68&gt;$X68,"Long Term","Short Term")))</f>
        <v/>
      </c>
      <c r="X68" s="92" t="str">
        <f aca="true">IF($G68="","",IF(ISNA(MATCH($G68,L_Category,0)),"",IF(INDEX(L_CatLT,MATCH($G68,L_Category,0))="","",INDEX(L_CatLT,MATCH($G68,L_Category,0)))))</f>
        <v/>
      </c>
      <c r="Y68" s="83" t="str">
        <f aca="false">IF($AO68="","",IF(INDEX(Securities!$Q$6:$Q$105,$AO68)="","",INDEX(Securities!$Q$6:$Q$105,$AO68)))</f>
        <v/>
      </c>
      <c r="Z68" s="79" t="str">
        <f aca="false">IF($C68="","",IF(OR(NOT(ISNUMBER($H68)),$Y68=""),"No",IF($H68&lt;=GFDate,"Yes","No")))</f>
        <v/>
      </c>
      <c r="AA68" s="85" t="str">
        <f aca="false">IF(OR($M68="",$N68="",$J68=""),"",$M68*($N68-$J68))</f>
        <v/>
      </c>
      <c r="AB68" s="85" t="str">
        <f aca="false">IF(OR(N($P68)&lt;=0,$R68="",$J68=""),"",$P68*($R68-$J68))</f>
        <v/>
      </c>
      <c r="AC68" s="83" t="str">
        <f aca="false">IF(OR($M68="",$N68="",$J68=""),"",IF($Z68="Yes",MAX($J68,MIN($Y68,$N68)),$J68))</f>
        <v/>
      </c>
      <c r="AD68" s="85" t="str">
        <f aca="false">IF($AC68="","",$M68*($N68-$AC68))</f>
        <v/>
      </c>
      <c r="AE68" s="83" t="str">
        <f aca="false">IF(OR(N($P68)&lt;=0,$R68="",$J68=""),"",IF($Z68="Yes",MAX($J68,MIN($Y68,$R68)),$J68))</f>
        <v/>
      </c>
      <c r="AF68" s="85" t="str">
        <f aca="false">IF($AE68="","",$P68*($R68-$AE68))</f>
        <v/>
      </c>
      <c r="AG68" s="92" t="str">
        <f aca="false">IF(OR($V68="",$X68=""),"",MAX(0,$X68+1-$V68))</f>
        <v/>
      </c>
      <c r="AH68" s="93" t="str">
        <f aca="false">IF(OR($X68="",NOT(ISNUMBER($H68)),N($P68)&lt;=0),"",$H68+$X68+1)</f>
        <v/>
      </c>
      <c r="AI68" s="91"/>
      <c r="AJ68" s="85" t="str">
        <f aca="false">IF(OR($AI68="",N($P68)&lt;=0),"",$AI68*$P68)</f>
        <v/>
      </c>
      <c r="AK68" s="79" t="str">
        <f aca="false">IF(NOT(ISNUMBER($L68)),"",IF(MONTH($L68)&gt;=4,YEAR($L68)&amp;"-"&amp;RIGHT(YEAR($L68)+1,2),(YEAR($L68)-1)&amp;"-"&amp;RIGHT(YEAR($L68),2)))</f>
        <v/>
      </c>
      <c r="AL68" s="78"/>
      <c r="AM68" s="79" t="str">
        <f aca="false">IF($A68&amp;$B68&amp;$C68="","",IF($A68="","Missing ID",IF(COUNTIF($A$6:$A$205,$A68)&gt;1,"Duplicate ID",IF($AN68="","Unknown account",IF($AO68="","Unknown security",IF(COUNTIFS(Holdings!$B$6:$B$205,$B68,Holdings!$C$6:$C$205,$C68)=0,"No holding row for this lot",IF(OR($I68="",$J68=""),"Missing purchase quantity or rate",IF(NOT(ISNUMBER($H68)),"Missing purchase date",IF(N($H68)&gt;ValDate,"Purchase after valuation date",IF(N($M68)&gt;N($I68),"Sale quantity exceeds purchase",IF(AND(N($M68)&gt;0,OR(NOT(ISNUMBER($L68)),$N68="")),"Sale date or rate missing",IF(AND(ISNUMBER($L68),N($M68)=0),"Sale date with no quantity",IF(AND(ISNUMBER($L68),N($L68)&lt;N($H68)),"Sale before purchase",IF(N($L68)&gt;ValDate,"Sale after valuation date","OK"))))))))))))))</f>
        <v/>
      </c>
      <c r="AN68" s="89" t="str">
        <f aca="false">IF($B68="","",IFERROR(MATCH($B68,Accounts!$A$6:$A$55,0),""))</f>
        <v/>
      </c>
      <c r="AO68" s="89" t="str">
        <f aca="false">IF($C68="","",IFERROR(MATCH($C68,Securities!$A$6:$A$105,0),""))</f>
        <v/>
      </c>
      <c r="AP68" s="89" t="str">
        <f aca="false">IF($AN68="","",INDEX(Accounts!$B$6:$B$55,$AN68)&amp;"")</f>
        <v/>
      </c>
      <c r="AQ68" s="89" t="str">
        <f aca="false">IF(AND(ISNUMBER($AG68),N($P68)&gt;0),IF(AND(N($AG68)&gt;0,N($AG68)&lt;=SoonDays),1,""),"")</f>
        <v/>
      </c>
      <c r="AR68" s="89" t="str">
        <f aca="false">IF($AQ68&lt;&gt;1,"",SUMPRODUCT(($AQ$6:$AQ$205=1)*ISNUMBER($AG$6:$AG$205)*($AG$6:$AG$205&lt;$AG68))+SUMPRODUCT(($AQ$6:$AQ68=1)*ISNUMBER($AG$6:$AG68)*($AG$6:$AG68=$AG68)))</f>
        <v/>
      </c>
    </row>
    <row r="69" customFormat="false" ht="15" hidden="false" customHeight="false" outlineLevel="0" collapsed="false">
      <c r="A69" s="77"/>
      <c r="B69" s="78"/>
      <c r="C69" s="78"/>
      <c r="D69" s="79" t="str">
        <f aca="false">IF($AN69="","",INDEX(Accounts!$C$6:$C$55,$AN69)&amp;"")</f>
        <v/>
      </c>
      <c r="E69" s="79" t="str">
        <f aca="false">IF($AO69="","",INDEX(Securities!$B$6:$B$105,$AO69)&amp;"")</f>
        <v/>
      </c>
      <c r="F69" s="79" t="str">
        <f aca="false">IF($AO69="","",INDEX(Securities!$C$6:$C$105,$AO69)&amp;"")</f>
        <v/>
      </c>
      <c r="G69" s="79" t="str">
        <f aca="false">IF($AO69="","",INDEX(Securities!$E$6:$E$105,$AO69)&amp;"")</f>
        <v/>
      </c>
      <c r="H69" s="80"/>
      <c r="I69" s="81"/>
      <c r="J69" s="91"/>
      <c r="K69" s="85" t="str">
        <f aca="false">IF(OR($I69="",$J69=""),"",$I69*$J69)</f>
        <v/>
      </c>
      <c r="L69" s="80"/>
      <c r="M69" s="81"/>
      <c r="N69" s="91"/>
      <c r="O69" s="85" t="str">
        <f aca="false">IF(OR($M69="",$N69=""),"",$M69*$N69)</f>
        <v/>
      </c>
      <c r="P69" s="88" t="str">
        <f aca="false">IF($C69="","",N($I69)-N($M69))</f>
        <v/>
      </c>
      <c r="Q69" s="85" t="str">
        <f aca="false">IF(OR($P69="",$J69=""),"",$P69*$J69)</f>
        <v/>
      </c>
      <c r="R69" s="83" t="str">
        <f aca="false">IF($AO69="","",IF(INDEX(Securities!$N$6:$N$105,$AO69)="At cost",IF($J69="","",$J69),IF(INDEX(Securities!$O$6:$O$105,$AO69)="","",INDEX(Securities!$O$6:$O$105,$AO69))))</f>
        <v/>
      </c>
      <c r="S69" s="85" t="str">
        <f aca="false">IF(OR($P69="",$R69=""),"",$P69*$R69)</f>
        <v/>
      </c>
      <c r="T69" s="92" t="str">
        <f aca="false">IF(OR(NOT(ISNUMBER($L69)),NOT(ISNUMBER($H69))),"",$L69-$H69)</f>
        <v/>
      </c>
      <c r="U69" s="79" t="str">
        <f aca="false">IF($T69="","",IF($X69="","Short Term",IF($T69&gt;$X69,"Long Term","Short Term")))</f>
        <v/>
      </c>
      <c r="V69" s="92" t="str">
        <f aca="false">IF(OR(NOT(ISNUMBER($H69)),N($P69)&lt;=0),"",ValDate-$H69)</f>
        <v/>
      </c>
      <c r="W69" s="79" t="str">
        <f aca="false">IF($V69="","",IF($X69="","Short Term",IF($V69&gt;$X69,"Long Term","Short Term")))</f>
        <v/>
      </c>
      <c r="X69" s="92" t="str">
        <f aca="true">IF($G69="","",IF(ISNA(MATCH($G69,L_Category,0)),"",IF(INDEX(L_CatLT,MATCH($G69,L_Category,0))="","",INDEX(L_CatLT,MATCH($G69,L_Category,0)))))</f>
        <v/>
      </c>
      <c r="Y69" s="83" t="str">
        <f aca="false">IF($AO69="","",IF(INDEX(Securities!$Q$6:$Q$105,$AO69)="","",INDEX(Securities!$Q$6:$Q$105,$AO69)))</f>
        <v/>
      </c>
      <c r="Z69" s="79" t="str">
        <f aca="false">IF($C69="","",IF(OR(NOT(ISNUMBER($H69)),$Y69=""),"No",IF($H69&lt;=GFDate,"Yes","No")))</f>
        <v/>
      </c>
      <c r="AA69" s="85" t="str">
        <f aca="false">IF(OR($M69="",$N69="",$J69=""),"",$M69*($N69-$J69))</f>
        <v/>
      </c>
      <c r="AB69" s="85" t="str">
        <f aca="false">IF(OR(N($P69)&lt;=0,$R69="",$J69=""),"",$P69*($R69-$J69))</f>
        <v/>
      </c>
      <c r="AC69" s="83" t="str">
        <f aca="false">IF(OR($M69="",$N69="",$J69=""),"",IF($Z69="Yes",MAX($J69,MIN($Y69,$N69)),$J69))</f>
        <v/>
      </c>
      <c r="AD69" s="85" t="str">
        <f aca="false">IF($AC69="","",$M69*($N69-$AC69))</f>
        <v/>
      </c>
      <c r="AE69" s="83" t="str">
        <f aca="false">IF(OR(N($P69)&lt;=0,$R69="",$J69=""),"",IF($Z69="Yes",MAX($J69,MIN($Y69,$R69)),$J69))</f>
        <v/>
      </c>
      <c r="AF69" s="85" t="str">
        <f aca="false">IF($AE69="","",$P69*($R69-$AE69))</f>
        <v/>
      </c>
      <c r="AG69" s="92" t="str">
        <f aca="false">IF(OR($V69="",$X69=""),"",MAX(0,$X69+1-$V69))</f>
        <v/>
      </c>
      <c r="AH69" s="93" t="str">
        <f aca="false">IF(OR($X69="",NOT(ISNUMBER($H69)),N($P69)&lt;=0),"",$H69+$X69+1)</f>
        <v/>
      </c>
      <c r="AI69" s="91"/>
      <c r="AJ69" s="85" t="str">
        <f aca="false">IF(OR($AI69="",N($P69)&lt;=0),"",$AI69*$P69)</f>
        <v/>
      </c>
      <c r="AK69" s="79" t="str">
        <f aca="false">IF(NOT(ISNUMBER($L69)),"",IF(MONTH($L69)&gt;=4,YEAR($L69)&amp;"-"&amp;RIGHT(YEAR($L69)+1,2),(YEAR($L69)-1)&amp;"-"&amp;RIGHT(YEAR($L69),2)))</f>
        <v/>
      </c>
      <c r="AL69" s="78"/>
      <c r="AM69" s="79" t="str">
        <f aca="false">IF($A69&amp;$B69&amp;$C69="","",IF($A69="","Missing ID",IF(COUNTIF($A$6:$A$205,$A69)&gt;1,"Duplicate ID",IF($AN69="","Unknown account",IF($AO69="","Unknown security",IF(COUNTIFS(Holdings!$B$6:$B$205,$B69,Holdings!$C$6:$C$205,$C69)=0,"No holding row for this lot",IF(OR($I69="",$J69=""),"Missing purchase quantity or rate",IF(NOT(ISNUMBER($H69)),"Missing purchase date",IF(N($H69)&gt;ValDate,"Purchase after valuation date",IF(N($M69)&gt;N($I69),"Sale quantity exceeds purchase",IF(AND(N($M69)&gt;0,OR(NOT(ISNUMBER($L69)),$N69="")),"Sale date or rate missing",IF(AND(ISNUMBER($L69),N($M69)=0),"Sale date with no quantity",IF(AND(ISNUMBER($L69),N($L69)&lt;N($H69)),"Sale before purchase",IF(N($L69)&gt;ValDate,"Sale after valuation date","OK"))))))))))))))</f>
        <v/>
      </c>
      <c r="AN69" s="89" t="str">
        <f aca="false">IF($B69="","",IFERROR(MATCH($B69,Accounts!$A$6:$A$55,0),""))</f>
        <v/>
      </c>
      <c r="AO69" s="89" t="str">
        <f aca="false">IF($C69="","",IFERROR(MATCH($C69,Securities!$A$6:$A$105,0),""))</f>
        <v/>
      </c>
      <c r="AP69" s="89" t="str">
        <f aca="false">IF($AN69="","",INDEX(Accounts!$B$6:$B$55,$AN69)&amp;"")</f>
        <v/>
      </c>
      <c r="AQ69" s="89" t="str">
        <f aca="false">IF(AND(ISNUMBER($AG69),N($P69)&gt;0),IF(AND(N($AG69)&gt;0,N($AG69)&lt;=SoonDays),1,""),"")</f>
        <v/>
      </c>
      <c r="AR69" s="89" t="str">
        <f aca="false">IF($AQ69&lt;&gt;1,"",SUMPRODUCT(($AQ$6:$AQ$205=1)*ISNUMBER($AG$6:$AG$205)*($AG$6:$AG$205&lt;$AG69))+SUMPRODUCT(($AQ$6:$AQ69=1)*ISNUMBER($AG$6:$AG69)*($AG$6:$AG69=$AG69)))</f>
        <v/>
      </c>
    </row>
    <row r="70" customFormat="false" ht="15" hidden="false" customHeight="false" outlineLevel="0" collapsed="false">
      <c r="A70" s="77"/>
      <c r="B70" s="78"/>
      <c r="C70" s="78"/>
      <c r="D70" s="79" t="str">
        <f aca="false">IF($AN70="","",INDEX(Accounts!$C$6:$C$55,$AN70)&amp;"")</f>
        <v/>
      </c>
      <c r="E70" s="79" t="str">
        <f aca="false">IF($AO70="","",INDEX(Securities!$B$6:$B$105,$AO70)&amp;"")</f>
        <v/>
      </c>
      <c r="F70" s="79" t="str">
        <f aca="false">IF($AO70="","",INDEX(Securities!$C$6:$C$105,$AO70)&amp;"")</f>
        <v/>
      </c>
      <c r="G70" s="79" t="str">
        <f aca="false">IF($AO70="","",INDEX(Securities!$E$6:$E$105,$AO70)&amp;"")</f>
        <v/>
      </c>
      <c r="H70" s="80"/>
      <c r="I70" s="81"/>
      <c r="J70" s="91"/>
      <c r="K70" s="85" t="str">
        <f aca="false">IF(OR($I70="",$J70=""),"",$I70*$J70)</f>
        <v/>
      </c>
      <c r="L70" s="80"/>
      <c r="M70" s="81"/>
      <c r="N70" s="91"/>
      <c r="O70" s="85" t="str">
        <f aca="false">IF(OR($M70="",$N70=""),"",$M70*$N70)</f>
        <v/>
      </c>
      <c r="P70" s="88" t="str">
        <f aca="false">IF($C70="","",N($I70)-N($M70))</f>
        <v/>
      </c>
      <c r="Q70" s="85" t="str">
        <f aca="false">IF(OR($P70="",$J70=""),"",$P70*$J70)</f>
        <v/>
      </c>
      <c r="R70" s="83" t="str">
        <f aca="false">IF($AO70="","",IF(INDEX(Securities!$N$6:$N$105,$AO70)="At cost",IF($J70="","",$J70),IF(INDEX(Securities!$O$6:$O$105,$AO70)="","",INDEX(Securities!$O$6:$O$105,$AO70))))</f>
        <v/>
      </c>
      <c r="S70" s="85" t="str">
        <f aca="false">IF(OR($P70="",$R70=""),"",$P70*$R70)</f>
        <v/>
      </c>
      <c r="T70" s="92" t="str">
        <f aca="false">IF(OR(NOT(ISNUMBER($L70)),NOT(ISNUMBER($H70))),"",$L70-$H70)</f>
        <v/>
      </c>
      <c r="U70" s="79" t="str">
        <f aca="false">IF($T70="","",IF($X70="","Short Term",IF($T70&gt;$X70,"Long Term","Short Term")))</f>
        <v/>
      </c>
      <c r="V70" s="92" t="str">
        <f aca="false">IF(OR(NOT(ISNUMBER($H70)),N($P70)&lt;=0),"",ValDate-$H70)</f>
        <v/>
      </c>
      <c r="W70" s="79" t="str">
        <f aca="false">IF($V70="","",IF($X70="","Short Term",IF($V70&gt;$X70,"Long Term","Short Term")))</f>
        <v/>
      </c>
      <c r="X70" s="92" t="str">
        <f aca="true">IF($G70="","",IF(ISNA(MATCH($G70,L_Category,0)),"",IF(INDEX(L_CatLT,MATCH($G70,L_Category,0))="","",INDEX(L_CatLT,MATCH($G70,L_Category,0)))))</f>
        <v/>
      </c>
      <c r="Y70" s="83" t="str">
        <f aca="false">IF($AO70="","",IF(INDEX(Securities!$Q$6:$Q$105,$AO70)="","",INDEX(Securities!$Q$6:$Q$105,$AO70)))</f>
        <v/>
      </c>
      <c r="Z70" s="79" t="str">
        <f aca="false">IF($C70="","",IF(OR(NOT(ISNUMBER($H70)),$Y70=""),"No",IF($H70&lt;=GFDate,"Yes","No")))</f>
        <v/>
      </c>
      <c r="AA70" s="85" t="str">
        <f aca="false">IF(OR($M70="",$N70="",$J70=""),"",$M70*($N70-$J70))</f>
        <v/>
      </c>
      <c r="AB70" s="85" t="str">
        <f aca="false">IF(OR(N($P70)&lt;=0,$R70="",$J70=""),"",$P70*($R70-$J70))</f>
        <v/>
      </c>
      <c r="AC70" s="83" t="str">
        <f aca="false">IF(OR($M70="",$N70="",$J70=""),"",IF($Z70="Yes",MAX($J70,MIN($Y70,$N70)),$J70))</f>
        <v/>
      </c>
      <c r="AD70" s="85" t="str">
        <f aca="false">IF($AC70="","",$M70*($N70-$AC70))</f>
        <v/>
      </c>
      <c r="AE70" s="83" t="str">
        <f aca="false">IF(OR(N($P70)&lt;=0,$R70="",$J70=""),"",IF($Z70="Yes",MAX($J70,MIN($Y70,$R70)),$J70))</f>
        <v/>
      </c>
      <c r="AF70" s="85" t="str">
        <f aca="false">IF($AE70="","",$P70*($R70-$AE70))</f>
        <v/>
      </c>
      <c r="AG70" s="92" t="str">
        <f aca="false">IF(OR($V70="",$X70=""),"",MAX(0,$X70+1-$V70))</f>
        <v/>
      </c>
      <c r="AH70" s="93" t="str">
        <f aca="false">IF(OR($X70="",NOT(ISNUMBER($H70)),N($P70)&lt;=0),"",$H70+$X70+1)</f>
        <v/>
      </c>
      <c r="AI70" s="91"/>
      <c r="AJ70" s="85" t="str">
        <f aca="false">IF(OR($AI70="",N($P70)&lt;=0),"",$AI70*$P70)</f>
        <v/>
      </c>
      <c r="AK70" s="79" t="str">
        <f aca="false">IF(NOT(ISNUMBER($L70)),"",IF(MONTH($L70)&gt;=4,YEAR($L70)&amp;"-"&amp;RIGHT(YEAR($L70)+1,2),(YEAR($L70)-1)&amp;"-"&amp;RIGHT(YEAR($L70),2)))</f>
        <v/>
      </c>
      <c r="AL70" s="78"/>
      <c r="AM70" s="79" t="str">
        <f aca="false">IF($A70&amp;$B70&amp;$C70="","",IF($A70="","Missing ID",IF(COUNTIF($A$6:$A$205,$A70)&gt;1,"Duplicate ID",IF($AN70="","Unknown account",IF($AO70="","Unknown security",IF(COUNTIFS(Holdings!$B$6:$B$205,$B70,Holdings!$C$6:$C$205,$C70)=0,"No holding row for this lot",IF(OR($I70="",$J70=""),"Missing purchase quantity or rate",IF(NOT(ISNUMBER($H70)),"Missing purchase date",IF(N($H70)&gt;ValDate,"Purchase after valuation date",IF(N($M70)&gt;N($I70),"Sale quantity exceeds purchase",IF(AND(N($M70)&gt;0,OR(NOT(ISNUMBER($L70)),$N70="")),"Sale date or rate missing",IF(AND(ISNUMBER($L70),N($M70)=0),"Sale date with no quantity",IF(AND(ISNUMBER($L70),N($L70)&lt;N($H70)),"Sale before purchase",IF(N($L70)&gt;ValDate,"Sale after valuation date","OK"))))))))))))))</f>
        <v/>
      </c>
      <c r="AN70" s="89" t="str">
        <f aca="false">IF($B70="","",IFERROR(MATCH($B70,Accounts!$A$6:$A$55,0),""))</f>
        <v/>
      </c>
      <c r="AO70" s="89" t="str">
        <f aca="false">IF($C70="","",IFERROR(MATCH($C70,Securities!$A$6:$A$105,0),""))</f>
        <v/>
      </c>
      <c r="AP70" s="89" t="str">
        <f aca="false">IF($AN70="","",INDEX(Accounts!$B$6:$B$55,$AN70)&amp;"")</f>
        <v/>
      </c>
      <c r="AQ70" s="89" t="str">
        <f aca="false">IF(AND(ISNUMBER($AG70),N($P70)&gt;0),IF(AND(N($AG70)&gt;0,N($AG70)&lt;=SoonDays),1,""),"")</f>
        <v/>
      </c>
      <c r="AR70" s="89" t="str">
        <f aca="false">IF($AQ70&lt;&gt;1,"",SUMPRODUCT(($AQ$6:$AQ$205=1)*ISNUMBER($AG$6:$AG$205)*($AG$6:$AG$205&lt;$AG70))+SUMPRODUCT(($AQ$6:$AQ70=1)*ISNUMBER($AG$6:$AG70)*($AG$6:$AG70=$AG70)))</f>
        <v/>
      </c>
    </row>
    <row r="71" customFormat="false" ht="15" hidden="false" customHeight="false" outlineLevel="0" collapsed="false">
      <c r="A71" s="77"/>
      <c r="B71" s="78"/>
      <c r="C71" s="78"/>
      <c r="D71" s="79" t="str">
        <f aca="false">IF($AN71="","",INDEX(Accounts!$C$6:$C$55,$AN71)&amp;"")</f>
        <v/>
      </c>
      <c r="E71" s="79" t="str">
        <f aca="false">IF($AO71="","",INDEX(Securities!$B$6:$B$105,$AO71)&amp;"")</f>
        <v/>
      </c>
      <c r="F71" s="79" t="str">
        <f aca="false">IF($AO71="","",INDEX(Securities!$C$6:$C$105,$AO71)&amp;"")</f>
        <v/>
      </c>
      <c r="G71" s="79" t="str">
        <f aca="false">IF($AO71="","",INDEX(Securities!$E$6:$E$105,$AO71)&amp;"")</f>
        <v/>
      </c>
      <c r="H71" s="80"/>
      <c r="I71" s="81"/>
      <c r="J71" s="91"/>
      <c r="K71" s="85" t="str">
        <f aca="false">IF(OR($I71="",$J71=""),"",$I71*$J71)</f>
        <v/>
      </c>
      <c r="L71" s="80"/>
      <c r="M71" s="81"/>
      <c r="N71" s="91"/>
      <c r="O71" s="85" t="str">
        <f aca="false">IF(OR($M71="",$N71=""),"",$M71*$N71)</f>
        <v/>
      </c>
      <c r="P71" s="88" t="str">
        <f aca="false">IF($C71="","",N($I71)-N($M71))</f>
        <v/>
      </c>
      <c r="Q71" s="85" t="str">
        <f aca="false">IF(OR($P71="",$J71=""),"",$P71*$J71)</f>
        <v/>
      </c>
      <c r="R71" s="83" t="str">
        <f aca="false">IF($AO71="","",IF(INDEX(Securities!$N$6:$N$105,$AO71)="At cost",IF($J71="","",$J71),IF(INDEX(Securities!$O$6:$O$105,$AO71)="","",INDEX(Securities!$O$6:$O$105,$AO71))))</f>
        <v/>
      </c>
      <c r="S71" s="85" t="str">
        <f aca="false">IF(OR($P71="",$R71=""),"",$P71*$R71)</f>
        <v/>
      </c>
      <c r="T71" s="92" t="str">
        <f aca="false">IF(OR(NOT(ISNUMBER($L71)),NOT(ISNUMBER($H71))),"",$L71-$H71)</f>
        <v/>
      </c>
      <c r="U71" s="79" t="str">
        <f aca="false">IF($T71="","",IF($X71="","Short Term",IF($T71&gt;$X71,"Long Term","Short Term")))</f>
        <v/>
      </c>
      <c r="V71" s="92" t="str">
        <f aca="false">IF(OR(NOT(ISNUMBER($H71)),N($P71)&lt;=0),"",ValDate-$H71)</f>
        <v/>
      </c>
      <c r="W71" s="79" t="str">
        <f aca="false">IF($V71="","",IF($X71="","Short Term",IF($V71&gt;$X71,"Long Term","Short Term")))</f>
        <v/>
      </c>
      <c r="X71" s="92" t="str">
        <f aca="true">IF($G71="","",IF(ISNA(MATCH($G71,L_Category,0)),"",IF(INDEX(L_CatLT,MATCH($G71,L_Category,0))="","",INDEX(L_CatLT,MATCH($G71,L_Category,0)))))</f>
        <v/>
      </c>
      <c r="Y71" s="83" t="str">
        <f aca="false">IF($AO71="","",IF(INDEX(Securities!$Q$6:$Q$105,$AO71)="","",INDEX(Securities!$Q$6:$Q$105,$AO71)))</f>
        <v/>
      </c>
      <c r="Z71" s="79" t="str">
        <f aca="false">IF($C71="","",IF(OR(NOT(ISNUMBER($H71)),$Y71=""),"No",IF($H71&lt;=GFDate,"Yes","No")))</f>
        <v/>
      </c>
      <c r="AA71" s="85" t="str">
        <f aca="false">IF(OR($M71="",$N71="",$J71=""),"",$M71*($N71-$J71))</f>
        <v/>
      </c>
      <c r="AB71" s="85" t="str">
        <f aca="false">IF(OR(N($P71)&lt;=0,$R71="",$J71=""),"",$P71*($R71-$J71))</f>
        <v/>
      </c>
      <c r="AC71" s="83" t="str">
        <f aca="false">IF(OR($M71="",$N71="",$J71=""),"",IF($Z71="Yes",MAX($J71,MIN($Y71,$N71)),$J71))</f>
        <v/>
      </c>
      <c r="AD71" s="85" t="str">
        <f aca="false">IF($AC71="","",$M71*($N71-$AC71))</f>
        <v/>
      </c>
      <c r="AE71" s="83" t="str">
        <f aca="false">IF(OR(N($P71)&lt;=0,$R71="",$J71=""),"",IF($Z71="Yes",MAX($J71,MIN($Y71,$R71)),$J71))</f>
        <v/>
      </c>
      <c r="AF71" s="85" t="str">
        <f aca="false">IF($AE71="","",$P71*($R71-$AE71))</f>
        <v/>
      </c>
      <c r="AG71" s="92" t="str">
        <f aca="false">IF(OR($V71="",$X71=""),"",MAX(0,$X71+1-$V71))</f>
        <v/>
      </c>
      <c r="AH71" s="93" t="str">
        <f aca="false">IF(OR($X71="",NOT(ISNUMBER($H71)),N($P71)&lt;=0),"",$H71+$X71+1)</f>
        <v/>
      </c>
      <c r="AI71" s="91"/>
      <c r="AJ71" s="85" t="str">
        <f aca="false">IF(OR($AI71="",N($P71)&lt;=0),"",$AI71*$P71)</f>
        <v/>
      </c>
      <c r="AK71" s="79" t="str">
        <f aca="false">IF(NOT(ISNUMBER($L71)),"",IF(MONTH($L71)&gt;=4,YEAR($L71)&amp;"-"&amp;RIGHT(YEAR($L71)+1,2),(YEAR($L71)-1)&amp;"-"&amp;RIGHT(YEAR($L71),2)))</f>
        <v/>
      </c>
      <c r="AL71" s="78"/>
      <c r="AM71" s="79" t="str">
        <f aca="false">IF($A71&amp;$B71&amp;$C71="","",IF($A71="","Missing ID",IF(COUNTIF($A$6:$A$205,$A71)&gt;1,"Duplicate ID",IF($AN71="","Unknown account",IF($AO71="","Unknown security",IF(COUNTIFS(Holdings!$B$6:$B$205,$B71,Holdings!$C$6:$C$205,$C71)=0,"No holding row for this lot",IF(OR($I71="",$J71=""),"Missing purchase quantity or rate",IF(NOT(ISNUMBER($H71)),"Missing purchase date",IF(N($H71)&gt;ValDate,"Purchase after valuation date",IF(N($M71)&gt;N($I71),"Sale quantity exceeds purchase",IF(AND(N($M71)&gt;0,OR(NOT(ISNUMBER($L71)),$N71="")),"Sale date or rate missing",IF(AND(ISNUMBER($L71),N($M71)=0),"Sale date with no quantity",IF(AND(ISNUMBER($L71),N($L71)&lt;N($H71)),"Sale before purchase",IF(N($L71)&gt;ValDate,"Sale after valuation date","OK"))))))))))))))</f>
        <v/>
      </c>
      <c r="AN71" s="89" t="str">
        <f aca="false">IF($B71="","",IFERROR(MATCH($B71,Accounts!$A$6:$A$55,0),""))</f>
        <v/>
      </c>
      <c r="AO71" s="89" t="str">
        <f aca="false">IF($C71="","",IFERROR(MATCH($C71,Securities!$A$6:$A$105,0),""))</f>
        <v/>
      </c>
      <c r="AP71" s="89" t="str">
        <f aca="false">IF($AN71="","",INDEX(Accounts!$B$6:$B$55,$AN71)&amp;"")</f>
        <v/>
      </c>
      <c r="AQ71" s="89" t="str">
        <f aca="false">IF(AND(ISNUMBER($AG71),N($P71)&gt;0),IF(AND(N($AG71)&gt;0,N($AG71)&lt;=SoonDays),1,""),"")</f>
        <v/>
      </c>
      <c r="AR71" s="89" t="str">
        <f aca="false">IF($AQ71&lt;&gt;1,"",SUMPRODUCT(($AQ$6:$AQ$205=1)*ISNUMBER($AG$6:$AG$205)*($AG$6:$AG$205&lt;$AG71))+SUMPRODUCT(($AQ$6:$AQ71=1)*ISNUMBER($AG$6:$AG71)*($AG$6:$AG71=$AG71)))</f>
        <v/>
      </c>
    </row>
    <row r="72" customFormat="false" ht="15" hidden="false" customHeight="false" outlineLevel="0" collapsed="false">
      <c r="A72" s="77"/>
      <c r="B72" s="78"/>
      <c r="C72" s="78"/>
      <c r="D72" s="79" t="str">
        <f aca="false">IF($AN72="","",INDEX(Accounts!$C$6:$C$55,$AN72)&amp;"")</f>
        <v/>
      </c>
      <c r="E72" s="79" t="str">
        <f aca="false">IF($AO72="","",INDEX(Securities!$B$6:$B$105,$AO72)&amp;"")</f>
        <v/>
      </c>
      <c r="F72" s="79" t="str">
        <f aca="false">IF($AO72="","",INDEX(Securities!$C$6:$C$105,$AO72)&amp;"")</f>
        <v/>
      </c>
      <c r="G72" s="79" t="str">
        <f aca="false">IF($AO72="","",INDEX(Securities!$E$6:$E$105,$AO72)&amp;"")</f>
        <v/>
      </c>
      <c r="H72" s="80"/>
      <c r="I72" s="81"/>
      <c r="J72" s="91"/>
      <c r="K72" s="85" t="str">
        <f aca="false">IF(OR($I72="",$J72=""),"",$I72*$J72)</f>
        <v/>
      </c>
      <c r="L72" s="80"/>
      <c r="M72" s="81"/>
      <c r="N72" s="91"/>
      <c r="O72" s="85" t="str">
        <f aca="false">IF(OR($M72="",$N72=""),"",$M72*$N72)</f>
        <v/>
      </c>
      <c r="P72" s="88" t="str">
        <f aca="false">IF($C72="","",N($I72)-N($M72))</f>
        <v/>
      </c>
      <c r="Q72" s="85" t="str">
        <f aca="false">IF(OR($P72="",$J72=""),"",$P72*$J72)</f>
        <v/>
      </c>
      <c r="R72" s="83" t="str">
        <f aca="false">IF($AO72="","",IF(INDEX(Securities!$N$6:$N$105,$AO72)="At cost",IF($J72="","",$J72),IF(INDEX(Securities!$O$6:$O$105,$AO72)="","",INDEX(Securities!$O$6:$O$105,$AO72))))</f>
        <v/>
      </c>
      <c r="S72" s="85" t="str">
        <f aca="false">IF(OR($P72="",$R72=""),"",$P72*$R72)</f>
        <v/>
      </c>
      <c r="T72" s="92" t="str">
        <f aca="false">IF(OR(NOT(ISNUMBER($L72)),NOT(ISNUMBER($H72))),"",$L72-$H72)</f>
        <v/>
      </c>
      <c r="U72" s="79" t="str">
        <f aca="false">IF($T72="","",IF($X72="","Short Term",IF($T72&gt;$X72,"Long Term","Short Term")))</f>
        <v/>
      </c>
      <c r="V72" s="92" t="str">
        <f aca="false">IF(OR(NOT(ISNUMBER($H72)),N($P72)&lt;=0),"",ValDate-$H72)</f>
        <v/>
      </c>
      <c r="W72" s="79" t="str">
        <f aca="false">IF($V72="","",IF($X72="","Short Term",IF($V72&gt;$X72,"Long Term","Short Term")))</f>
        <v/>
      </c>
      <c r="X72" s="92" t="str">
        <f aca="true">IF($G72="","",IF(ISNA(MATCH($G72,L_Category,0)),"",IF(INDEX(L_CatLT,MATCH($G72,L_Category,0))="","",INDEX(L_CatLT,MATCH($G72,L_Category,0)))))</f>
        <v/>
      </c>
      <c r="Y72" s="83" t="str">
        <f aca="false">IF($AO72="","",IF(INDEX(Securities!$Q$6:$Q$105,$AO72)="","",INDEX(Securities!$Q$6:$Q$105,$AO72)))</f>
        <v/>
      </c>
      <c r="Z72" s="79" t="str">
        <f aca="false">IF($C72="","",IF(OR(NOT(ISNUMBER($H72)),$Y72=""),"No",IF($H72&lt;=GFDate,"Yes","No")))</f>
        <v/>
      </c>
      <c r="AA72" s="85" t="str">
        <f aca="false">IF(OR($M72="",$N72="",$J72=""),"",$M72*($N72-$J72))</f>
        <v/>
      </c>
      <c r="AB72" s="85" t="str">
        <f aca="false">IF(OR(N($P72)&lt;=0,$R72="",$J72=""),"",$P72*($R72-$J72))</f>
        <v/>
      </c>
      <c r="AC72" s="83" t="str">
        <f aca="false">IF(OR($M72="",$N72="",$J72=""),"",IF($Z72="Yes",MAX($J72,MIN($Y72,$N72)),$J72))</f>
        <v/>
      </c>
      <c r="AD72" s="85" t="str">
        <f aca="false">IF($AC72="","",$M72*($N72-$AC72))</f>
        <v/>
      </c>
      <c r="AE72" s="83" t="str">
        <f aca="false">IF(OR(N($P72)&lt;=0,$R72="",$J72=""),"",IF($Z72="Yes",MAX($J72,MIN($Y72,$R72)),$J72))</f>
        <v/>
      </c>
      <c r="AF72" s="85" t="str">
        <f aca="false">IF($AE72="","",$P72*($R72-$AE72))</f>
        <v/>
      </c>
      <c r="AG72" s="92" t="str">
        <f aca="false">IF(OR($V72="",$X72=""),"",MAX(0,$X72+1-$V72))</f>
        <v/>
      </c>
      <c r="AH72" s="93" t="str">
        <f aca="false">IF(OR($X72="",NOT(ISNUMBER($H72)),N($P72)&lt;=0),"",$H72+$X72+1)</f>
        <v/>
      </c>
      <c r="AI72" s="91"/>
      <c r="AJ72" s="85" t="str">
        <f aca="false">IF(OR($AI72="",N($P72)&lt;=0),"",$AI72*$P72)</f>
        <v/>
      </c>
      <c r="AK72" s="79" t="str">
        <f aca="false">IF(NOT(ISNUMBER($L72)),"",IF(MONTH($L72)&gt;=4,YEAR($L72)&amp;"-"&amp;RIGHT(YEAR($L72)+1,2),(YEAR($L72)-1)&amp;"-"&amp;RIGHT(YEAR($L72),2)))</f>
        <v/>
      </c>
      <c r="AL72" s="78"/>
      <c r="AM72" s="79" t="str">
        <f aca="false">IF($A72&amp;$B72&amp;$C72="","",IF($A72="","Missing ID",IF(COUNTIF($A$6:$A$205,$A72)&gt;1,"Duplicate ID",IF($AN72="","Unknown account",IF($AO72="","Unknown security",IF(COUNTIFS(Holdings!$B$6:$B$205,$B72,Holdings!$C$6:$C$205,$C72)=0,"No holding row for this lot",IF(OR($I72="",$J72=""),"Missing purchase quantity or rate",IF(NOT(ISNUMBER($H72)),"Missing purchase date",IF(N($H72)&gt;ValDate,"Purchase after valuation date",IF(N($M72)&gt;N($I72),"Sale quantity exceeds purchase",IF(AND(N($M72)&gt;0,OR(NOT(ISNUMBER($L72)),$N72="")),"Sale date or rate missing",IF(AND(ISNUMBER($L72),N($M72)=0),"Sale date with no quantity",IF(AND(ISNUMBER($L72),N($L72)&lt;N($H72)),"Sale before purchase",IF(N($L72)&gt;ValDate,"Sale after valuation date","OK"))))))))))))))</f>
        <v/>
      </c>
      <c r="AN72" s="89" t="str">
        <f aca="false">IF($B72="","",IFERROR(MATCH($B72,Accounts!$A$6:$A$55,0),""))</f>
        <v/>
      </c>
      <c r="AO72" s="89" t="str">
        <f aca="false">IF($C72="","",IFERROR(MATCH($C72,Securities!$A$6:$A$105,0),""))</f>
        <v/>
      </c>
      <c r="AP72" s="89" t="str">
        <f aca="false">IF($AN72="","",INDEX(Accounts!$B$6:$B$55,$AN72)&amp;"")</f>
        <v/>
      </c>
      <c r="AQ72" s="89" t="str">
        <f aca="false">IF(AND(ISNUMBER($AG72),N($P72)&gt;0),IF(AND(N($AG72)&gt;0,N($AG72)&lt;=SoonDays),1,""),"")</f>
        <v/>
      </c>
      <c r="AR72" s="89" t="str">
        <f aca="false">IF($AQ72&lt;&gt;1,"",SUMPRODUCT(($AQ$6:$AQ$205=1)*ISNUMBER($AG$6:$AG$205)*($AG$6:$AG$205&lt;$AG72))+SUMPRODUCT(($AQ$6:$AQ72=1)*ISNUMBER($AG$6:$AG72)*($AG$6:$AG72=$AG72)))</f>
        <v/>
      </c>
    </row>
    <row r="73" customFormat="false" ht="15" hidden="false" customHeight="false" outlineLevel="0" collapsed="false">
      <c r="A73" s="77"/>
      <c r="B73" s="78"/>
      <c r="C73" s="78"/>
      <c r="D73" s="79" t="str">
        <f aca="false">IF($AN73="","",INDEX(Accounts!$C$6:$C$55,$AN73)&amp;"")</f>
        <v/>
      </c>
      <c r="E73" s="79" t="str">
        <f aca="false">IF($AO73="","",INDEX(Securities!$B$6:$B$105,$AO73)&amp;"")</f>
        <v/>
      </c>
      <c r="F73" s="79" t="str">
        <f aca="false">IF($AO73="","",INDEX(Securities!$C$6:$C$105,$AO73)&amp;"")</f>
        <v/>
      </c>
      <c r="G73" s="79" t="str">
        <f aca="false">IF($AO73="","",INDEX(Securities!$E$6:$E$105,$AO73)&amp;"")</f>
        <v/>
      </c>
      <c r="H73" s="80"/>
      <c r="I73" s="81"/>
      <c r="J73" s="91"/>
      <c r="K73" s="85" t="str">
        <f aca="false">IF(OR($I73="",$J73=""),"",$I73*$J73)</f>
        <v/>
      </c>
      <c r="L73" s="80"/>
      <c r="M73" s="81"/>
      <c r="N73" s="91"/>
      <c r="O73" s="85" t="str">
        <f aca="false">IF(OR($M73="",$N73=""),"",$M73*$N73)</f>
        <v/>
      </c>
      <c r="P73" s="88" t="str">
        <f aca="false">IF($C73="","",N($I73)-N($M73))</f>
        <v/>
      </c>
      <c r="Q73" s="85" t="str">
        <f aca="false">IF(OR($P73="",$J73=""),"",$P73*$J73)</f>
        <v/>
      </c>
      <c r="R73" s="83" t="str">
        <f aca="false">IF($AO73="","",IF(INDEX(Securities!$N$6:$N$105,$AO73)="At cost",IF($J73="","",$J73),IF(INDEX(Securities!$O$6:$O$105,$AO73)="","",INDEX(Securities!$O$6:$O$105,$AO73))))</f>
        <v/>
      </c>
      <c r="S73" s="85" t="str">
        <f aca="false">IF(OR($P73="",$R73=""),"",$P73*$R73)</f>
        <v/>
      </c>
      <c r="T73" s="92" t="str">
        <f aca="false">IF(OR(NOT(ISNUMBER($L73)),NOT(ISNUMBER($H73))),"",$L73-$H73)</f>
        <v/>
      </c>
      <c r="U73" s="79" t="str">
        <f aca="false">IF($T73="","",IF($X73="","Short Term",IF($T73&gt;$X73,"Long Term","Short Term")))</f>
        <v/>
      </c>
      <c r="V73" s="92" t="str">
        <f aca="false">IF(OR(NOT(ISNUMBER($H73)),N($P73)&lt;=0),"",ValDate-$H73)</f>
        <v/>
      </c>
      <c r="W73" s="79" t="str">
        <f aca="false">IF($V73="","",IF($X73="","Short Term",IF($V73&gt;$X73,"Long Term","Short Term")))</f>
        <v/>
      </c>
      <c r="X73" s="92" t="str">
        <f aca="true">IF($G73="","",IF(ISNA(MATCH($G73,L_Category,0)),"",IF(INDEX(L_CatLT,MATCH($G73,L_Category,0))="","",INDEX(L_CatLT,MATCH($G73,L_Category,0)))))</f>
        <v/>
      </c>
      <c r="Y73" s="83" t="str">
        <f aca="false">IF($AO73="","",IF(INDEX(Securities!$Q$6:$Q$105,$AO73)="","",INDEX(Securities!$Q$6:$Q$105,$AO73)))</f>
        <v/>
      </c>
      <c r="Z73" s="79" t="str">
        <f aca="false">IF($C73="","",IF(OR(NOT(ISNUMBER($H73)),$Y73=""),"No",IF($H73&lt;=GFDate,"Yes","No")))</f>
        <v/>
      </c>
      <c r="AA73" s="85" t="str">
        <f aca="false">IF(OR($M73="",$N73="",$J73=""),"",$M73*($N73-$J73))</f>
        <v/>
      </c>
      <c r="AB73" s="85" t="str">
        <f aca="false">IF(OR(N($P73)&lt;=0,$R73="",$J73=""),"",$P73*($R73-$J73))</f>
        <v/>
      </c>
      <c r="AC73" s="83" t="str">
        <f aca="false">IF(OR($M73="",$N73="",$J73=""),"",IF($Z73="Yes",MAX($J73,MIN($Y73,$N73)),$J73))</f>
        <v/>
      </c>
      <c r="AD73" s="85" t="str">
        <f aca="false">IF($AC73="","",$M73*($N73-$AC73))</f>
        <v/>
      </c>
      <c r="AE73" s="83" t="str">
        <f aca="false">IF(OR(N($P73)&lt;=0,$R73="",$J73=""),"",IF($Z73="Yes",MAX($J73,MIN($Y73,$R73)),$J73))</f>
        <v/>
      </c>
      <c r="AF73" s="85" t="str">
        <f aca="false">IF($AE73="","",$P73*($R73-$AE73))</f>
        <v/>
      </c>
      <c r="AG73" s="92" t="str">
        <f aca="false">IF(OR($V73="",$X73=""),"",MAX(0,$X73+1-$V73))</f>
        <v/>
      </c>
      <c r="AH73" s="93" t="str">
        <f aca="false">IF(OR($X73="",NOT(ISNUMBER($H73)),N($P73)&lt;=0),"",$H73+$X73+1)</f>
        <v/>
      </c>
      <c r="AI73" s="91"/>
      <c r="AJ73" s="85" t="str">
        <f aca="false">IF(OR($AI73="",N($P73)&lt;=0),"",$AI73*$P73)</f>
        <v/>
      </c>
      <c r="AK73" s="79" t="str">
        <f aca="false">IF(NOT(ISNUMBER($L73)),"",IF(MONTH($L73)&gt;=4,YEAR($L73)&amp;"-"&amp;RIGHT(YEAR($L73)+1,2),(YEAR($L73)-1)&amp;"-"&amp;RIGHT(YEAR($L73),2)))</f>
        <v/>
      </c>
      <c r="AL73" s="78"/>
      <c r="AM73" s="79" t="str">
        <f aca="false">IF($A73&amp;$B73&amp;$C73="","",IF($A73="","Missing ID",IF(COUNTIF($A$6:$A$205,$A73)&gt;1,"Duplicate ID",IF($AN73="","Unknown account",IF($AO73="","Unknown security",IF(COUNTIFS(Holdings!$B$6:$B$205,$B73,Holdings!$C$6:$C$205,$C73)=0,"No holding row for this lot",IF(OR($I73="",$J73=""),"Missing purchase quantity or rate",IF(NOT(ISNUMBER($H73)),"Missing purchase date",IF(N($H73)&gt;ValDate,"Purchase after valuation date",IF(N($M73)&gt;N($I73),"Sale quantity exceeds purchase",IF(AND(N($M73)&gt;0,OR(NOT(ISNUMBER($L73)),$N73="")),"Sale date or rate missing",IF(AND(ISNUMBER($L73),N($M73)=0),"Sale date with no quantity",IF(AND(ISNUMBER($L73),N($L73)&lt;N($H73)),"Sale before purchase",IF(N($L73)&gt;ValDate,"Sale after valuation date","OK"))))))))))))))</f>
        <v/>
      </c>
      <c r="AN73" s="89" t="str">
        <f aca="false">IF($B73="","",IFERROR(MATCH($B73,Accounts!$A$6:$A$55,0),""))</f>
        <v/>
      </c>
      <c r="AO73" s="89" t="str">
        <f aca="false">IF($C73="","",IFERROR(MATCH($C73,Securities!$A$6:$A$105,0),""))</f>
        <v/>
      </c>
      <c r="AP73" s="89" t="str">
        <f aca="false">IF($AN73="","",INDEX(Accounts!$B$6:$B$55,$AN73)&amp;"")</f>
        <v/>
      </c>
      <c r="AQ73" s="89" t="str">
        <f aca="false">IF(AND(ISNUMBER($AG73),N($P73)&gt;0),IF(AND(N($AG73)&gt;0,N($AG73)&lt;=SoonDays),1,""),"")</f>
        <v/>
      </c>
      <c r="AR73" s="89" t="str">
        <f aca="false">IF($AQ73&lt;&gt;1,"",SUMPRODUCT(($AQ$6:$AQ$205=1)*ISNUMBER($AG$6:$AG$205)*($AG$6:$AG$205&lt;$AG73))+SUMPRODUCT(($AQ$6:$AQ73=1)*ISNUMBER($AG$6:$AG73)*($AG$6:$AG73=$AG73)))</f>
        <v/>
      </c>
    </row>
    <row r="74" customFormat="false" ht="15" hidden="false" customHeight="false" outlineLevel="0" collapsed="false">
      <c r="A74" s="77"/>
      <c r="B74" s="78"/>
      <c r="C74" s="78"/>
      <c r="D74" s="79" t="str">
        <f aca="false">IF($AN74="","",INDEX(Accounts!$C$6:$C$55,$AN74)&amp;"")</f>
        <v/>
      </c>
      <c r="E74" s="79" t="str">
        <f aca="false">IF($AO74="","",INDEX(Securities!$B$6:$B$105,$AO74)&amp;"")</f>
        <v/>
      </c>
      <c r="F74" s="79" t="str">
        <f aca="false">IF($AO74="","",INDEX(Securities!$C$6:$C$105,$AO74)&amp;"")</f>
        <v/>
      </c>
      <c r="G74" s="79" t="str">
        <f aca="false">IF($AO74="","",INDEX(Securities!$E$6:$E$105,$AO74)&amp;"")</f>
        <v/>
      </c>
      <c r="H74" s="80"/>
      <c r="I74" s="81"/>
      <c r="J74" s="91"/>
      <c r="K74" s="85" t="str">
        <f aca="false">IF(OR($I74="",$J74=""),"",$I74*$J74)</f>
        <v/>
      </c>
      <c r="L74" s="80"/>
      <c r="M74" s="81"/>
      <c r="N74" s="91"/>
      <c r="O74" s="85" t="str">
        <f aca="false">IF(OR($M74="",$N74=""),"",$M74*$N74)</f>
        <v/>
      </c>
      <c r="P74" s="88" t="str">
        <f aca="false">IF($C74="","",N($I74)-N($M74))</f>
        <v/>
      </c>
      <c r="Q74" s="85" t="str">
        <f aca="false">IF(OR($P74="",$J74=""),"",$P74*$J74)</f>
        <v/>
      </c>
      <c r="R74" s="83" t="str">
        <f aca="false">IF($AO74="","",IF(INDEX(Securities!$N$6:$N$105,$AO74)="At cost",IF($J74="","",$J74),IF(INDEX(Securities!$O$6:$O$105,$AO74)="","",INDEX(Securities!$O$6:$O$105,$AO74))))</f>
        <v/>
      </c>
      <c r="S74" s="85" t="str">
        <f aca="false">IF(OR($P74="",$R74=""),"",$P74*$R74)</f>
        <v/>
      </c>
      <c r="T74" s="92" t="str">
        <f aca="false">IF(OR(NOT(ISNUMBER($L74)),NOT(ISNUMBER($H74))),"",$L74-$H74)</f>
        <v/>
      </c>
      <c r="U74" s="79" t="str">
        <f aca="false">IF($T74="","",IF($X74="","Short Term",IF($T74&gt;$X74,"Long Term","Short Term")))</f>
        <v/>
      </c>
      <c r="V74" s="92" t="str">
        <f aca="false">IF(OR(NOT(ISNUMBER($H74)),N($P74)&lt;=0),"",ValDate-$H74)</f>
        <v/>
      </c>
      <c r="W74" s="79" t="str">
        <f aca="false">IF($V74="","",IF($X74="","Short Term",IF($V74&gt;$X74,"Long Term","Short Term")))</f>
        <v/>
      </c>
      <c r="X74" s="92" t="str">
        <f aca="true">IF($G74="","",IF(ISNA(MATCH($G74,L_Category,0)),"",IF(INDEX(L_CatLT,MATCH($G74,L_Category,0))="","",INDEX(L_CatLT,MATCH($G74,L_Category,0)))))</f>
        <v/>
      </c>
      <c r="Y74" s="83" t="str">
        <f aca="false">IF($AO74="","",IF(INDEX(Securities!$Q$6:$Q$105,$AO74)="","",INDEX(Securities!$Q$6:$Q$105,$AO74)))</f>
        <v/>
      </c>
      <c r="Z74" s="79" t="str">
        <f aca="false">IF($C74="","",IF(OR(NOT(ISNUMBER($H74)),$Y74=""),"No",IF($H74&lt;=GFDate,"Yes","No")))</f>
        <v/>
      </c>
      <c r="AA74" s="85" t="str">
        <f aca="false">IF(OR($M74="",$N74="",$J74=""),"",$M74*($N74-$J74))</f>
        <v/>
      </c>
      <c r="AB74" s="85" t="str">
        <f aca="false">IF(OR(N($P74)&lt;=0,$R74="",$J74=""),"",$P74*($R74-$J74))</f>
        <v/>
      </c>
      <c r="AC74" s="83" t="str">
        <f aca="false">IF(OR($M74="",$N74="",$J74=""),"",IF($Z74="Yes",MAX($J74,MIN($Y74,$N74)),$J74))</f>
        <v/>
      </c>
      <c r="AD74" s="85" t="str">
        <f aca="false">IF($AC74="","",$M74*($N74-$AC74))</f>
        <v/>
      </c>
      <c r="AE74" s="83" t="str">
        <f aca="false">IF(OR(N($P74)&lt;=0,$R74="",$J74=""),"",IF($Z74="Yes",MAX($J74,MIN($Y74,$R74)),$J74))</f>
        <v/>
      </c>
      <c r="AF74" s="85" t="str">
        <f aca="false">IF($AE74="","",$P74*($R74-$AE74))</f>
        <v/>
      </c>
      <c r="AG74" s="92" t="str">
        <f aca="false">IF(OR($V74="",$X74=""),"",MAX(0,$X74+1-$V74))</f>
        <v/>
      </c>
      <c r="AH74" s="93" t="str">
        <f aca="false">IF(OR($X74="",NOT(ISNUMBER($H74)),N($P74)&lt;=0),"",$H74+$X74+1)</f>
        <v/>
      </c>
      <c r="AI74" s="91"/>
      <c r="AJ74" s="85" t="str">
        <f aca="false">IF(OR($AI74="",N($P74)&lt;=0),"",$AI74*$P74)</f>
        <v/>
      </c>
      <c r="AK74" s="79" t="str">
        <f aca="false">IF(NOT(ISNUMBER($L74)),"",IF(MONTH($L74)&gt;=4,YEAR($L74)&amp;"-"&amp;RIGHT(YEAR($L74)+1,2),(YEAR($L74)-1)&amp;"-"&amp;RIGHT(YEAR($L74),2)))</f>
        <v/>
      </c>
      <c r="AL74" s="78"/>
      <c r="AM74" s="79" t="str">
        <f aca="false">IF($A74&amp;$B74&amp;$C74="","",IF($A74="","Missing ID",IF(COUNTIF($A$6:$A$205,$A74)&gt;1,"Duplicate ID",IF($AN74="","Unknown account",IF($AO74="","Unknown security",IF(COUNTIFS(Holdings!$B$6:$B$205,$B74,Holdings!$C$6:$C$205,$C74)=0,"No holding row for this lot",IF(OR($I74="",$J74=""),"Missing purchase quantity or rate",IF(NOT(ISNUMBER($H74)),"Missing purchase date",IF(N($H74)&gt;ValDate,"Purchase after valuation date",IF(N($M74)&gt;N($I74),"Sale quantity exceeds purchase",IF(AND(N($M74)&gt;0,OR(NOT(ISNUMBER($L74)),$N74="")),"Sale date or rate missing",IF(AND(ISNUMBER($L74),N($M74)=0),"Sale date with no quantity",IF(AND(ISNUMBER($L74),N($L74)&lt;N($H74)),"Sale before purchase",IF(N($L74)&gt;ValDate,"Sale after valuation date","OK"))))))))))))))</f>
        <v/>
      </c>
      <c r="AN74" s="89" t="str">
        <f aca="false">IF($B74="","",IFERROR(MATCH($B74,Accounts!$A$6:$A$55,0),""))</f>
        <v/>
      </c>
      <c r="AO74" s="89" t="str">
        <f aca="false">IF($C74="","",IFERROR(MATCH($C74,Securities!$A$6:$A$105,0),""))</f>
        <v/>
      </c>
      <c r="AP74" s="89" t="str">
        <f aca="false">IF($AN74="","",INDEX(Accounts!$B$6:$B$55,$AN74)&amp;"")</f>
        <v/>
      </c>
      <c r="AQ74" s="89" t="str">
        <f aca="false">IF(AND(ISNUMBER($AG74),N($P74)&gt;0),IF(AND(N($AG74)&gt;0,N($AG74)&lt;=SoonDays),1,""),"")</f>
        <v/>
      </c>
      <c r="AR74" s="89" t="str">
        <f aca="false">IF($AQ74&lt;&gt;1,"",SUMPRODUCT(($AQ$6:$AQ$205=1)*ISNUMBER($AG$6:$AG$205)*($AG$6:$AG$205&lt;$AG74))+SUMPRODUCT(($AQ$6:$AQ74=1)*ISNUMBER($AG$6:$AG74)*($AG$6:$AG74=$AG74)))</f>
        <v/>
      </c>
    </row>
    <row r="75" customFormat="false" ht="15" hidden="false" customHeight="false" outlineLevel="0" collapsed="false">
      <c r="A75" s="77"/>
      <c r="B75" s="78"/>
      <c r="C75" s="78"/>
      <c r="D75" s="79" t="str">
        <f aca="false">IF($AN75="","",INDEX(Accounts!$C$6:$C$55,$AN75)&amp;"")</f>
        <v/>
      </c>
      <c r="E75" s="79" t="str">
        <f aca="false">IF($AO75="","",INDEX(Securities!$B$6:$B$105,$AO75)&amp;"")</f>
        <v/>
      </c>
      <c r="F75" s="79" t="str">
        <f aca="false">IF($AO75="","",INDEX(Securities!$C$6:$C$105,$AO75)&amp;"")</f>
        <v/>
      </c>
      <c r="G75" s="79" t="str">
        <f aca="false">IF($AO75="","",INDEX(Securities!$E$6:$E$105,$AO75)&amp;"")</f>
        <v/>
      </c>
      <c r="H75" s="80"/>
      <c r="I75" s="81"/>
      <c r="J75" s="91"/>
      <c r="K75" s="85" t="str">
        <f aca="false">IF(OR($I75="",$J75=""),"",$I75*$J75)</f>
        <v/>
      </c>
      <c r="L75" s="80"/>
      <c r="M75" s="81"/>
      <c r="N75" s="91"/>
      <c r="O75" s="85" t="str">
        <f aca="false">IF(OR($M75="",$N75=""),"",$M75*$N75)</f>
        <v/>
      </c>
      <c r="P75" s="88" t="str">
        <f aca="false">IF($C75="","",N($I75)-N($M75))</f>
        <v/>
      </c>
      <c r="Q75" s="85" t="str">
        <f aca="false">IF(OR($P75="",$J75=""),"",$P75*$J75)</f>
        <v/>
      </c>
      <c r="R75" s="83" t="str">
        <f aca="false">IF($AO75="","",IF(INDEX(Securities!$N$6:$N$105,$AO75)="At cost",IF($J75="","",$J75),IF(INDEX(Securities!$O$6:$O$105,$AO75)="","",INDEX(Securities!$O$6:$O$105,$AO75))))</f>
        <v/>
      </c>
      <c r="S75" s="85" t="str">
        <f aca="false">IF(OR($P75="",$R75=""),"",$P75*$R75)</f>
        <v/>
      </c>
      <c r="T75" s="92" t="str">
        <f aca="false">IF(OR(NOT(ISNUMBER($L75)),NOT(ISNUMBER($H75))),"",$L75-$H75)</f>
        <v/>
      </c>
      <c r="U75" s="79" t="str">
        <f aca="false">IF($T75="","",IF($X75="","Short Term",IF($T75&gt;$X75,"Long Term","Short Term")))</f>
        <v/>
      </c>
      <c r="V75" s="92" t="str">
        <f aca="false">IF(OR(NOT(ISNUMBER($H75)),N($P75)&lt;=0),"",ValDate-$H75)</f>
        <v/>
      </c>
      <c r="W75" s="79" t="str">
        <f aca="false">IF($V75="","",IF($X75="","Short Term",IF($V75&gt;$X75,"Long Term","Short Term")))</f>
        <v/>
      </c>
      <c r="X75" s="92" t="str">
        <f aca="true">IF($G75="","",IF(ISNA(MATCH($G75,L_Category,0)),"",IF(INDEX(L_CatLT,MATCH($G75,L_Category,0))="","",INDEX(L_CatLT,MATCH($G75,L_Category,0)))))</f>
        <v/>
      </c>
      <c r="Y75" s="83" t="str">
        <f aca="false">IF($AO75="","",IF(INDEX(Securities!$Q$6:$Q$105,$AO75)="","",INDEX(Securities!$Q$6:$Q$105,$AO75)))</f>
        <v/>
      </c>
      <c r="Z75" s="79" t="str">
        <f aca="false">IF($C75="","",IF(OR(NOT(ISNUMBER($H75)),$Y75=""),"No",IF($H75&lt;=GFDate,"Yes","No")))</f>
        <v/>
      </c>
      <c r="AA75" s="85" t="str">
        <f aca="false">IF(OR($M75="",$N75="",$J75=""),"",$M75*($N75-$J75))</f>
        <v/>
      </c>
      <c r="AB75" s="85" t="str">
        <f aca="false">IF(OR(N($P75)&lt;=0,$R75="",$J75=""),"",$P75*($R75-$J75))</f>
        <v/>
      </c>
      <c r="AC75" s="83" t="str">
        <f aca="false">IF(OR($M75="",$N75="",$J75=""),"",IF($Z75="Yes",MAX($J75,MIN($Y75,$N75)),$J75))</f>
        <v/>
      </c>
      <c r="AD75" s="85" t="str">
        <f aca="false">IF($AC75="","",$M75*($N75-$AC75))</f>
        <v/>
      </c>
      <c r="AE75" s="83" t="str">
        <f aca="false">IF(OR(N($P75)&lt;=0,$R75="",$J75=""),"",IF($Z75="Yes",MAX($J75,MIN($Y75,$R75)),$J75))</f>
        <v/>
      </c>
      <c r="AF75" s="85" t="str">
        <f aca="false">IF($AE75="","",$P75*($R75-$AE75))</f>
        <v/>
      </c>
      <c r="AG75" s="92" t="str">
        <f aca="false">IF(OR($V75="",$X75=""),"",MAX(0,$X75+1-$V75))</f>
        <v/>
      </c>
      <c r="AH75" s="93" t="str">
        <f aca="false">IF(OR($X75="",NOT(ISNUMBER($H75)),N($P75)&lt;=0),"",$H75+$X75+1)</f>
        <v/>
      </c>
      <c r="AI75" s="91"/>
      <c r="AJ75" s="85" t="str">
        <f aca="false">IF(OR($AI75="",N($P75)&lt;=0),"",$AI75*$P75)</f>
        <v/>
      </c>
      <c r="AK75" s="79" t="str">
        <f aca="false">IF(NOT(ISNUMBER($L75)),"",IF(MONTH($L75)&gt;=4,YEAR($L75)&amp;"-"&amp;RIGHT(YEAR($L75)+1,2),(YEAR($L75)-1)&amp;"-"&amp;RIGHT(YEAR($L75),2)))</f>
        <v/>
      </c>
      <c r="AL75" s="78"/>
      <c r="AM75" s="79" t="str">
        <f aca="false">IF($A75&amp;$B75&amp;$C75="","",IF($A75="","Missing ID",IF(COUNTIF($A$6:$A$205,$A75)&gt;1,"Duplicate ID",IF($AN75="","Unknown account",IF($AO75="","Unknown security",IF(COUNTIFS(Holdings!$B$6:$B$205,$B75,Holdings!$C$6:$C$205,$C75)=0,"No holding row for this lot",IF(OR($I75="",$J75=""),"Missing purchase quantity or rate",IF(NOT(ISNUMBER($H75)),"Missing purchase date",IF(N($H75)&gt;ValDate,"Purchase after valuation date",IF(N($M75)&gt;N($I75),"Sale quantity exceeds purchase",IF(AND(N($M75)&gt;0,OR(NOT(ISNUMBER($L75)),$N75="")),"Sale date or rate missing",IF(AND(ISNUMBER($L75),N($M75)=0),"Sale date with no quantity",IF(AND(ISNUMBER($L75),N($L75)&lt;N($H75)),"Sale before purchase",IF(N($L75)&gt;ValDate,"Sale after valuation date","OK"))))))))))))))</f>
        <v/>
      </c>
      <c r="AN75" s="89" t="str">
        <f aca="false">IF($B75="","",IFERROR(MATCH($B75,Accounts!$A$6:$A$55,0),""))</f>
        <v/>
      </c>
      <c r="AO75" s="89" t="str">
        <f aca="false">IF($C75="","",IFERROR(MATCH($C75,Securities!$A$6:$A$105,0),""))</f>
        <v/>
      </c>
      <c r="AP75" s="89" t="str">
        <f aca="false">IF($AN75="","",INDEX(Accounts!$B$6:$B$55,$AN75)&amp;"")</f>
        <v/>
      </c>
      <c r="AQ75" s="89" t="str">
        <f aca="false">IF(AND(ISNUMBER($AG75),N($P75)&gt;0),IF(AND(N($AG75)&gt;0,N($AG75)&lt;=SoonDays),1,""),"")</f>
        <v/>
      </c>
      <c r="AR75" s="89" t="str">
        <f aca="false">IF($AQ75&lt;&gt;1,"",SUMPRODUCT(($AQ$6:$AQ$205=1)*ISNUMBER($AG$6:$AG$205)*($AG$6:$AG$205&lt;$AG75))+SUMPRODUCT(($AQ$6:$AQ75=1)*ISNUMBER($AG$6:$AG75)*($AG$6:$AG75=$AG75)))</f>
        <v/>
      </c>
    </row>
    <row r="76" customFormat="false" ht="15" hidden="false" customHeight="false" outlineLevel="0" collapsed="false">
      <c r="A76" s="77"/>
      <c r="B76" s="78"/>
      <c r="C76" s="78"/>
      <c r="D76" s="79" t="str">
        <f aca="false">IF($AN76="","",INDEX(Accounts!$C$6:$C$55,$AN76)&amp;"")</f>
        <v/>
      </c>
      <c r="E76" s="79" t="str">
        <f aca="false">IF($AO76="","",INDEX(Securities!$B$6:$B$105,$AO76)&amp;"")</f>
        <v/>
      </c>
      <c r="F76" s="79" t="str">
        <f aca="false">IF($AO76="","",INDEX(Securities!$C$6:$C$105,$AO76)&amp;"")</f>
        <v/>
      </c>
      <c r="G76" s="79" t="str">
        <f aca="false">IF($AO76="","",INDEX(Securities!$E$6:$E$105,$AO76)&amp;"")</f>
        <v/>
      </c>
      <c r="H76" s="80"/>
      <c r="I76" s="81"/>
      <c r="J76" s="91"/>
      <c r="K76" s="85" t="str">
        <f aca="false">IF(OR($I76="",$J76=""),"",$I76*$J76)</f>
        <v/>
      </c>
      <c r="L76" s="80"/>
      <c r="M76" s="81"/>
      <c r="N76" s="91"/>
      <c r="O76" s="85" t="str">
        <f aca="false">IF(OR($M76="",$N76=""),"",$M76*$N76)</f>
        <v/>
      </c>
      <c r="P76" s="88" t="str">
        <f aca="false">IF($C76="","",N($I76)-N($M76))</f>
        <v/>
      </c>
      <c r="Q76" s="85" t="str">
        <f aca="false">IF(OR($P76="",$J76=""),"",$P76*$J76)</f>
        <v/>
      </c>
      <c r="R76" s="83" t="str">
        <f aca="false">IF($AO76="","",IF(INDEX(Securities!$N$6:$N$105,$AO76)="At cost",IF($J76="","",$J76),IF(INDEX(Securities!$O$6:$O$105,$AO76)="","",INDEX(Securities!$O$6:$O$105,$AO76))))</f>
        <v/>
      </c>
      <c r="S76" s="85" t="str">
        <f aca="false">IF(OR($P76="",$R76=""),"",$P76*$R76)</f>
        <v/>
      </c>
      <c r="T76" s="92" t="str">
        <f aca="false">IF(OR(NOT(ISNUMBER($L76)),NOT(ISNUMBER($H76))),"",$L76-$H76)</f>
        <v/>
      </c>
      <c r="U76" s="79" t="str">
        <f aca="false">IF($T76="","",IF($X76="","Short Term",IF($T76&gt;$X76,"Long Term","Short Term")))</f>
        <v/>
      </c>
      <c r="V76" s="92" t="str">
        <f aca="false">IF(OR(NOT(ISNUMBER($H76)),N($P76)&lt;=0),"",ValDate-$H76)</f>
        <v/>
      </c>
      <c r="W76" s="79" t="str">
        <f aca="false">IF($V76="","",IF($X76="","Short Term",IF($V76&gt;$X76,"Long Term","Short Term")))</f>
        <v/>
      </c>
      <c r="X76" s="92" t="str">
        <f aca="true">IF($G76="","",IF(ISNA(MATCH($G76,L_Category,0)),"",IF(INDEX(L_CatLT,MATCH($G76,L_Category,0))="","",INDEX(L_CatLT,MATCH($G76,L_Category,0)))))</f>
        <v/>
      </c>
      <c r="Y76" s="83" t="str">
        <f aca="false">IF($AO76="","",IF(INDEX(Securities!$Q$6:$Q$105,$AO76)="","",INDEX(Securities!$Q$6:$Q$105,$AO76)))</f>
        <v/>
      </c>
      <c r="Z76" s="79" t="str">
        <f aca="false">IF($C76="","",IF(OR(NOT(ISNUMBER($H76)),$Y76=""),"No",IF($H76&lt;=GFDate,"Yes","No")))</f>
        <v/>
      </c>
      <c r="AA76" s="85" t="str">
        <f aca="false">IF(OR($M76="",$N76="",$J76=""),"",$M76*($N76-$J76))</f>
        <v/>
      </c>
      <c r="AB76" s="85" t="str">
        <f aca="false">IF(OR(N($P76)&lt;=0,$R76="",$J76=""),"",$P76*($R76-$J76))</f>
        <v/>
      </c>
      <c r="AC76" s="83" t="str">
        <f aca="false">IF(OR($M76="",$N76="",$J76=""),"",IF($Z76="Yes",MAX($J76,MIN($Y76,$N76)),$J76))</f>
        <v/>
      </c>
      <c r="AD76" s="85" t="str">
        <f aca="false">IF($AC76="","",$M76*($N76-$AC76))</f>
        <v/>
      </c>
      <c r="AE76" s="83" t="str">
        <f aca="false">IF(OR(N($P76)&lt;=0,$R76="",$J76=""),"",IF($Z76="Yes",MAX($J76,MIN($Y76,$R76)),$J76))</f>
        <v/>
      </c>
      <c r="AF76" s="85" t="str">
        <f aca="false">IF($AE76="","",$P76*($R76-$AE76))</f>
        <v/>
      </c>
      <c r="AG76" s="92" t="str">
        <f aca="false">IF(OR($V76="",$X76=""),"",MAX(0,$X76+1-$V76))</f>
        <v/>
      </c>
      <c r="AH76" s="93" t="str">
        <f aca="false">IF(OR($X76="",NOT(ISNUMBER($H76)),N($P76)&lt;=0),"",$H76+$X76+1)</f>
        <v/>
      </c>
      <c r="AI76" s="91"/>
      <c r="AJ76" s="85" t="str">
        <f aca="false">IF(OR($AI76="",N($P76)&lt;=0),"",$AI76*$P76)</f>
        <v/>
      </c>
      <c r="AK76" s="79" t="str">
        <f aca="false">IF(NOT(ISNUMBER($L76)),"",IF(MONTH($L76)&gt;=4,YEAR($L76)&amp;"-"&amp;RIGHT(YEAR($L76)+1,2),(YEAR($L76)-1)&amp;"-"&amp;RIGHT(YEAR($L76),2)))</f>
        <v/>
      </c>
      <c r="AL76" s="78"/>
      <c r="AM76" s="79" t="str">
        <f aca="false">IF($A76&amp;$B76&amp;$C76="","",IF($A76="","Missing ID",IF(COUNTIF($A$6:$A$205,$A76)&gt;1,"Duplicate ID",IF($AN76="","Unknown account",IF($AO76="","Unknown security",IF(COUNTIFS(Holdings!$B$6:$B$205,$B76,Holdings!$C$6:$C$205,$C76)=0,"No holding row for this lot",IF(OR($I76="",$J76=""),"Missing purchase quantity or rate",IF(NOT(ISNUMBER($H76)),"Missing purchase date",IF(N($H76)&gt;ValDate,"Purchase after valuation date",IF(N($M76)&gt;N($I76),"Sale quantity exceeds purchase",IF(AND(N($M76)&gt;0,OR(NOT(ISNUMBER($L76)),$N76="")),"Sale date or rate missing",IF(AND(ISNUMBER($L76),N($M76)=0),"Sale date with no quantity",IF(AND(ISNUMBER($L76),N($L76)&lt;N($H76)),"Sale before purchase",IF(N($L76)&gt;ValDate,"Sale after valuation date","OK"))))))))))))))</f>
        <v/>
      </c>
      <c r="AN76" s="89" t="str">
        <f aca="false">IF($B76="","",IFERROR(MATCH($B76,Accounts!$A$6:$A$55,0),""))</f>
        <v/>
      </c>
      <c r="AO76" s="89" t="str">
        <f aca="false">IF($C76="","",IFERROR(MATCH($C76,Securities!$A$6:$A$105,0),""))</f>
        <v/>
      </c>
      <c r="AP76" s="89" t="str">
        <f aca="false">IF($AN76="","",INDEX(Accounts!$B$6:$B$55,$AN76)&amp;"")</f>
        <v/>
      </c>
      <c r="AQ76" s="89" t="str">
        <f aca="false">IF(AND(ISNUMBER($AG76),N($P76)&gt;0),IF(AND(N($AG76)&gt;0,N($AG76)&lt;=SoonDays),1,""),"")</f>
        <v/>
      </c>
      <c r="AR76" s="89" t="str">
        <f aca="false">IF($AQ76&lt;&gt;1,"",SUMPRODUCT(($AQ$6:$AQ$205=1)*ISNUMBER($AG$6:$AG$205)*($AG$6:$AG$205&lt;$AG76))+SUMPRODUCT(($AQ$6:$AQ76=1)*ISNUMBER($AG$6:$AG76)*($AG$6:$AG76=$AG76)))</f>
        <v/>
      </c>
    </row>
    <row r="77" customFormat="false" ht="15" hidden="false" customHeight="false" outlineLevel="0" collapsed="false">
      <c r="A77" s="77"/>
      <c r="B77" s="78"/>
      <c r="C77" s="78"/>
      <c r="D77" s="79" t="str">
        <f aca="false">IF($AN77="","",INDEX(Accounts!$C$6:$C$55,$AN77)&amp;"")</f>
        <v/>
      </c>
      <c r="E77" s="79" t="str">
        <f aca="false">IF($AO77="","",INDEX(Securities!$B$6:$B$105,$AO77)&amp;"")</f>
        <v/>
      </c>
      <c r="F77" s="79" t="str">
        <f aca="false">IF($AO77="","",INDEX(Securities!$C$6:$C$105,$AO77)&amp;"")</f>
        <v/>
      </c>
      <c r="G77" s="79" t="str">
        <f aca="false">IF($AO77="","",INDEX(Securities!$E$6:$E$105,$AO77)&amp;"")</f>
        <v/>
      </c>
      <c r="H77" s="80"/>
      <c r="I77" s="81"/>
      <c r="J77" s="91"/>
      <c r="K77" s="85" t="str">
        <f aca="false">IF(OR($I77="",$J77=""),"",$I77*$J77)</f>
        <v/>
      </c>
      <c r="L77" s="80"/>
      <c r="M77" s="81"/>
      <c r="N77" s="91"/>
      <c r="O77" s="85" t="str">
        <f aca="false">IF(OR($M77="",$N77=""),"",$M77*$N77)</f>
        <v/>
      </c>
      <c r="P77" s="88" t="str">
        <f aca="false">IF($C77="","",N($I77)-N($M77))</f>
        <v/>
      </c>
      <c r="Q77" s="85" t="str">
        <f aca="false">IF(OR($P77="",$J77=""),"",$P77*$J77)</f>
        <v/>
      </c>
      <c r="R77" s="83" t="str">
        <f aca="false">IF($AO77="","",IF(INDEX(Securities!$N$6:$N$105,$AO77)="At cost",IF($J77="","",$J77),IF(INDEX(Securities!$O$6:$O$105,$AO77)="","",INDEX(Securities!$O$6:$O$105,$AO77))))</f>
        <v/>
      </c>
      <c r="S77" s="85" t="str">
        <f aca="false">IF(OR($P77="",$R77=""),"",$P77*$R77)</f>
        <v/>
      </c>
      <c r="T77" s="92" t="str">
        <f aca="false">IF(OR(NOT(ISNUMBER($L77)),NOT(ISNUMBER($H77))),"",$L77-$H77)</f>
        <v/>
      </c>
      <c r="U77" s="79" t="str">
        <f aca="false">IF($T77="","",IF($X77="","Short Term",IF($T77&gt;$X77,"Long Term","Short Term")))</f>
        <v/>
      </c>
      <c r="V77" s="92" t="str">
        <f aca="false">IF(OR(NOT(ISNUMBER($H77)),N($P77)&lt;=0),"",ValDate-$H77)</f>
        <v/>
      </c>
      <c r="W77" s="79" t="str">
        <f aca="false">IF($V77="","",IF($X77="","Short Term",IF($V77&gt;$X77,"Long Term","Short Term")))</f>
        <v/>
      </c>
      <c r="X77" s="92" t="str">
        <f aca="true">IF($G77="","",IF(ISNA(MATCH($G77,L_Category,0)),"",IF(INDEX(L_CatLT,MATCH($G77,L_Category,0))="","",INDEX(L_CatLT,MATCH($G77,L_Category,0)))))</f>
        <v/>
      </c>
      <c r="Y77" s="83" t="str">
        <f aca="false">IF($AO77="","",IF(INDEX(Securities!$Q$6:$Q$105,$AO77)="","",INDEX(Securities!$Q$6:$Q$105,$AO77)))</f>
        <v/>
      </c>
      <c r="Z77" s="79" t="str">
        <f aca="false">IF($C77="","",IF(OR(NOT(ISNUMBER($H77)),$Y77=""),"No",IF($H77&lt;=GFDate,"Yes","No")))</f>
        <v/>
      </c>
      <c r="AA77" s="85" t="str">
        <f aca="false">IF(OR($M77="",$N77="",$J77=""),"",$M77*($N77-$J77))</f>
        <v/>
      </c>
      <c r="AB77" s="85" t="str">
        <f aca="false">IF(OR(N($P77)&lt;=0,$R77="",$J77=""),"",$P77*($R77-$J77))</f>
        <v/>
      </c>
      <c r="AC77" s="83" t="str">
        <f aca="false">IF(OR($M77="",$N77="",$J77=""),"",IF($Z77="Yes",MAX($J77,MIN($Y77,$N77)),$J77))</f>
        <v/>
      </c>
      <c r="AD77" s="85" t="str">
        <f aca="false">IF($AC77="","",$M77*($N77-$AC77))</f>
        <v/>
      </c>
      <c r="AE77" s="83" t="str">
        <f aca="false">IF(OR(N($P77)&lt;=0,$R77="",$J77=""),"",IF($Z77="Yes",MAX($J77,MIN($Y77,$R77)),$J77))</f>
        <v/>
      </c>
      <c r="AF77" s="85" t="str">
        <f aca="false">IF($AE77="","",$P77*($R77-$AE77))</f>
        <v/>
      </c>
      <c r="AG77" s="92" t="str">
        <f aca="false">IF(OR($V77="",$X77=""),"",MAX(0,$X77+1-$V77))</f>
        <v/>
      </c>
      <c r="AH77" s="93" t="str">
        <f aca="false">IF(OR($X77="",NOT(ISNUMBER($H77)),N($P77)&lt;=0),"",$H77+$X77+1)</f>
        <v/>
      </c>
      <c r="AI77" s="91"/>
      <c r="AJ77" s="85" t="str">
        <f aca="false">IF(OR($AI77="",N($P77)&lt;=0),"",$AI77*$P77)</f>
        <v/>
      </c>
      <c r="AK77" s="79" t="str">
        <f aca="false">IF(NOT(ISNUMBER($L77)),"",IF(MONTH($L77)&gt;=4,YEAR($L77)&amp;"-"&amp;RIGHT(YEAR($L77)+1,2),(YEAR($L77)-1)&amp;"-"&amp;RIGHT(YEAR($L77),2)))</f>
        <v/>
      </c>
      <c r="AL77" s="78"/>
      <c r="AM77" s="79" t="str">
        <f aca="false">IF($A77&amp;$B77&amp;$C77="","",IF($A77="","Missing ID",IF(COUNTIF($A$6:$A$205,$A77)&gt;1,"Duplicate ID",IF($AN77="","Unknown account",IF($AO77="","Unknown security",IF(COUNTIFS(Holdings!$B$6:$B$205,$B77,Holdings!$C$6:$C$205,$C77)=0,"No holding row for this lot",IF(OR($I77="",$J77=""),"Missing purchase quantity or rate",IF(NOT(ISNUMBER($H77)),"Missing purchase date",IF(N($H77)&gt;ValDate,"Purchase after valuation date",IF(N($M77)&gt;N($I77),"Sale quantity exceeds purchase",IF(AND(N($M77)&gt;0,OR(NOT(ISNUMBER($L77)),$N77="")),"Sale date or rate missing",IF(AND(ISNUMBER($L77),N($M77)=0),"Sale date with no quantity",IF(AND(ISNUMBER($L77),N($L77)&lt;N($H77)),"Sale before purchase",IF(N($L77)&gt;ValDate,"Sale after valuation date","OK"))))))))))))))</f>
        <v/>
      </c>
      <c r="AN77" s="89" t="str">
        <f aca="false">IF($B77="","",IFERROR(MATCH($B77,Accounts!$A$6:$A$55,0),""))</f>
        <v/>
      </c>
      <c r="AO77" s="89" t="str">
        <f aca="false">IF($C77="","",IFERROR(MATCH($C77,Securities!$A$6:$A$105,0),""))</f>
        <v/>
      </c>
      <c r="AP77" s="89" t="str">
        <f aca="false">IF($AN77="","",INDEX(Accounts!$B$6:$B$55,$AN77)&amp;"")</f>
        <v/>
      </c>
      <c r="AQ77" s="89" t="str">
        <f aca="false">IF(AND(ISNUMBER($AG77),N($P77)&gt;0),IF(AND(N($AG77)&gt;0,N($AG77)&lt;=SoonDays),1,""),"")</f>
        <v/>
      </c>
      <c r="AR77" s="89" t="str">
        <f aca="false">IF($AQ77&lt;&gt;1,"",SUMPRODUCT(($AQ$6:$AQ$205=1)*ISNUMBER($AG$6:$AG$205)*($AG$6:$AG$205&lt;$AG77))+SUMPRODUCT(($AQ$6:$AQ77=1)*ISNUMBER($AG$6:$AG77)*($AG$6:$AG77=$AG77)))</f>
        <v/>
      </c>
    </row>
    <row r="78" customFormat="false" ht="15" hidden="false" customHeight="false" outlineLevel="0" collapsed="false">
      <c r="A78" s="77"/>
      <c r="B78" s="78"/>
      <c r="C78" s="78"/>
      <c r="D78" s="79" t="str">
        <f aca="false">IF($AN78="","",INDEX(Accounts!$C$6:$C$55,$AN78)&amp;"")</f>
        <v/>
      </c>
      <c r="E78" s="79" t="str">
        <f aca="false">IF($AO78="","",INDEX(Securities!$B$6:$B$105,$AO78)&amp;"")</f>
        <v/>
      </c>
      <c r="F78" s="79" t="str">
        <f aca="false">IF($AO78="","",INDEX(Securities!$C$6:$C$105,$AO78)&amp;"")</f>
        <v/>
      </c>
      <c r="G78" s="79" t="str">
        <f aca="false">IF($AO78="","",INDEX(Securities!$E$6:$E$105,$AO78)&amp;"")</f>
        <v/>
      </c>
      <c r="H78" s="80"/>
      <c r="I78" s="81"/>
      <c r="J78" s="91"/>
      <c r="K78" s="85" t="str">
        <f aca="false">IF(OR($I78="",$J78=""),"",$I78*$J78)</f>
        <v/>
      </c>
      <c r="L78" s="80"/>
      <c r="M78" s="81"/>
      <c r="N78" s="91"/>
      <c r="O78" s="85" t="str">
        <f aca="false">IF(OR($M78="",$N78=""),"",$M78*$N78)</f>
        <v/>
      </c>
      <c r="P78" s="88" t="str">
        <f aca="false">IF($C78="","",N($I78)-N($M78))</f>
        <v/>
      </c>
      <c r="Q78" s="85" t="str">
        <f aca="false">IF(OR($P78="",$J78=""),"",$P78*$J78)</f>
        <v/>
      </c>
      <c r="R78" s="83" t="str">
        <f aca="false">IF($AO78="","",IF(INDEX(Securities!$N$6:$N$105,$AO78)="At cost",IF($J78="","",$J78),IF(INDEX(Securities!$O$6:$O$105,$AO78)="","",INDEX(Securities!$O$6:$O$105,$AO78))))</f>
        <v/>
      </c>
      <c r="S78" s="85" t="str">
        <f aca="false">IF(OR($P78="",$R78=""),"",$P78*$R78)</f>
        <v/>
      </c>
      <c r="T78" s="92" t="str">
        <f aca="false">IF(OR(NOT(ISNUMBER($L78)),NOT(ISNUMBER($H78))),"",$L78-$H78)</f>
        <v/>
      </c>
      <c r="U78" s="79" t="str">
        <f aca="false">IF($T78="","",IF($X78="","Short Term",IF($T78&gt;$X78,"Long Term","Short Term")))</f>
        <v/>
      </c>
      <c r="V78" s="92" t="str">
        <f aca="false">IF(OR(NOT(ISNUMBER($H78)),N($P78)&lt;=0),"",ValDate-$H78)</f>
        <v/>
      </c>
      <c r="W78" s="79" t="str">
        <f aca="false">IF($V78="","",IF($X78="","Short Term",IF($V78&gt;$X78,"Long Term","Short Term")))</f>
        <v/>
      </c>
      <c r="X78" s="92" t="str">
        <f aca="true">IF($G78="","",IF(ISNA(MATCH($G78,L_Category,0)),"",IF(INDEX(L_CatLT,MATCH($G78,L_Category,0))="","",INDEX(L_CatLT,MATCH($G78,L_Category,0)))))</f>
        <v/>
      </c>
      <c r="Y78" s="83" t="str">
        <f aca="false">IF($AO78="","",IF(INDEX(Securities!$Q$6:$Q$105,$AO78)="","",INDEX(Securities!$Q$6:$Q$105,$AO78)))</f>
        <v/>
      </c>
      <c r="Z78" s="79" t="str">
        <f aca="false">IF($C78="","",IF(OR(NOT(ISNUMBER($H78)),$Y78=""),"No",IF($H78&lt;=GFDate,"Yes","No")))</f>
        <v/>
      </c>
      <c r="AA78" s="85" t="str">
        <f aca="false">IF(OR($M78="",$N78="",$J78=""),"",$M78*($N78-$J78))</f>
        <v/>
      </c>
      <c r="AB78" s="85" t="str">
        <f aca="false">IF(OR(N($P78)&lt;=0,$R78="",$J78=""),"",$P78*($R78-$J78))</f>
        <v/>
      </c>
      <c r="AC78" s="83" t="str">
        <f aca="false">IF(OR($M78="",$N78="",$J78=""),"",IF($Z78="Yes",MAX($J78,MIN($Y78,$N78)),$J78))</f>
        <v/>
      </c>
      <c r="AD78" s="85" t="str">
        <f aca="false">IF($AC78="","",$M78*($N78-$AC78))</f>
        <v/>
      </c>
      <c r="AE78" s="83" t="str">
        <f aca="false">IF(OR(N($P78)&lt;=0,$R78="",$J78=""),"",IF($Z78="Yes",MAX($J78,MIN($Y78,$R78)),$J78))</f>
        <v/>
      </c>
      <c r="AF78" s="85" t="str">
        <f aca="false">IF($AE78="","",$P78*($R78-$AE78))</f>
        <v/>
      </c>
      <c r="AG78" s="92" t="str">
        <f aca="false">IF(OR($V78="",$X78=""),"",MAX(0,$X78+1-$V78))</f>
        <v/>
      </c>
      <c r="AH78" s="93" t="str">
        <f aca="false">IF(OR($X78="",NOT(ISNUMBER($H78)),N($P78)&lt;=0),"",$H78+$X78+1)</f>
        <v/>
      </c>
      <c r="AI78" s="91"/>
      <c r="AJ78" s="85" t="str">
        <f aca="false">IF(OR($AI78="",N($P78)&lt;=0),"",$AI78*$P78)</f>
        <v/>
      </c>
      <c r="AK78" s="79" t="str">
        <f aca="false">IF(NOT(ISNUMBER($L78)),"",IF(MONTH($L78)&gt;=4,YEAR($L78)&amp;"-"&amp;RIGHT(YEAR($L78)+1,2),(YEAR($L78)-1)&amp;"-"&amp;RIGHT(YEAR($L78),2)))</f>
        <v/>
      </c>
      <c r="AL78" s="78"/>
      <c r="AM78" s="79" t="str">
        <f aca="false">IF($A78&amp;$B78&amp;$C78="","",IF($A78="","Missing ID",IF(COUNTIF($A$6:$A$205,$A78)&gt;1,"Duplicate ID",IF($AN78="","Unknown account",IF($AO78="","Unknown security",IF(COUNTIFS(Holdings!$B$6:$B$205,$B78,Holdings!$C$6:$C$205,$C78)=0,"No holding row for this lot",IF(OR($I78="",$J78=""),"Missing purchase quantity or rate",IF(NOT(ISNUMBER($H78)),"Missing purchase date",IF(N($H78)&gt;ValDate,"Purchase after valuation date",IF(N($M78)&gt;N($I78),"Sale quantity exceeds purchase",IF(AND(N($M78)&gt;0,OR(NOT(ISNUMBER($L78)),$N78="")),"Sale date or rate missing",IF(AND(ISNUMBER($L78),N($M78)=0),"Sale date with no quantity",IF(AND(ISNUMBER($L78),N($L78)&lt;N($H78)),"Sale before purchase",IF(N($L78)&gt;ValDate,"Sale after valuation date","OK"))))))))))))))</f>
        <v/>
      </c>
      <c r="AN78" s="89" t="str">
        <f aca="false">IF($B78="","",IFERROR(MATCH($B78,Accounts!$A$6:$A$55,0),""))</f>
        <v/>
      </c>
      <c r="AO78" s="89" t="str">
        <f aca="false">IF($C78="","",IFERROR(MATCH($C78,Securities!$A$6:$A$105,0),""))</f>
        <v/>
      </c>
      <c r="AP78" s="89" t="str">
        <f aca="false">IF($AN78="","",INDEX(Accounts!$B$6:$B$55,$AN78)&amp;"")</f>
        <v/>
      </c>
      <c r="AQ78" s="89" t="str">
        <f aca="false">IF(AND(ISNUMBER($AG78),N($P78)&gt;0),IF(AND(N($AG78)&gt;0,N($AG78)&lt;=SoonDays),1,""),"")</f>
        <v/>
      </c>
      <c r="AR78" s="89" t="str">
        <f aca="false">IF($AQ78&lt;&gt;1,"",SUMPRODUCT(($AQ$6:$AQ$205=1)*ISNUMBER($AG$6:$AG$205)*($AG$6:$AG$205&lt;$AG78))+SUMPRODUCT(($AQ$6:$AQ78=1)*ISNUMBER($AG$6:$AG78)*($AG$6:$AG78=$AG78)))</f>
        <v/>
      </c>
    </row>
    <row r="79" customFormat="false" ht="15" hidden="false" customHeight="false" outlineLevel="0" collapsed="false">
      <c r="A79" s="77"/>
      <c r="B79" s="78"/>
      <c r="C79" s="78"/>
      <c r="D79" s="79" t="str">
        <f aca="false">IF($AN79="","",INDEX(Accounts!$C$6:$C$55,$AN79)&amp;"")</f>
        <v/>
      </c>
      <c r="E79" s="79" t="str">
        <f aca="false">IF($AO79="","",INDEX(Securities!$B$6:$B$105,$AO79)&amp;"")</f>
        <v/>
      </c>
      <c r="F79" s="79" t="str">
        <f aca="false">IF($AO79="","",INDEX(Securities!$C$6:$C$105,$AO79)&amp;"")</f>
        <v/>
      </c>
      <c r="G79" s="79" t="str">
        <f aca="false">IF($AO79="","",INDEX(Securities!$E$6:$E$105,$AO79)&amp;"")</f>
        <v/>
      </c>
      <c r="H79" s="80"/>
      <c r="I79" s="81"/>
      <c r="J79" s="91"/>
      <c r="K79" s="85" t="str">
        <f aca="false">IF(OR($I79="",$J79=""),"",$I79*$J79)</f>
        <v/>
      </c>
      <c r="L79" s="80"/>
      <c r="M79" s="81"/>
      <c r="N79" s="91"/>
      <c r="O79" s="85" t="str">
        <f aca="false">IF(OR($M79="",$N79=""),"",$M79*$N79)</f>
        <v/>
      </c>
      <c r="P79" s="88" t="str">
        <f aca="false">IF($C79="","",N($I79)-N($M79))</f>
        <v/>
      </c>
      <c r="Q79" s="85" t="str">
        <f aca="false">IF(OR($P79="",$J79=""),"",$P79*$J79)</f>
        <v/>
      </c>
      <c r="R79" s="83" t="str">
        <f aca="false">IF($AO79="","",IF(INDEX(Securities!$N$6:$N$105,$AO79)="At cost",IF($J79="","",$J79),IF(INDEX(Securities!$O$6:$O$105,$AO79)="","",INDEX(Securities!$O$6:$O$105,$AO79))))</f>
        <v/>
      </c>
      <c r="S79" s="85" t="str">
        <f aca="false">IF(OR($P79="",$R79=""),"",$P79*$R79)</f>
        <v/>
      </c>
      <c r="T79" s="92" t="str">
        <f aca="false">IF(OR(NOT(ISNUMBER($L79)),NOT(ISNUMBER($H79))),"",$L79-$H79)</f>
        <v/>
      </c>
      <c r="U79" s="79" t="str">
        <f aca="false">IF($T79="","",IF($X79="","Short Term",IF($T79&gt;$X79,"Long Term","Short Term")))</f>
        <v/>
      </c>
      <c r="V79" s="92" t="str">
        <f aca="false">IF(OR(NOT(ISNUMBER($H79)),N($P79)&lt;=0),"",ValDate-$H79)</f>
        <v/>
      </c>
      <c r="W79" s="79" t="str">
        <f aca="false">IF($V79="","",IF($X79="","Short Term",IF($V79&gt;$X79,"Long Term","Short Term")))</f>
        <v/>
      </c>
      <c r="X79" s="92" t="str">
        <f aca="true">IF($G79="","",IF(ISNA(MATCH($G79,L_Category,0)),"",IF(INDEX(L_CatLT,MATCH($G79,L_Category,0))="","",INDEX(L_CatLT,MATCH($G79,L_Category,0)))))</f>
        <v/>
      </c>
      <c r="Y79" s="83" t="str">
        <f aca="false">IF($AO79="","",IF(INDEX(Securities!$Q$6:$Q$105,$AO79)="","",INDEX(Securities!$Q$6:$Q$105,$AO79)))</f>
        <v/>
      </c>
      <c r="Z79" s="79" t="str">
        <f aca="false">IF($C79="","",IF(OR(NOT(ISNUMBER($H79)),$Y79=""),"No",IF($H79&lt;=GFDate,"Yes","No")))</f>
        <v/>
      </c>
      <c r="AA79" s="85" t="str">
        <f aca="false">IF(OR($M79="",$N79="",$J79=""),"",$M79*($N79-$J79))</f>
        <v/>
      </c>
      <c r="AB79" s="85" t="str">
        <f aca="false">IF(OR(N($P79)&lt;=0,$R79="",$J79=""),"",$P79*($R79-$J79))</f>
        <v/>
      </c>
      <c r="AC79" s="83" t="str">
        <f aca="false">IF(OR($M79="",$N79="",$J79=""),"",IF($Z79="Yes",MAX($J79,MIN($Y79,$N79)),$J79))</f>
        <v/>
      </c>
      <c r="AD79" s="85" t="str">
        <f aca="false">IF($AC79="","",$M79*($N79-$AC79))</f>
        <v/>
      </c>
      <c r="AE79" s="83" t="str">
        <f aca="false">IF(OR(N($P79)&lt;=0,$R79="",$J79=""),"",IF($Z79="Yes",MAX($J79,MIN($Y79,$R79)),$J79))</f>
        <v/>
      </c>
      <c r="AF79" s="85" t="str">
        <f aca="false">IF($AE79="","",$P79*($R79-$AE79))</f>
        <v/>
      </c>
      <c r="AG79" s="92" t="str">
        <f aca="false">IF(OR($V79="",$X79=""),"",MAX(0,$X79+1-$V79))</f>
        <v/>
      </c>
      <c r="AH79" s="93" t="str">
        <f aca="false">IF(OR($X79="",NOT(ISNUMBER($H79)),N($P79)&lt;=0),"",$H79+$X79+1)</f>
        <v/>
      </c>
      <c r="AI79" s="91"/>
      <c r="AJ79" s="85" t="str">
        <f aca="false">IF(OR($AI79="",N($P79)&lt;=0),"",$AI79*$P79)</f>
        <v/>
      </c>
      <c r="AK79" s="79" t="str">
        <f aca="false">IF(NOT(ISNUMBER($L79)),"",IF(MONTH($L79)&gt;=4,YEAR($L79)&amp;"-"&amp;RIGHT(YEAR($L79)+1,2),(YEAR($L79)-1)&amp;"-"&amp;RIGHT(YEAR($L79),2)))</f>
        <v/>
      </c>
      <c r="AL79" s="78"/>
      <c r="AM79" s="79" t="str">
        <f aca="false">IF($A79&amp;$B79&amp;$C79="","",IF($A79="","Missing ID",IF(COUNTIF($A$6:$A$205,$A79)&gt;1,"Duplicate ID",IF($AN79="","Unknown account",IF($AO79="","Unknown security",IF(COUNTIFS(Holdings!$B$6:$B$205,$B79,Holdings!$C$6:$C$205,$C79)=0,"No holding row for this lot",IF(OR($I79="",$J79=""),"Missing purchase quantity or rate",IF(NOT(ISNUMBER($H79)),"Missing purchase date",IF(N($H79)&gt;ValDate,"Purchase after valuation date",IF(N($M79)&gt;N($I79),"Sale quantity exceeds purchase",IF(AND(N($M79)&gt;0,OR(NOT(ISNUMBER($L79)),$N79="")),"Sale date or rate missing",IF(AND(ISNUMBER($L79),N($M79)=0),"Sale date with no quantity",IF(AND(ISNUMBER($L79),N($L79)&lt;N($H79)),"Sale before purchase",IF(N($L79)&gt;ValDate,"Sale after valuation date","OK"))))))))))))))</f>
        <v/>
      </c>
      <c r="AN79" s="89" t="str">
        <f aca="false">IF($B79="","",IFERROR(MATCH($B79,Accounts!$A$6:$A$55,0),""))</f>
        <v/>
      </c>
      <c r="AO79" s="89" t="str">
        <f aca="false">IF($C79="","",IFERROR(MATCH($C79,Securities!$A$6:$A$105,0),""))</f>
        <v/>
      </c>
      <c r="AP79" s="89" t="str">
        <f aca="false">IF($AN79="","",INDEX(Accounts!$B$6:$B$55,$AN79)&amp;"")</f>
        <v/>
      </c>
      <c r="AQ79" s="89" t="str">
        <f aca="false">IF(AND(ISNUMBER($AG79),N($P79)&gt;0),IF(AND(N($AG79)&gt;0,N($AG79)&lt;=SoonDays),1,""),"")</f>
        <v/>
      </c>
      <c r="AR79" s="89" t="str">
        <f aca="false">IF($AQ79&lt;&gt;1,"",SUMPRODUCT(($AQ$6:$AQ$205=1)*ISNUMBER($AG$6:$AG$205)*($AG$6:$AG$205&lt;$AG79))+SUMPRODUCT(($AQ$6:$AQ79=1)*ISNUMBER($AG$6:$AG79)*($AG$6:$AG79=$AG79)))</f>
        <v/>
      </c>
    </row>
    <row r="80" customFormat="false" ht="15" hidden="false" customHeight="false" outlineLevel="0" collapsed="false">
      <c r="A80" s="77"/>
      <c r="B80" s="78"/>
      <c r="C80" s="78"/>
      <c r="D80" s="79" t="str">
        <f aca="false">IF($AN80="","",INDEX(Accounts!$C$6:$C$55,$AN80)&amp;"")</f>
        <v/>
      </c>
      <c r="E80" s="79" t="str">
        <f aca="false">IF($AO80="","",INDEX(Securities!$B$6:$B$105,$AO80)&amp;"")</f>
        <v/>
      </c>
      <c r="F80" s="79" t="str">
        <f aca="false">IF($AO80="","",INDEX(Securities!$C$6:$C$105,$AO80)&amp;"")</f>
        <v/>
      </c>
      <c r="G80" s="79" t="str">
        <f aca="false">IF($AO80="","",INDEX(Securities!$E$6:$E$105,$AO80)&amp;"")</f>
        <v/>
      </c>
      <c r="H80" s="80"/>
      <c r="I80" s="81"/>
      <c r="J80" s="91"/>
      <c r="K80" s="85" t="str">
        <f aca="false">IF(OR($I80="",$J80=""),"",$I80*$J80)</f>
        <v/>
      </c>
      <c r="L80" s="80"/>
      <c r="M80" s="81"/>
      <c r="N80" s="91"/>
      <c r="O80" s="85" t="str">
        <f aca="false">IF(OR($M80="",$N80=""),"",$M80*$N80)</f>
        <v/>
      </c>
      <c r="P80" s="88" t="str">
        <f aca="false">IF($C80="","",N($I80)-N($M80))</f>
        <v/>
      </c>
      <c r="Q80" s="85" t="str">
        <f aca="false">IF(OR($P80="",$J80=""),"",$P80*$J80)</f>
        <v/>
      </c>
      <c r="R80" s="83" t="str">
        <f aca="false">IF($AO80="","",IF(INDEX(Securities!$N$6:$N$105,$AO80)="At cost",IF($J80="","",$J80),IF(INDEX(Securities!$O$6:$O$105,$AO80)="","",INDEX(Securities!$O$6:$O$105,$AO80))))</f>
        <v/>
      </c>
      <c r="S80" s="85" t="str">
        <f aca="false">IF(OR($P80="",$R80=""),"",$P80*$R80)</f>
        <v/>
      </c>
      <c r="T80" s="92" t="str">
        <f aca="false">IF(OR(NOT(ISNUMBER($L80)),NOT(ISNUMBER($H80))),"",$L80-$H80)</f>
        <v/>
      </c>
      <c r="U80" s="79" t="str">
        <f aca="false">IF($T80="","",IF($X80="","Short Term",IF($T80&gt;$X80,"Long Term","Short Term")))</f>
        <v/>
      </c>
      <c r="V80" s="92" t="str">
        <f aca="false">IF(OR(NOT(ISNUMBER($H80)),N($P80)&lt;=0),"",ValDate-$H80)</f>
        <v/>
      </c>
      <c r="W80" s="79" t="str">
        <f aca="false">IF($V80="","",IF($X80="","Short Term",IF($V80&gt;$X80,"Long Term","Short Term")))</f>
        <v/>
      </c>
      <c r="X80" s="92" t="str">
        <f aca="true">IF($G80="","",IF(ISNA(MATCH($G80,L_Category,0)),"",IF(INDEX(L_CatLT,MATCH($G80,L_Category,0))="","",INDEX(L_CatLT,MATCH($G80,L_Category,0)))))</f>
        <v/>
      </c>
      <c r="Y80" s="83" t="str">
        <f aca="false">IF($AO80="","",IF(INDEX(Securities!$Q$6:$Q$105,$AO80)="","",INDEX(Securities!$Q$6:$Q$105,$AO80)))</f>
        <v/>
      </c>
      <c r="Z80" s="79" t="str">
        <f aca="false">IF($C80="","",IF(OR(NOT(ISNUMBER($H80)),$Y80=""),"No",IF($H80&lt;=GFDate,"Yes","No")))</f>
        <v/>
      </c>
      <c r="AA80" s="85" t="str">
        <f aca="false">IF(OR($M80="",$N80="",$J80=""),"",$M80*($N80-$J80))</f>
        <v/>
      </c>
      <c r="AB80" s="85" t="str">
        <f aca="false">IF(OR(N($P80)&lt;=0,$R80="",$J80=""),"",$P80*($R80-$J80))</f>
        <v/>
      </c>
      <c r="AC80" s="83" t="str">
        <f aca="false">IF(OR($M80="",$N80="",$J80=""),"",IF($Z80="Yes",MAX($J80,MIN($Y80,$N80)),$J80))</f>
        <v/>
      </c>
      <c r="AD80" s="85" t="str">
        <f aca="false">IF($AC80="","",$M80*($N80-$AC80))</f>
        <v/>
      </c>
      <c r="AE80" s="83" t="str">
        <f aca="false">IF(OR(N($P80)&lt;=0,$R80="",$J80=""),"",IF($Z80="Yes",MAX($J80,MIN($Y80,$R80)),$J80))</f>
        <v/>
      </c>
      <c r="AF80" s="85" t="str">
        <f aca="false">IF($AE80="","",$P80*($R80-$AE80))</f>
        <v/>
      </c>
      <c r="AG80" s="92" t="str">
        <f aca="false">IF(OR($V80="",$X80=""),"",MAX(0,$X80+1-$V80))</f>
        <v/>
      </c>
      <c r="AH80" s="93" t="str">
        <f aca="false">IF(OR($X80="",NOT(ISNUMBER($H80)),N($P80)&lt;=0),"",$H80+$X80+1)</f>
        <v/>
      </c>
      <c r="AI80" s="91"/>
      <c r="AJ80" s="85" t="str">
        <f aca="false">IF(OR($AI80="",N($P80)&lt;=0),"",$AI80*$P80)</f>
        <v/>
      </c>
      <c r="AK80" s="79" t="str">
        <f aca="false">IF(NOT(ISNUMBER($L80)),"",IF(MONTH($L80)&gt;=4,YEAR($L80)&amp;"-"&amp;RIGHT(YEAR($L80)+1,2),(YEAR($L80)-1)&amp;"-"&amp;RIGHT(YEAR($L80),2)))</f>
        <v/>
      </c>
      <c r="AL80" s="78"/>
      <c r="AM80" s="79" t="str">
        <f aca="false">IF($A80&amp;$B80&amp;$C80="","",IF($A80="","Missing ID",IF(COUNTIF($A$6:$A$205,$A80)&gt;1,"Duplicate ID",IF($AN80="","Unknown account",IF($AO80="","Unknown security",IF(COUNTIFS(Holdings!$B$6:$B$205,$B80,Holdings!$C$6:$C$205,$C80)=0,"No holding row for this lot",IF(OR($I80="",$J80=""),"Missing purchase quantity or rate",IF(NOT(ISNUMBER($H80)),"Missing purchase date",IF(N($H80)&gt;ValDate,"Purchase after valuation date",IF(N($M80)&gt;N($I80),"Sale quantity exceeds purchase",IF(AND(N($M80)&gt;0,OR(NOT(ISNUMBER($L80)),$N80="")),"Sale date or rate missing",IF(AND(ISNUMBER($L80),N($M80)=0),"Sale date with no quantity",IF(AND(ISNUMBER($L80),N($L80)&lt;N($H80)),"Sale before purchase",IF(N($L80)&gt;ValDate,"Sale after valuation date","OK"))))))))))))))</f>
        <v/>
      </c>
      <c r="AN80" s="89" t="str">
        <f aca="false">IF($B80="","",IFERROR(MATCH($B80,Accounts!$A$6:$A$55,0),""))</f>
        <v/>
      </c>
      <c r="AO80" s="89" t="str">
        <f aca="false">IF($C80="","",IFERROR(MATCH($C80,Securities!$A$6:$A$105,0),""))</f>
        <v/>
      </c>
      <c r="AP80" s="89" t="str">
        <f aca="false">IF($AN80="","",INDEX(Accounts!$B$6:$B$55,$AN80)&amp;"")</f>
        <v/>
      </c>
      <c r="AQ80" s="89" t="str">
        <f aca="false">IF(AND(ISNUMBER($AG80),N($P80)&gt;0),IF(AND(N($AG80)&gt;0,N($AG80)&lt;=SoonDays),1,""),"")</f>
        <v/>
      </c>
      <c r="AR80" s="89" t="str">
        <f aca="false">IF($AQ80&lt;&gt;1,"",SUMPRODUCT(($AQ$6:$AQ$205=1)*ISNUMBER($AG$6:$AG$205)*($AG$6:$AG$205&lt;$AG80))+SUMPRODUCT(($AQ$6:$AQ80=1)*ISNUMBER($AG$6:$AG80)*($AG$6:$AG80=$AG80)))</f>
        <v/>
      </c>
    </row>
    <row r="81" customFormat="false" ht="15" hidden="false" customHeight="false" outlineLevel="0" collapsed="false">
      <c r="A81" s="77"/>
      <c r="B81" s="78"/>
      <c r="C81" s="78"/>
      <c r="D81" s="79" t="str">
        <f aca="false">IF($AN81="","",INDEX(Accounts!$C$6:$C$55,$AN81)&amp;"")</f>
        <v/>
      </c>
      <c r="E81" s="79" t="str">
        <f aca="false">IF($AO81="","",INDEX(Securities!$B$6:$B$105,$AO81)&amp;"")</f>
        <v/>
      </c>
      <c r="F81" s="79" t="str">
        <f aca="false">IF($AO81="","",INDEX(Securities!$C$6:$C$105,$AO81)&amp;"")</f>
        <v/>
      </c>
      <c r="G81" s="79" t="str">
        <f aca="false">IF($AO81="","",INDEX(Securities!$E$6:$E$105,$AO81)&amp;"")</f>
        <v/>
      </c>
      <c r="H81" s="80"/>
      <c r="I81" s="81"/>
      <c r="J81" s="91"/>
      <c r="K81" s="85" t="str">
        <f aca="false">IF(OR($I81="",$J81=""),"",$I81*$J81)</f>
        <v/>
      </c>
      <c r="L81" s="80"/>
      <c r="M81" s="81"/>
      <c r="N81" s="91"/>
      <c r="O81" s="85" t="str">
        <f aca="false">IF(OR($M81="",$N81=""),"",$M81*$N81)</f>
        <v/>
      </c>
      <c r="P81" s="88" t="str">
        <f aca="false">IF($C81="","",N($I81)-N($M81))</f>
        <v/>
      </c>
      <c r="Q81" s="85" t="str">
        <f aca="false">IF(OR($P81="",$J81=""),"",$P81*$J81)</f>
        <v/>
      </c>
      <c r="R81" s="83" t="str">
        <f aca="false">IF($AO81="","",IF(INDEX(Securities!$N$6:$N$105,$AO81)="At cost",IF($J81="","",$J81),IF(INDEX(Securities!$O$6:$O$105,$AO81)="","",INDEX(Securities!$O$6:$O$105,$AO81))))</f>
        <v/>
      </c>
      <c r="S81" s="85" t="str">
        <f aca="false">IF(OR($P81="",$R81=""),"",$P81*$R81)</f>
        <v/>
      </c>
      <c r="T81" s="92" t="str">
        <f aca="false">IF(OR(NOT(ISNUMBER($L81)),NOT(ISNUMBER($H81))),"",$L81-$H81)</f>
        <v/>
      </c>
      <c r="U81" s="79" t="str">
        <f aca="false">IF($T81="","",IF($X81="","Short Term",IF($T81&gt;$X81,"Long Term","Short Term")))</f>
        <v/>
      </c>
      <c r="V81" s="92" t="str">
        <f aca="false">IF(OR(NOT(ISNUMBER($H81)),N($P81)&lt;=0),"",ValDate-$H81)</f>
        <v/>
      </c>
      <c r="W81" s="79" t="str">
        <f aca="false">IF($V81="","",IF($X81="","Short Term",IF($V81&gt;$X81,"Long Term","Short Term")))</f>
        <v/>
      </c>
      <c r="X81" s="92" t="str">
        <f aca="true">IF($G81="","",IF(ISNA(MATCH($G81,L_Category,0)),"",IF(INDEX(L_CatLT,MATCH($G81,L_Category,0))="","",INDEX(L_CatLT,MATCH($G81,L_Category,0)))))</f>
        <v/>
      </c>
      <c r="Y81" s="83" t="str">
        <f aca="false">IF($AO81="","",IF(INDEX(Securities!$Q$6:$Q$105,$AO81)="","",INDEX(Securities!$Q$6:$Q$105,$AO81)))</f>
        <v/>
      </c>
      <c r="Z81" s="79" t="str">
        <f aca="false">IF($C81="","",IF(OR(NOT(ISNUMBER($H81)),$Y81=""),"No",IF($H81&lt;=GFDate,"Yes","No")))</f>
        <v/>
      </c>
      <c r="AA81" s="85" t="str">
        <f aca="false">IF(OR($M81="",$N81="",$J81=""),"",$M81*($N81-$J81))</f>
        <v/>
      </c>
      <c r="AB81" s="85" t="str">
        <f aca="false">IF(OR(N($P81)&lt;=0,$R81="",$J81=""),"",$P81*($R81-$J81))</f>
        <v/>
      </c>
      <c r="AC81" s="83" t="str">
        <f aca="false">IF(OR($M81="",$N81="",$J81=""),"",IF($Z81="Yes",MAX($J81,MIN($Y81,$N81)),$J81))</f>
        <v/>
      </c>
      <c r="AD81" s="85" t="str">
        <f aca="false">IF($AC81="","",$M81*($N81-$AC81))</f>
        <v/>
      </c>
      <c r="AE81" s="83" t="str">
        <f aca="false">IF(OR(N($P81)&lt;=0,$R81="",$J81=""),"",IF($Z81="Yes",MAX($J81,MIN($Y81,$R81)),$J81))</f>
        <v/>
      </c>
      <c r="AF81" s="85" t="str">
        <f aca="false">IF($AE81="","",$P81*($R81-$AE81))</f>
        <v/>
      </c>
      <c r="AG81" s="92" t="str">
        <f aca="false">IF(OR($V81="",$X81=""),"",MAX(0,$X81+1-$V81))</f>
        <v/>
      </c>
      <c r="AH81" s="93" t="str">
        <f aca="false">IF(OR($X81="",NOT(ISNUMBER($H81)),N($P81)&lt;=0),"",$H81+$X81+1)</f>
        <v/>
      </c>
      <c r="AI81" s="91"/>
      <c r="AJ81" s="85" t="str">
        <f aca="false">IF(OR($AI81="",N($P81)&lt;=0),"",$AI81*$P81)</f>
        <v/>
      </c>
      <c r="AK81" s="79" t="str">
        <f aca="false">IF(NOT(ISNUMBER($L81)),"",IF(MONTH($L81)&gt;=4,YEAR($L81)&amp;"-"&amp;RIGHT(YEAR($L81)+1,2),(YEAR($L81)-1)&amp;"-"&amp;RIGHT(YEAR($L81),2)))</f>
        <v/>
      </c>
      <c r="AL81" s="78"/>
      <c r="AM81" s="79" t="str">
        <f aca="false">IF($A81&amp;$B81&amp;$C81="","",IF($A81="","Missing ID",IF(COUNTIF($A$6:$A$205,$A81)&gt;1,"Duplicate ID",IF($AN81="","Unknown account",IF($AO81="","Unknown security",IF(COUNTIFS(Holdings!$B$6:$B$205,$B81,Holdings!$C$6:$C$205,$C81)=0,"No holding row for this lot",IF(OR($I81="",$J81=""),"Missing purchase quantity or rate",IF(NOT(ISNUMBER($H81)),"Missing purchase date",IF(N($H81)&gt;ValDate,"Purchase after valuation date",IF(N($M81)&gt;N($I81),"Sale quantity exceeds purchase",IF(AND(N($M81)&gt;0,OR(NOT(ISNUMBER($L81)),$N81="")),"Sale date or rate missing",IF(AND(ISNUMBER($L81),N($M81)=0),"Sale date with no quantity",IF(AND(ISNUMBER($L81),N($L81)&lt;N($H81)),"Sale before purchase",IF(N($L81)&gt;ValDate,"Sale after valuation date","OK"))))))))))))))</f>
        <v/>
      </c>
      <c r="AN81" s="89" t="str">
        <f aca="false">IF($B81="","",IFERROR(MATCH($B81,Accounts!$A$6:$A$55,0),""))</f>
        <v/>
      </c>
      <c r="AO81" s="89" t="str">
        <f aca="false">IF($C81="","",IFERROR(MATCH($C81,Securities!$A$6:$A$105,0),""))</f>
        <v/>
      </c>
      <c r="AP81" s="89" t="str">
        <f aca="false">IF($AN81="","",INDEX(Accounts!$B$6:$B$55,$AN81)&amp;"")</f>
        <v/>
      </c>
      <c r="AQ81" s="89" t="str">
        <f aca="false">IF(AND(ISNUMBER($AG81),N($P81)&gt;0),IF(AND(N($AG81)&gt;0,N($AG81)&lt;=SoonDays),1,""),"")</f>
        <v/>
      </c>
      <c r="AR81" s="89" t="str">
        <f aca="false">IF($AQ81&lt;&gt;1,"",SUMPRODUCT(($AQ$6:$AQ$205=1)*ISNUMBER($AG$6:$AG$205)*($AG$6:$AG$205&lt;$AG81))+SUMPRODUCT(($AQ$6:$AQ81=1)*ISNUMBER($AG$6:$AG81)*($AG$6:$AG81=$AG81)))</f>
        <v/>
      </c>
    </row>
    <row r="82" customFormat="false" ht="15" hidden="false" customHeight="false" outlineLevel="0" collapsed="false">
      <c r="A82" s="77"/>
      <c r="B82" s="78"/>
      <c r="C82" s="78"/>
      <c r="D82" s="79" t="str">
        <f aca="false">IF($AN82="","",INDEX(Accounts!$C$6:$C$55,$AN82)&amp;"")</f>
        <v/>
      </c>
      <c r="E82" s="79" t="str">
        <f aca="false">IF($AO82="","",INDEX(Securities!$B$6:$B$105,$AO82)&amp;"")</f>
        <v/>
      </c>
      <c r="F82" s="79" t="str">
        <f aca="false">IF($AO82="","",INDEX(Securities!$C$6:$C$105,$AO82)&amp;"")</f>
        <v/>
      </c>
      <c r="G82" s="79" t="str">
        <f aca="false">IF($AO82="","",INDEX(Securities!$E$6:$E$105,$AO82)&amp;"")</f>
        <v/>
      </c>
      <c r="H82" s="80"/>
      <c r="I82" s="81"/>
      <c r="J82" s="91"/>
      <c r="K82" s="85" t="str">
        <f aca="false">IF(OR($I82="",$J82=""),"",$I82*$J82)</f>
        <v/>
      </c>
      <c r="L82" s="80"/>
      <c r="M82" s="81"/>
      <c r="N82" s="91"/>
      <c r="O82" s="85" t="str">
        <f aca="false">IF(OR($M82="",$N82=""),"",$M82*$N82)</f>
        <v/>
      </c>
      <c r="P82" s="88" t="str">
        <f aca="false">IF($C82="","",N($I82)-N($M82))</f>
        <v/>
      </c>
      <c r="Q82" s="85" t="str">
        <f aca="false">IF(OR($P82="",$J82=""),"",$P82*$J82)</f>
        <v/>
      </c>
      <c r="R82" s="83" t="str">
        <f aca="false">IF($AO82="","",IF(INDEX(Securities!$N$6:$N$105,$AO82)="At cost",IF($J82="","",$J82),IF(INDEX(Securities!$O$6:$O$105,$AO82)="","",INDEX(Securities!$O$6:$O$105,$AO82))))</f>
        <v/>
      </c>
      <c r="S82" s="85" t="str">
        <f aca="false">IF(OR($P82="",$R82=""),"",$P82*$R82)</f>
        <v/>
      </c>
      <c r="T82" s="92" t="str">
        <f aca="false">IF(OR(NOT(ISNUMBER($L82)),NOT(ISNUMBER($H82))),"",$L82-$H82)</f>
        <v/>
      </c>
      <c r="U82" s="79" t="str">
        <f aca="false">IF($T82="","",IF($X82="","Short Term",IF($T82&gt;$X82,"Long Term","Short Term")))</f>
        <v/>
      </c>
      <c r="V82" s="92" t="str">
        <f aca="false">IF(OR(NOT(ISNUMBER($H82)),N($P82)&lt;=0),"",ValDate-$H82)</f>
        <v/>
      </c>
      <c r="W82" s="79" t="str">
        <f aca="false">IF($V82="","",IF($X82="","Short Term",IF($V82&gt;$X82,"Long Term","Short Term")))</f>
        <v/>
      </c>
      <c r="X82" s="92" t="str">
        <f aca="true">IF($G82="","",IF(ISNA(MATCH($G82,L_Category,0)),"",IF(INDEX(L_CatLT,MATCH($G82,L_Category,0))="","",INDEX(L_CatLT,MATCH($G82,L_Category,0)))))</f>
        <v/>
      </c>
      <c r="Y82" s="83" t="str">
        <f aca="false">IF($AO82="","",IF(INDEX(Securities!$Q$6:$Q$105,$AO82)="","",INDEX(Securities!$Q$6:$Q$105,$AO82)))</f>
        <v/>
      </c>
      <c r="Z82" s="79" t="str">
        <f aca="false">IF($C82="","",IF(OR(NOT(ISNUMBER($H82)),$Y82=""),"No",IF($H82&lt;=GFDate,"Yes","No")))</f>
        <v/>
      </c>
      <c r="AA82" s="85" t="str">
        <f aca="false">IF(OR($M82="",$N82="",$J82=""),"",$M82*($N82-$J82))</f>
        <v/>
      </c>
      <c r="AB82" s="85" t="str">
        <f aca="false">IF(OR(N($P82)&lt;=0,$R82="",$J82=""),"",$P82*($R82-$J82))</f>
        <v/>
      </c>
      <c r="AC82" s="83" t="str">
        <f aca="false">IF(OR($M82="",$N82="",$J82=""),"",IF($Z82="Yes",MAX($J82,MIN($Y82,$N82)),$J82))</f>
        <v/>
      </c>
      <c r="AD82" s="85" t="str">
        <f aca="false">IF($AC82="","",$M82*($N82-$AC82))</f>
        <v/>
      </c>
      <c r="AE82" s="83" t="str">
        <f aca="false">IF(OR(N($P82)&lt;=0,$R82="",$J82=""),"",IF($Z82="Yes",MAX($J82,MIN($Y82,$R82)),$J82))</f>
        <v/>
      </c>
      <c r="AF82" s="85" t="str">
        <f aca="false">IF($AE82="","",$P82*($R82-$AE82))</f>
        <v/>
      </c>
      <c r="AG82" s="92" t="str">
        <f aca="false">IF(OR($V82="",$X82=""),"",MAX(0,$X82+1-$V82))</f>
        <v/>
      </c>
      <c r="AH82" s="93" t="str">
        <f aca="false">IF(OR($X82="",NOT(ISNUMBER($H82)),N($P82)&lt;=0),"",$H82+$X82+1)</f>
        <v/>
      </c>
      <c r="AI82" s="91"/>
      <c r="AJ82" s="85" t="str">
        <f aca="false">IF(OR($AI82="",N($P82)&lt;=0),"",$AI82*$P82)</f>
        <v/>
      </c>
      <c r="AK82" s="79" t="str">
        <f aca="false">IF(NOT(ISNUMBER($L82)),"",IF(MONTH($L82)&gt;=4,YEAR($L82)&amp;"-"&amp;RIGHT(YEAR($L82)+1,2),(YEAR($L82)-1)&amp;"-"&amp;RIGHT(YEAR($L82),2)))</f>
        <v/>
      </c>
      <c r="AL82" s="78"/>
      <c r="AM82" s="79" t="str">
        <f aca="false">IF($A82&amp;$B82&amp;$C82="","",IF($A82="","Missing ID",IF(COUNTIF($A$6:$A$205,$A82)&gt;1,"Duplicate ID",IF($AN82="","Unknown account",IF($AO82="","Unknown security",IF(COUNTIFS(Holdings!$B$6:$B$205,$B82,Holdings!$C$6:$C$205,$C82)=0,"No holding row for this lot",IF(OR($I82="",$J82=""),"Missing purchase quantity or rate",IF(NOT(ISNUMBER($H82)),"Missing purchase date",IF(N($H82)&gt;ValDate,"Purchase after valuation date",IF(N($M82)&gt;N($I82),"Sale quantity exceeds purchase",IF(AND(N($M82)&gt;0,OR(NOT(ISNUMBER($L82)),$N82="")),"Sale date or rate missing",IF(AND(ISNUMBER($L82),N($M82)=0),"Sale date with no quantity",IF(AND(ISNUMBER($L82),N($L82)&lt;N($H82)),"Sale before purchase",IF(N($L82)&gt;ValDate,"Sale after valuation date","OK"))))))))))))))</f>
        <v/>
      </c>
      <c r="AN82" s="89" t="str">
        <f aca="false">IF($B82="","",IFERROR(MATCH($B82,Accounts!$A$6:$A$55,0),""))</f>
        <v/>
      </c>
      <c r="AO82" s="89" t="str">
        <f aca="false">IF($C82="","",IFERROR(MATCH($C82,Securities!$A$6:$A$105,0),""))</f>
        <v/>
      </c>
      <c r="AP82" s="89" t="str">
        <f aca="false">IF($AN82="","",INDEX(Accounts!$B$6:$B$55,$AN82)&amp;"")</f>
        <v/>
      </c>
      <c r="AQ82" s="89" t="str">
        <f aca="false">IF(AND(ISNUMBER($AG82),N($P82)&gt;0),IF(AND(N($AG82)&gt;0,N($AG82)&lt;=SoonDays),1,""),"")</f>
        <v/>
      </c>
      <c r="AR82" s="89" t="str">
        <f aca="false">IF($AQ82&lt;&gt;1,"",SUMPRODUCT(($AQ$6:$AQ$205=1)*ISNUMBER($AG$6:$AG$205)*($AG$6:$AG$205&lt;$AG82))+SUMPRODUCT(($AQ$6:$AQ82=1)*ISNUMBER($AG$6:$AG82)*($AG$6:$AG82=$AG82)))</f>
        <v/>
      </c>
    </row>
    <row r="83" customFormat="false" ht="15" hidden="false" customHeight="false" outlineLevel="0" collapsed="false">
      <c r="A83" s="77"/>
      <c r="B83" s="78"/>
      <c r="C83" s="78"/>
      <c r="D83" s="79" t="str">
        <f aca="false">IF($AN83="","",INDEX(Accounts!$C$6:$C$55,$AN83)&amp;"")</f>
        <v/>
      </c>
      <c r="E83" s="79" t="str">
        <f aca="false">IF($AO83="","",INDEX(Securities!$B$6:$B$105,$AO83)&amp;"")</f>
        <v/>
      </c>
      <c r="F83" s="79" t="str">
        <f aca="false">IF($AO83="","",INDEX(Securities!$C$6:$C$105,$AO83)&amp;"")</f>
        <v/>
      </c>
      <c r="G83" s="79" t="str">
        <f aca="false">IF($AO83="","",INDEX(Securities!$E$6:$E$105,$AO83)&amp;"")</f>
        <v/>
      </c>
      <c r="H83" s="80"/>
      <c r="I83" s="81"/>
      <c r="J83" s="91"/>
      <c r="K83" s="85" t="str">
        <f aca="false">IF(OR($I83="",$J83=""),"",$I83*$J83)</f>
        <v/>
      </c>
      <c r="L83" s="80"/>
      <c r="M83" s="81"/>
      <c r="N83" s="91"/>
      <c r="O83" s="85" t="str">
        <f aca="false">IF(OR($M83="",$N83=""),"",$M83*$N83)</f>
        <v/>
      </c>
      <c r="P83" s="88" t="str">
        <f aca="false">IF($C83="","",N($I83)-N($M83))</f>
        <v/>
      </c>
      <c r="Q83" s="85" t="str">
        <f aca="false">IF(OR($P83="",$J83=""),"",$P83*$J83)</f>
        <v/>
      </c>
      <c r="R83" s="83" t="str">
        <f aca="false">IF($AO83="","",IF(INDEX(Securities!$N$6:$N$105,$AO83)="At cost",IF($J83="","",$J83),IF(INDEX(Securities!$O$6:$O$105,$AO83)="","",INDEX(Securities!$O$6:$O$105,$AO83))))</f>
        <v/>
      </c>
      <c r="S83" s="85" t="str">
        <f aca="false">IF(OR($P83="",$R83=""),"",$P83*$R83)</f>
        <v/>
      </c>
      <c r="T83" s="92" t="str">
        <f aca="false">IF(OR(NOT(ISNUMBER($L83)),NOT(ISNUMBER($H83))),"",$L83-$H83)</f>
        <v/>
      </c>
      <c r="U83" s="79" t="str">
        <f aca="false">IF($T83="","",IF($X83="","Short Term",IF($T83&gt;$X83,"Long Term","Short Term")))</f>
        <v/>
      </c>
      <c r="V83" s="92" t="str">
        <f aca="false">IF(OR(NOT(ISNUMBER($H83)),N($P83)&lt;=0),"",ValDate-$H83)</f>
        <v/>
      </c>
      <c r="W83" s="79" t="str">
        <f aca="false">IF($V83="","",IF($X83="","Short Term",IF($V83&gt;$X83,"Long Term","Short Term")))</f>
        <v/>
      </c>
      <c r="X83" s="92" t="str">
        <f aca="true">IF($G83="","",IF(ISNA(MATCH($G83,L_Category,0)),"",IF(INDEX(L_CatLT,MATCH($G83,L_Category,0))="","",INDEX(L_CatLT,MATCH($G83,L_Category,0)))))</f>
        <v/>
      </c>
      <c r="Y83" s="83" t="str">
        <f aca="false">IF($AO83="","",IF(INDEX(Securities!$Q$6:$Q$105,$AO83)="","",INDEX(Securities!$Q$6:$Q$105,$AO83)))</f>
        <v/>
      </c>
      <c r="Z83" s="79" t="str">
        <f aca="false">IF($C83="","",IF(OR(NOT(ISNUMBER($H83)),$Y83=""),"No",IF($H83&lt;=GFDate,"Yes","No")))</f>
        <v/>
      </c>
      <c r="AA83" s="85" t="str">
        <f aca="false">IF(OR($M83="",$N83="",$J83=""),"",$M83*($N83-$J83))</f>
        <v/>
      </c>
      <c r="AB83" s="85" t="str">
        <f aca="false">IF(OR(N($P83)&lt;=0,$R83="",$J83=""),"",$P83*($R83-$J83))</f>
        <v/>
      </c>
      <c r="AC83" s="83" t="str">
        <f aca="false">IF(OR($M83="",$N83="",$J83=""),"",IF($Z83="Yes",MAX($J83,MIN($Y83,$N83)),$J83))</f>
        <v/>
      </c>
      <c r="AD83" s="85" t="str">
        <f aca="false">IF($AC83="","",$M83*($N83-$AC83))</f>
        <v/>
      </c>
      <c r="AE83" s="83" t="str">
        <f aca="false">IF(OR(N($P83)&lt;=0,$R83="",$J83=""),"",IF($Z83="Yes",MAX($J83,MIN($Y83,$R83)),$J83))</f>
        <v/>
      </c>
      <c r="AF83" s="85" t="str">
        <f aca="false">IF($AE83="","",$P83*($R83-$AE83))</f>
        <v/>
      </c>
      <c r="AG83" s="92" t="str">
        <f aca="false">IF(OR($V83="",$X83=""),"",MAX(0,$X83+1-$V83))</f>
        <v/>
      </c>
      <c r="AH83" s="93" t="str">
        <f aca="false">IF(OR($X83="",NOT(ISNUMBER($H83)),N($P83)&lt;=0),"",$H83+$X83+1)</f>
        <v/>
      </c>
      <c r="AI83" s="91"/>
      <c r="AJ83" s="85" t="str">
        <f aca="false">IF(OR($AI83="",N($P83)&lt;=0),"",$AI83*$P83)</f>
        <v/>
      </c>
      <c r="AK83" s="79" t="str">
        <f aca="false">IF(NOT(ISNUMBER($L83)),"",IF(MONTH($L83)&gt;=4,YEAR($L83)&amp;"-"&amp;RIGHT(YEAR($L83)+1,2),(YEAR($L83)-1)&amp;"-"&amp;RIGHT(YEAR($L83),2)))</f>
        <v/>
      </c>
      <c r="AL83" s="78"/>
      <c r="AM83" s="79" t="str">
        <f aca="false">IF($A83&amp;$B83&amp;$C83="","",IF($A83="","Missing ID",IF(COUNTIF($A$6:$A$205,$A83)&gt;1,"Duplicate ID",IF($AN83="","Unknown account",IF($AO83="","Unknown security",IF(COUNTIFS(Holdings!$B$6:$B$205,$B83,Holdings!$C$6:$C$205,$C83)=0,"No holding row for this lot",IF(OR($I83="",$J83=""),"Missing purchase quantity or rate",IF(NOT(ISNUMBER($H83)),"Missing purchase date",IF(N($H83)&gt;ValDate,"Purchase after valuation date",IF(N($M83)&gt;N($I83),"Sale quantity exceeds purchase",IF(AND(N($M83)&gt;0,OR(NOT(ISNUMBER($L83)),$N83="")),"Sale date or rate missing",IF(AND(ISNUMBER($L83),N($M83)=0),"Sale date with no quantity",IF(AND(ISNUMBER($L83),N($L83)&lt;N($H83)),"Sale before purchase",IF(N($L83)&gt;ValDate,"Sale after valuation date","OK"))))))))))))))</f>
        <v/>
      </c>
      <c r="AN83" s="89" t="str">
        <f aca="false">IF($B83="","",IFERROR(MATCH($B83,Accounts!$A$6:$A$55,0),""))</f>
        <v/>
      </c>
      <c r="AO83" s="89" t="str">
        <f aca="false">IF($C83="","",IFERROR(MATCH($C83,Securities!$A$6:$A$105,0),""))</f>
        <v/>
      </c>
      <c r="AP83" s="89" t="str">
        <f aca="false">IF($AN83="","",INDEX(Accounts!$B$6:$B$55,$AN83)&amp;"")</f>
        <v/>
      </c>
      <c r="AQ83" s="89" t="str">
        <f aca="false">IF(AND(ISNUMBER($AG83),N($P83)&gt;0),IF(AND(N($AG83)&gt;0,N($AG83)&lt;=SoonDays),1,""),"")</f>
        <v/>
      </c>
      <c r="AR83" s="89" t="str">
        <f aca="false">IF($AQ83&lt;&gt;1,"",SUMPRODUCT(($AQ$6:$AQ$205=1)*ISNUMBER($AG$6:$AG$205)*($AG$6:$AG$205&lt;$AG83))+SUMPRODUCT(($AQ$6:$AQ83=1)*ISNUMBER($AG$6:$AG83)*($AG$6:$AG83=$AG83)))</f>
        <v/>
      </c>
    </row>
    <row r="84" customFormat="false" ht="15" hidden="false" customHeight="false" outlineLevel="0" collapsed="false">
      <c r="A84" s="77"/>
      <c r="B84" s="78"/>
      <c r="C84" s="78"/>
      <c r="D84" s="79" t="str">
        <f aca="false">IF($AN84="","",INDEX(Accounts!$C$6:$C$55,$AN84)&amp;"")</f>
        <v/>
      </c>
      <c r="E84" s="79" t="str">
        <f aca="false">IF($AO84="","",INDEX(Securities!$B$6:$B$105,$AO84)&amp;"")</f>
        <v/>
      </c>
      <c r="F84" s="79" t="str">
        <f aca="false">IF($AO84="","",INDEX(Securities!$C$6:$C$105,$AO84)&amp;"")</f>
        <v/>
      </c>
      <c r="G84" s="79" t="str">
        <f aca="false">IF($AO84="","",INDEX(Securities!$E$6:$E$105,$AO84)&amp;"")</f>
        <v/>
      </c>
      <c r="H84" s="80"/>
      <c r="I84" s="81"/>
      <c r="J84" s="91"/>
      <c r="K84" s="85" t="str">
        <f aca="false">IF(OR($I84="",$J84=""),"",$I84*$J84)</f>
        <v/>
      </c>
      <c r="L84" s="80"/>
      <c r="M84" s="81"/>
      <c r="N84" s="91"/>
      <c r="O84" s="85" t="str">
        <f aca="false">IF(OR($M84="",$N84=""),"",$M84*$N84)</f>
        <v/>
      </c>
      <c r="P84" s="88" t="str">
        <f aca="false">IF($C84="","",N($I84)-N($M84))</f>
        <v/>
      </c>
      <c r="Q84" s="85" t="str">
        <f aca="false">IF(OR($P84="",$J84=""),"",$P84*$J84)</f>
        <v/>
      </c>
      <c r="R84" s="83" t="str">
        <f aca="false">IF($AO84="","",IF(INDEX(Securities!$N$6:$N$105,$AO84)="At cost",IF($J84="","",$J84),IF(INDEX(Securities!$O$6:$O$105,$AO84)="","",INDEX(Securities!$O$6:$O$105,$AO84))))</f>
        <v/>
      </c>
      <c r="S84" s="85" t="str">
        <f aca="false">IF(OR($P84="",$R84=""),"",$P84*$R84)</f>
        <v/>
      </c>
      <c r="T84" s="92" t="str">
        <f aca="false">IF(OR(NOT(ISNUMBER($L84)),NOT(ISNUMBER($H84))),"",$L84-$H84)</f>
        <v/>
      </c>
      <c r="U84" s="79" t="str">
        <f aca="false">IF($T84="","",IF($X84="","Short Term",IF($T84&gt;$X84,"Long Term","Short Term")))</f>
        <v/>
      </c>
      <c r="V84" s="92" t="str">
        <f aca="false">IF(OR(NOT(ISNUMBER($H84)),N($P84)&lt;=0),"",ValDate-$H84)</f>
        <v/>
      </c>
      <c r="W84" s="79" t="str">
        <f aca="false">IF($V84="","",IF($X84="","Short Term",IF($V84&gt;$X84,"Long Term","Short Term")))</f>
        <v/>
      </c>
      <c r="X84" s="92" t="str">
        <f aca="true">IF($G84="","",IF(ISNA(MATCH($G84,L_Category,0)),"",IF(INDEX(L_CatLT,MATCH($G84,L_Category,0))="","",INDEX(L_CatLT,MATCH($G84,L_Category,0)))))</f>
        <v/>
      </c>
      <c r="Y84" s="83" t="str">
        <f aca="false">IF($AO84="","",IF(INDEX(Securities!$Q$6:$Q$105,$AO84)="","",INDEX(Securities!$Q$6:$Q$105,$AO84)))</f>
        <v/>
      </c>
      <c r="Z84" s="79" t="str">
        <f aca="false">IF($C84="","",IF(OR(NOT(ISNUMBER($H84)),$Y84=""),"No",IF($H84&lt;=GFDate,"Yes","No")))</f>
        <v/>
      </c>
      <c r="AA84" s="85" t="str">
        <f aca="false">IF(OR($M84="",$N84="",$J84=""),"",$M84*($N84-$J84))</f>
        <v/>
      </c>
      <c r="AB84" s="85" t="str">
        <f aca="false">IF(OR(N($P84)&lt;=0,$R84="",$J84=""),"",$P84*($R84-$J84))</f>
        <v/>
      </c>
      <c r="AC84" s="83" t="str">
        <f aca="false">IF(OR($M84="",$N84="",$J84=""),"",IF($Z84="Yes",MAX($J84,MIN($Y84,$N84)),$J84))</f>
        <v/>
      </c>
      <c r="AD84" s="85" t="str">
        <f aca="false">IF($AC84="","",$M84*($N84-$AC84))</f>
        <v/>
      </c>
      <c r="AE84" s="83" t="str">
        <f aca="false">IF(OR(N($P84)&lt;=0,$R84="",$J84=""),"",IF($Z84="Yes",MAX($J84,MIN($Y84,$R84)),$J84))</f>
        <v/>
      </c>
      <c r="AF84" s="85" t="str">
        <f aca="false">IF($AE84="","",$P84*($R84-$AE84))</f>
        <v/>
      </c>
      <c r="AG84" s="92" t="str">
        <f aca="false">IF(OR($V84="",$X84=""),"",MAX(0,$X84+1-$V84))</f>
        <v/>
      </c>
      <c r="AH84" s="93" t="str">
        <f aca="false">IF(OR($X84="",NOT(ISNUMBER($H84)),N($P84)&lt;=0),"",$H84+$X84+1)</f>
        <v/>
      </c>
      <c r="AI84" s="91"/>
      <c r="AJ84" s="85" t="str">
        <f aca="false">IF(OR($AI84="",N($P84)&lt;=0),"",$AI84*$P84)</f>
        <v/>
      </c>
      <c r="AK84" s="79" t="str">
        <f aca="false">IF(NOT(ISNUMBER($L84)),"",IF(MONTH($L84)&gt;=4,YEAR($L84)&amp;"-"&amp;RIGHT(YEAR($L84)+1,2),(YEAR($L84)-1)&amp;"-"&amp;RIGHT(YEAR($L84),2)))</f>
        <v/>
      </c>
      <c r="AL84" s="78"/>
      <c r="AM84" s="79" t="str">
        <f aca="false">IF($A84&amp;$B84&amp;$C84="","",IF($A84="","Missing ID",IF(COUNTIF($A$6:$A$205,$A84)&gt;1,"Duplicate ID",IF($AN84="","Unknown account",IF($AO84="","Unknown security",IF(COUNTIFS(Holdings!$B$6:$B$205,$B84,Holdings!$C$6:$C$205,$C84)=0,"No holding row for this lot",IF(OR($I84="",$J84=""),"Missing purchase quantity or rate",IF(NOT(ISNUMBER($H84)),"Missing purchase date",IF(N($H84)&gt;ValDate,"Purchase after valuation date",IF(N($M84)&gt;N($I84),"Sale quantity exceeds purchase",IF(AND(N($M84)&gt;0,OR(NOT(ISNUMBER($L84)),$N84="")),"Sale date or rate missing",IF(AND(ISNUMBER($L84),N($M84)=0),"Sale date with no quantity",IF(AND(ISNUMBER($L84),N($L84)&lt;N($H84)),"Sale before purchase",IF(N($L84)&gt;ValDate,"Sale after valuation date","OK"))))))))))))))</f>
        <v/>
      </c>
      <c r="AN84" s="89" t="str">
        <f aca="false">IF($B84="","",IFERROR(MATCH($B84,Accounts!$A$6:$A$55,0),""))</f>
        <v/>
      </c>
      <c r="AO84" s="89" t="str">
        <f aca="false">IF($C84="","",IFERROR(MATCH($C84,Securities!$A$6:$A$105,0),""))</f>
        <v/>
      </c>
      <c r="AP84" s="89" t="str">
        <f aca="false">IF($AN84="","",INDEX(Accounts!$B$6:$B$55,$AN84)&amp;"")</f>
        <v/>
      </c>
      <c r="AQ84" s="89" t="str">
        <f aca="false">IF(AND(ISNUMBER($AG84),N($P84)&gt;0),IF(AND(N($AG84)&gt;0,N($AG84)&lt;=SoonDays),1,""),"")</f>
        <v/>
      </c>
      <c r="AR84" s="89" t="str">
        <f aca="false">IF($AQ84&lt;&gt;1,"",SUMPRODUCT(($AQ$6:$AQ$205=1)*ISNUMBER($AG$6:$AG$205)*($AG$6:$AG$205&lt;$AG84))+SUMPRODUCT(($AQ$6:$AQ84=1)*ISNUMBER($AG$6:$AG84)*($AG$6:$AG84=$AG84)))</f>
        <v/>
      </c>
    </row>
    <row r="85" customFormat="false" ht="15" hidden="false" customHeight="false" outlineLevel="0" collapsed="false">
      <c r="A85" s="77"/>
      <c r="B85" s="78"/>
      <c r="C85" s="78"/>
      <c r="D85" s="79" t="str">
        <f aca="false">IF($AN85="","",INDEX(Accounts!$C$6:$C$55,$AN85)&amp;"")</f>
        <v/>
      </c>
      <c r="E85" s="79" t="str">
        <f aca="false">IF($AO85="","",INDEX(Securities!$B$6:$B$105,$AO85)&amp;"")</f>
        <v/>
      </c>
      <c r="F85" s="79" t="str">
        <f aca="false">IF($AO85="","",INDEX(Securities!$C$6:$C$105,$AO85)&amp;"")</f>
        <v/>
      </c>
      <c r="G85" s="79" t="str">
        <f aca="false">IF($AO85="","",INDEX(Securities!$E$6:$E$105,$AO85)&amp;"")</f>
        <v/>
      </c>
      <c r="H85" s="80"/>
      <c r="I85" s="81"/>
      <c r="J85" s="91"/>
      <c r="K85" s="85" t="str">
        <f aca="false">IF(OR($I85="",$J85=""),"",$I85*$J85)</f>
        <v/>
      </c>
      <c r="L85" s="80"/>
      <c r="M85" s="81"/>
      <c r="N85" s="91"/>
      <c r="O85" s="85" t="str">
        <f aca="false">IF(OR($M85="",$N85=""),"",$M85*$N85)</f>
        <v/>
      </c>
      <c r="P85" s="88" t="str">
        <f aca="false">IF($C85="","",N($I85)-N($M85))</f>
        <v/>
      </c>
      <c r="Q85" s="85" t="str">
        <f aca="false">IF(OR($P85="",$J85=""),"",$P85*$J85)</f>
        <v/>
      </c>
      <c r="R85" s="83" t="str">
        <f aca="false">IF($AO85="","",IF(INDEX(Securities!$N$6:$N$105,$AO85)="At cost",IF($J85="","",$J85),IF(INDEX(Securities!$O$6:$O$105,$AO85)="","",INDEX(Securities!$O$6:$O$105,$AO85))))</f>
        <v/>
      </c>
      <c r="S85" s="85" t="str">
        <f aca="false">IF(OR($P85="",$R85=""),"",$P85*$R85)</f>
        <v/>
      </c>
      <c r="T85" s="92" t="str">
        <f aca="false">IF(OR(NOT(ISNUMBER($L85)),NOT(ISNUMBER($H85))),"",$L85-$H85)</f>
        <v/>
      </c>
      <c r="U85" s="79" t="str">
        <f aca="false">IF($T85="","",IF($X85="","Short Term",IF($T85&gt;$X85,"Long Term","Short Term")))</f>
        <v/>
      </c>
      <c r="V85" s="92" t="str">
        <f aca="false">IF(OR(NOT(ISNUMBER($H85)),N($P85)&lt;=0),"",ValDate-$H85)</f>
        <v/>
      </c>
      <c r="W85" s="79" t="str">
        <f aca="false">IF($V85="","",IF($X85="","Short Term",IF($V85&gt;$X85,"Long Term","Short Term")))</f>
        <v/>
      </c>
      <c r="X85" s="92" t="str">
        <f aca="true">IF($G85="","",IF(ISNA(MATCH($G85,L_Category,0)),"",IF(INDEX(L_CatLT,MATCH($G85,L_Category,0))="","",INDEX(L_CatLT,MATCH($G85,L_Category,0)))))</f>
        <v/>
      </c>
      <c r="Y85" s="83" t="str">
        <f aca="false">IF($AO85="","",IF(INDEX(Securities!$Q$6:$Q$105,$AO85)="","",INDEX(Securities!$Q$6:$Q$105,$AO85)))</f>
        <v/>
      </c>
      <c r="Z85" s="79" t="str">
        <f aca="false">IF($C85="","",IF(OR(NOT(ISNUMBER($H85)),$Y85=""),"No",IF($H85&lt;=GFDate,"Yes","No")))</f>
        <v/>
      </c>
      <c r="AA85" s="85" t="str">
        <f aca="false">IF(OR($M85="",$N85="",$J85=""),"",$M85*($N85-$J85))</f>
        <v/>
      </c>
      <c r="AB85" s="85" t="str">
        <f aca="false">IF(OR(N($P85)&lt;=0,$R85="",$J85=""),"",$P85*($R85-$J85))</f>
        <v/>
      </c>
      <c r="AC85" s="83" t="str">
        <f aca="false">IF(OR($M85="",$N85="",$J85=""),"",IF($Z85="Yes",MAX($J85,MIN($Y85,$N85)),$J85))</f>
        <v/>
      </c>
      <c r="AD85" s="85" t="str">
        <f aca="false">IF($AC85="","",$M85*($N85-$AC85))</f>
        <v/>
      </c>
      <c r="AE85" s="83" t="str">
        <f aca="false">IF(OR(N($P85)&lt;=0,$R85="",$J85=""),"",IF($Z85="Yes",MAX($J85,MIN($Y85,$R85)),$J85))</f>
        <v/>
      </c>
      <c r="AF85" s="85" t="str">
        <f aca="false">IF($AE85="","",$P85*($R85-$AE85))</f>
        <v/>
      </c>
      <c r="AG85" s="92" t="str">
        <f aca="false">IF(OR($V85="",$X85=""),"",MAX(0,$X85+1-$V85))</f>
        <v/>
      </c>
      <c r="AH85" s="93" t="str">
        <f aca="false">IF(OR($X85="",NOT(ISNUMBER($H85)),N($P85)&lt;=0),"",$H85+$X85+1)</f>
        <v/>
      </c>
      <c r="AI85" s="91"/>
      <c r="AJ85" s="85" t="str">
        <f aca="false">IF(OR($AI85="",N($P85)&lt;=0),"",$AI85*$P85)</f>
        <v/>
      </c>
      <c r="AK85" s="79" t="str">
        <f aca="false">IF(NOT(ISNUMBER($L85)),"",IF(MONTH($L85)&gt;=4,YEAR($L85)&amp;"-"&amp;RIGHT(YEAR($L85)+1,2),(YEAR($L85)-1)&amp;"-"&amp;RIGHT(YEAR($L85),2)))</f>
        <v/>
      </c>
      <c r="AL85" s="78"/>
      <c r="AM85" s="79" t="str">
        <f aca="false">IF($A85&amp;$B85&amp;$C85="","",IF($A85="","Missing ID",IF(COUNTIF($A$6:$A$205,$A85)&gt;1,"Duplicate ID",IF($AN85="","Unknown account",IF($AO85="","Unknown security",IF(COUNTIFS(Holdings!$B$6:$B$205,$B85,Holdings!$C$6:$C$205,$C85)=0,"No holding row for this lot",IF(OR($I85="",$J85=""),"Missing purchase quantity or rate",IF(NOT(ISNUMBER($H85)),"Missing purchase date",IF(N($H85)&gt;ValDate,"Purchase after valuation date",IF(N($M85)&gt;N($I85),"Sale quantity exceeds purchase",IF(AND(N($M85)&gt;0,OR(NOT(ISNUMBER($L85)),$N85="")),"Sale date or rate missing",IF(AND(ISNUMBER($L85),N($M85)=0),"Sale date with no quantity",IF(AND(ISNUMBER($L85),N($L85)&lt;N($H85)),"Sale before purchase",IF(N($L85)&gt;ValDate,"Sale after valuation date","OK"))))))))))))))</f>
        <v/>
      </c>
      <c r="AN85" s="89" t="str">
        <f aca="false">IF($B85="","",IFERROR(MATCH($B85,Accounts!$A$6:$A$55,0),""))</f>
        <v/>
      </c>
      <c r="AO85" s="89" t="str">
        <f aca="false">IF($C85="","",IFERROR(MATCH($C85,Securities!$A$6:$A$105,0),""))</f>
        <v/>
      </c>
      <c r="AP85" s="89" t="str">
        <f aca="false">IF($AN85="","",INDEX(Accounts!$B$6:$B$55,$AN85)&amp;"")</f>
        <v/>
      </c>
      <c r="AQ85" s="89" t="str">
        <f aca="false">IF(AND(ISNUMBER($AG85),N($P85)&gt;0),IF(AND(N($AG85)&gt;0,N($AG85)&lt;=SoonDays),1,""),"")</f>
        <v/>
      </c>
      <c r="AR85" s="89" t="str">
        <f aca="false">IF($AQ85&lt;&gt;1,"",SUMPRODUCT(($AQ$6:$AQ$205=1)*ISNUMBER($AG$6:$AG$205)*($AG$6:$AG$205&lt;$AG85))+SUMPRODUCT(($AQ$6:$AQ85=1)*ISNUMBER($AG$6:$AG85)*($AG$6:$AG85=$AG85)))</f>
        <v/>
      </c>
    </row>
    <row r="86" customFormat="false" ht="15" hidden="false" customHeight="false" outlineLevel="0" collapsed="false">
      <c r="A86" s="77"/>
      <c r="B86" s="78"/>
      <c r="C86" s="78"/>
      <c r="D86" s="79" t="str">
        <f aca="false">IF($AN86="","",INDEX(Accounts!$C$6:$C$55,$AN86)&amp;"")</f>
        <v/>
      </c>
      <c r="E86" s="79" t="str">
        <f aca="false">IF($AO86="","",INDEX(Securities!$B$6:$B$105,$AO86)&amp;"")</f>
        <v/>
      </c>
      <c r="F86" s="79" t="str">
        <f aca="false">IF($AO86="","",INDEX(Securities!$C$6:$C$105,$AO86)&amp;"")</f>
        <v/>
      </c>
      <c r="G86" s="79" t="str">
        <f aca="false">IF($AO86="","",INDEX(Securities!$E$6:$E$105,$AO86)&amp;"")</f>
        <v/>
      </c>
      <c r="H86" s="80"/>
      <c r="I86" s="81"/>
      <c r="J86" s="91"/>
      <c r="K86" s="85" t="str">
        <f aca="false">IF(OR($I86="",$J86=""),"",$I86*$J86)</f>
        <v/>
      </c>
      <c r="L86" s="80"/>
      <c r="M86" s="81"/>
      <c r="N86" s="91"/>
      <c r="O86" s="85" t="str">
        <f aca="false">IF(OR($M86="",$N86=""),"",$M86*$N86)</f>
        <v/>
      </c>
      <c r="P86" s="88" t="str">
        <f aca="false">IF($C86="","",N($I86)-N($M86))</f>
        <v/>
      </c>
      <c r="Q86" s="85" t="str">
        <f aca="false">IF(OR($P86="",$J86=""),"",$P86*$J86)</f>
        <v/>
      </c>
      <c r="R86" s="83" t="str">
        <f aca="false">IF($AO86="","",IF(INDEX(Securities!$N$6:$N$105,$AO86)="At cost",IF($J86="","",$J86),IF(INDEX(Securities!$O$6:$O$105,$AO86)="","",INDEX(Securities!$O$6:$O$105,$AO86))))</f>
        <v/>
      </c>
      <c r="S86" s="85" t="str">
        <f aca="false">IF(OR($P86="",$R86=""),"",$P86*$R86)</f>
        <v/>
      </c>
      <c r="T86" s="92" t="str">
        <f aca="false">IF(OR(NOT(ISNUMBER($L86)),NOT(ISNUMBER($H86))),"",$L86-$H86)</f>
        <v/>
      </c>
      <c r="U86" s="79" t="str">
        <f aca="false">IF($T86="","",IF($X86="","Short Term",IF($T86&gt;$X86,"Long Term","Short Term")))</f>
        <v/>
      </c>
      <c r="V86" s="92" t="str">
        <f aca="false">IF(OR(NOT(ISNUMBER($H86)),N($P86)&lt;=0),"",ValDate-$H86)</f>
        <v/>
      </c>
      <c r="W86" s="79" t="str">
        <f aca="false">IF($V86="","",IF($X86="","Short Term",IF($V86&gt;$X86,"Long Term","Short Term")))</f>
        <v/>
      </c>
      <c r="X86" s="92" t="str">
        <f aca="true">IF($G86="","",IF(ISNA(MATCH($G86,L_Category,0)),"",IF(INDEX(L_CatLT,MATCH($G86,L_Category,0))="","",INDEX(L_CatLT,MATCH($G86,L_Category,0)))))</f>
        <v/>
      </c>
      <c r="Y86" s="83" t="str">
        <f aca="false">IF($AO86="","",IF(INDEX(Securities!$Q$6:$Q$105,$AO86)="","",INDEX(Securities!$Q$6:$Q$105,$AO86)))</f>
        <v/>
      </c>
      <c r="Z86" s="79" t="str">
        <f aca="false">IF($C86="","",IF(OR(NOT(ISNUMBER($H86)),$Y86=""),"No",IF($H86&lt;=GFDate,"Yes","No")))</f>
        <v/>
      </c>
      <c r="AA86" s="85" t="str">
        <f aca="false">IF(OR($M86="",$N86="",$J86=""),"",$M86*($N86-$J86))</f>
        <v/>
      </c>
      <c r="AB86" s="85" t="str">
        <f aca="false">IF(OR(N($P86)&lt;=0,$R86="",$J86=""),"",$P86*($R86-$J86))</f>
        <v/>
      </c>
      <c r="AC86" s="83" t="str">
        <f aca="false">IF(OR($M86="",$N86="",$J86=""),"",IF($Z86="Yes",MAX($J86,MIN($Y86,$N86)),$J86))</f>
        <v/>
      </c>
      <c r="AD86" s="85" t="str">
        <f aca="false">IF($AC86="","",$M86*($N86-$AC86))</f>
        <v/>
      </c>
      <c r="AE86" s="83" t="str">
        <f aca="false">IF(OR(N($P86)&lt;=0,$R86="",$J86=""),"",IF($Z86="Yes",MAX($J86,MIN($Y86,$R86)),$J86))</f>
        <v/>
      </c>
      <c r="AF86" s="85" t="str">
        <f aca="false">IF($AE86="","",$P86*($R86-$AE86))</f>
        <v/>
      </c>
      <c r="AG86" s="92" t="str">
        <f aca="false">IF(OR($V86="",$X86=""),"",MAX(0,$X86+1-$V86))</f>
        <v/>
      </c>
      <c r="AH86" s="93" t="str">
        <f aca="false">IF(OR($X86="",NOT(ISNUMBER($H86)),N($P86)&lt;=0),"",$H86+$X86+1)</f>
        <v/>
      </c>
      <c r="AI86" s="91"/>
      <c r="AJ86" s="85" t="str">
        <f aca="false">IF(OR($AI86="",N($P86)&lt;=0),"",$AI86*$P86)</f>
        <v/>
      </c>
      <c r="AK86" s="79" t="str">
        <f aca="false">IF(NOT(ISNUMBER($L86)),"",IF(MONTH($L86)&gt;=4,YEAR($L86)&amp;"-"&amp;RIGHT(YEAR($L86)+1,2),(YEAR($L86)-1)&amp;"-"&amp;RIGHT(YEAR($L86),2)))</f>
        <v/>
      </c>
      <c r="AL86" s="78"/>
      <c r="AM86" s="79" t="str">
        <f aca="false">IF($A86&amp;$B86&amp;$C86="","",IF($A86="","Missing ID",IF(COUNTIF($A$6:$A$205,$A86)&gt;1,"Duplicate ID",IF($AN86="","Unknown account",IF($AO86="","Unknown security",IF(COUNTIFS(Holdings!$B$6:$B$205,$B86,Holdings!$C$6:$C$205,$C86)=0,"No holding row for this lot",IF(OR($I86="",$J86=""),"Missing purchase quantity or rate",IF(NOT(ISNUMBER($H86)),"Missing purchase date",IF(N($H86)&gt;ValDate,"Purchase after valuation date",IF(N($M86)&gt;N($I86),"Sale quantity exceeds purchase",IF(AND(N($M86)&gt;0,OR(NOT(ISNUMBER($L86)),$N86="")),"Sale date or rate missing",IF(AND(ISNUMBER($L86),N($M86)=0),"Sale date with no quantity",IF(AND(ISNUMBER($L86),N($L86)&lt;N($H86)),"Sale before purchase",IF(N($L86)&gt;ValDate,"Sale after valuation date","OK"))))))))))))))</f>
        <v/>
      </c>
      <c r="AN86" s="89" t="str">
        <f aca="false">IF($B86="","",IFERROR(MATCH($B86,Accounts!$A$6:$A$55,0),""))</f>
        <v/>
      </c>
      <c r="AO86" s="89" t="str">
        <f aca="false">IF($C86="","",IFERROR(MATCH($C86,Securities!$A$6:$A$105,0),""))</f>
        <v/>
      </c>
      <c r="AP86" s="89" t="str">
        <f aca="false">IF($AN86="","",INDEX(Accounts!$B$6:$B$55,$AN86)&amp;"")</f>
        <v/>
      </c>
      <c r="AQ86" s="89" t="str">
        <f aca="false">IF(AND(ISNUMBER($AG86),N($P86)&gt;0),IF(AND(N($AG86)&gt;0,N($AG86)&lt;=SoonDays),1,""),"")</f>
        <v/>
      </c>
      <c r="AR86" s="89" t="str">
        <f aca="false">IF($AQ86&lt;&gt;1,"",SUMPRODUCT(($AQ$6:$AQ$205=1)*ISNUMBER($AG$6:$AG$205)*($AG$6:$AG$205&lt;$AG86))+SUMPRODUCT(($AQ$6:$AQ86=1)*ISNUMBER($AG$6:$AG86)*($AG$6:$AG86=$AG86)))</f>
        <v/>
      </c>
    </row>
    <row r="87" customFormat="false" ht="15" hidden="false" customHeight="false" outlineLevel="0" collapsed="false">
      <c r="A87" s="77"/>
      <c r="B87" s="78"/>
      <c r="C87" s="78"/>
      <c r="D87" s="79" t="str">
        <f aca="false">IF($AN87="","",INDEX(Accounts!$C$6:$C$55,$AN87)&amp;"")</f>
        <v/>
      </c>
      <c r="E87" s="79" t="str">
        <f aca="false">IF($AO87="","",INDEX(Securities!$B$6:$B$105,$AO87)&amp;"")</f>
        <v/>
      </c>
      <c r="F87" s="79" t="str">
        <f aca="false">IF($AO87="","",INDEX(Securities!$C$6:$C$105,$AO87)&amp;"")</f>
        <v/>
      </c>
      <c r="G87" s="79" t="str">
        <f aca="false">IF($AO87="","",INDEX(Securities!$E$6:$E$105,$AO87)&amp;"")</f>
        <v/>
      </c>
      <c r="H87" s="80"/>
      <c r="I87" s="81"/>
      <c r="J87" s="91"/>
      <c r="K87" s="85" t="str">
        <f aca="false">IF(OR($I87="",$J87=""),"",$I87*$J87)</f>
        <v/>
      </c>
      <c r="L87" s="80"/>
      <c r="M87" s="81"/>
      <c r="N87" s="91"/>
      <c r="O87" s="85" t="str">
        <f aca="false">IF(OR($M87="",$N87=""),"",$M87*$N87)</f>
        <v/>
      </c>
      <c r="P87" s="88" t="str">
        <f aca="false">IF($C87="","",N($I87)-N($M87))</f>
        <v/>
      </c>
      <c r="Q87" s="85" t="str">
        <f aca="false">IF(OR($P87="",$J87=""),"",$P87*$J87)</f>
        <v/>
      </c>
      <c r="R87" s="83" t="str">
        <f aca="false">IF($AO87="","",IF(INDEX(Securities!$N$6:$N$105,$AO87)="At cost",IF($J87="","",$J87),IF(INDEX(Securities!$O$6:$O$105,$AO87)="","",INDEX(Securities!$O$6:$O$105,$AO87))))</f>
        <v/>
      </c>
      <c r="S87" s="85" t="str">
        <f aca="false">IF(OR($P87="",$R87=""),"",$P87*$R87)</f>
        <v/>
      </c>
      <c r="T87" s="92" t="str">
        <f aca="false">IF(OR(NOT(ISNUMBER($L87)),NOT(ISNUMBER($H87))),"",$L87-$H87)</f>
        <v/>
      </c>
      <c r="U87" s="79" t="str">
        <f aca="false">IF($T87="","",IF($X87="","Short Term",IF($T87&gt;$X87,"Long Term","Short Term")))</f>
        <v/>
      </c>
      <c r="V87" s="92" t="str">
        <f aca="false">IF(OR(NOT(ISNUMBER($H87)),N($P87)&lt;=0),"",ValDate-$H87)</f>
        <v/>
      </c>
      <c r="W87" s="79" t="str">
        <f aca="false">IF($V87="","",IF($X87="","Short Term",IF($V87&gt;$X87,"Long Term","Short Term")))</f>
        <v/>
      </c>
      <c r="X87" s="92" t="str">
        <f aca="true">IF($G87="","",IF(ISNA(MATCH($G87,L_Category,0)),"",IF(INDEX(L_CatLT,MATCH($G87,L_Category,0))="","",INDEX(L_CatLT,MATCH($G87,L_Category,0)))))</f>
        <v/>
      </c>
      <c r="Y87" s="83" t="str">
        <f aca="false">IF($AO87="","",IF(INDEX(Securities!$Q$6:$Q$105,$AO87)="","",INDEX(Securities!$Q$6:$Q$105,$AO87)))</f>
        <v/>
      </c>
      <c r="Z87" s="79" t="str">
        <f aca="false">IF($C87="","",IF(OR(NOT(ISNUMBER($H87)),$Y87=""),"No",IF($H87&lt;=GFDate,"Yes","No")))</f>
        <v/>
      </c>
      <c r="AA87" s="85" t="str">
        <f aca="false">IF(OR($M87="",$N87="",$J87=""),"",$M87*($N87-$J87))</f>
        <v/>
      </c>
      <c r="AB87" s="85" t="str">
        <f aca="false">IF(OR(N($P87)&lt;=0,$R87="",$J87=""),"",$P87*($R87-$J87))</f>
        <v/>
      </c>
      <c r="AC87" s="83" t="str">
        <f aca="false">IF(OR($M87="",$N87="",$J87=""),"",IF($Z87="Yes",MAX($J87,MIN($Y87,$N87)),$J87))</f>
        <v/>
      </c>
      <c r="AD87" s="85" t="str">
        <f aca="false">IF($AC87="","",$M87*($N87-$AC87))</f>
        <v/>
      </c>
      <c r="AE87" s="83" t="str">
        <f aca="false">IF(OR(N($P87)&lt;=0,$R87="",$J87=""),"",IF($Z87="Yes",MAX($J87,MIN($Y87,$R87)),$J87))</f>
        <v/>
      </c>
      <c r="AF87" s="85" t="str">
        <f aca="false">IF($AE87="","",$P87*($R87-$AE87))</f>
        <v/>
      </c>
      <c r="AG87" s="92" t="str">
        <f aca="false">IF(OR($V87="",$X87=""),"",MAX(0,$X87+1-$V87))</f>
        <v/>
      </c>
      <c r="AH87" s="93" t="str">
        <f aca="false">IF(OR($X87="",NOT(ISNUMBER($H87)),N($P87)&lt;=0),"",$H87+$X87+1)</f>
        <v/>
      </c>
      <c r="AI87" s="91"/>
      <c r="AJ87" s="85" t="str">
        <f aca="false">IF(OR($AI87="",N($P87)&lt;=0),"",$AI87*$P87)</f>
        <v/>
      </c>
      <c r="AK87" s="79" t="str">
        <f aca="false">IF(NOT(ISNUMBER($L87)),"",IF(MONTH($L87)&gt;=4,YEAR($L87)&amp;"-"&amp;RIGHT(YEAR($L87)+1,2),(YEAR($L87)-1)&amp;"-"&amp;RIGHT(YEAR($L87),2)))</f>
        <v/>
      </c>
      <c r="AL87" s="78"/>
      <c r="AM87" s="79" t="str">
        <f aca="false">IF($A87&amp;$B87&amp;$C87="","",IF($A87="","Missing ID",IF(COUNTIF($A$6:$A$205,$A87)&gt;1,"Duplicate ID",IF($AN87="","Unknown account",IF($AO87="","Unknown security",IF(COUNTIFS(Holdings!$B$6:$B$205,$B87,Holdings!$C$6:$C$205,$C87)=0,"No holding row for this lot",IF(OR($I87="",$J87=""),"Missing purchase quantity or rate",IF(NOT(ISNUMBER($H87)),"Missing purchase date",IF(N($H87)&gt;ValDate,"Purchase after valuation date",IF(N($M87)&gt;N($I87),"Sale quantity exceeds purchase",IF(AND(N($M87)&gt;0,OR(NOT(ISNUMBER($L87)),$N87="")),"Sale date or rate missing",IF(AND(ISNUMBER($L87),N($M87)=0),"Sale date with no quantity",IF(AND(ISNUMBER($L87),N($L87)&lt;N($H87)),"Sale before purchase",IF(N($L87)&gt;ValDate,"Sale after valuation date","OK"))))))))))))))</f>
        <v/>
      </c>
      <c r="AN87" s="89" t="str">
        <f aca="false">IF($B87="","",IFERROR(MATCH($B87,Accounts!$A$6:$A$55,0),""))</f>
        <v/>
      </c>
      <c r="AO87" s="89" t="str">
        <f aca="false">IF($C87="","",IFERROR(MATCH($C87,Securities!$A$6:$A$105,0),""))</f>
        <v/>
      </c>
      <c r="AP87" s="89" t="str">
        <f aca="false">IF($AN87="","",INDEX(Accounts!$B$6:$B$55,$AN87)&amp;"")</f>
        <v/>
      </c>
      <c r="AQ87" s="89" t="str">
        <f aca="false">IF(AND(ISNUMBER($AG87),N($P87)&gt;0),IF(AND(N($AG87)&gt;0,N($AG87)&lt;=SoonDays),1,""),"")</f>
        <v/>
      </c>
      <c r="AR87" s="89" t="str">
        <f aca="false">IF($AQ87&lt;&gt;1,"",SUMPRODUCT(($AQ$6:$AQ$205=1)*ISNUMBER($AG$6:$AG$205)*($AG$6:$AG$205&lt;$AG87))+SUMPRODUCT(($AQ$6:$AQ87=1)*ISNUMBER($AG$6:$AG87)*($AG$6:$AG87=$AG87)))</f>
        <v/>
      </c>
    </row>
    <row r="88" customFormat="false" ht="15" hidden="false" customHeight="false" outlineLevel="0" collapsed="false">
      <c r="A88" s="77"/>
      <c r="B88" s="78"/>
      <c r="C88" s="78"/>
      <c r="D88" s="79" t="str">
        <f aca="false">IF($AN88="","",INDEX(Accounts!$C$6:$C$55,$AN88)&amp;"")</f>
        <v/>
      </c>
      <c r="E88" s="79" t="str">
        <f aca="false">IF($AO88="","",INDEX(Securities!$B$6:$B$105,$AO88)&amp;"")</f>
        <v/>
      </c>
      <c r="F88" s="79" t="str">
        <f aca="false">IF($AO88="","",INDEX(Securities!$C$6:$C$105,$AO88)&amp;"")</f>
        <v/>
      </c>
      <c r="G88" s="79" t="str">
        <f aca="false">IF($AO88="","",INDEX(Securities!$E$6:$E$105,$AO88)&amp;"")</f>
        <v/>
      </c>
      <c r="H88" s="80"/>
      <c r="I88" s="81"/>
      <c r="J88" s="91"/>
      <c r="K88" s="85" t="str">
        <f aca="false">IF(OR($I88="",$J88=""),"",$I88*$J88)</f>
        <v/>
      </c>
      <c r="L88" s="80"/>
      <c r="M88" s="81"/>
      <c r="N88" s="91"/>
      <c r="O88" s="85" t="str">
        <f aca="false">IF(OR($M88="",$N88=""),"",$M88*$N88)</f>
        <v/>
      </c>
      <c r="P88" s="88" t="str">
        <f aca="false">IF($C88="","",N($I88)-N($M88))</f>
        <v/>
      </c>
      <c r="Q88" s="85" t="str">
        <f aca="false">IF(OR($P88="",$J88=""),"",$P88*$J88)</f>
        <v/>
      </c>
      <c r="R88" s="83" t="str">
        <f aca="false">IF($AO88="","",IF(INDEX(Securities!$N$6:$N$105,$AO88)="At cost",IF($J88="","",$J88),IF(INDEX(Securities!$O$6:$O$105,$AO88)="","",INDEX(Securities!$O$6:$O$105,$AO88))))</f>
        <v/>
      </c>
      <c r="S88" s="85" t="str">
        <f aca="false">IF(OR($P88="",$R88=""),"",$P88*$R88)</f>
        <v/>
      </c>
      <c r="T88" s="92" t="str">
        <f aca="false">IF(OR(NOT(ISNUMBER($L88)),NOT(ISNUMBER($H88))),"",$L88-$H88)</f>
        <v/>
      </c>
      <c r="U88" s="79" t="str">
        <f aca="false">IF($T88="","",IF($X88="","Short Term",IF($T88&gt;$X88,"Long Term","Short Term")))</f>
        <v/>
      </c>
      <c r="V88" s="92" t="str">
        <f aca="false">IF(OR(NOT(ISNUMBER($H88)),N($P88)&lt;=0),"",ValDate-$H88)</f>
        <v/>
      </c>
      <c r="W88" s="79" t="str">
        <f aca="false">IF($V88="","",IF($X88="","Short Term",IF($V88&gt;$X88,"Long Term","Short Term")))</f>
        <v/>
      </c>
      <c r="X88" s="92" t="str">
        <f aca="true">IF($G88="","",IF(ISNA(MATCH($G88,L_Category,0)),"",IF(INDEX(L_CatLT,MATCH($G88,L_Category,0))="","",INDEX(L_CatLT,MATCH($G88,L_Category,0)))))</f>
        <v/>
      </c>
      <c r="Y88" s="83" t="str">
        <f aca="false">IF($AO88="","",IF(INDEX(Securities!$Q$6:$Q$105,$AO88)="","",INDEX(Securities!$Q$6:$Q$105,$AO88)))</f>
        <v/>
      </c>
      <c r="Z88" s="79" t="str">
        <f aca="false">IF($C88="","",IF(OR(NOT(ISNUMBER($H88)),$Y88=""),"No",IF($H88&lt;=GFDate,"Yes","No")))</f>
        <v/>
      </c>
      <c r="AA88" s="85" t="str">
        <f aca="false">IF(OR($M88="",$N88="",$J88=""),"",$M88*($N88-$J88))</f>
        <v/>
      </c>
      <c r="AB88" s="85" t="str">
        <f aca="false">IF(OR(N($P88)&lt;=0,$R88="",$J88=""),"",$P88*($R88-$J88))</f>
        <v/>
      </c>
      <c r="AC88" s="83" t="str">
        <f aca="false">IF(OR($M88="",$N88="",$J88=""),"",IF($Z88="Yes",MAX($J88,MIN($Y88,$N88)),$J88))</f>
        <v/>
      </c>
      <c r="AD88" s="85" t="str">
        <f aca="false">IF($AC88="","",$M88*($N88-$AC88))</f>
        <v/>
      </c>
      <c r="AE88" s="83" t="str">
        <f aca="false">IF(OR(N($P88)&lt;=0,$R88="",$J88=""),"",IF($Z88="Yes",MAX($J88,MIN($Y88,$R88)),$J88))</f>
        <v/>
      </c>
      <c r="AF88" s="85" t="str">
        <f aca="false">IF($AE88="","",$P88*($R88-$AE88))</f>
        <v/>
      </c>
      <c r="AG88" s="92" t="str">
        <f aca="false">IF(OR($V88="",$X88=""),"",MAX(0,$X88+1-$V88))</f>
        <v/>
      </c>
      <c r="AH88" s="93" t="str">
        <f aca="false">IF(OR($X88="",NOT(ISNUMBER($H88)),N($P88)&lt;=0),"",$H88+$X88+1)</f>
        <v/>
      </c>
      <c r="AI88" s="91"/>
      <c r="AJ88" s="85" t="str">
        <f aca="false">IF(OR($AI88="",N($P88)&lt;=0),"",$AI88*$P88)</f>
        <v/>
      </c>
      <c r="AK88" s="79" t="str">
        <f aca="false">IF(NOT(ISNUMBER($L88)),"",IF(MONTH($L88)&gt;=4,YEAR($L88)&amp;"-"&amp;RIGHT(YEAR($L88)+1,2),(YEAR($L88)-1)&amp;"-"&amp;RIGHT(YEAR($L88),2)))</f>
        <v/>
      </c>
      <c r="AL88" s="78"/>
      <c r="AM88" s="79" t="str">
        <f aca="false">IF($A88&amp;$B88&amp;$C88="","",IF($A88="","Missing ID",IF(COUNTIF($A$6:$A$205,$A88)&gt;1,"Duplicate ID",IF($AN88="","Unknown account",IF($AO88="","Unknown security",IF(COUNTIFS(Holdings!$B$6:$B$205,$B88,Holdings!$C$6:$C$205,$C88)=0,"No holding row for this lot",IF(OR($I88="",$J88=""),"Missing purchase quantity or rate",IF(NOT(ISNUMBER($H88)),"Missing purchase date",IF(N($H88)&gt;ValDate,"Purchase after valuation date",IF(N($M88)&gt;N($I88),"Sale quantity exceeds purchase",IF(AND(N($M88)&gt;0,OR(NOT(ISNUMBER($L88)),$N88="")),"Sale date or rate missing",IF(AND(ISNUMBER($L88),N($M88)=0),"Sale date with no quantity",IF(AND(ISNUMBER($L88),N($L88)&lt;N($H88)),"Sale before purchase",IF(N($L88)&gt;ValDate,"Sale after valuation date","OK"))))))))))))))</f>
        <v/>
      </c>
      <c r="AN88" s="89" t="str">
        <f aca="false">IF($B88="","",IFERROR(MATCH($B88,Accounts!$A$6:$A$55,0),""))</f>
        <v/>
      </c>
      <c r="AO88" s="89" t="str">
        <f aca="false">IF($C88="","",IFERROR(MATCH($C88,Securities!$A$6:$A$105,0),""))</f>
        <v/>
      </c>
      <c r="AP88" s="89" t="str">
        <f aca="false">IF($AN88="","",INDEX(Accounts!$B$6:$B$55,$AN88)&amp;"")</f>
        <v/>
      </c>
      <c r="AQ88" s="89" t="str">
        <f aca="false">IF(AND(ISNUMBER($AG88),N($P88)&gt;0),IF(AND(N($AG88)&gt;0,N($AG88)&lt;=SoonDays),1,""),"")</f>
        <v/>
      </c>
      <c r="AR88" s="89" t="str">
        <f aca="false">IF($AQ88&lt;&gt;1,"",SUMPRODUCT(($AQ$6:$AQ$205=1)*ISNUMBER($AG$6:$AG$205)*($AG$6:$AG$205&lt;$AG88))+SUMPRODUCT(($AQ$6:$AQ88=1)*ISNUMBER($AG$6:$AG88)*($AG$6:$AG88=$AG88)))</f>
        <v/>
      </c>
    </row>
    <row r="89" customFormat="false" ht="15" hidden="false" customHeight="false" outlineLevel="0" collapsed="false">
      <c r="A89" s="77"/>
      <c r="B89" s="78"/>
      <c r="C89" s="78"/>
      <c r="D89" s="79" t="str">
        <f aca="false">IF($AN89="","",INDEX(Accounts!$C$6:$C$55,$AN89)&amp;"")</f>
        <v/>
      </c>
      <c r="E89" s="79" t="str">
        <f aca="false">IF($AO89="","",INDEX(Securities!$B$6:$B$105,$AO89)&amp;"")</f>
        <v/>
      </c>
      <c r="F89" s="79" t="str">
        <f aca="false">IF($AO89="","",INDEX(Securities!$C$6:$C$105,$AO89)&amp;"")</f>
        <v/>
      </c>
      <c r="G89" s="79" t="str">
        <f aca="false">IF($AO89="","",INDEX(Securities!$E$6:$E$105,$AO89)&amp;"")</f>
        <v/>
      </c>
      <c r="H89" s="80"/>
      <c r="I89" s="81"/>
      <c r="J89" s="91"/>
      <c r="K89" s="85" t="str">
        <f aca="false">IF(OR($I89="",$J89=""),"",$I89*$J89)</f>
        <v/>
      </c>
      <c r="L89" s="80"/>
      <c r="M89" s="81"/>
      <c r="N89" s="91"/>
      <c r="O89" s="85" t="str">
        <f aca="false">IF(OR($M89="",$N89=""),"",$M89*$N89)</f>
        <v/>
      </c>
      <c r="P89" s="88" t="str">
        <f aca="false">IF($C89="","",N($I89)-N($M89))</f>
        <v/>
      </c>
      <c r="Q89" s="85" t="str">
        <f aca="false">IF(OR($P89="",$J89=""),"",$P89*$J89)</f>
        <v/>
      </c>
      <c r="R89" s="83" t="str">
        <f aca="false">IF($AO89="","",IF(INDEX(Securities!$N$6:$N$105,$AO89)="At cost",IF($J89="","",$J89),IF(INDEX(Securities!$O$6:$O$105,$AO89)="","",INDEX(Securities!$O$6:$O$105,$AO89))))</f>
        <v/>
      </c>
      <c r="S89" s="85" t="str">
        <f aca="false">IF(OR($P89="",$R89=""),"",$P89*$R89)</f>
        <v/>
      </c>
      <c r="T89" s="92" t="str">
        <f aca="false">IF(OR(NOT(ISNUMBER($L89)),NOT(ISNUMBER($H89))),"",$L89-$H89)</f>
        <v/>
      </c>
      <c r="U89" s="79" t="str">
        <f aca="false">IF($T89="","",IF($X89="","Short Term",IF($T89&gt;$X89,"Long Term","Short Term")))</f>
        <v/>
      </c>
      <c r="V89" s="92" t="str">
        <f aca="false">IF(OR(NOT(ISNUMBER($H89)),N($P89)&lt;=0),"",ValDate-$H89)</f>
        <v/>
      </c>
      <c r="W89" s="79" t="str">
        <f aca="false">IF($V89="","",IF($X89="","Short Term",IF($V89&gt;$X89,"Long Term","Short Term")))</f>
        <v/>
      </c>
      <c r="X89" s="92" t="str">
        <f aca="true">IF($G89="","",IF(ISNA(MATCH($G89,L_Category,0)),"",IF(INDEX(L_CatLT,MATCH($G89,L_Category,0))="","",INDEX(L_CatLT,MATCH($G89,L_Category,0)))))</f>
        <v/>
      </c>
      <c r="Y89" s="83" t="str">
        <f aca="false">IF($AO89="","",IF(INDEX(Securities!$Q$6:$Q$105,$AO89)="","",INDEX(Securities!$Q$6:$Q$105,$AO89)))</f>
        <v/>
      </c>
      <c r="Z89" s="79" t="str">
        <f aca="false">IF($C89="","",IF(OR(NOT(ISNUMBER($H89)),$Y89=""),"No",IF($H89&lt;=GFDate,"Yes","No")))</f>
        <v/>
      </c>
      <c r="AA89" s="85" t="str">
        <f aca="false">IF(OR($M89="",$N89="",$J89=""),"",$M89*($N89-$J89))</f>
        <v/>
      </c>
      <c r="AB89" s="85" t="str">
        <f aca="false">IF(OR(N($P89)&lt;=0,$R89="",$J89=""),"",$P89*($R89-$J89))</f>
        <v/>
      </c>
      <c r="AC89" s="83" t="str">
        <f aca="false">IF(OR($M89="",$N89="",$J89=""),"",IF($Z89="Yes",MAX($J89,MIN($Y89,$N89)),$J89))</f>
        <v/>
      </c>
      <c r="AD89" s="85" t="str">
        <f aca="false">IF($AC89="","",$M89*($N89-$AC89))</f>
        <v/>
      </c>
      <c r="AE89" s="83" t="str">
        <f aca="false">IF(OR(N($P89)&lt;=0,$R89="",$J89=""),"",IF($Z89="Yes",MAX($J89,MIN($Y89,$R89)),$J89))</f>
        <v/>
      </c>
      <c r="AF89" s="85" t="str">
        <f aca="false">IF($AE89="","",$P89*($R89-$AE89))</f>
        <v/>
      </c>
      <c r="AG89" s="92" t="str">
        <f aca="false">IF(OR($V89="",$X89=""),"",MAX(0,$X89+1-$V89))</f>
        <v/>
      </c>
      <c r="AH89" s="93" t="str">
        <f aca="false">IF(OR($X89="",NOT(ISNUMBER($H89)),N($P89)&lt;=0),"",$H89+$X89+1)</f>
        <v/>
      </c>
      <c r="AI89" s="91"/>
      <c r="AJ89" s="85" t="str">
        <f aca="false">IF(OR($AI89="",N($P89)&lt;=0),"",$AI89*$P89)</f>
        <v/>
      </c>
      <c r="AK89" s="79" t="str">
        <f aca="false">IF(NOT(ISNUMBER($L89)),"",IF(MONTH($L89)&gt;=4,YEAR($L89)&amp;"-"&amp;RIGHT(YEAR($L89)+1,2),(YEAR($L89)-1)&amp;"-"&amp;RIGHT(YEAR($L89),2)))</f>
        <v/>
      </c>
      <c r="AL89" s="78"/>
      <c r="AM89" s="79" t="str">
        <f aca="false">IF($A89&amp;$B89&amp;$C89="","",IF($A89="","Missing ID",IF(COUNTIF($A$6:$A$205,$A89)&gt;1,"Duplicate ID",IF($AN89="","Unknown account",IF($AO89="","Unknown security",IF(COUNTIFS(Holdings!$B$6:$B$205,$B89,Holdings!$C$6:$C$205,$C89)=0,"No holding row for this lot",IF(OR($I89="",$J89=""),"Missing purchase quantity or rate",IF(NOT(ISNUMBER($H89)),"Missing purchase date",IF(N($H89)&gt;ValDate,"Purchase after valuation date",IF(N($M89)&gt;N($I89),"Sale quantity exceeds purchase",IF(AND(N($M89)&gt;0,OR(NOT(ISNUMBER($L89)),$N89="")),"Sale date or rate missing",IF(AND(ISNUMBER($L89),N($M89)=0),"Sale date with no quantity",IF(AND(ISNUMBER($L89),N($L89)&lt;N($H89)),"Sale before purchase",IF(N($L89)&gt;ValDate,"Sale after valuation date","OK"))))))))))))))</f>
        <v/>
      </c>
      <c r="AN89" s="89" t="str">
        <f aca="false">IF($B89="","",IFERROR(MATCH($B89,Accounts!$A$6:$A$55,0),""))</f>
        <v/>
      </c>
      <c r="AO89" s="89" t="str">
        <f aca="false">IF($C89="","",IFERROR(MATCH($C89,Securities!$A$6:$A$105,0),""))</f>
        <v/>
      </c>
      <c r="AP89" s="89" t="str">
        <f aca="false">IF($AN89="","",INDEX(Accounts!$B$6:$B$55,$AN89)&amp;"")</f>
        <v/>
      </c>
      <c r="AQ89" s="89" t="str">
        <f aca="false">IF(AND(ISNUMBER($AG89),N($P89)&gt;0),IF(AND(N($AG89)&gt;0,N($AG89)&lt;=SoonDays),1,""),"")</f>
        <v/>
      </c>
      <c r="AR89" s="89" t="str">
        <f aca="false">IF($AQ89&lt;&gt;1,"",SUMPRODUCT(($AQ$6:$AQ$205=1)*ISNUMBER($AG$6:$AG$205)*($AG$6:$AG$205&lt;$AG89))+SUMPRODUCT(($AQ$6:$AQ89=1)*ISNUMBER($AG$6:$AG89)*($AG$6:$AG89=$AG89)))</f>
        <v/>
      </c>
    </row>
    <row r="90" customFormat="false" ht="15" hidden="false" customHeight="false" outlineLevel="0" collapsed="false">
      <c r="A90" s="77"/>
      <c r="B90" s="78"/>
      <c r="C90" s="78"/>
      <c r="D90" s="79" t="str">
        <f aca="false">IF($AN90="","",INDEX(Accounts!$C$6:$C$55,$AN90)&amp;"")</f>
        <v/>
      </c>
      <c r="E90" s="79" t="str">
        <f aca="false">IF($AO90="","",INDEX(Securities!$B$6:$B$105,$AO90)&amp;"")</f>
        <v/>
      </c>
      <c r="F90" s="79" t="str">
        <f aca="false">IF($AO90="","",INDEX(Securities!$C$6:$C$105,$AO90)&amp;"")</f>
        <v/>
      </c>
      <c r="G90" s="79" t="str">
        <f aca="false">IF($AO90="","",INDEX(Securities!$E$6:$E$105,$AO90)&amp;"")</f>
        <v/>
      </c>
      <c r="H90" s="80"/>
      <c r="I90" s="81"/>
      <c r="J90" s="91"/>
      <c r="K90" s="85" t="str">
        <f aca="false">IF(OR($I90="",$J90=""),"",$I90*$J90)</f>
        <v/>
      </c>
      <c r="L90" s="80"/>
      <c r="M90" s="81"/>
      <c r="N90" s="91"/>
      <c r="O90" s="85" t="str">
        <f aca="false">IF(OR($M90="",$N90=""),"",$M90*$N90)</f>
        <v/>
      </c>
      <c r="P90" s="88" t="str">
        <f aca="false">IF($C90="","",N($I90)-N($M90))</f>
        <v/>
      </c>
      <c r="Q90" s="85" t="str">
        <f aca="false">IF(OR($P90="",$J90=""),"",$P90*$J90)</f>
        <v/>
      </c>
      <c r="R90" s="83" t="str">
        <f aca="false">IF($AO90="","",IF(INDEX(Securities!$N$6:$N$105,$AO90)="At cost",IF($J90="","",$J90),IF(INDEX(Securities!$O$6:$O$105,$AO90)="","",INDEX(Securities!$O$6:$O$105,$AO90))))</f>
        <v/>
      </c>
      <c r="S90" s="85" t="str">
        <f aca="false">IF(OR($P90="",$R90=""),"",$P90*$R90)</f>
        <v/>
      </c>
      <c r="T90" s="92" t="str">
        <f aca="false">IF(OR(NOT(ISNUMBER($L90)),NOT(ISNUMBER($H90))),"",$L90-$H90)</f>
        <v/>
      </c>
      <c r="U90" s="79" t="str">
        <f aca="false">IF($T90="","",IF($X90="","Short Term",IF($T90&gt;$X90,"Long Term","Short Term")))</f>
        <v/>
      </c>
      <c r="V90" s="92" t="str">
        <f aca="false">IF(OR(NOT(ISNUMBER($H90)),N($P90)&lt;=0),"",ValDate-$H90)</f>
        <v/>
      </c>
      <c r="W90" s="79" t="str">
        <f aca="false">IF($V90="","",IF($X90="","Short Term",IF($V90&gt;$X90,"Long Term","Short Term")))</f>
        <v/>
      </c>
      <c r="X90" s="92" t="str">
        <f aca="true">IF($G90="","",IF(ISNA(MATCH($G90,L_Category,0)),"",IF(INDEX(L_CatLT,MATCH($G90,L_Category,0))="","",INDEX(L_CatLT,MATCH($G90,L_Category,0)))))</f>
        <v/>
      </c>
      <c r="Y90" s="83" t="str">
        <f aca="false">IF($AO90="","",IF(INDEX(Securities!$Q$6:$Q$105,$AO90)="","",INDEX(Securities!$Q$6:$Q$105,$AO90)))</f>
        <v/>
      </c>
      <c r="Z90" s="79" t="str">
        <f aca="false">IF($C90="","",IF(OR(NOT(ISNUMBER($H90)),$Y90=""),"No",IF($H90&lt;=GFDate,"Yes","No")))</f>
        <v/>
      </c>
      <c r="AA90" s="85" t="str">
        <f aca="false">IF(OR($M90="",$N90="",$J90=""),"",$M90*($N90-$J90))</f>
        <v/>
      </c>
      <c r="AB90" s="85" t="str">
        <f aca="false">IF(OR(N($P90)&lt;=0,$R90="",$J90=""),"",$P90*($R90-$J90))</f>
        <v/>
      </c>
      <c r="AC90" s="83" t="str">
        <f aca="false">IF(OR($M90="",$N90="",$J90=""),"",IF($Z90="Yes",MAX($J90,MIN($Y90,$N90)),$J90))</f>
        <v/>
      </c>
      <c r="AD90" s="85" t="str">
        <f aca="false">IF($AC90="","",$M90*($N90-$AC90))</f>
        <v/>
      </c>
      <c r="AE90" s="83" t="str">
        <f aca="false">IF(OR(N($P90)&lt;=0,$R90="",$J90=""),"",IF($Z90="Yes",MAX($J90,MIN($Y90,$R90)),$J90))</f>
        <v/>
      </c>
      <c r="AF90" s="85" t="str">
        <f aca="false">IF($AE90="","",$P90*($R90-$AE90))</f>
        <v/>
      </c>
      <c r="AG90" s="92" t="str">
        <f aca="false">IF(OR($V90="",$X90=""),"",MAX(0,$X90+1-$V90))</f>
        <v/>
      </c>
      <c r="AH90" s="93" t="str">
        <f aca="false">IF(OR($X90="",NOT(ISNUMBER($H90)),N($P90)&lt;=0),"",$H90+$X90+1)</f>
        <v/>
      </c>
      <c r="AI90" s="91"/>
      <c r="AJ90" s="85" t="str">
        <f aca="false">IF(OR($AI90="",N($P90)&lt;=0),"",$AI90*$P90)</f>
        <v/>
      </c>
      <c r="AK90" s="79" t="str">
        <f aca="false">IF(NOT(ISNUMBER($L90)),"",IF(MONTH($L90)&gt;=4,YEAR($L90)&amp;"-"&amp;RIGHT(YEAR($L90)+1,2),(YEAR($L90)-1)&amp;"-"&amp;RIGHT(YEAR($L90),2)))</f>
        <v/>
      </c>
      <c r="AL90" s="78"/>
      <c r="AM90" s="79" t="str">
        <f aca="false">IF($A90&amp;$B90&amp;$C90="","",IF($A90="","Missing ID",IF(COUNTIF($A$6:$A$205,$A90)&gt;1,"Duplicate ID",IF($AN90="","Unknown account",IF($AO90="","Unknown security",IF(COUNTIFS(Holdings!$B$6:$B$205,$B90,Holdings!$C$6:$C$205,$C90)=0,"No holding row for this lot",IF(OR($I90="",$J90=""),"Missing purchase quantity or rate",IF(NOT(ISNUMBER($H90)),"Missing purchase date",IF(N($H90)&gt;ValDate,"Purchase after valuation date",IF(N($M90)&gt;N($I90),"Sale quantity exceeds purchase",IF(AND(N($M90)&gt;0,OR(NOT(ISNUMBER($L90)),$N90="")),"Sale date or rate missing",IF(AND(ISNUMBER($L90),N($M90)=0),"Sale date with no quantity",IF(AND(ISNUMBER($L90),N($L90)&lt;N($H90)),"Sale before purchase",IF(N($L90)&gt;ValDate,"Sale after valuation date","OK"))))))))))))))</f>
        <v/>
      </c>
      <c r="AN90" s="89" t="str">
        <f aca="false">IF($B90="","",IFERROR(MATCH($B90,Accounts!$A$6:$A$55,0),""))</f>
        <v/>
      </c>
      <c r="AO90" s="89" t="str">
        <f aca="false">IF($C90="","",IFERROR(MATCH($C90,Securities!$A$6:$A$105,0),""))</f>
        <v/>
      </c>
      <c r="AP90" s="89" t="str">
        <f aca="false">IF($AN90="","",INDEX(Accounts!$B$6:$B$55,$AN90)&amp;"")</f>
        <v/>
      </c>
      <c r="AQ90" s="89" t="str">
        <f aca="false">IF(AND(ISNUMBER($AG90),N($P90)&gt;0),IF(AND(N($AG90)&gt;0,N($AG90)&lt;=SoonDays),1,""),"")</f>
        <v/>
      </c>
      <c r="AR90" s="89" t="str">
        <f aca="false">IF($AQ90&lt;&gt;1,"",SUMPRODUCT(($AQ$6:$AQ$205=1)*ISNUMBER($AG$6:$AG$205)*($AG$6:$AG$205&lt;$AG90))+SUMPRODUCT(($AQ$6:$AQ90=1)*ISNUMBER($AG$6:$AG90)*($AG$6:$AG90=$AG90)))</f>
        <v/>
      </c>
    </row>
    <row r="91" customFormat="false" ht="15" hidden="false" customHeight="false" outlineLevel="0" collapsed="false">
      <c r="A91" s="77"/>
      <c r="B91" s="78"/>
      <c r="C91" s="78"/>
      <c r="D91" s="79" t="str">
        <f aca="false">IF($AN91="","",INDEX(Accounts!$C$6:$C$55,$AN91)&amp;"")</f>
        <v/>
      </c>
      <c r="E91" s="79" t="str">
        <f aca="false">IF($AO91="","",INDEX(Securities!$B$6:$B$105,$AO91)&amp;"")</f>
        <v/>
      </c>
      <c r="F91" s="79" t="str">
        <f aca="false">IF($AO91="","",INDEX(Securities!$C$6:$C$105,$AO91)&amp;"")</f>
        <v/>
      </c>
      <c r="G91" s="79" t="str">
        <f aca="false">IF($AO91="","",INDEX(Securities!$E$6:$E$105,$AO91)&amp;"")</f>
        <v/>
      </c>
      <c r="H91" s="80"/>
      <c r="I91" s="81"/>
      <c r="J91" s="91"/>
      <c r="K91" s="85" t="str">
        <f aca="false">IF(OR($I91="",$J91=""),"",$I91*$J91)</f>
        <v/>
      </c>
      <c r="L91" s="80"/>
      <c r="M91" s="81"/>
      <c r="N91" s="91"/>
      <c r="O91" s="85" t="str">
        <f aca="false">IF(OR($M91="",$N91=""),"",$M91*$N91)</f>
        <v/>
      </c>
      <c r="P91" s="88" t="str">
        <f aca="false">IF($C91="","",N($I91)-N($M91))</f>
        <v/>
      </c>
      <c r="Q91" s="85" t="str">
        <f aca="false">IF(OR($P91="",$J91=""),"",$P91*$J91)</f>
        <v/>
      </c>
      <c r="R91" s="83" t="str">
        <f aca="false">IF($AO91="","",IF(INDEX(Securities!$N$6:$N$105,$AO91)="At cost",IF($J91="","",$J91),IF(INDEX(Securities!$O$6:$O$105,$AO91)="","",INDEX(Securities!$O$6:$O$105,$AO91))))</f>
        <v/>
      </c>
      <c r="S91" s="85" t="str">
        <f aca="false">IF(OR($P91="",$R91=""),"",$P91*$R91)</f>
        <v/>
      </c>
      <c r="T91" s="92" t="str">
        <f aca="false">IF(OR(NOT(ISNUMBER($L91)),NOT(ISNUMBER($H91))),"",$L91-$H91)</f>
        <v/>
      </c>
      <c r="U91" s="79" t="str">
        <f aca="false">IF($T91="","",IF($X91="","Short Term",IF($T91&gt;$X91,"Long Term","Short Term")))</f>
        <v/>
      </c>
      <c r="V91" s="92" t="str">
        <f aca="false">IF(OR(NOT(ISNUMBER($H91)),N($P91)&lt;=0),"",ValDate-$H91)</f>
        <v/>
      </c>
      <c r="W91" s="79" t="str">
        <f aca="false">IF($V91="","",IF($X91="","Short Term",IF($V91&gt;$X91,"Long Term","Short Term")))</f>
        <v/>
      </c>
      <c r="X91" s="92" t="str">
        <f aca="true">IF($G91="","",IF(ISNA(MATCH($G91,L_Category,0)),"",IF(INDEX(L_CatLT,MATCH($G91,L_Category,0))="","",INDEX(L_CatLT,MATCH($G91,L_Category,0)))))</f>
        <v/>
      </c>
      <c r="Y91" s="83" t="str">
        <f aca="false">IF($AO91="","",IF(INDEX(Securities!$Q$6:$Q$105,$AO91)="","",INDEX(Securities!$Q$6:$Q$105,$AO91)))</f>
        <v/>
      </c>
      <c r="Z91" s="79" t="str">
        <f aca="false">IF($C91="","",IF(OR(NOT(ISNUMBER($H91)),$Y91=""),"No",IF($H91&lt;=GFDate,"Yes","No")))</f>
        <v/>
      </c>
      <c r="AA91" s="85" t="str">
        <f aca="false">IF(OR($M91="",$N91="",$J91=""),"",$M91*($N91-$J91))</f>
        <v/>
      </c>
      <c r="AB91" s="85" t="str">
        <f aca="false">IF(OR(N($P91)&lt;=0,$R91="",$J91=""),"",$P91*($R91-$J91))</f>
        <v/>
      </c>
      <c r="AC91" s="83" t="str">
        <f aca="false">IF(OR($M91="",$N91="",$J91=""),"",IF($Z91="Yes",MAX($J91,MIN($Y91,$N91)),$J91))</f>
        <v/>
      </c>
      <c r="AD91" s="85" t="str">
        <f aca="false">IF($AC91="","",$M91*($N91-$AC91))</f>
        <v/>
      </c>
      <c r="AE91" s="83" t="str">
        <f aca="false">IF(OR(N($P91)&lt;=0,$R91="",$J91=""),"",IF($Z91="Yes",MAX($J91,MIN($Y91,$R91)),$J91))</f>
        <v/>
      </c>
      <c r="AF91" s="85" t="str">
        <f aca="false">IF($AE91="","",$P91*($R91-$AE91))</f>
        <v/>
      </c>
      <c r="AG91" s="92" t="str">
        <f aca="false">IF(OR($V91="",$X91=""),"",MAX(0,$X91+1-$V91))</f>
        <v/>
      </c>
      <c r="AH91" s="93" t="str">
        <f aca="false">IF(OR($X91="",NOT(ISNUMBER($H91)),N($P91)&lt;=0),"",$H91+$X91+1)</f>
        <v/>
      </c>
      <c r="AI91" s="91"/>
      <c r="AJ91" s="85" t="str">
        <f aca="false">IF(OR($AI91="",N($P91)&lt;=0),"",$AI91*$P91)</f>
        <v/>
      </c>
      <c r="AK91" s="79" t="str">
        <f aca="false">IF(NOT(ISNUMBER($L91)),"",IF(MONTH($L91)&gt;=4,YEAR($L91)&amp;"-"&amp;RIGHT(YEAR($L91)+1,2),(YEAR($L91)-1)&amp;"-"&amp;RIGHT(YEAR($L91),2)))</f>
        <v/>
      </c>
      <c r="AL91" s="78"/>
      <c r="AM91" s="79" t="str">
        <f aca="false">IF($A91&amp;$B91&amp;$C91="","",IF($A91="","Missing ID",IF(COUNTIF($A$6:$A$205,$A91)&gt;1,"Duplicate ID",IF($AN91="","Unknown account",IF($AO91="","Unknown security",IF(COUNTIFS(Holdings!$B$6:$B$205,$B91,Holdings!$C$6:$C$205,$C91)=0,"No holding row for this lot",IF(OR($I91="",$J91=""),"Missing purchase quantity or rate",IF(NOT(ISNUMBER($H91)),"Missing purchase date",IF(N($H91)&gt;ValDate,"Purchase after valuation date",IF(N($M91)&gt;N($I91),"Sale quantity exceeds purchase",IF(AND(N($M91)&gt;0,OR(NOT(ISNUMBER($L91)),$N91="")),"Sale date or rate missing",IF(AND(ISNUMBER($L91),N($M91)=0),"Sale date with no quantity",IF(AND(ISNUMBER($L91),N($L91)&lt;N($H91)),"Sale before purchase",IF(N($L91)&gt;ValDate,"Sale after valuation date","OK"))))))))))))))</f>
        <v/>
      </c>
      <c r="AN91" s="89" t="str">
        <f aca="false">IF($B91="","",IFERROR(MATCH($B91,Accounts!$A$6:$A$55,0),""))</f>
        <v/>
      </c>
      <c r="AO91" s="89" t="str">
        <f aca="false">IF($C91="","",IFERROR(MATCH($C91,Securities!$A$6:$A$105,0),""))</f>
        <v/>
      </c>
      <c r="AP91" s="89" t="str">
        <f aca="false">IF($AN91="","",INDEX(Accounts!$B$6:$B$55,$AN91)&amp;"")</f>
        <v/>
      </c>
      <c r="AQ91" s="89" t="str">
        <f aca="false">IF(AND(ISNUMBER($AG91),N($P91)&gt;0),IF(AND(N($AG91)&gt;0,N($AG91)&lt;=SoonDays),1,""),"")</f>
        <v/>
      </c>
      <c r="AR91" s="89" t="str">
        <f aca="false">IF($AQ91&lt;&gt;1,"",SUMPRODUCT(($AQ$6:$AQ$205=1)*ISNUMBER($AG$6:$AG$205)*($AG$6:$AG$205&lt;$AG91))+SUMPRODUCT(($AQ$6:$AQ91=1)*ISNUMBER($AG$6:$AG91)*($AG$6:$AG91=$AG91)))</f>
        <v/>
      </c>
    </row>
    <row r="92" customFormat="false" ht="15" hidden="false" customHeight="false" outlineLevel="0" collapsed="false">
      <c r="A92" s="77"/>
      <c r="B92" s="78"/>
      <c r="C92" s="78"/>
      <c r="D92" s="79" t="str">
        <f aca="false">IF($AN92="","",INDEX(Accounts!$C$6:$C$55,$AN92)&amp;"")</f>
        <v/>
      </c>
      <c r="E92" s="79" t="str">
        <f aca="false">IF($AO92="","",INDEX(Securities!$B$6:$B$105,$AO92)&amp;"")</f>
        <v/>
      </c>
      <c r="F92" s="79" t="str">
        <f aca="false">IF($AO92="","",INDEX(Securities!$C$6:$C$105,$AO92)&amp;"")</f>
        <v/>
      </c>
      <c r="G92" s="79" t="str">
        <f aca="false">IF($AO92="","",INDEX(Securities!$E$6:$E$105,$AO92)&amp;"")</f>
        <v/>
      </c>
      <c r="H92" s="80"/>
      <c r="I92" s="81"/>
      <c r="J92" s="91"/>
      <c r="K92" s="85" t="str">
        <f aca="false">IF(OR($I92="",$J92=""),"",$I92*$J92)</f>
        <v/>
      </c>
      <c r="L92" s="80"/>
      <c r="M92" s="81"/>
      <c r="N92" s="91"/>
      <c r="O92" s="85" t="str">
        <f aca="false">IF(OR($M92="",$N92=""),"",$M92*$N92)</f>
        <v/>
      </c>
      <c r="P92" s="88" t="str">
        <f aca="false">IF($C92="","",N($I92)-N($M92))</f>
        <v/>
      </c>
      <c r="Q92" s="85" t="str">
        <f aca="false">IF(OR($P92="",$J92=""),"",$P92*$J92)</f>
        <v/>
      </c>
      <c r="R92" s="83" t="str">
        <f aca="false">IF($AO92="","",IF(INDEX(Securities!$N$6:$N$105,$AO92)="At cost",IF($J92="","",$J92),IF(INDEX(Securities!$O$6:$O$105,$AO92)="","",INDEX(Securities!$O$6:$O$105,$AO92))))</f>
        <v/>
      </c>
      <c r="S92" s="85" t="str">
        <f aca="false">IF(OR($P92="",$R92=""),"",$P92*$R92)</f>
        <v/>
      </c>
      <c r="T92" s="92" t="str">
        <f aca="false">IF(OR(NOT(ISNUMBER($L92)),NOT(ISNUMBER($H92))),"",$L92-$H92)</f>
        <v/>
      </c>
      <c r="U92" s="79" t="str">
        <f aca="false">IF($T92="","",IF($X92="","Short Term",IF($T92&gt;$X92,"Long Term","Short Term")))</f>
        <v/>
      </c>
      <c r="V92" s="92" t="str">
        <f aca="false">IF(OR(NOT(ISNUMBER($H92)),N($P92)&lt;=0),"",ValDate-$H92)</f>
        <v/>
      </c>
      <c r="W92" s="79" t="str">
        <f aca="false">IF($V92="","",IF($X92="","Short Term",IF($V92&gt;$X92,"Long Term","Short Term")))</f>
        <v/>
      </c>
      <c r="X92" s="92" t="str">
        <f aca="true">IF($G92="","",IF(ISNA(MATCH($G92,L_Category,0)),"",IF(INDEX(L_CatLT,MATCH($G92,L_Category,0))="","",INDEX(L_CatLT,MATCH($G92,L_Category,0)))))</f>
        <v/>
      </c>
      <c r="Y92" s="83" t="str">
        <f aca="false">IF($AO92="","",IF(INDEX(Securities!$Q$6:$Q$105,$AO92)="","",INDEX(Securities!$Q$6:$Q$105,$AO92)))</f>
        <v/>
      </c>
      <c r="Z92" s="79" t="str">
        <f aca="false">IF($C92="","",IF(OR(NOT(ISNUMBER($H92)),$Y92=""),"No",IF($H92&lt;=GFDate,"Yes","No")))</f>
        <v/>
      </c>
      <c r="AA92" s="85" t="str">
        <f aca="false">IF(OR($M92="",$N92="",$J92=""),"",$M92*($N92-$J92))</f>
        <v/>
      </c>
      <c r="AB92" s="85" t="str">
        <f aca="false">IF(OR(N($P92)&lt;=0,$R92="",$J92=""),"",$P92*($R92-$J92))</f>
        <v/>
      </c>
      <c r="AC92" s="83" t="str">
        <f aca="false">IF(OR($M92="",$N92="",$J92=""),"",IF($Z92="Yes",MAX($J92,MIN($Y92,$N92)),$J92))</f>
        <v/>
      </c>
      <c r="AD92" s="85" t="str">
        <f aca="false">IF($AC92="","",$M92*($N92-$AC92))</f>
        <v/>
      </c>
      <c r="AE92" s="83" t="str">
        <f aca="false">IF(OR(N($P92)&lt;=0,$R92="",$J92=""),"",IF($Z92="Yes",MAX($J92,MIN($Y92,$R92)),$J92))</f>
        <v/>
      </c>
      <c r="AF92" s="85" t="str">
        <f aca="false">IF($AE92="","",$P92*($R92-$AE92))</f>
        <v/>
      </c>
      <c r="AG92" s="92" t="str">
        <f aca="false">IF(OR($V92="",$X92=""),"",MAX(0,$X92+1-$V92))</f>
        <v/>
      </c>
      <c r="AH92" s="93" t="str">
        <f aca="false">IF(OR($X92="",NOT(ISNUMBER($H92)),N($P92)&lt;=0),"",$H92+$X92+1)</f>
        <v/>
      </c>
      <c r="AI92" s="91"/>
      <c r="AJ92" s="85" t="str">
        <f aca="false">IF(OR($AI92="",N($P92)&lt;=0),"",$AI92*$P92)</f>
        <v/>
      </c>
      <c r="AK92" s="79" t="str">
        <f aca="false">IF(NOT(ISNUMBER($L92)),"",IF(MONTH($L92)&gt;=4,YEAR($L92)&amp;"-"&amp;RIGHT(YEAR($L92)+1,2),(YEAR($L92)-1)&amp;"-"&amp;RIGHT(YEAR($L92),2)))</f>
        <v/>
      </c>
      <c r="AL92" s="78"/>
      <c r="AM92" s="79" t="str">
        <f aca="false">IF($A92&amp;$B92&amp;$C92="","",IF($A92="","Missing ID",IF(COUNTIF($A$6:$A$205,$A92)&gt;1,"Duplicate ID",IF($AN92="","Unknown account",IF($AO92="","Unknown security",IF(COUNTIFS(Holdings!$B$6:$B$205,$B92,Holdings!$C$6:$C$205,$C92)=0,"No holding row for this lot",IF(OR($I92="",$J92=""),"Missing purchase quantity or rate",IF(NOT(ISNUMBER($H92)),"Missing purchase date",IF(N($H92)&gt;ValDate,"Purchase after valuation date",IF(N($M92)&gt;N($I92),"Sale quantity exceeds purchase",IF(AND(N($M92)&gt;0,OR(NOT(ISNUMBER($L92)),$N92="")),"Sale date or rate missing",IF(AND(ISNUMBER($L92),N($M92)=0),"Sale date with no quantity",IF(AND(ISNUMBER($L92),N($L92)&lt;N($H92)),"Sale before purchase",IF(N($L92)&gt;ValDate,"Sale after valuation date","OK"))))))))))))))</f>
        <v/>
      </c>
      <c r="AN92" s="89" t="str">
        <f aca="false">IF($B92="","",IFERROR(MATCH($B92,Accounts!$A$6:$A$55,0),""))</f>
        <v/>
      </c>
      <c r="AO92" s="89" t="str">
        <f aca="false">IF($C92="","",IFERROR(MATCH($C92,Securities!$A$6:$A$105,0),""))</f>
        <v/>
      </c>
      <c r="AP92" s="89" t="str">
        <f aca="false">IF($AN92="","",INDEX(Accounts!$B$6:$B$55,$AN92)&amp;"")</f>
        <v/>
      </c>
      <c r="AQ92" s="89" t="str">
        <f aca="false">IF(AND(ISNUMBER($AG92),N($P92)&gt;0),IF(AND(N($AG92)&gt;0,N($AG92)&lt;=SoonDays),1,""),"")</f>
        <v/>
      </c>
      <c r="AR92" s="89" t="str">
        <f aca="false">IF($AQ92&lt;&gt;1,"",SUMPRODUCT(($AQ$6:$AQ$205=1)*ISNUMBER($AG$6:$AG$205)*($AG$6:$AG$205&lt;$AG92))+SUMPRODUCT(($AQ$6:$AQ92=1)*ISNUMBER($AG$6:$AG92)*($AG$6:$AG92=$AG92)))</f>
        <v/>
      </c>
    </row>
    <row r="93" customFormat="false" ht="15" hidden="false" customHeight="false" outlineLevel="0" collapsed="false">
      <c r="A93" s="77"/>
      <c r="B93" s="78"/>
      <c r="C93" s="78"/>
      <c r="D93" s="79" t="str">
        <f aca="false">IF($AN93="","",INDEX(Accounts!$C$6:$C$55,$AN93)&amp;"")</f>
        <v/>
      </c>
      <c r="E93" s="79" t="str">
        <f aca="false">IF($AO93="","",INDEX(Securities!$B$6:$B$105,$AO93)&amp;"")</f>
        <v/>
      </c>
      <c r="F93" s="79" t="str">
        <f aca="false">IF($AO93="","",INDEX(Securities!$C$6:$C$105,$AO93)&amp;"")</f>
        <v/>
      </c>
      <c r="G93" s="79" t="str">
        <f aca="false">IF($AO93="","",INDEX(Securities!$E$6:$E$105,$AO93)&amp;"")</f>
        <v/>
      </c>
      <c r="H93" s="80"/>
      <c r="I93" s="81"/>
      <c r="J93" s="91"/>
      <c r="K93" s="85" t="str">
        <f aca="false">IF(OR($I93="",$J93=""),"",$I93*$J93)</f>
        <v/>
      </c>
      <c r="L93" s="80"/>
      <c r="M93" s="81"/>
      <c r="N93" s="91"/>
      <c r="O93" s="85" t="str">
        <f aca="false">IF(OR($M93="",$N93=""),"",$M93*$N93)</f>
        <v/>
      </c>
      <c r="P93" s="88" t="str">
        <f aca="false">IF($C93="","",N($I93)-N($M93))</f>
        <v/>
      </c>
      <c r="Q93" s="85" t="str">
        <f aca="false">IF(OR($P93="",$J93=""),"",$P93*$J93)</f>
        <v/>
      </c>
      <c r="R93" s="83" t="str">
        <f aca="false">IF($AO93="","",IF(INDEX(Securities!$N$6:$N$105,$AO93)="At cost",IF($J93="","",$J93),IF(INDEX(Securities!$O$6:$O$105,$AO93)="","",INDEX(Securities!$O$6:$O$105,$AO93))))</f>
        <v/>
      </c>
      <c r="S93" s="85" t="str">
        <f aca="false">IF(OR($P93="",$R93=""),"",$P93*$R93)</f>
        <v/>
      </c>
      <c r="T93" s="92" t="str">
        <f aca="false">IF(OR(NOT(ISNUMBER($L93)),NOT(ISNUMBER($H93))),"",$L93-$H93)</f>
        <v/>
      </c>
      <c r="U93" s="79" t="str">
        <f aca="false">IF($T93="","",IF($X93="","Short Term",IF($T93&gt;$X93,"Long Term","Short Term")))</f>
        <v/>
      </c>
      <c r="V93" s="92" t="str">
        <f aca="false">IF(OR(NOT(ISNUMBER($H93)),N($P93)&lt;=0),"",ValDate-$H93)</f>
        <v/>
      </c>
      <c r="W93" s="79" t="str">
        <f aca="false">IF($V93="","",IF($X93="","Short Term",IF($V93&gt;$X93,"Long Term","Short Term")))</f>
        <v/>
      </c>
      <c r="X93" s="92" t="str">
        <f aca="true">IF($G93="","",IF(ISNA(MATCH($G93,L_Category,0)),"",IF(INDEX(L_CatLT,MATCH($G93,L_Category,0))="","",INDEX(L_CatLT,MATCH($G93,L_Category,0)))))</f>
        <v/>
      </c>
      <c r="Y93" s="83" t="str">
        <f aca="false">IF($AO93="","",IF(INDEX(Securities!$Q$6:$Q$105,$AO93)="","",INDEX(Securities!$Q$6:$Q$105,$AO93)))</f>
        <v/>
      </c>
      <c r="Z93" s="79" t="str">
        <f aca="false">IF($C93="","",IF(OR(NOT(ISNUMBER($H93)),$Y93=""),"No",IF($H93&lt;=GFDate,"Yes","No")))</f>
        <v/>
      </c>
      <c r="AA93" s="85" t="str">
        <f aca="false">IF(OR($M93="",$N93="",$J93=""),"",$M93*($N93-$J93))</f>
        <v/>
      </c>
      <c r="AB93" s="85" t="str">
        <f aca="false">IF(OR(N($P93)&lt;=0,$R93="",$J93=""),"",$P93*($R93-$J93))</f>
        <v/>
      </c>
      <c r="AC93" s="83" t="str">
        <f aca="false">IF(OR($M93="",$N93="",$J93=""),"",IF($Z93="Yes",MAX($J93,MIN($Y93,$N93)),$J93))</f>
        <v/>
      </c>
      <c r="AD93" s="85" t="str">
        <f aca="false">IF($AC93="","",$M93*($N93-$AC93))</f>
        <v/>
      </c>
      <c r="AE93" s="83" t="str">
        <f aca="false">IF(OR(N($P93)&lt;=0,$R93="",$J93=""),"",IF($Z93="Yes",MAX($J93,MIN($Y93,$R93)),$J93))</f>
        <v/>
      </c>
      <c r="AF93" s="85" t="str">
        <f aca="false">IF($AE93="","",$P93*($R93-$AE93))</f>
        <v/>
      </c>
      <c r="AG93" s="92" t="str">
        <f aca="false">IF(OR($V93="",$X93=""),"",MAX(0,$X93+1-$V93))</f>
        <v/>
      </c>
      <c r="AH93" s="93" t="str">
        <f aca="false">IF(OR($X93="",NOT(ISNUMBER($H93)),N($P93)&lt;=0),"",$H93+$X93+1)</f>
        <v/>
      </c>
      <c r="AI93" s="91"/>
      <c r="AJ93" s="85" t="str">
        <f aca="false">IF(OR($AI93="",N($P93)&lt;=0),"",$AI93*$P93)</f>
        <v/>
      </c>
      <c r="AK93" s="79" t="str">
        <f aca="false">IF(NOT(ISNUMBER($L93)),"",IF(MONTH($L93)&gt;=4,YEAR($L93)&amp;"-"&amp;RIGHT(YEAR($L93)+1,2),(YEAR($L93)-1)&amp;"-"&amp;RIGHT(YEAR($L93),2)))</f>
        <v/>
      </c>
      <c r="AL93" s="78"/>
      <c r="AM93" s="79" t="str">
        <f aca="false">IF($A93&amp;$B93&amp;$C93="","",IF($A93="","Missing ID",IF(COUNTIF($A$6:$A$205,$A93)&gt;1,"Duplicate ID",IF($AN93="","Unknown account",IF($AO93="","Unknown security",IF(COUNTIFS(Holdings!$B$6:$B$205,$B93,Holdings!$C$6:$C$205,$C93)=0,"No holding row for this lot",IF(OR($I93="",$J93=""),"Missing purchase quantity or rate",IF(NOT(ISNUMBER($H93)),"Missing purchase date",IF(N($H93)&gt;ValDate,"Purchase after valuation date",IF(N($M93)&gt;N($I93),"Sale quantity exceeds purchase",IF(AND(N($M93)&gt;0,OR(NOT(ISNUMBER($L93)),$N93="")),"Sale date or rate missing",IF(AND(ISNUMBER($L93),N($M93)=0),"Sale date with no quantity",IF(AND(ISNUMBER($L93),N($L93)&lt;N($H93)),"Sale before purchase",IF(N($L93)&gt;ValDate,"Sale after valuation date","OK"))))))))))))))</f>
        <v/>
      </c>
      <c r="AN93" s="89" t="str">
        <f aca="false">IF($B93="","",IFERROR(MATCH($B93,Accounts!$A$6:$A$55,0),""))</f>
        <v/>
      </c>
      <c r="AO93" s="89" t="str">
        <f aca="false">IF($C93="","",IFERROR(MATCH($C93,Securities!$A$6:$A$105,0),""))</f>
        <v/>
      </c>
      <c r="AP93" s="89" t="str">
        <f aca="false">IF($AN93="","",INDEX(Accounts!$B$6:$B$55,$AN93)&amp;"")</f>
        <v/>
      </c>
      <c r="AQ93" s="89" t="str">
        <f aca="false">IF(AND(ISNUMBER($AG93),N($P93)&gt;0),IF(AND(N($AG93)&gt;0,N($AG93)&lt;=SoonDays),1,""),"")</f>
        <v/>
      </c>
      <c r="AR93" s="89" t="str">
        <f aca="false">IF($AQ93&lt;&gt;1,"",SUMPRODUCT(($AQ$6:$AQ$205=1)*ISNUMBER($AG$6:$AG$205)*($AG$6:$AG$205&lt;$AG93))+SUMPRODUCT(($AQ$6:$AQ93=1)*ISNUMBER($AG$6:$AG93)*($AG$6:$AG93=$AG93)))</f>
        <v/>
      </c>
    </row>
    <row r="94" customFormat="false" ht="15" hidden="false" customHeight="false" outlineLevel="0" collapsed="false">
      <c r="A94" s="77"/>
      <c r="B94" s="78"/>
      <c r="C94" s="78"/>
      <c r="D94" s="79" t="str">
        <f aca="false">IF($AN94="","",INDEX(Accounts!$C$6:$C$55,$AN94)&amp;"")</f>
        <v/>
      </c>
      <c r="E94" s="79" t="str">
        <f aca="false">IF($AO94="","",INDEX(Securities!$B$6:$B$105,$AO94)&amp;"")</f>
        <v/>
      </c>
      <c r="F94" s="79" t="str">
        <f aca="false">IF($AO94="","",INDEX(Securities!$C$6:$C$105,$AO94)&amp;"")</f>
        <v/>
      </c>
      <c r="G94" s="79" t="str">
        <f aca="false">IF($AO94="","",INDEX(Securities!$E$6:$E$105,$AO94)&amp;"")</f>
        <v/>
      </c>
      <c r="H94" s="80"/>
      <c r="I94" s="81"/>
      <c r="J94" s="91"/>
      <c r="K94" s="85" t="str">
        <f aca="false">IF(OR($I94="",$J94=""),"",$I94*$J94)</f>
        <v/>
      </c>
      <c r="L94" s="80"/>
      <c r="M94" s="81"/>
      <c r="N94" s="91"/>
      <c r="O94" s="85" t="str">
        <f aca="false">IF(OR($M94="",$N94=""),"",$M94*$N94)</f>
        <v/>
      </c>
      <c r="P94" s="88" t="str">
        <f aca="false">IF($C94="","",N($I94)-N($M94))</f>
        <v/>
      </c>
      <c r="Q94" s="85" t="str">
        <f aca="false">IF(OR($P94="",$J94=""),"",$P94*$J94)</f>
        <v/>
      </c>
      <c r="R94" s="83" t="str">
        <f aca="false">IF($AO94="","",IF(INDEX(Securities!$N$6:$N$105,$AO94)="At cost",IF($J94="","",$J94),IF(INDEX(Securities!$O$6:$O$105,$AO94)="","",INDEX(Securities!$O$6:$O$105,$AO94))))</f>
        <v/>
      </c>
      <c r="S94" s="85" t="str">
        <f aca="false">IF(OR($P94="",$R94=""),"",$P94*$R94)</f>
        <v/>
      </c>
      <c r="T94" s="92" t="str">
        <f aca="false">IF(OR(NOT(ISNUMBER($L94)),NOT(ISNUMBER($H94))),"",$L94-$H94)</f>
        <v/>
      </c>
      <c r="U94" s="79" t="str">
        <f aca="false">IF($T94="","",IF($X94="","Short Term",IF($T94&gt;$X94,"Long Term","Short Term")))</f>
        <v/>
      </c>
      <c r="V94" s="92" t="str">
        <f aca="false">IF(OR(NOT(ISNUMBER($H94)),N($P94)&lt;=0),"",ValDate-$H94)</f>
        <v/>
      </c>
      <c r="W94" s="79" t="str">
        <f aca="false">IF($V94="","",IF($X94="","Short Term",IF($V94&gt;$X94,"Long Term","Short Term")))</f>
        <v/>
      </c>
      <c r="X94" s="92" t="str">
        <f aca="true">IF($G94="","",IF(ISNA(MATCH($G94,L_Category,0)),"",IF(INDEX(L_CatLT,MATCH($G94,L_Category,0))="","",INDEX(L_CatLT,MATCH($G94,L_Category,0)))))</f>
        <v/>
      </c>
      <c r="Y94" s="83" t="str">
        <f aca="false">IF($AO94="","",IF(INDEX(Securities!$Q$6:$Q$105,$AO94)="","",INDEX(Securities!$Q$6:$Q$105,$AO94)))</f>
        <v/>
      </c>
      <c r="Z94" s="79" t="str">
        <f aca="false">IF($C94="","",IF(OR(NOT(ISNUMBER($H94)),$Y94=""),"No",IF($H94&lt;=GFDate,"Yes","No")))</f>
        <v/>
      </c>
      <c r="AA94" s="85" t="str">
        <f aca="false">IF(OR($M94="",$N94="",$J94=""),"",$M94*($N94-$J94))</f>
        <v/>
      </c>
      <c r="AB94" s="85" t="str">
        <f aca="false">IF(OR(N($P94)&lt;=0,$R94="",$J94=""),"",$P94*($R94-$J94))</f>
        <v/>
      </c>
      <c r="AC94" s="83" t="str">
        <f aca="false">IF(OR($M94="",$N94="",$J94=""),"",IF($Z94="Yes",MAX($J94,MIN($Y94,$N94)),$J94))</f>
        <v/>
      </c>
      <c r="AD94" s="85" t="str">
        <f aca="false">IF($AC94="","",$M94*($N94-$AC94))</f>
        <v/>
      </c>
      <c r="AE94" s="83" t="str">
        <f aca="false">IF(OR(N($P94)&lt;=0,$R94="",$J94=""),"",IF($Z94="Yes",MAX($J94,MIN($Y94,$R94)),$J94))</f>
        <v/>
      </c>
      <c r="AF94" s="85" t="str">
        <f aca="false">IF($AE94="","",$P94*($R94-$AE94))</f>
        <v/>
      </c>
      <c r="AG94" s="92" t="str">
        <f aca="false">IF(OR($V94="",$X94=""),"",MAX(0,$X94+1-$V94))</f>
        <v/>
      </c>
      <c r="AH94" s="93" t="str">
        <f aca="false">IF(OR($X94="",NOT(ISNUMBER($H94)),N($P94)&lt;=0),"",$H94+$X94+1)</f>
        <v/>
      </c>
      <c r="AI94" s="91"/>
      <c r="AJ94" s="85" t="str">
        <f aca="false">IF(OR($AI94="",N($P94)&lt;=0),"",$AI94*$P94)</f>
        <v/>
      </c>
      <c r="AK94" s="79" t="str">
        <f aca="false">IF(NOT(ISNUMBER($L94)),"",IF(MONTH($L94)&gt;=4,YEAR($L94)&amp;"-"&amp;RIGHT(YEAR($L94)+1,2),(YEAR($L94)-1)&amp;"-"&amp;RIGHT(YEAR($L94),2)))</f>
        <v/>
      </c>
      <c r="AL94" s="78"/>
      <c r="AM94" s="79" t="str">
        <f aca="false">IF($A94&amp;$B94&amp;$C94="","",IF($A94="","Missing ID",IF(COUNTIF($A$6:$A$205,$A94)&gt;1,"Duplicate ID",IF($AN94="","Unknown account",IF($AO94="","Unknown security",IF(COUNTIFS(Holdings!$B$6:$B$205,$B94,Holdings!$C$6:$C$205,$C94)=0,"No holding row for this lot",IF(OR($I94="",$J94=""),"Missing purchase quantity or rate",IF(NOT(ISNUMBER($H94)),"Missing purchase date",IF(N($H94)&gt;ValDate,"Purchase after valuation date",IF(N($M94)&gt;N($I94),"Sale quantity exceeds purchase",IF(AND(N($M94)&gt;0,OR(NOT(ISNUMBER($L94)),$N94="")),"Sale date or rate missing",IF(AND(ISNUMBER($L94),N($M94)=0),"Sale date with no quantity",IF(AND(ISNUMBER($L94),N($L94)&lt;N($H94)),"Sale before purchase",IF(N($L94)&gt;ValDate,"Sale after valuation date","OK"))))))))))))))</f>
        <v/>
      </c>
      <c r="AN94" s="89" t="str">
        <f aca="false">IF($B94="","",IFERROR(MATCH($B94,Accounts!$A$6:$A$55,0),""))</f>
        <v/>
      </c>
      <c r="AO94" s="89" t="str">
        <f aca="false">IF($C94="","",IFERROR(MATCH($C94,Securities!$A$6:$A$105,0),""))</f>
        <v/>
      </c>
      <c r="AP94" s="89" t="str">
        <f aca="false">IF($AN94="","",INDEX(Accounts!$B$6:$B$55,$AN94)&amp;"")</f>
        <v/>
      </c>
      <c r="AQ94" s="89" t="str">
        <f aca="false">IF(AND(ISNUMBER($AG94),N($P94)&gt;0),IF(AND(N($AG94)&gt;0,N($AG94)&lt;=SoonDays),1,""),"")</f>
        <v/>
      </c>
      <c r="AR94" s="89" t="str">
        <f aca="false">IF($AQ94&lt;&gt;1,"",SUMPRODUCT(($AQ$6:$AQ$205=1)*ISNUMBER($AG$6:$AG$205)*($AG$6:$AG$205&lt;$AG94))+SUMPRODUCT(($AQ$6:$AQ94=1)*ISNUMBER($AG$6:$AG94)*($AG$6:$AG94=$AG94)))</f>
        <v/>
      </c>
    </row>
    <row r="95" customFormat="false" ht="15" hidden="false" customHeight="false" outlineLevel="0" collapsed="false">
      <c r="A95" s="77"/>
      <c r="B95" s="78"/>
      <c r="C95" s="78"/>
      <c r="D95" s="79" t="str">
        <f aca="false">IF($AN95="","",INDEX(Accounts!$C$6:$C$55,$AN95)&amp;"")</f>
        <v/>
      </c>
      <c r="E95" s="79" t="str">
        <f aca="false">IF($AO95="","",INDEX(Securities!$B$6:$B$105,$AO95)&amp;"")</f>
        <v/>
      </c>
      <c r="F95" s="79" t="str">
        <f aca="false">IF($AO95="","",INDEX(Securities!$C$6:$C$105,$AO95)&amp;"")</f>
        <v/>
      </c>
      <c r="G95" s="79" t="str">
        <f aca="false">IF($AO95="","",INDEX(Securities!$E$6:$E$105,$AO95)&amp;"")</f>
        <v/>
      </c>
      <c r="H95" s="80"/>
      <c r="I95" s="81"/>
      <c r="J95" s="91"/>
      <c r="K95" s="85" t="str">
        <f aca="false">IF(OR($I95="",$J95=""),"",$I95*$J95)</f>
        <v/>
      </c>
      <c r="L95" s="80"/>
      <c r="M95" s="81"/>
      <c r="N95" s="91"/>
      <c r="O95" s="85" t="str">
        <f aca="false">IF(OR($M95="",$N95=""),"",$M95*$N95)</f>
        <v/>
      </c>
      <c r="P95" s="88" t="str">
        <f aca="false">IF($C95="","",N($I95)-N($M95))</f>
        <v/>
      </c>
      <c r="Q95" s="85" t="str">
        <f aca="false">IF(OR($P95="",$J95=""),"",$P95*$J95)</f>
        <v/>
      </c>
      <c r="R95" s="83" t="str">
        <f aca="false">IF($AO95="","",IF(INDEX(Securities!$N$6:$N$105,$AO95)="At cost",IF($J95="","",$J95),IF(INDEX(Securities!$O$6:$O$105,$AO95)="","",INDEX(Securities!$O$6:$O$105,$AO95))))</f>
        <v/>
      </c>
      <c r="S95" s="85" t="str">
        <f aca="false">IF(OR($P95="",$R95=""),"",$P95*$R95)</f>
        <v/>
      </c>
      <c r="T95" s="92" t="str">
        <f aca="false">IF(OR(NOT(ISNUMBER($L95)),NOT(ISNUMBER($H95))),"",$L95-$H95)</f>
        <v/>
      </c>
      <c r="U95" s="79" t="str">
        <f aca="false">IF($T95="","",IF($X95="","Short Term",IF($T95&gt;$X95,"Long Term","Short Term")))</f>
        <v/>
      </c>
      <c r="V95" s="92" t="str">
        <f aca="false">IF(OR(NOT(ISNUMBER($H95)),N($P95)&lt;=0),"",ValDate-$H95)</f>
        <v/>
      </c>
      <c r="W95" s="79" t="str">
        <f aca="false">IF($V95="","",IF($X95="","Short Term",IF($V95&gt;$X95,"Long Term","Short Term")))</f>
        <v/>
      </c>
      <c r="X95" s="92" t="str">
        <f aca="true">IF($G95="","",IF(ISNA(MATCH($G95,L_Category,0)),"",IF(INDEX(L_CatLT,MATCH($G95,L_Category,0))="","",INDEX(L_CatLT,MATCH($G95,L_Category,0)))))</f>
        <v/>
      </c>
      <c r="Y95" s="83" t="str">
        <f aca="false">IF($AO95="","",IF(INDEX(Securities!$Q$6:$Q$105,$AO95)="","",INDEX(Securities!$Q$6:$Q$105,$AO95)))</f>
        <v/>
      </c>
      <c r="Z95" s="79" t="str">
        <f aca="false">IF($C95="","",IF(OR(NOT(ISNUMBER($H95)),$Y95=""),"No",IF($H95&lt;=GFDate,"Yes","No")))</f>
        <v/>
      </c>
      <c r="AA95" s="85" t="str">
        <f aca="false">IF(OR($M95="",$N95="",$J95=""),"",$M95*($N95-$J95))</f>
        <v/>
      </c>
      <c r="AB95" s="85" t="str">
        <f aca="false">IF(OR(N($P95)&lt;=0,$R95="",$J95=""),"",$P95*($R95-$J95))</f>
        <v/>
      </c>
      <c r="AC95" s="83" t="str">
        <f aca="false">IF(OR($M95="",$N95="",$J95=""),"",IF($Z95="Yes",MAX($J95,MIN($Y95,$N95)),$J95))</f>
        <v/>
      </c>
      <c r="AD95" s="85" t="str">
        <f aca="false">IF($AC95="","",$M95*($N95-$AC95))</f>
        <v/>
      </c>
      <c r="AE95" s="83" t="str">
        <f aca="false">IF(OR(N($P95)&lt;=0,$R95="",$J95=""),"",IF($Z95="Yes",MAX($J95,MIN($Y95,$R95)),$J95))</f>
        <v/>
      </c>
      <c r="AF95" s="85" t="str">
        <f aca="false">IF($AE95="","",$P95*($R95-$AE95))</f>
        <v/>
      </c>
      <c r="AG95" s="92" t="str">
        <f aca="false">IF(OR($V95="",$X95=""),"",MAX(0,$X95+1-$V95))</f>
        <v/>
      </c>
      <c r="AH95" s="93" t="str">
        <f aca="false">IF(OR($X95="",NOT(ISNUMBER($H95)),N($P95)&lt;=0),"",$H95+$X95+1)</f>
        <v/>
      </c>
      <c r="AI95" s="91"/>
      <c r="AJ95" s="85" t="str">
        <f aca="false">IF(OR($AI95="",N($P95)&lt;=0),"",$AI95*$P95)</f>
        <v/>
      </c>
      <c r="AK95" s="79" t="str">
        <f aca="false">IF(NOT(ISNUMBER($L95)),"",IF(MONTH($L95)&gt;=4,YEAR($L95)&amp;"-"&amp;RIGHT(YEAR($L95)+1,2),(YEAR($L95)-1)&amp;"-"&amp;RIGHT(YEAR($L95),2)))</f>
        <v/>
      </c>
      <c r="AL95" s="78"/>
      <c r="AM95" s="79" t="str">
        <f aca="false">IF($A95&amp;$B95&amp;$C95="","",IF($A95="","Missing ID",IF(COUNTIF($A$6:$A$205,$A95)&gt;1,"Duplicate ID",IF($AN95="","Unknown account",IF($AO95="","Unknown security",IF(COUNTIFS(Holdings!$B$6:$B$205,$B95,Holdings!$C$6:$C$205,$C95)=0,"No holding row for this lot",IF(OR($I95="",$J95=""),"Missing purchase quantity or rate",IF(NOT(ISNUMBER($H95)),"Missing purchase date",IF(N($H95)&gt;ValDate,"Purchase after valuation date",IF(N($M95)&gt;N($I95),"Sale quantity exceeds purchase",IF(AND(N($M95)&gt;0,OR(NOT(ISNUMBER($L95)),$N95="")),"Sale date or rate missing",IF(AND(ISNUMBER($L95),N($M95)=0),"Sale date with no quantity",IF(AND(ISNUMBER($L95),N($L95)&lt;N($H95)),"Sale before purchase",IF(N($L95)&gt;ValDate,"Sale after valuation date","OK"))))))))))))))</f>
        <v/>
      </c>
      <c r="AN95" s="89" t="str">
        <f aca="false">IF($B95="","",IFERROR(MATCH($B95,Accounts!$A$6:$A$55,0),""))</f>
        <v/>
      </c>
      <c r="AO95" s="89" t="str">
        <f aca="false">IF($C95="","",IFERROR(MATCH($C95,Securities!$A$6:$A$105,0),""))</f>
        <v/>
      </c>
      <c r="AP95" s="89" t="str">
        <f aca="false">IF($AN95="","",INDEX(Accounts!$B$6:$B$55,$AN95)&amp;"")</f>
        <v/>
      </c>
      <c r="AQ95" s="89" t="str">
        <f aca="false">IF(AND(ISNUMBER($AG95),N($P95)&gt;0),IF(AND(N($AG95)&gt;0,N($AG95)&lt;=SoonDays),1,""),"")</f>
        <v/>
      </c>
      <c r="AR95" s="89" t="str">
        <f aca="false">IF($AQ95&lt;&gt;1,"",SUMPRODUCT(($AQ$6:$AQ$205=1)*ISNUMBER($AG$6:$AG$205)*($AG$6:$AG$205&lt;$AG95))+SUMPRODUCT(($AQ$6:$AQ95=1)*ISNUMBER($AG$6:$AG95)*($AG$6:$AG95=$AG95)))</f>
        <v/>
      </c>
    </row>
    <row r="96" customFormat="false" ht="15" hidden="false" customHeight="false" outlineLevel="0" collapsed="false">
      <c r="A96" s="77"/>
      <c r="B96" s="78"/>
      <c r="C96" s="78"/>
      <c r="D96" s="79" t="str">
        <f aca="false">IF($AN96="","",INDEX(Accounts!$C$6:$C$55,$AN96)&amp;"")</f>
        <v/>
      </c>
      <c r="E96" s="79" t="str">
        <f aca="false">IF($AO96="","",INDEX(Securities!$B$6:$B$105,$AO96)&amp;"")</f>
        <v/>
      </c>
      <c r="F96" s="79" t="str">
        <f aca="false">IF($AO96="","",INDEX(Securities!$C$6:$C$105,$AO96)&amp;"")</f>
        <v/>
      </c>
      <c r="G96" s="79" t="str">
        <f aca="false">IF($AO96="","",INDEX(Securities!$E$6:$E$105,$AO96)&amp;"")</f>
        <v/>
      </c>
      <c r="H96" s="80"/>
      <c r="I96" s="81"/>
      <c r="J96" s="91"/>
      <c r="K96" s="85" t="str">
        <f aca="false">IF(OR($I96="",$J96=""),"",$I96*$J96)</f>
        <v/>
      </c>
      <c r="L96" s="80"/>
      <c r="M96" s="81"/>
      <c r="N96" s="91"/>
      <c r="O96" s="85" t="str">
        <f aca="false">IF(OR($M96="",$N96=""),"",$M96*$N96)</f>
        <v/>
      </c>
      <c r="P96" s="88" t="str">
        <f aca="false">IF($C96="","",N($I96)-N($M96))</f>
        <v/>
      </c>
      <c r="Q96" s="85" t="str">
        <f aca="false">IF(OR($P96="",$J96=""),"",$P96*$J96)</f>
        <v/>
      </c>
      <c r="R96" s="83" t="str">
        <f aca="false">IF($AO96="","",IF(INDEX(Securities!$N$6:$N$105,$AO96)="At cost",IF($J96="","",$J96),IF(INDEX(Securities!$O$6:$O$105,$AO96)="","",INDEX(Securities!$O$6:$O$105,$AO96))))</f>
        <v/>
      </c>
      <c r="S96" s="85" t="str">
        <f aca="false">IF(OR($P96="",$R96=""),"",$P96*$R96)</f>
        <v/>
      </c>
      <c r="T96" s="92" t="str">
        <f aca="false">IF(OR(NOT(ISNUMBER($L96)),NOT(ISNUMBER($H96))),"",$L96-$H96)</f>
        <v/>
      </c>
      <c r="U96" s="79" t="str">
        <f aca="false">IF($T96="","",IF($X96="","Short Term",IF($T96&gt;$X96,"Long Term","Short Term")))</f>
        <v/>
      </c>
      <c r="V96" s="92" t="str">
        <f aca="false">IF(OR(NOT(ISNUMBER($H96)),N($P96)&lt;=0),"",ValDate-$H96)</f>
        <v/>
      </c>
      <c r="W96" s="79" t="str">
        <f aca="false">IF($V96="","",IF($X96="","Short Term",IF($V96&gt;$X96,"Long Term","Short Term")))</f>
        <v/>
      </c>
      <c r="X96" s="92" t="str">
        <f aca="true">IF($G96="","",IF(ISNA(MATCH($G96,L_Category,0)),"",IF(INDEX(L_CatLT,MATCH($G96,L_Category,0))="","",INDEX(L_CatLT,MATCH($G96,L_Category,0)))))</f>
        <v/>
      </c>
      <c r="Y96" s="83" t="str">
        <f aca="false">IF($AO96="","",IF(INDEX(Securities!$Q$6:$Q$105,$AO96)="","",INDEX(Securities!$Q$6:$Q$105,$AO96)))</f>
        <v/>
      </c>
      <c r="Z96" s="79" t="str">
        <f aca="false">IF($C96="","",IF(OR(NOT(ISNUMBER($H96)),$Y96=""),"No",IF($H96&lt;=GFDate,"Yes","No")))</f>
        <v/>
      </c>
      <c r="AA96" s="85" t="str">
        <f aca="false">IF(OR($M96="",$N96="",$J96=""),"",$M96*($N96-$J96))</f>
        <v/>
      </c>
      <c r="AB96" s="85" t="str">
        <f aca="false">IF(OR(N($P96)&lt;=0,$R96="",$J96=""),"",$P96*($R96-$J96))</f>
        <v/>
      </c>
      <c r="AC96" s="83" t="str">
        <f aca="false">IF(OR($M96="",$N96="",$J96=""),"",IF($Z96="Yes",MAX($J96,MIN($Y96,$N96)),$J96))</f>
        <v/>
      </c>
      <c r="AD96" s="85" t="str">
        <f aca="false">IF($AC96="","",$M96*($N96-$AC96))</f>
        <v/>
      </c>
      <c r="AE96" s="83" t="str">
        <f aca="false">IF(OR(N($P96)&lt;=0,$R96="",$J96=""),"",IF($Z96="Yes",MAX($J96,MIN($Y96,$R96)),$J96))</f>
        <v/>
      </c>
      <c r="AF96" s="85" t="str">
        <f aca="false">IF($AE96="","",$P96*($R96-$AE96))</f>
        <v/>
      </c>
      <c r="AG96" s="92" t="str">
        <f aca="false">IF(OR($V96="",$X96=""),"",MAX(0,$X96+1-$V96))</f>
        <v/>
      </c>
      <c r="AH96" s="93" t="str">
        <f aca="false">IF(OR($X96="",NOT(ISNUMBER($H96)),N($P96)&lt;=0),"",$H96+$X96+1)</f>
        <v/>
      </c>
      <c r="AI96" s="91"/>
      <c r="AJ96" s="85" t="str">
        <f aca="false">IF(OR($AI96="",N($P96)&lt;=0),"",$AI96*$P96)</f>
        <v/>
      </c>
      <c r="AK96" s="79" t="str">
        <f aca="false">IF(NOT(ISNUMBER($L96)),"",IF(MONTH($L96)&gt;=4,YEAR($L96)&amp;"-"&amp;RIGHT(YEAR($L96)+1,2),(YEAR($L96)-1)&amp;"-"&amp;RIGHT(YEAR($L96),2)))</f>
        <v/>
      </c>
      <c r="AL96" s="78"/>
      <c r="AM96" s="79" t="str">
        <f aca="false">IF($A96&amp;$B96&amp;$C96="","",IF($A96="","Missing ID",IF(COUNTIF($A$6:$A$205,$A96)&gt;1,"Duplicate ID",IF($AN96="","Unknown account",IF($AO96="","Unknown security",IF(COUNTIFS(Holdings!$B$6:$B$205,$B96,Holdings!$C$6:$C$205,$C96)=0,"No holding row for this lot",IF(OR($I96="",$J96=""),"Missing purchase quantity or rate",IF(NOT(ISNUMBER($H96)),"Missing purchase date",IF(N($H96)&gt;ValDate,"Purchase after valuation date",IF(N($M96)&gt;N($I96),"Sale quantity exceeds purchase",IF(AND(N($M96)&gt;0,OR(NOT(ISNUMBER($L96)),$N96="")),"Sale date or rate missing",IF(AND(ISNUMBER($L96),N($M96)=0),"Sale date with no quantity",IF(AND(ISNUMBER($L96),N($L96)&lt;N($H96)),"Sale before purchase",IF(N($L96)&gt;ValDate,"Sale after valuation date","OK"))))))))))))))</f>
        <v/>
      </c>
      <c r="AN96" s="89" t="str">
        <f aca="false">IF($B96="","",IFERROR(MATCH($B96,Accounts!$A$6:$A$55,0),""))</f>
        <v/>
      </c>
      <c r="AO96" s="89" t="str">
        <f aca="false">IF($C96="","",IFERROR(MATCH($C96,Securities!$A$6:$A$105,0),""))</f>
        <v/>
      </c>
      <c r="AP96" s="89" t="str">
        <f aca="false">IF($AN96="","",INDEX(Accounts!$B$6:$B$55,$AN96)&amp;"")</f>
        <v/>
      </c>
      <c r="AQ96" s="89" t="str">
        <f aca="false">IF(AND(ISNUMBER($AG96),N($P96)&gt;0),IF(AND(N($AG96)&gt;0,N($AG96)&lt;=SoonDays),1,""),"")</f>
        <v/>
      </c>
      <c r="AR96" s="89" t="str">
        <f aca="false">IF($AQ96&lt;&gt;1,"",SUMPRODUCT(($AQ$6:$AQ$205=1)*ISNUMBER($AG$6:$AG$205)*($AG$6:$AG$205&lt;$AG96))+SUMPRODUCT(($AQ$6:$AQ96=1)*ISNUMBER($AG$6:$AG96)*($AG$6:$AG96=$AG96)))</f>
        <v/>
      </c>
    </row>
    <row r="97" customFormat="false" ht="15" hidden="false" customHeight="false" outlineLevel="0" collapsed="false">
      <c r="A97" s="77"/>
      <c r="B97" s="78"/>
      <c r="C97" s="78"/>
      <c r="D97" s="79" t="str">
        <f aca="false">IF($AN97="","",INDEX(Accounts!$C$6:$C$55,$AN97)&amp;"")</f>
        <v/>
      </c>
      <c r="E97" s="79" t="str">
        <f aca="false">IF($AO97="","",INDEX(Securities!$B$6:$B$105,$AO97)&amp;"")</f>
        <v/>
      </c>
      <c r="F97" s="79" t="str">
        <f aca="false">IF($AO97="","",INDEX(Securities!$C$6:$C$105,$AO97)&amp;"")</f>
        <v/>
      </c>
      <c r="G97" s="79" t="str">
        <f aca="false">IF($AO97="","",INDEX(Securities!$E$6:$E$105,$AO97)&amp;"")</f>
        <v/>
      </c>
      <c r="H97" s="80"/>
      <c r="I97" s="81"/>
      <c r="J97" s="91"/>
      <c r="K97" s="85" t="str">
        <f aca="false">IF(OR($I97="",$J97=""),"",$I97*$J97)</f>
        <v/>
      </c>
      <c r="L97" s="80"/>
      <c r="M97" s="81"/>
      <c r="N97" s="91"/>
      <c r="O97" s="85" t="str">
        <f aca="false">IF(OR($M97="",$N97=""),"",$M97*$N97)</f>
        <v/>
      </c>
      <c r="P97" s="88" t="str">
        <f aca="false">IF($C97="","",N($I97)-N($M97))</f>
        <v/>
      </c>
      <c r="Q97" s="85" t="str">
        <f aca="false">IF(OR($P97="",$J97=""),"",$P97*$J97)</f>
        <v/>
      </c>
      <c r="R97" s="83" t="str">
        <f aca="false">IF($AO97="","",IF(INDEX(Securities!$N$6:$N$105,$AO97)="At cost",IF($J97="","",$J97),IF(INDEX(Securities!$O$6:$O$105,$AO97)="","",INDEX(Securities!$O$6:$O$105,$AO97))))</f>
        <v/>
      </c>
      <c r="S97" s="85" t="str">
        <f aca="false">IF(OR($P97="",$R97=""),"",$P97*$R97)</f>
        <v/>
      </c>
      <c r="T97" s="92" t="str">
        <f aca="false">IF(OR(NOT(ISNUMBER($L97)),NOT(ISNUMBER($H97))),"",$L97-$H97)</f>
        <v/>
      </c>
      <c r="U97" s="79" t="str">
        <f aca="false">IF($T97="","",IF($X97="","Short Term",IF($T97&gt;$X97,"Long Term","Short Term")))</f>
        <v/>
      </c>
      <c r="V97" s="92" t="str">
        <f aca="false">IF(OR(NOT(ISNUMBER($H97)),N($P97)&lt;=0),"",ValDate-$H97)</f>
        <v/>
      </c>
      <c r="W97" s="79" t="str">
        <f aca="false">IF($V97="","",IF($X97="","Short Term",IF($V97&gt;$X97,"Long Term","Short Term")))</f>
        <v/>
      </c>
      <c r="X97" s="92" t="str">
        <f aca="true">IF($G97="","",IF(ISNA(MATCH($G97,L_Category,0)),"",IF(INDEX(L_CatLT,MATCH($G97,L_Category,0))="","",INDEX(L_CatLT,MATCH($G97,L_Category,0)))))</f>
        <v/>
      </c>
      <c r="Y97" s="83" t="str">
        <f aca="false">IF($AO97="","",IF(INDEX(Securities!$Q$6:$Q$105,$AO97)="","",INDEX(Securities!$Q$6:$Q$105,$AO97)))</f>
        <v/>
      </c>
      <c r="Z97" s="79" t="str">
        <f aca="false">IF($C97="","",IF(OR(NOT(ISNUMBER($H97)),$Y97=""),"No",IF($H97&lt;=GFDate,"Yes","No")))</f>
        <v/>
      </c>
      <c r="AA97" s="85" t="str">
        <f aca="false">IF(OR($M97="",$N97="",$J97=""),"",$M97*($N97-$J97))</f>
        <v/>
      </c>
      <c r="AB97" s="85" t="str">
        <f aca="false">IF(OR(N($P97)&lt;=0,$R97="",$J97=""),"",$P97*($R97-$J97))</f>
        <v/>
      </c>
      <c r="AC97" s="83" t="str">
        <f aca="false">IF(OR($M97="",$N97="",$J97=""),"",IF($Z97="Yes",MAX($J97,MIN($Y97,$N97)),$J97))</f>
        <v/>
      </c>
      <c r="AD97" s="85" t="str">
        <f aca="false">IF($AC97="","",$M97*($N97-$AC97))</f>
        <v/>
      </c>
      <c r="AE97" s="83" t="str">
        <f aca="false">IF(OR(N($P97)&lt;=0,$R97="",$J97=""),"",IF($Z97="Yes",MAX($J97,MIN($Y97,$R97)),$J97))</f>
        <v/>
      </c>
      <c r="AF97" s="85" t="str">
        <f aca="false">IF($AE97="","",$P97*($R97-$AE97))</f>
        <v/>
      </c>
      <c r="AG97" s="92" t="str">
        <f aca="false">IF(OR($V97="",$X97=""),"",MAX(0,$X97+1-$V97))</f>
        <v/>
      </c>
      <c r="AH97" s="93" t="str">
        <f aca="false">IF(OR($X97="",NOT(ISNUMBER($H97)),N($P97)&lt;=0),"",$H97+$X97+1)</f>
        <v/>
      </c>
      <c r="AI97" s="91"/>
      <c r="AJ97" s="85" t="str">
        <f aca="false">IF(OR($AI97="",N($P97)&lt;=0),"",$AI97*$P97)</f>
        <v/>
      </c>
      <c r="AK97" s="79" t="str">
        <f aca="false">IF(NOT(ISNUMBER($L97)),"",IF(MONTH($L97)&gt;=4,YEAR($L97)&amp;"-"&amp;RIGHT(YEAR($L97)+1,2),(YEAR($L97)-1)&amp;"-"&amp;RIGHT(YEAR($L97),2)))</f>
        <v/>
      </c>
      <c r="AL97" s="78"/>
      <c r="AM97" s="79" t="str">
        <f aca="false">IF($A97&amp;$B97&amp;$C97="","",IF($A97="","Missing ID",IF(COUNTIF($A$6:$A$205,$A97)&gt;1,"Duplicate ID",IF($AN97="","Unknown account",IF($AO97="","Unknown security",IF(COUNTIFS(Holdings!$B$6:$B$205,$B97,Holdings!$C$6:$C$205,$C97)=0,"No holding row for this lot",IF(OR($I97="",$J97=""),"Missing purchase quantity or rate",IF(NOT(ISNUMBER($H97)),"Missing purchase date",IF(N($H97)&gt;ValDate,"Purchase after valuation date",IF(N($M97)&gt;N($I97),"Sale quantity exceeds purchase",IF(AND(N($M97)&gt;0,OR(NOT(ISNUMBER($L97)),$N97="")),"Sale date or rate missing",IF(AND(ISNUMBER($L97),N($M97)=0),"Sale date with no quantity",IF(AND(ISNUMBER($L97),N($L97)&lt;N($H97)),"Sale before purchase",IF(N($L97)&gt;ValDate,"Sale after valuation date","OK"))))))))))))))</f>
        <v/>
      </c>
      <c r="AN97" s="89" t="str">
        <f aca="false">IF($B97="","",IFERROR(MATCH($B97,Accounts!$A$6:$A$55,0),""))</f>
        <v/>
      </c>
      <c r="AO97" s="89" t="str">
        <f aca="false">IF($C97="","",IFERROR(MATCH($C97,Securities!$A$6:$A$105,0),""))</f>
        <v/>
      </c>
      <c r="AP97" s="89" t="str">
        <f aca="false">IF($AN97="","",INDEX(Accounts!$B$6:$B$55,$AN97)&amp;"")</f>
        <v/>
      </c>
      <c r="AQ97" s="89" t="str">
        <f aca="false">IF(AND(ISNUMBER($AG97),N($P97)&gt;0),IF(AND(N($AG97)&gt;0,N($AG97)&lt;=SoonDays),1,""),"")</f>
        <v/>
      </c>
      <c r="AR97" s="89" t="str">
        <f aca="false">IF($AQ97&lt;&gt;1,"",SUMPRODUCT(($AQ$6:$AQ$205=1)*ISNUMBER($AG$6:$AG$205)*($AG$6:$AG$205&lt;$AG97))+SUMPRODUCT(($AQ$6:$AQ97=1)*ISNUMBER($AG$6:$AG97)*($AG$6:$AG97=$AG97)))</f>
        <v/>
      </c>
    </row>
    <row r="98" customFormat="false" ht="15" hidden="false" customHeight="false" outlineLevel="0" collapsed="false">
      <c r="A98" s="77"/>
      <c r="B98" s="78"/>
      <c r="C98" s="78"/>
      <c r="D98" s="79" t="str">
        <f aca="false">IF($AN98="","",INDEX(Accounts!$C$6:$C$55,$AN98)&amp;"")</f>
        <v/>
      </c>
      <c r="E98" s="79" t="str">
        <f aca="false">IF($AO98="","",INDEX(Securities!$B$6:$B$105,$AO98)&amp;"")</f>
        <v/>
      </c>
      <c r="F98" s="79" t="str">
        <f aca="false">IF($AO98="","",INDEX(Securities!$C$6:$C$105,$AO98)&amp;"")</f>
        <v/>
      </c>
      <c r="G98" s="79" t="str">
        <f aca="false">IF($AO98="","",INDEX(Securities!$E$6:$E$105,$AO98)&amp;"")</f>
        <v/>
      </c>
      <c r="H98" s="80"/>
      <c r="I98" s="81"/>
      <c r="J98" s="91"/>
      <c r="K98" s="85" t="str">
        <f aca="false">IF(OR($I98="",$J98=""),"",$I98*$J98)</f>
        <v/>
      </c>
      <c r="L98" s="80"/>
      <c r="M98" s="81"/>
      <c r="N98" s="91"/>
      <c r="O98" s="85" t="str">
        <f aca="false">IF(OR($M98="",$N98=""),"",$M98*$N98)</f>
        <v/>
      </c>
      <c r="P98" s="88" t="str">
        <f aca="false">IF($C98="","",N($I98)-N($M98))</f>
        <v/>
      </c>
      <c r="Q98" s="85" t="str">
        <f aca="false">IF(OR($P98="",$J98=""),"",$P98*$J98)</f>
        <v/>
      </c>
      <c r="R98" s="83" t="str">
        <f aca="false">IF($AO98="","",IF(INDEX(Securities!$N$6:$N$105,$AO98)="At cost",IF($J98="","",$J98),IF(INDEX(Securities!$O$6:$O$105,$AO98)="","",INDEX(Securities!$O$6:$O$105,$AO98))))</f>
        <v/>
      </c>
      <c r="S98" s="85" t="str">
        <f aca="false">IF(OR($P98="",$R98=""),"",$P98*$R98)</f>
        <v/>
      </c>
      <c r="T98" s="92" t="str">
        <f aca="false">IF(OR(NOT(ISNUMBER($L98)),NOT(ISNUMBER($H98))),"",$L98-$H98)</f>
        <v/>
      </c>
      <c r="U98" s="79" t="str">
        <f aca="false">IF($T98="","",IF($X98="","Short Term",IF($T98&gt;$X98,"Long Term","Short Term")))</f>
        <v/>
      </c>
      <c r="V98" s="92" t="str">
        <f aca="false">IF(OR(NOT(ISNUMBER($H98)),N($P98)&lt;=0),"",ValDate-$H98)</f>
        <v/>
      </c>
      <c r="W98" s="79" t="str">
        <f aca="false">IF($V98="","",IF($X98="","Short Term",IF($V98&gt;$X98,"Long Term","Short Term")))</f>
        <v/>
      </c>
      <c r="X98" s="92" t="str">
        <f aca="true">IF($G98="","",IF(ISNA(MATCH($G98,L_Category,0)),"",IF(INDEX(L_CatLT,MATCH($G98,L_Category,0))="","",INDEX(L_CatLT,MATCH($G98,L_Category,0)))))</f>
        <v/>
      </c>
      <c r="Y98" s="83" t="str">
        <f aca="false">IF($AO98="","",IF(INDEX(Securities!$Q$6:$Q$105,$AO98)="","",INDEX(Securities!$Q$6:$Q$105,$AO98)))</f>
        <v/>
      </c>
      <c r="Z98" s="79" t="str">
        <f aca="false">IF($C98="","",IF(OR(NOT(ISNUMBER($H98)),$Y98=""),"No",IF($H98&lt;=GFDate,"Yes","No")))</f>
        <v/>
      </c>
      <c r="AA98" s="85" t="str">
        <f aca="false">IF(OR($M98="",$N98="",$J98=""),"",$M98*($N98-$J98))</f>
        <v/>
      </c>
      <c r="AB98" s="85" t="str">
        <f aca="false">IF(OR(N($P98)&lt;=0,$R98="",$J98=""),"",$P98*($R98-$J98))</f>
        <v/>
      </c>
      <c r="AC98" s="83" t="str">
        <f aca="false">IF(OR($M98="",$N98="",$J98=""),"",IF($Z98="Yes",MAX($J98,MIN($Y98,$N98)),$J98))</f>
        <v/>
      </c>
      <c r="AD98" s="85" t="str">
        <f aca="false">IF($AC98="","",$M98*($N98-$AC98))</f>
        <v/>
      </c>
      <c r="AE98" s="83" t="str">
        <f aca="false">IF(OR(N($P98)&lt;=0,$R98="",$J98=""),"",IF($Z98="Yes",MAX($J98,MIN($Y98,$R98)),$J98))</f>
        <v/>
      </c>
      <c r="AF98" s="85" t="str">
        <f aca="false">IF($AE98="","",$P98*($R98-$AE98))</f>
        <v/>
      </c>
      <c r="AG98" s="92" t="str">
        <f aca="false">IF(OR($V98="",$X98=""),"",MAX(0,$X98+1-$V98))</f>
        <v/>
      </c>
      <c r="AH98" s="93" t="str">
        <f aca="false">IF(OR($X98="",NOT(ISNUMBER($H98)),N($P98)&lt;=0),"",$H98+$X98+1)</f>
        <v/>
      </c>
      <c r="AI98" s="91"/>
      <c r="AJ98" s="85" t="str">
        <f aca="false">IF(OR($AI98="",N($P98)&lt;=0),"",$AI98*$P98)</f>
        <v/>
      </c>
      <c r="AK98" s="79" t="str">
        <f aca="false">IF(NOT(ISNUMBER($L98)),"",IF(MONTH($L98)&gt;=4,YEAR($L98)&amp;"-"&amp;RIGHT(YEAR($L98)+1,2),(YEAR($L98)-1)&amp;"-"&amp;RIGHT(YEAR($L98),2)))</f>
        <v/>
      </c>
      <c r="AL98" s="78"/>
      <c r="AM98" s="79" t="str">
        <f aca="false">IF($A98&amp;$B98&amp;$C98="","",IF($A98="","Missing ID",IF(COUNTIF($A$6:$A$205,$A98)&gt;1,"Duplicate ID",IF($AN98="","Unknown account",IF($AO98="","Unknown security",IF(COUNTIFS(Holdings!$B$6:$B$205,$B98,Holdings!$C$6:$C$205,$C98)=0,"No holding row for this lot",IF(OR($I98="",$J98=""),"Missing purchase quantity or rate",IF(NOT(ISNUMBER($H98)),"Missing purchase date",IF(N($H98)&gt;ValDate,"Purchase after valuation date",IF(N($M98)&gt;N($I98),"Sale quantity exceeds purchase",IF(AND(N($M98)&gt;0,OR(NOT(ISNUMBER($L98)),$N98="")),"Sale date or rate missing",IF(AND(ISNUMBER($L98),N($M98)=0),"Sale date with no quantity",IF(AND(ISNUMBER($L98),N($L98)&lt;N($H98)),"Sale before purchase",IF(N($L98)&gt;ValDate,"Sale after valuation date","OK"))))))))))))))</f>
        <v/>
      </c>
      <c r="AN98" s="89" t="str">
        <f aca="false">IF($B98="","",IFERROR(MATCH($B98,Accounts!$A$6:$A$55,0),""))</f>
        <v/>
      </c>
      <c r="AO98" s="89" t="str">
        <f aca="false">IF($C98="","",IFERROR(MATCH($C98,Securities!$A$6:$A$105,0),""))</f>
        <v/>
      </c>
      <c r="AP98" s="89" t="str">
        <f aca="false">IF($AN98="","",INDEX(Accounts!$B$6:$B$55,$AN98)&amp;"")</f>
        <v/>
      </c>
      <c r="AQ98" s="89" t="str">
        <f aca="false">IF(AND(ISNUMBER($AG98),N($P98)&gt;0),IF(AND(N($AG98)&gt;0,N($AG98)&lt;=SoonDays),1,""),"")</f>
        <v/>
      </c>
      <c r="AR98" s="89" t="str">
        <f aca="false">IF($AQ98&lt;&gt;1,"",SUMPRODUCT(($AQ$6:$AQ$205=1)*ISNUMBER($AG$6:$AG$205)*($AG$6:$AG$205&lt;$AG98))+SUMPRODUCT(($AQ$6:$AQ98=1)*ISNUMBER($AG$6:$AG98)*($AG$6:$AG98=$AG98)))</f>
        <v/>
      </c>
    </row>
    <row r="99" customFormat="false" ht="15" hidden="false" customHeight="false" outlineLevel="0" collapsed="false">
      <c r="A99" s="77"/>
      <c r="B99" s="78"/>
      <c r="C99" s="78"/>
      <c r="D99" s="79" t="str">
        <f aca="false">IF($AN99="","",INDEX(Accounts!$C$6:$C$55,$AN99)&amp;"")</f>
        <v/>
      </c>
      <c r="E99" s="79" t="str">
        <f aca="false">IF($AO99="","",INDEX(Securities!$B$6:$B$105,$AO99)&amp;"")</f>
        <v/>
      </c>
      <c r="F99" s="79" t="str">
        <f aca="false">IF($AO99="","",INDEX(Securities!$C$6:$C$105,$AO99)&amp;"")</f>
        <v/>
      </c>
      <c r="G99" s="79" t="str">
        <f aca="false">IF($AO99="","",INDEX(Securities!$E$6:$E$105,$AO99)&amp;"")</f>
        <v/>
      </c>
      <c r="H99" s="80"/>
      <c r="I99" s="81"/>
      <c r="J99" s="91"/>
      <c r="K99" s="85" t="str">
        <f aca="false">IF(OR($I99="",$J99=""),"",$I99*$J99)</f>
        <v/>
      </c>
      <c r="L99" s="80"/>
      <c r="M99" s="81"/>
      <c r="N99" s="91"/>
      <c r="O99" s="85" t="str">
        <f aca="false">IF(OR($M99="",$N99=""),"",$M99*$N99)</f>
        <v/>
      </c>
      <c r="P99" s="88" t="str">
        <f aca="false">IF($C99="","",N($I99)-N($M99))</f>
        <v/>
      </c>
      <c r="Q99" s="85" t="str">
        <f aca="false">IF(OR($P99="",$J99=""),"",$P99*$J99)</f>
        <v/>
      </c>
      <c r="R99" s="83" t="str">
        <f aca="false">IF($AO99="","",IF(INDEX(Securities!$N$6:$N$105,$AO99)="At cost",IF($J99="","",$J99),IF(INDEX(Securities!$O$6:$O$105,$AO99)="","",INDEX(Securities!$O$6:$O$105,$AO99))))</f>
        <v/>
      </c>
      <c r="S99" s="85" t="str">
        <f aca="false">IF(OR($P99="",$R99=""),"",$P99*$R99)</f>
        <v/>
      </c>
      <c r="T99" s="92" t="str">
        <f aca="false">IF(OR(NOT(ISNUMBER($L99)),NOT(ISNUMBER($H99))),"",$L99-$H99)</f>
        <v/>
      </c>
      <c r="U99" s="79" t="str">
        <f aca="false">IF($T99="","",IF($X99="","Short Term",IF($T99&gt;$X99,"Long Term","Short Term")))</f>
        <v/>
      </c>
      <c r="V99" s="92" t="str">
        <f aca="false">IF(OR(NOT(ISNUMBER($H99)),N($P99)&lt;=0),"",ValDate-$H99)</f>
        <v/>
      </c>
      <c r="W99" s="79" t="str">
        <f aca="false">IF($V99="","",IF($X99="","Short Term",IF($V99&gt;$X99,"Long Term","Short Term")))</f>
        <v/>
      </c>
      <c r="X99" s="92" t="str">
        <f aca="true">IF($G99="","",IF(ISNA(MATCH($G99,L_Category,0)),"",IF(INDEX(L_CatLT,MATCH($G99,L_Category,0))="","",INDEX(L_CatLT,MATCH($G99,L_Category,0)))))</f>
        <v/>
      </c>
      <c r="Y99" s="83" t="str">
        <f aca="false">IF($AO99="","",IF(INDEX(Securities!$Q$6:$Q$105,$AO99)="","",INDEX(Securities!$Q$6:$Q$105,$AO99)))</f>
        <v/>
      </c>
      <c r="Z99" s="79" t="str">
        <f aca="false">IF($C99="","",IF(OR(NOT(ISNUMBER($H99)),$Y99=""),"No",IF($H99&lt;=GFDate,"Yes","No")))</f>
        <v/>
      </c>
      <c r="AA99" s="85" t="str">
        <f aca="false">IF(OR($M99="",$N99="",$J99=""),"",$M99*($N99-$J99))</f>
        <v/>
      </c>
      <c r="AB99" s="85" t="str">
        <f aca="false">IF(OR(N($P99)&lt;=0,$R99="",$J99=""),"",$P99*($R99-$J99))</f>
        <v/>
      </c>
      <c r="AC99" s="83" t="str">
        <f aca="false">IF(OR($M99="",$N99="",$J99=""),"",IF($Z99="Yes",MAX($J99,MIN($Y99,$N99)),$J99))</f>
        <v/>
      </c>
      <c r="AD99" s="85" t="str">
        <f aca="false">IF($AC99="","",$M99*($N99-$AC99))</f>
        <v/>
      </c>
      <c r="AE99" s="83" t="str">
        <f aca="false">IF(OR(N($P99)&lt;=0,$R99="",$J99=""),"",IF($Z99="Yes",MAX($J99,MIN($Y99,$R99)),$J99))</f>
        <v/>
      </c>
      <c r="AF99" s="85" t="str">
        <f aca="false">IF($AE99="","",$P99*($R99-$AE99))</f>
        <v/>
      </c>
      <c r="AG99" s="92" t="str">
        <f aca="false">IF(OR($V99="",$X99=""),"",MAX(0,$X99+1-$V99))</f>
        <v/>
      </c>
      <c r="AH99" s="93" t="str">
        <f aca="false">IF(OR($X99="",NOT(ISNUMBER($H99)),N($P99)&lt;=0),"",$H99+$X99+1)</f>
        <v/>
      </c>
      <c r="AI99" s="91"/>
      <c r="AJ99" s="85" t="str">
        <f aca="false">IF(OR($AI99="",N($P99)&lt;=0),"",$AI99*$P99)</f>
        <v/>
      </c>
      <c r="AK99" s="79" t="str">
        <f aca="false">IF(NOT(ISNUMBER($L99)),"",IF(MONTH($L99)&gt;=4,YEAR($L99)&amp;"-"&amp;RIGHT(YEAR($L99)+1,2),(YEAR($L99)-1)&amp;"-"&amp;RIGHT(YEAR($L99),2)))</f>
        <v/>
      </c>
      <c r="AL99" s="78"/>
      <c r="AM99" s="79" t="str">
        <f aca="false">IF($A99&amp;$B99&amp;$C99="","",IF($A99="","Missing ID",IF(COUNTIF($A$6:$A$205,$A99)&gt;1,"Duplicate ID",IF($AN99="","Unknown account",IF($AO99="","Unknown security",IF(COUNTIFS(Holdings!$B$6:$B$205,$B99,Holdings!$C$6:$C$205,$C99)=0,"No holding row for this lot",IF(OR($I99="",$J99=""),"Missing purchase quantity or rate",IF(NOT(ISNUMBER($H99)),"Missing purchase date",IF(N($H99)&gt;ValDate,"Purchase after valuation date",IF(N($M99)&gt;N($I99),"Sale quantity exceeds purchase",IF(AND(N($M99)&gt;0,OR(NOT(ISNUMBER($L99)),$N99="")),"Sale date or rate missing",IF(AND(ISNUMBER($L99),N($M99)=0),"Sale date with no quantity",IF(AND(ISNUMBER($L99),N($L99)&lt;N($H99)),"Sale before purchase",IF(N($L99)&gt;ValDate,"Sale after valuation date","OK"))))))))))))))</f>
        <v/>
      </c>
      <c r="AN99" s="89" t="str">
        <f aca="false">IF($B99="","",IFERROR(MATCH($B99,Accounts!$A$6:$A$55,0),""))</f>
        <v/>
      </c>
      <c r="AO99" s="89" t="str">
        <f aca="false">IF($C99="","",IFERROR(MATCH($C99,Securities!$A$6:$A$105,0),""))</f>
        <v/>
      </c>
      <c r="AP99" s="89" t="str">
        <f aca="false">IF($AN99="","",INDEX(Accounts!$B$6:$B$55,$AN99)&amp;"")</f>
        <v/>
      </c>
      <c r="AQ99" s="89" t="str">
        <f aca="false">IF(AND(ISNUMBER($AG99),N($P99)&gt;0),IF(AND(N($AG99)&gt;0,N($AG99)&lt;=SoonDays),1,""),"")</f>
        <v/>
      </c>
      <c r="AR99" s="89" t="str">
        <f aca="false">IF($AQ99&lt;&gt;1,"",SUMPRODUCT(($AQ$6:$AQ$205=1)*ISNUMBER($AG$6:$AG$205)*($AG$6:$AG$205&lt;$AG99))+SUMPRODUCT(($AQ$6:$AQ99=1)*ISNUMBER($AG$6:$AG99)*($AG$6:$AG99=$AG99)))</f>
        <v/>
      </c>
    </row>
    <row r="100" customFormat="false" ht="15" hidden="false" customHeight="false" outlineLevel="0" collapsed="false">
      <c r="A100" s="77"/>
      <c r="B100" s="78"/>
      <c r="C100" s="78"/>
      <c r="D100" s="79" t="str">
        <f aca="false">IF($AN100="","",INDEX(Accounts!$C$6:$C$55,$AN100)&amp;"")</f>
        <v/>
      </c>
      <c r="E100" s="79" t="str">
        <f aca="false">IF($AO100="","",INDEX(Securities!$B$6:$B$105,$AO100)&amp;"")</f>
        <v/>
      </c>
      <c r="F100" s="79" t="str">
        <f aca="false">IF($AO100="","",INDEX(Securities!$C$6:$C$105,$AO100)&amp;"")</f>
        <v/>
      </c>
      <c r="G100" s="79" t="str">
        <f aca="false">IF($AO100="","",INDEX(Securities!$E$6:$E$105,$AO100)&amp;"")</f>
        <v/>
      </c>
      <c r="H100" s="80"/>
      <c r="I100" s="81"/>
      <c r="J100" s="91"/>
      <c r="K100" s="85" t="str">
        <f aca="false">IF(OR($I100="",$J100=""),"",$I100*$J100)</f>
        <v/>
      </c>
      <c r="L100" s="80"/>
      <c r="M100" s="81"/>
      <c r="N100" s="91"/>
      <c r="O100" s="85" t="str">
        <f aca="false">IF(OR($M100="",$N100=""),"",$M100*$N100)</f>
        <v/>
      </c>
      <c r="P100" s="88" t="str">
        <f aca="false">IF($C100="","",N($I100)-N($M100))</f>
        <v/>
      </c>
      <c r="Q100" s="85" t="str">
        <f aca="false">IF(OR($P100="",$J100=""),"",$P100*$J100)</f>
        <v/>
      </c>
      <c r="R100" s="83" t="str">
        <f aca="false">IF($AO100="","",IF(INDEX(Securities!$N$6:$N$105,$AO100)="At cost",IF($J100="","",$J100),IF(INDEX(Securities!$O$6:$O$105,$AO100)="","",INDEX(Securities!$O$6:$O$105,$AO100))))</f>
        <v/>
      </c>
      <c r="S100" s="85" t="str">
        <f aca="false">IF(OR($P100="",$R100=""),"",$P100*$R100)</f>
        <v/>
      </c>
      <c r="T100" s="92" t="str">
        <f aca="false">IF(OR(NOT(ISNUMBER($L100)),NOT(ISNUMBER($H100))),"",$L100-$H100)</f>
        <v/>
      </c>
      <c r="U100" s="79" t="str">
        <f aca="false">IF($T100="","",IF($X100="","Short Term",IF($T100&gt;$X100,"Long Term","Short Term")))</f>
        <v/>
      </c>
      <c r="V100" s="92" t="str">
        <f aca="false">IF(OR(NOT(ISNUMBER($H100)),N($P100)&lt;=0),"",ValDate-$H100)</f>
        <v/>
      </c>
      <c r="W100" s="79" t="str">
        <f aca="false">IF($V100="","",IF($X100="","Short Term",IF($V100&gt;$X100,"Long Term","Short Term")))</f>
        <v/>
      </c>
      <c r="X100" s="92" t="str">
        <f aca="true">IF($G100="","",IF(ISNA(MATCH($G100,L_Category,0)),"",IF(INDEX(L_CatLT,MATCH($G100,L_Category,0))="","",INDEX(L_CatLT,MATCH($G100,L_Category,0)))))</f>
        <v/>
      </c>
      <c r="Y100" s="83" t="str">
        <f aca="false">IF($AO100="","",IF(INDEX(Securities!$Q$6:$Q$105,$AO100)="","",INDEX(Securities!$Q$6:$Q$105,$AO100)))</f>
        <v/>
      </c>
      <c r="Z100" s="79" t="str">
        <f aca="false">IF($C100="","",IF(OR(NOT(ISNUMBER($H100)),$Y100=""),"No",IF($H100&lt;=GFDate,"Yes","No")))</f>
        <v/>
      </c>
      <c r="AA100" s="85" t="str">
        <f aca="false">IF(OR($M100="",$N100="",$J100=""),"",$M100*($N100-$J100))</f>
        <v/>
      </c>
      <c r="AB100" s="85" t="str">
        <f aca="false">IF(OR(N($P100)&lt;=0,$R100="",$J100=""),"",$P100*($R100-$J100))</f>
        <v/>
      </c>
      <c r="AC100" s="83" t="str">
        <f aca="false">IF(OR($M100="",$N100="",$J100=""),"",IF($Z100="Yes",MAX($J100,MIN($Y100,$N100)),$J100))</f>
        <v/>
      </c>
      <c r="AD100" s="85" t="str">
        <f aca="false">IF($AC100="","",$M100*($N100-$AC100))</f>
        <v/>
      </c>
      <c r="AE100" s="83" t="str">
        <f aca="false">IF(OR(N($P100)&lt;=0,$R100="",$J100=""),"",IF($Z100="Yes",MAX($J100,MIN($Y100,$R100)),$J100))</f>
        <v/>
      </c>
      <c r="AF100" s="85" t="str">
        <f aca="false">IF($AE100="","",$P100*($R100-$AE100))</f>
        <v/>
      </c>
      <c r="AG100" s="92" t="str">
        <f aca="false">IF(OR($V100="",$X100=""),"",MAX(0,$X100+1-$V100))</f>
        <v/>
      </c>
      <c r="AH100" s="93" t="str">
        <f aca="false">IF(OR($X100="",NOT(ISNUMBER($H100)),N($P100)&lt;=0),"",$H100+$X100+1)</f>
        <v/>
      </c>
      <c r="AI100" s="91"/>
      <c r="AJ100" s="85" t="str">
        <f aca="false">IF(OR($AI100="",N($P100)&lt;=0),"",$AI100*$P100)</f>
        <v/>
      </c>
      <c r="AK100" s="79" t="str">
        <f aca="false">IF(NOT(ISNUMBER($L100)),"",IF(MONTH($L100)&gt;=4,YEAR($L100)&amp;"-"&amp;RIGHT(YEAR($L100)+1,2),(YEAR($L100)-1)&amp;"-"&amp;RIGHT(YEAR($L100),2)))</f>
        <v/>
      </c>
      <c r="AL100" s="78"/>
      <c r="AM100" s="79" t="str">
        <f aca="false">IF($A100&amp;$B100&amp;$C100="","",IF($A100="","Missing ID",IF(COUNTIF($A$6:$A$205,$A100)&gt;1,"Duplicate ID",IF($AN100="","Unknown account",IF($AO100="","Unknown security",IF(COUNTIFS(Holdings!$B$6:$B$205,$B100,Holdings!$C$6:$C$205,$C100)=0,"No holding row for this lot",IF(OR($I100="",$J100=""),"Missing purchase quantity or rate",IF(NOT(ISNUMBER($H100)),"Missing purchase date",IF(N($H100)&gt;ValDate,"Purchase after valuation date",IF(N($M100)&gt;N($I100),"Sale quantity exceeds purchase",IF(AND(N($M100)&gt;0,OR(NOT(ISNUMBER($L100)),$N100="")),"Sale date or rate missing",IF(AND(ISNUMBER($L100),N($M100)=0),"Sale date with no quantity",IF(AND(ISNUMBER($L100),N($L100)&lt;N($H100)),"Sale before purchase",IF(N($L100)&gt;ValDate,"Sale after valuation date","OK"))))))))))))))</f>
        <v/>
      </c>
      <c r="AN100" s="89" t="str">
        <f aca="false">IF($B100="","",IFERROR(MATCH($B100,Accounts!$A$6:$A$55,0),""))</f>
        <v/>
      </c>
      <c r="AO100" s="89" t="str">
        <f aca="false">IF($C100="","",IFERROR(MATCH($C100,Securities!$A$6:$A$105,0),""))</f>
        <v/>
      </c>
      <c r="AP100" s="89" t="str">
        <f aca="false">IF($AN100="","",INDEX(Accounts!$B$6:$B$55,$AN100)&amp;"")</f>
        <v/>
      </c>
      <c r="AQ100" s="89" t="str">
        <f aca="false">IF(AND(ISNUMBER($AG100),N($P100)&gt;0),IF(AND(N($AG100)&gt;0,N($AG100)&lt;=SoonDays),1,""),"")</f>
        <v/>
      </c>
      <c r="AR100" s="89" t="str">
        <f aca="false">IF($AQ100&lt;&gt;1,"",SUMPRODUCT(($AQ$6:$AQ$205=1)*ISNUMBER($AG$6:$AG$205)*($AG$6:$AG$205&lt;$AG100))+SUMPRODUCT(($AQ$6:$AQ100=1)*ISNUMBER($AG$6:$AG100)*($AG$6:$AG100=$AG100)))</f>
        <v/>
      </c>
    </row>
    <row r="101" customFormat="false" ht="15" hidden="false" customHeight="false" outlineLevel="0" collapsed="false">
      <c r="A101" s="77"/>
      <c r="B101" s="78"/>
      <c r="C101" s="78"/>
      <c r="D101" s="79" t="str">
        <f aca="false">IF($AN101="","",INDEX(Accounts!$C$6:$C$55,$AN101)&amp;"")</f>
        <v/>
      </c>
      <c r="E101" s="79" t="str">
        <f aca="false">IF($AO101="","",INDEX(Securities!$B$6:$B$105,$AO101)&amp;"")</f>
        <v/>
      </c>
      <c r="F101" s="79" t="str">
        <f aca="false">IF($AO101="","",INDEX(Securities!$C$6:$C$105,$AO101)&amp;"")</f>
        <v/>
      </c>
      <c r="G101" s="79" t="str">
        <f aca="false">IF($AO101="","",INDEX(Securities!$E$6:$E$105,$AO101)&amp;"")</f>
        <v/>
      </c>
      <c r="H101" s="80"/>
      <c r="I101" s="81"/>
      <c r="J101" s="91"/>
      <c r="K101" s="85" t="str">
        <f aca="false">IF(OR($I101="",$J101=""),"",$I101*$J101)</f>
        <v/>
      </c>
      <c r="L101" s="80"/>
      <c r="M101" s="81"/>
      <c r="N101" s="91"/>
      <c r="O101" s="85" t="str">
        <f aca="false">IF(OR($M101="",$N101=""),"",$M101*$N101)</f>
        <v/>
      </c>
      <c r="P101" s="88" t="str">
        <f aca="false">IF($C101="","",N($I101)-N($M101))</f>
        <v/>
      </c>
      <c r="Q101" s="85" t="str">
        <f aca="false">IF(OR($P101="",$J101=""),"",$P101*$J101)</f>
        <v/>
      </c>
      <c r="R101" s="83" t="str">
        <f aca="false">IF($AO101="","",IF(INDEX(Securities!$N$6:$N$105,$AO101)="At cost",IF($J101="","",$J101),IF(INDEX(Securities!$O$6:$O$105,$AO101)="","",INDEX(Securities!$O$6:$O$105,$AO101))))</f>
        <v/>
      </c>
      <c r="S101" s="85" t="str">
        <f aca="false">IF(OR($P101="",$R101=""),"",$P101*$R101)</f>
        <v/>
      </c>
      <c r="T101" s="92" t="str">
        <f aca="false">IF(OR(NOT(ISNUMBER($L101)),NOT(ISNUMBER($H101))),"",$L101-$H101)</f>
        <v/>
      </c>
      <c r="U101" s="79" t="str">
        <f aca="false">IF($T101="","",IF($X101="","Short Term",IF($T101&gt;$X101,"Long Term","Short Term")))</f>
        <v/>
      </c>
      <c r="V101" s="92" t="str">
        <f aca="false">IF(OR(NOT(ISNUMBER($H101)),N($P101)&lt;=0),"",ValDate-$H101)</f>
        <v/>
      </c>
      <c r="W101" s="79" t="str">
        <f aca="false">IF($V101="","",IF($X101="","Short Term",IF($V101&gt;$X101,"Long Term","Short Term")))</f>
        <v/>
      </c>
      <c r="X101" s="92" t="str">
        <f aca="true">IF($G101="","",IF(ISNA(MATCH($G101,L_Category,0)),"",IF(INDEX(L_CatLT,MATCH($G101,L_Category,0))="","",INDEX(L_CatLT,MATCH($G101,L_Category,0)))))</f>
        <v/>
      </c>
      <c r="Y101" s="83" t="str">
        <f aca="false">IF($AO101="","",IF(INDEX(Securities!$Q$6:$Q$105,$AO101)="","",INDEX(Securities!$Q$6:$Q$105,$AO101)))</f>
        <v/>
      </c>
      <c r="Z101" s="79" t="str">
        <f aca="false">IF($C101="","",IF(OR(NOT(ISNUMBER($H101)),$Y101=""),"No",IF($H101&lt;=GFDate,"Yes","No")))</f>
        <v/>
      </c>
      <c r="AA101" s="85" t="str">
        <f aca="false">IF(OR($M101="",$N101="",$J101=""),"",$M101*($N101-$J101))</f>
        <v/>
      </c>
      <c r="AB101" s="85" t="str">
        <f aca="false">IF(OR(N($P101)&lt;=0,$R101="",$J101=""),"",$P101*($R101-$J101))</f>
        <v/>
      </c>
      <c r="AC101" s="83" t="str">
        <f aca="false">IF(OR($M101="",$N101="",$J101=""),"",IF($Z101="Yes",MAX($J101,MIN($Y101,$N101)),$J101))</f>
        <v/>
      </c>
      <c r="AD101" s="85" t="str">
        <f aca="false">IF($AC101="","",$M101*($N101-$AC101))</f>
        <v/>
      </c>
      <c r="AE101" s="83" t="str">
        <f aca="false">IF(OR(N($P101)&lt;=0,$R101="",$J101=""),"",IF($Z101="Yes",MAX($J101,MIN($Y101,$R101)),$J101))</f>
        <v/>
      </c>
      <c r="AF101" s="85" t="str">
        <f aca="false">IF($AE101="","",$P101*($R101-$AE101))</f>
        <v/>
      </c>
      <c r="AG101" s="92" t="str">
        <f aca="false">IF(OR($V101="",$X101=""),"",MAX(0,$X101+1-$V101))</f>
        <v/>
      </c>
      <c r="AH101" s="93" t="str">
        <f aca="false">IF(OR($X101="",NOT(ISNUMBER($H101)),N($P101)&lt;=0),"",$H101+$X101+1)</f>
        <v/>
      </c>
      <c r="AI101" s="91"/>
      <c r="AJ101" s="85" t="str">
        <f aca="false">IF(OR($AI101="",N($P101)&lt;=0),"",$AI101*$P101)</f>
        <v/>
      </c>
      <c r="AK101" s="79" t="str">
        <f aca="false">IF(NOT(ISNUMBER($L101)),"",IF(MONTH($L101)&gt;=4,YEAR($L101)&amp;"-"&amp;RIGHT(YEAR($L101)+1,2),(YEAR($L101)-1)&amp;"-"&amp;RIGHT(YEAR($L101),2)))</f>
        <v/>
      </c>
      <c r="AL101" s="78"/>
      <c r="AM101" s="79" t="str">
        <f aca="false">IF($A101&amp;$B101&amp;$C101="","",IF($A101="","Missing ID",IF(COUNTIF($A$6:$A$205,$A101)&gt;1,"Duplicate ID",IF($AN101="","Unknown account",IF($AO101="","Unknown security",IF(COUNTIFS(Holdings!$B$6:$B$205,$B101,Holdings!$C$6:$C$205,$C101)=0,"No holding row for this lot",IF(OR($I101="",$J101=""),"Missing purchase quantity or rate",IF(NOT(ISNUMBER($H101)),"Missing purchase date",IF(N($H101)&gt;ValDate,"Purchase after valuation date",IF(N($M101)&gt;N($I101),"Sale quantity exceeds purchase",IF(AND(N($M101)&gt;0,OR(NOT(ISNUMBER($L101)),$N101="")),"Sale date or rate missing",IF(AND(ISNUMBER($L101),N($M101)=0),"Sale date with no quantity",IF(AND(ISNUMBER($L101),N($L101)&lt;N($H101)),"Sale before purchase",IF(N($L101)&gt;ValDate,"Sale after valuation date","OK"))))))))))))))</f>
        <v/>
      </c>
      <c r="AN101" s="89" t="str">
        <f aca="false">IF($B101="","",IFERROR(MATCH($B101,Accounts!$A$6:$A$55,0),""))</f>
        <v/>
      </c>
      <c r="AO101" s="89" t="str">
        <f aca="false">IF($C101="","",IFERROR(MATCH($C101,Securities!$A$6:$A$105,0),""))</f>
        <v/>
      </c>
      <c r="AP101" s="89" t="str">
        <f aca="false">IF($AN101="","",INDEX(Accounts!$B$6:$B$55,$AN101)&amp;"")</f>
        <v/>
      </c>
      <c r="AQ101" s="89" t="str">
        <f aca="false">IF(AND(ISNUMBER($AG101),N($P101)&gt;0),IF(AND(N($AG101)&gt;0,N($AG101)&lt;=SoonDays),1,""),"")</f>
        <v/>
      </c>
      <c r="AR101" s="89" t="str">
        <f aca="false">IF($AQ101&lt;&gt;1,"",SUMPRODUCT(($AQ$6:$AQ$205=1)*ISNUMBER($AG$6:$AG$205)*($AG$6:$AG$205&lt;$AG101))+SUMPRODUCT(($AQ$6:$AQ101=1)*ISNUMBER($AG$6:$AG101)*($AG$6:$AG101=$AG101)))</f>
        <v/>
      </c>
    </row>
    <row r="102" customFormat="false" ht="15" hidden="false" customHeight="false" outlineLevel="0" collapsed="false">
      <c r="A102" s="77"/>
      <c r="B102" s="78"/>
      <c r="C102" s="78"/>
      <c r="D102" s="79" t="str">
        <f aca="false">IF($AN102="","",INDEX(Accounts!$C$6:$C$55,$AN102)&amp;"")</f>
        <v/>
      </c>
      <c r="E102" s="79" t="str">
        <f aca="false">IF($AO102="","",INDEX(Securities!$B$6:$B$105,$AO102)&amp;"")</f>
        <v/>
      </c>
      <c r="F102" s="79" t="str">
        <f aca="false">IF($AO102="","",INDEX(Securities!$C$6:$C$105,$AO102)&amp;"")</f>
        <v/>
      </c>
      <c r="G102" s="79" t="str">
        <f aca="false">IF($AO102="","",INDEX(Securities!$E$6:$E$105,$AO102)&amp;"")</f>
        <v/>
      </c>
      <c r="H102" s="80"/>
      <c r="I102" s="81"/>
      <c r="J102" s="91"/>
      <c r="K102" s="85" t="str">
        <f aca="false">IF(OR($I102="",$J102=""),"",$I102*$J102)</f>
        <v/>
      </c>
      <c r="L102" s="80"/>
      <c r="M102" s="81"/>
      <c r="N102" s="91"/>
      <c r="O102" s="85" t="str">
        <f aca="false">IF(OR($M102="",$N102=""),"",$M102*$N102)</f>
        <v/>
      </c>
      <c r="P102" s="88" t="str">
        <f aca="false">IF($C102="","",N($I102)-N($M102))</f>
        <v/>
      </c>
      <c r="Q102" s="85" t="str">
        <f aca="false">IF(OR($P102="",$J102=""),"",$P102*$J102)</f>
        <v/>
      </c>
      <c r="R102" s="83" t="str">
        <f aca="false">IF($AO102="","",IF(INDEX(Securities!$N$6:$N$105,$AO102)="At cost",IF($J102="","",$J102),IF(INDEX(Securities!$O$6:$O$105,$AO102)="","",INDEX(Securities!$O$6:$O$105,$AO102))))</f>
        <v/>
      </c>
      <c r="S102" s="85" t="str">
        <f aca="false">IF(OR($P102="",$R102=""),"",$P102*$R102)</f>
        <v/>
      </c>
      <c r="T102" s="92" t="str">
        <f aca="false">IF(OR(NOT(ISNUMBER($L102)),NOT(ISNUMBER($H102))),"",$L102-$H102)</f>
        <v/>
      </c>
      <c r="U102" s="79" t="str">
        <f aca="false">IF($T102="","",IF($X102="","Short Term",IF($T102&gt;$X102,"Long Term","Short Term")))</f>
        <v/>
      </c>
      <c r="V102" s="92" t="str">
        <f aca="false">IF(OR(NOT(ISNUMBER($H102)),N($P102)&lt;=0),"",ValDate-$H102)</f>
        <v/>
      </c>
      <c r="W102" s="79" t="str">
        <f aca="false">IF($V102="","",IF($X102="","Short Term",IF($V102&gt;$X102,"Long Term","Short Term")))</f>
        <v/>
      </c>
      <c r="X102" s="92" t="str">
        <f aca="true">IF($G102="","",IF(ISNA(MATCH($G102,L_Category,0)),"",IF(INDEX(L_CatLT,MATCH($G102,L_Category,0))="","",INDEX(L_CatLT,MATCH($G102,L_Category,0)))))</f>
        <v/>
      </c>
      <c r="Y102" s="83" t="str">
        <f aca="false">IF($AO102="","",IF(INDEX(Securities!$Q$6:$Q$105,$AO102)="","",INDEX(Securities!$Q$6:$Q$105,$AO102)))</f>
        <v/>
      </c>
      <c r="Z102" s="79" t="str">
        <f aca="false">IF($C102="","",IF(OR(NOT(ISNUMBER($H102)),$Y102=""),"No",IF($H102&lt;=GFDate,"Yes","No")))</f>
        <v/>
      </c>
      <c r="AA102" s="85" t="str">
        <f aca="false">IF(OR($M102="",$N102="",$J102=""),"",$M102*($N102-$J102))</f>
        <v/>
      </c>
      <c r="AB102" s="85" t="str">
        <f aca="false">IF(OR(N($P102)&lt;=0,$R102="",$J102=""),"",$P102*($R102-$J102))</f>
        <v/>
      </c>
      <c r="AC102" s="83" t="str">
        <f aca="false">IF(OR($M102="",$N102="",$J102=""),"",IF($Z102="Yes",MAX($J102,MIN($Y102,$N102)),$J102))</f>
        <v/>
      </c>
      <c r="AD102" s="85" t="str">
        <f aca="false">IF($AC102="","",$M102*($N102-$AC102))</f>
        <v/>
      </c>
      <c r="AE102" s="83" t="str">
        <f aca="false">IF(OR(N($P102)&lt;=0,$R102="",$J102=""),"",IF($Z102="Yes",MAX($J102,MIN($Y102,$R102)),$J102))</f>
        <v/>
      </c>
      <c r="AF102" s="85" t="str">
        <f aca="false">IF($AE102="","",$P102*($R102-$AE102))</f>
        <v/>
      </c>
      <c r="AG102" s="92" t="str">
        <f aca="false">IF(OR($V102="",$X102=""),"",MAX(0,$X102+1-$V102))</f>
        <v/>
      </c>
      <c r="AH102" s="93" t="str">
        <f aca="false">IF(OR($X102="",NOT(ISNUMBER($H102)),N($P102)&lt;=0),"",$H102+$X102+1)</f>
        <v/>
      </c>
      <c r="AI102" s="91"/>
      <c r="AJ102" s="85" t="str">
        <f aca="false">IF(OR($AI102="",N($P102)&lt;=0),"",$AI102*$P102)</f>
        <v/>
      </c>
      <c r="AK102" s="79" t="str">
        <f aca="false">IF(NOT(ISNUMBER($L102)),"",IF(MONTH($L102)&gt;=4,YEAR($L102)&amp;"-"&amp;RIGHT(YEAR($L102)+1,2),(YEAR($L102)-1)&amp;"-"&amp;RIGHT(YEAR($L102),2)))</f>
        <v/>
      </c>
      <c r="AL102" s="78"/>
      <c r="AM102" s="79" t="str">
        <f aca="false">IF($A102&amp;$B102&amp;$C102="","",IF($A102="","Missing ID",IF(COUNTIF($A$6:$A$205,$A102)&gt;1,"Duplicate ID",IF($AN102="","Unknown account",IF($AO102="","Unknown security",IF(COUNTIFS(Holdings!$B$6:$B$205,$B102,Holdings!$C$6:$C$205,$C102)=0,"No holding row for this lot",IF(OR($I102="",$J102=""),"Missing purchase quantity or rate",IF(NOT(ISNUMBER($H102)),"Missing purchase date",IF(N($H102)&gt;ValDate,"Purchase after valuation date",IF(N($M102)&gt;N($I102),"Sale quantity exceeds purchase",IF(AND(N($M102)&gt;0,OR(NOT(ISNUMBER($L102)),$N102="")),"Sale date or rate missing",IF(AND(ISNUMBER($L102),N($M102)=0),"Sale date with no quantity",IF(AND(ISNUMBER($L102),N($L102)&lt;N($H102)),"Sale before purchase",IF(N($L102)&gt;ValDate,"Sale after valuation date","OK"))))))))))))))</f>
        <v/>
      </c>
      <c r="AN102" s="89" t="str">
        <f aca="false">IF($B102="","",IFERROR(MATCH($B102,Accounts!$A$6:$A$55,0),""))</f>
        <v/>
      </c>
      <c r="AO102" s="89" t="str">
        <f aca="false">IF($C102="","",IFERROR(MATCH($C102,Securities!$A$6:$A$105,0),""))</f>
        <v/>
      </c>
      <c r="AP102" s="89" t="str">
        <f aca="false">IF($AN102="","",INDEX(Accounts!$B$6:$B$55,$AN102)&amp;"")</f>
        <v/>
      </c>
      <c r="AQ102" s="89" t="str">
        <f aca="false">IF(AND(ISNUMBER($AG102),N($P102)&gt;0),IF(AND(N($AG102)&gt;0,N($AG102)&lt;=SoonDays),1,""),"")</f>
        <v/>
      </c>
      <c r="AR102" s="89" t="str">
        <f aca="false">IF($AQ102&lt;&gt;1,"",SUMPRODUCT(($AQ$6:$AQ$205=1)*ISNUMBER($AG$6:$AG$205)*($AG$6:$AG$205&lt;$AG102))+SUMPRODUCT(($AQ$6:$AQ102=1)*ISNUMBER($AG$6:$AG102)*($AG$6:$AG102=$AG102)))</f>
        <v/>
      </c>
    </row>
    <row r="103" customFormat="false" ht="15" hidden="false" customHeight="false" outlineLevel="0" collapsed="false">
      <c r="A103" s="77"/>
      <c r="B103" s="78"/>
      <c r="C103" s="78"/>
      <c r="D103" s="79" t="str">
        <f aca="false">IF($AN103="","",INDEX(Accounts!$C$6:$C$55,$AN103)&amp;"")</f>
        <v/>
      </c>
      <c r="E103" s="79" t="str">
        <f aca="false">IF($AO103="","",INDEX(Securities!$B$6:$B$105,$AO103)&amp;"")</f>
        <v/>
      </c>
      <c r="F103" s="79" t="str">
        <f aca="false">IF($AO103="","",INDEX(Securities!$C$6:$C$105,$AO103)&amp;"")</f>
        <v/>
      </c>
      <c r="G103" s="79" t="str">
        <f aca="false">IF($AO103="","",INDEX(Securities!$E$6:$E$105,$AO103)&amp;"")</f>
        <v/>
      </c>
      <c r="H103" s="80"/>
      <c r="I103" s="81"/>
      <c r="J103" s="91"/>
      <c r="K103" s="85" t="str">
        <f aca="false">IF(OR($I103="",$J103=""),"",$I103*$J103)</f>
        <v/>
      </c>
      <c r="L103" s="80"/>
      <c r="M103" s="81"/>
      <c r="N103" s="91"/>
      <c r="O103" s="85" t="str">
        <f aca="false">IF(OR($M103="",$N103=""),"",$M103*$N103)</f>
        <v/>
      </c>
      <c r="P103" s="88" t="str">
        <f aca="false">IF($C103="","",N($I103)-N($M103))</f>
        <v/>
      </c>
      <c r="Q103" s="85" t="str">
        <f aca="false">IF(OR($P103="",$J103=""),"",$P103*$J103)</f>
        <v/>
      </c>
      <c r="R103" s="83" t="str">
        <f aca="false">IF($AO103="","",IF(INDEX(Securities!$N$6:$N$105,$AO103)="At cost",IF($J103="","",$J103),IF(INDEX(Securities!$O$6:$O$105,$AO103)="","",INDEX(Securities!$O$6:$O$105,$AO103))))</f>
        <v/>
      </c>
      <c r="S103" s="85" t="str">
        <f aca="false">IF(OR($P103="",$R103=""),"",$P103*$R103)</f>
        <v/>
      </c>
      <c r="T103" s="92" t="str">
        <f aca="false">IF(OR(NOT(ISNUMBER($L103)),NOT(ISNUMBER($H103))),"",$L103-$H103)</f>
        <v/>
      </c>
      <c r="U103" s="79" t="str">
        <f aca="false">IF($T103="","",IF($X103="","Short Term",IF($T103&gt;$X103,"Long Term","Short Term")))</f>
        <v/>
      </c>
      <c r="V103" s="92" t="str">
        <f aca="false">IF(OR(NOT(ISNUMBER($H103)),N($P103)&lt;=0),"",ValDate-$H103)</f>
        <v/>
      </c>
      <c r="W103" s="79" t="str">
        <f aca="false">IF($V103="","",IF($X103="","Short Term",IF($V103&gt;$X103,"Long Term","Short Term")))</f>
        <v/>
      </c>
      <c r="X103" s="92" t="str">
        <f aca="true">IF($G103="","",IF(ISNA(MATCH($G103,L_Category,0)),"",IF(INDEX(L_CatLT,MATCH($G103,L_Category,0))="","",INDEX(L_CatLT,MATCH($G103,L_Category,0)))))</f>
        <v/>
      </c>
      <c r="Y103" s="83" t="str">
        <f aca="false">IF($AO103="","",IF(INDEX(Securities!$Q$6:$Q$105,$AO103)="","",INDEX(Securities!$Q$6:$Q$105,$AO103)))</f>
        <v/>
      </c>
      <c r="Z103" s="79" t="str">
        <f aca="false">IF($C103="","",IF(OR(NOT(ISNUMBER($H103)),$Y103=""),"No",IF($H103&lt;=GFDate,"Yes","No")))</f>
        <v/>
      </c>
      <c r="AA103" s="85" t="str">
        <f aca="false">IF(OR($M103="",$N103="",$J103=""),"",$M103*($N103-$J103))</f>
        <v/>
      </c>
      <c r="AB103" s="85" t="str">
        <f aca="false">IF(OR(N($P103)&lt;=0,$R103="",$J103=""),"",$P103*($R103-$J103))</f>
        <v/>
      </c>
      <c r="AC103" s="83" t="str">
        <f aca="false">IF(OR($M103="",$N103="",$J103=""),"",IF($Z103="Yes",MAX($J103,MIN($Y103,$N103)),$J103))</f>
        <v/>
      </c>
      <c r="AD103" s="85" t="str">
        <f aca="false">IF($AC103="","",$M103*($N103-$AC103))</f>
        <v/>
      </c>
      <c r="AE103" s="83" t="str">
        <f aca="false">IF(OR(N($P103)&lt;=0,$R103="",$J103=""),"",IF($Z103="Yes",MAX($J103,MIN($Y103,$R103)),$J103))</f>
        <v/>
      </c>
      <c r="AF103" s="85" t="str">
        <f aca="false">IF($AE103="","",$P103*($R103-$AE103))</f>
        <v/>
      </c>
      <c r="AG103" s="92" t="str">
        <f aca="false">IF(OR($V103="",$X103=""),"",MAX(0,$X103+1-$V103))</f>
        <v/>
      </c>
      <c r="AH103" s="93" t="str">
        <f aca="false">IF(OR($X103="",NOT(ISNUMBER($H103)),N($P103)&lt;=0),"",$H103+$X103+1)</f>
        <v/>
      </c>
      <c r="AI103" s="91"/>
      <c r="AJ103" s="85" t="str">
        <f aca="false">IF(OR($AI103="",N($P103)&lt;=0),"",$AI103*$P103)</f>
        <v/>
      </c>
      <c r="AK103" s="79" t="str">
        <f aca="false">IF(NOT(ISNUMBER($L103)),"",IF(MONTH($L103)&gt;=4,YEAR($L103)&amp;"-"&amp;RIGHT(YEAR($L103)+1,2),(YEAR($L103)-1)&amp;"-"&amp;RIGHT(YEAR($L103),2)))</f>
        <v/>
      </c>
      <c r="AL103" s="78"/>
      <c r="AM103" s="79" t="str">
        <f aca="false">IF($A103&amp;$B103&amp;$C103="","",IF($A103="","Missing ID",IF(COUNTIF($A$6:$A$205,$A103)&gt;1,"Duplicate ID",IF($AN103="","Unknown account",IF($AO103="","Unknown security",IF(COUNTIFS(Holdings!$B$6:$B$205,$B103,Holdings!$C$6:$C$205,$C103)=0,"No holding row for this lot",IF(OR($I103="",$J103=""),"Missing purchase quantity or rate",IF(NOT(ISNUMBER($H103)),"Missing purchase date",IF(N($H103)&gt;ValDate,"Purchase after valuation date",IF(N($M103)&gt;N($I103),"Sale quantity exceeds purchase",IF(AND(N($M103)&gt;0,OR(NOT(ISNUMBER($L103)),$N103="")),"Sale date or rate missing",IF(AND(ISNUMBER($L103),N($M103)=0),"Sale date with no quantity",IF(AND(ISNUMBER($L103),N($L103)&lt;N($H103)),"Sale before purchase",IF(N($L103)&gt;ValDate,"Sale after valuation date","OK"))))))))))))))</f>
        <v/>
      </c>
      <c r="AN103" s="89" t="str">
        <f aca="false">IF($B103="","",IFERROR(MATCH($B103,Accounts!$A$6:$A$55,0),""))</f>
        <v/>
      </c>
      <c r="AO103" s="89" t="str">
        <f aca="false">IF($C103="","",IFERROR(MATCH($C103,Securities!$A$6:$A$105,0),""))</f>
        <v/>
      </c>
      <c r="AP103" s="89" t="str">
        <f aca="false">IF($AN103="","",INDEX(Accounts!$B$6:$B$55,$AN103)&amp;"")</f>
        <v/>
      </c>
      <c r="AQ103" s="89" t="str">
        <f aca="false">IF(AND(ISNUMBER($AG103),N($P103)&gt;0),IF(AND(N($AG103)&gt;0,N($AG103)&lt;=SoonDays),1,""),"")</f>
        <v/>
      </c>
      <c r="AR103" s="89" t="str">
        <f aca="false">IF($AQ103&lt;&gt;1,"",SUMPRODUCT(($AQ$6:$AQ$205=1)*ISNUMBER($AG$6:$AG$205)*($AG$6:$AG$205&lt;$AG103))+SUMPRODUCT(($AQ$6:$AQ103=1)*ISNUMBER($AG$6:$AG103)*($AG$6:$AG103=$AG103)))</f>
        <v/>
      </c>
    </row>
    <row r="104" customFormat="false" ht="15" hidden="false" customHeight="false" outlineLevel="0" collapsed="false">
      <c r="A104" s="77"/>
      <c r="B104" s="78"/>
      <c r="C104" s="78"/>
      <c r="D104" s="79" t="str">
        <f aca="false">IF($AN104="","",INDEX(Accounts!$C$6:$C$55,$AN104)&amp;"")</f>
        <v/>
      </c>
      <c r="E104" s="79" t="str">
        <f aca="false">IF($AO104="","",INDEX(Securities!$B$6:$B$105,$AO104)&amp;"")</f>
        <v/>
      </c>
      <c r="F104" s="79" t="str">
        <f aca="false">IF($AO104="","",INDEX(Securities!$C$6:$C$105,$AO104)&amp;"")</f>
        <v/>
      </c>
      <c r="G104" s="79" t="str">
        <f aca="false">IF($AO104="","",INDEX(Securities!$E$6:$E$105,$AO104)&amp;"")</f>
        <v/>
      </c>
      <c r="H104" s="80"/>
      <c r="I104" s="81"/>
      <c r="J104" s="91"/>
      <c r="K104" s="85" t="str">
        <f aca="false">IF(OR($I104="",$J104=""),"",$I104*$J104)</f>
        <v/>
      </c>
      <c r="L104" s="80"/>
      <c r="M104" s="81"/>
      <c r="N104" s="91"/>
      <c r="O104" s="85" t="str">
        <f aca="false">IF(OR($M104="",$N104=""),"",$M104*$N104)</f>
        <v/>
      </c>
      <c r="P104" s="88" t="str">
        <f aca="false">IF($C104="","",N($I104)-N($M104))</f>
        <v/>
      </c>
      <c r="Q104" s="85" t="str">
        <f aca="false">IF(OR($P104="",$J104=""),"",$P104*$J104)</f>
        <v/>
      </c>
      <c r="R104" s="83" t="str">
        <f aca="false">IF($AO104="","",IF(INDEX(Securities!$N$6:$N$105,$AO104)="At cost",IF($J104="","",$J104),IF(INDEX(Securities!$O$6:$O$105,$AO104)="","",INDEX(Securities!$O$6:$O$105,$AO104))))</f>
        <v/>
      </c>
      <c r="S104" s="85" t="str">
        <f aca="false">IF(OR($P104="",$R104=""),"",$P104*$R104)</f>
        <v/>
      </c>
      <c r="T104" s="92" t="str">
        <f aca="false">IF(OR(NOT(ISNUMBER($L104)),NOT(ISNUMBER($H104))),"",$L104-$H104)</f>
        <v/>
      </c>
      <c r="U104" s="79" t="str">
        <f aca="false">IF($T104="","",IF($X104="","Short Term",IF($T104&gt;$X104,"Long Term","Short Term")))</f>
        <v/>
      </c>
      <c r="V104" s="92" t="str">
        <f aca="false">IF(OR(NOT(ISNUMBER($H104)),N($P104)&lt;=0),"",ValDate-$H104)</f>
        <v/>
      </c>
      <c r="W104" s="79" t="str">
        <f aca="false">IF($V104="","",IF($X104="","Short Term",IF($V104&gt;$X104,"Long Term","Short Term")))</f>
        <v/>
      </c>
      <c r="X104" s="92" t="str">
        <f aca="true">IF($G104="","",IF(ISNA(MATCH($G104,L_Category,0)),"",IF(INDEX(L_CatLT,MATCH($G104,L_Category,0))="","",INDEX(L_CatLT,MATCH($G104,L_Category,0)))))</f>
        <v/>
      </c>
      <c r="Y104" s="83" t="str">
        <f aca="false">IF($AO104="","",IF(INDEX(Securities!$Q$6:$Q$105,$AO104)="","",INDEX(Securities!$Q$6:$Q$105,$AO104)))</f>
        <v/>
      </c>
      <c r="Z104" s="79" t="str">
        <f aca="false">IF($C104="","",IF(OR(NOT(ISNUMBER($H104)),$Y104=""),"No",IF($H104&lt;=GFDate,"Yes","No")))</f>
        <v/>
      </c>
      <c r="AA104" s="85" t="str">
        <f aca="false">IF(OR($M104="",$N104="",$J104=""),"",$M104*($N104-$J104))</f>
        <v/>
      </c>
      <c r="AB104" s="85" t="str">
        <f aca="false">IF(OR(N($P104)&lt;=0,$R104="",$J104=""),"",$P104*($R104-$J104))</f>
        <v/>
      </c>
      <c r="AC104" s="83" t="str">
        <f aca="false">IF(OR($M104="",$N104="",$J104=""),"",IF($Z104="Yes",MAX($J104,MIN($Y104,$N104)),$J104))</f>
        <v/>
      </c>
      <c r="AD104" s="85" t="str">
        <f aca="false">IF($AC104="","",$M104*($N104-$AC104))</f>
        <v/>
      </c>
      <c r="AE104" s="83" t="str">
        <f aca="false">IF(OR(N($P104)&lt;=0,$R104="",$J104=""),"",IF($Z104="Yes",MAX($J104,MIN($Y104,$R104)),$J104))</f>
        <v/>
      </c>
      <c r="AF104" s="85" t="str">
        <f aca="false">IF($AE104="","",$P104*($R104-$AE104))</f>
        <v/>
      </c>
      <c r="AG104" s="92" t="str">
        <f aca="false">IF(OR($V104="",$X104=""),"",MAX(0,$X104+1-$V104))</f>
        <v/>
      </c>
      <c r="AH104" s="93" t="str">
        <f aca="false">IF(OR($X104="",NOT(ISNUMBER($H104)),N($P104)&lt;=0),"",$H104+$X104+1)</f>
        <v/>
      </c>
      <c r="AI104" s="91"/>
      <c r="AJ104" s="85" t="str">
        <f aca="false">IF(OR($AI104="",N($P104)&lt;=0),"",$AI104*$P104)</f>
        <v/>
      </c>
      <c r="AK104" s="79" t="str">
        <f aca="false">IF(NOT(ISNUMBER($L104)),"",IF(MONTH($L104)&gt;=4,YEAR($L104)&amp;"-"&amp;RIGHT(YEAR($L104)+1,2),(YEAR($L104)-1)&amp;"-"&amp;RIGHT(YEAR($L104),2)))</f>
        <v/>
      </c>
      <c r="AL104" s="78"/>
      <c r="AM104" s="79" t="str">
        <f aca="false">IF($A104&amp;$B104&amp;$C104="","",IF($A104="","Missing ID",IF(COUNTIF($A$6:$A$205,$A104)&gt;1,"Duplicate ID",IF($AN104="","Unknown account",IF($AO104="","Unknown security",IF(COUNTIFS(Holdings!$B$6:$B$205,$B104,Holdings!$C$6:$C$205,$C104)=0,"No holding row for this lot",IF(OR($I104="",$J104=""),"Missing purchase quantity or rate",IF(NOT(ISNUMBER($H104)),"Missing purchase date",IF(N($H104)&gt;ValDate,"Purchase after valuation date",IF(N($M104)&gt;N($I104),"Sale quantity exceeds purchase",IF(AND(N($M104)&gt;0,OR(NOT(ISNUMBER($L104)),$N104="")),"Sale date or rate missing",IF(AND(ISNUMBER($L104),N($M104)=0),"Sale date with no quantity",IF(AND(ISNUMBER($L104),N($L104)&lt;N($H104)),"Sale before purchase",IF(N($L104)&gt;ValDate,"Sale after valuation date","OK"))))))))))))))</f>
        <v/>
      </c>
      <c r="AN104" s="89" t="str">
        <f aca="false">IF($B104="","",IFERROR(MATCH($B104,Accounts!$A$6:$A$55,0),""))</f>
        <v/>
      </c>
      <c r="AO104" s="89" t="str">
        <f aca="false">IF($C104="","",IFERROR(MATCH($C104,Securities!$A$6:$A$105,0),""))</f>
        <v/>
      </c>
      <c r="AP104" s="89" t="str">
        <f aca="false">IF($AN104="","",INDEX(Accounts!$B$6:$B$55,$AN104)&amp;"")</f>
        <v/>
      </c>
      <c r="AQ104" s="89" t="str">
        <f aca="false">IF(AND(ISNUMBER($AG104),N($P104)&gt;0),IF(AND(N($AG104)&gt;0,N($AG104)&lt;=SoonDays),1,""),"")</f>
        <v/>
      </c>
      <c r="AR104" s="89" t="str">
        <f aca="false">IF($AQ104&lt;&gt;1,"",SUMPRODUCT(($AQ$6:$AQ$205=1)*ISNUMBER($AG$6:$AG$205)*($AG$6:$AG$205&lt;$AG104))+SUMPRODUCT(($AQ$6:$AQ104=1)*ISNUMBER($AG$6:$AG104)*($AG$6:$AG104=$AG104)))</f>
        <v/>
      </c>
    </row>
    <row r="105" customFormat="false" ht="15" hidden="false" customHeight="false" outlineLevel="0" collapsed="false">
      <c r="A105" s="77"/>
      <c r="B105" s="78"/>
      <c r="C105" s="78"/>
      <c r="D105" s="79" t="str">
        <f aca="false">IF($AN105="","",INDEX(Accounts!$C$6:$C$55,$AN105)&amp;"")</f>
        <v/>
      </c>
      <c r="E105" s="79" t="str">
        <f aca="false">IF($AO105="","",INDEX(Securities!$B$6:$B$105,$AO105)&amp;"")</f>
        <v/>
      </c>
      <c r="F105" s="79" t="str">
        <f aca="false">IF($AO105="","",INDEX(Securities!$C$6:$C$105,$AO105)&amp;"")</f>
        <v/>
      </c>
      <c r="G105" s="79" t="str">
        <f aca="false">IF($AO105="","",INDEX(Securities!$E$6:$E$105,$AO105)&amp;"")</f>
        <v/>
      </c>
      <c r="H105" s="80"/>
      <c r="I105" s="81"/>
      <c r="J105" s="91"/>
      <c r="K105" s="85" t="str">
        <f aca="false">IF(OR($I105="",$J105=""),"",$I105*$J105)</f>
        <v/>
      </c>
      <c r="L105" s="80"/>
      <c r="M105" s="81"/>
      <c r="N105" s="91"/>
      <c r="O105" s="85" t="str">
        <f aca="false">IF(OR($M105="",$N105=""),"",$M105*$N105)</f>
        <v/>
      </c>
      <c r="P105" s="88" t="str">
        <f aca="false">IF($C105="","",N($I105)-N($M105))</f>
        <v/>
      </c>
      <c r="Q105" s="85" t="str">
        <f aca="false">IF(OR($P105="",$J105=""),"",$P105*$J105)</f>
        <v/>
      </c>
      <c r="R105" s="83" t="str">
        <f aca="false">IF($AO105="","",IF(INDEX(Securities!$N$6:$N$105,$AO105)="At cost",IF($J105="","",$J105),IF(INDEX(Securities!$O$6:$O$105,$AO105)="","",INDEX(Securities!$O$6:$O$105,$AO105))))</f>
        <v/>
      </c>
      <c r="S105" s="85" t="str">
        <f aca="false">IF(OR($P105="",$R105=""),"",$P105*$R105)</f>
        <v/>
      </c>
      <c r="T105" s="92" t="str">
        <f aca="false">IF(OR(NOT(ISNUMBER($L105)),NOT(ISNUMBER($H105))),"",$L105-$H105)</f>
        <v/>
      </c>
      <c r="U105" s="79" t="str">
        <f aca="false">IF($T105="","",IF($X105="","Short Term",IF($T105&gt;$X105,"Long Term","Short Term")))</f>
        <v/>
      </c>
      <c r="V105" s="92" t="str">
        <f aca="false">IF(OR(NOT(ISNUMBER($H105)),N($P105)&lt;=0),"",ValDate-$H105)</f>
        <v/>
      </c>
      <c r="W105" s="79" t="str">
        <f aca="false">IF($V105="","",IF($X105="","Short Term",IF($V105&gt;$X105,"Long Term","Short Term")))</f>
        <v/>
      </c>
      <c r="X105" s="92" t="str">
        <f aca="true">IF($G105="","",IF(ISNA(MATCH($G105,L_Category,0)),"",IF(INDEX(L_CatLT,MATCH($G105,L_Category,0))="","",INDEX(L_CatLT,MATCH($G105,L_Category,0)))))</f>
        <v/>
      </c>
      <c r="Y105" s="83" t="str">
        <f aca="false">IF($AO105="","",IF(INDEX(Securities!$Q$6:$Q$105,$AO105)="","",INDEX(Securities!$Q$6:$Q$105,$AO105)))</f>
        <v/>
      </c>
      <c r="Z105" s="79" t="str">
        <f aca="false">IF($C105="","",IF(OR(NOT(ISNUMBER($H105)),$Y105=""),"No",IF($H105&lt;=GFDate,"Yes","No")))</f>
        <v/>
      </c>
      <c r="AA105" s="85" t="str">
        <f aca="false">IF(OR($M105="",$N105="",$J105=""),"",$M105*($N105-$J105))</f>
        <v/>
      </c>
      <c r="AB105" s="85" t="str">
        <f aca="false">IF(OR(N($P105)&lt;=0,$R105="",$J105=""),"",$P105*($R105-$J105))</f>
        <v/>
      </c>
      <c r="AC105" s="83" t="str">
        <f aca="false">IF(OR($M105="",$N105="",$J105=""),"",IF($Z105="Yes",MAX($J105,MIN($Y105,$N105)),$J105))</f>
        <v/>
      </c>
      <c r="AD105" s="85" t="str">
        <f aca="false">IF($AC105="","",$M105*($N105-$AC105))</f>
        <v/>
      </c>
      <c r="AE105" s="83" t="str">
        <f aca="false">IF(OR(N($P105)&lt;=0,$R105="",$J105=""),"",IF($Z105="Yes",MAX($J105,MIN($Y105,$R105)),$J105))</f>
        <v/>
      </c>
      <c r="AF105" s="85" t="str">
        <f aca="false">IF($AE105="","",$P105*($R105-$AE105))</f>
        <v/>
      </c>
      <c r="AG105" s="92" t="str">
        <f aca="false">IF(OR($V105="",$X105=""),"",MAX(0,$X105+1-$V105))</f>
        <v/>
      </c>
      <c r="AH105" s="93" t="str">
        <f aca="false">IF(OR($X105="",NOT(ISNUMBER($H105)),N($P105)&lt;=0),"",$H105+$X105+1)</f>
        <v/>
      </c>
      <c r="AI105" s="91"/>
      <c r="AJ105" s="85" t="str">
        <f aca="false">IF(OR($AI105="",N($P105)&lt;=0),"",$AI105*$P105)</f>
        <v/>
      </c>
      <c r="AK105" s="79" t="str">
        <f aca="false">IF(NOT(ISNUMBER($L105)),"",IF(MONTH($L105)&gt;=4,YEAR($L105)&amp;"-"&amp;RIGHT(YEAR($L105)+1,2),(YEAR($L105)-1)&amp;"-"&amp;RIGHT(YEAR($L105),2)))</f>
        <v/>
      </c>
      <c r="AL105" s="78"/>
      <c r="AM105" s="79" t="str">
        <f aca="false">IF($A105&amp;$B105&amp;$C105="","",IF($A105="","Missing ID",IF(COUNTIF($A$6:$A$205,$A105)&gt;1,"Duplicate ID",IF($AN105="","Unknown account",IF($AO105="","Unknown security",IF(COUNTIFS(Holdings!$B$6:$B$205,$B105,Holdings!$C$6:$C$205,$C105)=0,"No holding row for this lot",IF(OR($I105="",$J105=""),"Missing purchase quantity or rate",IF(NOT(ISNUMBER($H105)),"Missing purchase date",IF(N($H105)&gt;ValDate,"Purchase after valuation date",IF(N($M105)&gt;N($I105),"Sale quantity exceeds purchase",IF(AND(N($M105)&gt;0,OR(NOT(ISNUMBER($L105)),$N105="")),"Sale date or rate missing",IF(AND(ISNUMBER($L105),N($M105)=0),"Sale date with no quantity",IF(AND(ISNUMBER($L105),N($L105)&lt;N($H105)),"Sale before purchase",IF(N($L105)&gt;ValDate,"Sale after valuation date","OK"))))))))))))))</f>
        <v/>
      </c>
      <c r="AN105" s="89" t="str">
        <f aca="false">IF($B105="","",IFERROR(MATCH($B105,Accounts!$A$6:$A$55,0),""))</f>
        <v/>
      </c>
      <c r="AO105" s="89" t="str">
        <f aca="false">IF($C105="","",IFERROR(MATCH($C105,Securities!$A$6:$A$105,0),""))</f>
        <v/>
      </c>
      <c r="AP105" s="89" t="str">
        <f aca="false">IF($AN105="","",INDEX(Accounts!$B$6:$B$55,$AN105)&amp;"")</f>
        <v/>
      </c>
      <c r="AQ105" s="89" t="str">
        <f aca="false">IF(AND(ISNUMBER($AG105),N($P105)&gt;0),IF(AND(N($AG105)&gt;0,N($AG105)&lt;=SoonDays),1,""),"")</f>
        <v/>
      </c>
      <c r="AR105" s="89" t="str">
        <f aca="false">IF($AQ105&lt;&gt;1,"",SUMPRODUCT(($AQ$6:$AQ$205=1)*ISNUMBER($AG$6:$AG$205)*($AG$6:$AG$205&lt;$AG105))+SUMPRODUCT(($AQ$6:$AQ105=1)*ISNUMBER($AG$6:$AG105)*($AG$6:$AG105=$AG105)))</f>
        <v/>
      </c>
    </row>
    <row r="106" customFormat="false" ht="15" hidden="false" customHeight="false" outlineLevel="0" collapsed="false">
      <c r="A106" s="77"/>
      <c r="B106" s="78"/>
      <c r="C106" s="78"/>
      <c r="D106" s="79" t="str">
        <f aca="false">IF($AN106="","",INDEX(Accounts!$C$6:$C$55,$AN106)&amp;"")</f>
        <v/>
      </c>
      <c r="E106" s="79" t="str">
        <f aca="false">IF($AO106="","",INDEX(Securities!$B$6:$B$105,$AO106)&amp;"")</f>
        <v/>
      </c>
      <c r="F106" s="79" t="str">
        <f aca="false">IF($AO106="","",INDEX(Securities!$C$6:$C$105,$AO106)&amp;"")</f>
        <v/>
      </c>
      <c r="G106" s="79" t="str">
        <f aca="false">IF($AO106="","",INDEX(Securities!$E$6:$E$105,$AO106)&amp;"")</f>
        <v/>
      </c>
      <c r="H106" s="80"/>
      <c r="I106" s="81"/>
      <c r="J106" s="91"/>
      <c r="K106" s="85" t="str">
        <f aca="false">IF(OR($I106="",$J106=""),"",$I106*$J106)</f>
        <v/>
      </c>
      <c r="L106" s="80"/>
      <c r="M106" s="81"/>
      <c r="N106" s="91"/>
      <c r="O106" s="85" t="str">
        <f aca="false">IF(OR($M106="",$N106=""),"",$M106*$N106)</f>
        <v/>
      </c>
      <c r="P106" s="88" t="str">
        <f aca="false">IF($C106="","",N($I106)-N($M106))</f>
        <v/>
      </c>
      <c r="Q106" s="85" t="str">
        <f aca="false">IF(OR($P106="",$J106=""),"",$P106*$J106)</f>
        <v/>
      </c>
      <c r="R106" s="83" t="str">
        <f aca="false">IF($AO106="","",IF(INDEX(Securities!$N$6:$N$105,$AO106)="At cost",IF($J106="","",$J106),IF(INDEX(Securities!$O$6:$O$105,$AO106)="","",INDEX(Securities!$O$6:$O$105,$AO106))))</f>
        <v/>
      </c>
      <c r="S106" s="85" t="str">
        <f aca="false">IF(OR($P106="",$R106=""),"",$P106*$R106)</f>
        <v/>
      </c>
      <c r="T106" s="92" t="str">
        <f aca="false">IF(OR(NOT(ISNUMBER($L106)),NOT(ISNUMBER($H106))),"",$L106-$H106)</f>
        <v/>
      </c>
      <c r="U106" s="79" t="str">
        <f aca="false">IF($T106="","",IF($X106="","Short Term",IF($T106&gt;$X106,"Long Term","Short Term")))</f>
        <v/>
      </c>
      <c r="V106" s="92" t="str">
        <f aca="false">IF(OR(NOT(ISNUMBER($H106)),N($P106)&lt;=0),"",ValDate-$H106)</f>
        <v/>
      </c>
      <c r="W106" s="79" t="str">
        <f aca="false">IF($V106="","",IF($X106="","Short Term",IF($V106&gt;$X106,"Long Term","Short Term")))</f>
        <v/>
      </c>
      <c r="X106" s="92" t="str">
        <f aca="true">IF($G106="","",IF(ISNA(MATCH($G106,L_Category,0)),"",IF(INDEX(L_CatLT,MATCH($G106,L_Category,0))="","",INDEX(L_CatLT,MATCH($G106,L_Category,0)))))</f>
        <v/>
      </c>
      <c r="Y106" s="83" t="str">
        <f aca="false">IF($AO106="","",IF(INDEX(Securities!$Q$6:$Q$105,$AO106)="","",INDEX(Securities!$Q$6:$Q$105,$AO106)))</f>
        <v/>
      </c>
      <c r="Z106" s="79" t="str">
        <f aca="false">IF($C106="","",IF(OR(NOT(ISNUMBER($H106)),$Y106=""),"No",IF($H106&lt;=GFDate,"Yes","No")))</f>
        <v/>
      </c>
      <c r="AA106" s="85" t="str">
        <f aca="false">IF(OR($M106="",$N106="",$J106=""),"",$M106*($N106-$J106))</f>
        <v/>
      </c>
      <c r="AB106" s="85" t="str">
        <f aca="false">IF(OR(N($P106)&lt;=0,$R106="",$J106=""),"",$P106*($R106-$J106))</f>
        <v/>
      </c>
      <c r="AC106" s="83" t="str">
        <f aca="false">IF(OR($M106="",$N106="",$J106=""),"",IF($Z106="Yes",MAX($J106,MIN($Y106,$N106)),$J106))</f>
        <v/>
      </c>
      <c r="AD106" s="85" t="str">
        <f aca="false">IF($AC106="","",$M106*($N106-$AC106))</f>
        <v/>
      </c>
      <c r="AE106" s="83" t="str">
        <f aca="false">IF(OR(N($P106)&lt;=0,$R106="",$J106=""),"",IF($Z106="Yes",MAX($J106,MIN($Y106,$R106)),$J106))</f>
        <v/>
      </c>
      <c r="AF106" s="85" t="str">
        <f aca="false">IF($AE106="","",$P106*($R106-$AE106))</f>
        <v/>
      </c>
      <c r="AG106" s="92" t="str">
        <f aca="false">IF(OR($V106="",$X106=""),"",MAX(0,$X106+1-$V106))</f>
        <v/>
      </c>
      <c r="AH106" s="93" t="str">
        <f aca="false">IF(OR($X106="",NOT(ISNUMBER($H106)),N($P106)&lt;=0),"",$H106+$X106+1)</f>
        <v/>
      </c>
      <c r="AI106" s="91"/>
      <c r="AJ106" s="85" t="str">
        <f aca="false">IF(OR($AI106="",N($P106)&lt;=0),"",$AI106*$P106)</f>
        <v/>
      </c>
      <c r="AK106" s="79" t="str">
        <f aca="false">IF(NOT(ISNUMBER($L106)),"",IF(MONTH($L106)&gt;=4,YEAR($L106)&amp;"-"&amp;RIGHT(YEAR($L106)+1,2),(YEAR($L106)-1)&amp;"-"&amp;RIGHT(YEAR($L106),2)))</f>
        <v/>
      </c>
      <c r="AL106" s="78"/>
      <c r="AM106" s="79" t="str">
        <f aca="false">IF($A106&amp;$B106&amp;$C106="","",IF($A106="","Missing ID",IF(COUNTIF($A$6:$A$205,$A106)&gt;1,"Duplicate ID",IF($AN106="","Unknown account",IF($AO106="","Unknown security",IF(COUNTIFS(Holdings!$B$6:$B$205,$B106,Holdings!$C$6:$C$205,$C106)=0,"No holding row for this lot",IF(OR($I106="",$J106=""),"Missing purchase quantity or rate",IF(NOT(ISNUMBER($H106)),"Missing purchase date",IF(N($H106)&gt;ValDate,"Purchase after valuation date",IF(N($M106)&gt;N($I106),"Sale quantity exceeds purchase",IF(AND(N($M106)&gt;0,OR(NOT(ISNUMBER($L106)),$N106="")),"Sale date or rate missing",IF(AND(ISNUMBER($L106),N($M106)=0),"Sale date with no quantity",IF(AND(ISNUMBER($L106),N($L106)&lt;N($H106)),"Sale before purchase",IF(N($L106)&gt;ValDate,"Sale after valuation date","OK"))))))))))))))</f>
        <v/>
      </c>
      <c r="AN106" s="89" t="str">
        <f aca="false">IF($B106="","",IFERROR(MATCH($B106,Accounts!$A$6:$A$55,0),""))</f>
        <v/>
      </c>
      <c r="AO106" s="89" t="str">
        <f aca="false">IF($C106="","",IFERROR(MATCH($C106,Securities!$A$6:$A$105,0),""))</f>
        <v/>
      </c>
      <c r="AP106" s="89" t="str">
        <f aca="false">IF($AN106="","",INDEX(Accounts!$B$6:$B$55,$AN106)&amp;"")</f>
        <v/>
      </c>
      <c r="AQ106" s="89" t="str">
        <f aca="false">IF(AND(ISNUMBER($AG106),N($P106)&gt;0),IF(AND(N($AG106)&gt;0,N($AG106)&lt;=SoonDays),1,""),"")</f>
        <v/>
      </c>
      <c r="AR106" s="89" t="str">
        <f aca="false">IF($AQ106&lt;&gt;1,"",SUMPRODUCT(($AQ$6:$AQ$205=1)*ISNUMBER($AG$6:$AG$205)*($AG$6:$AG$205&lt;$AG106))+SUMPRODUCT(($AQ$6:$AQ106=1)*ISNUMBER($AG$6:$AG106)*($AG$6:$AG106=$AG106)))</f>
        <v/>
      </c>
    </row>
    <row r="107" customFormat="false" ht="15" hidden="false" customHeight="false" outlineLevel="0" collapsed="false">
      <c r="A107" s="77"/>
      <c r="B107" s="78"/>
      <c r="C107" s="78"/>
      <c r="D107" s="79" t="str">
        <f aca="false">IF($AN107="","",INDEX(Accounts!$C$6:$C$55,$AN107)&amp;"")</f>
        <v/>
      </c>
      <c r="E107" s="79" t="str">
        <f aca="false">IF($AO107="","",INDEX(Securities!$B$6:$B$105,$AO107)&amp;"")</f>
        <v/>
      </c>
      <c r="F107" s="79" t="str">
        <f aca="false">IF($AO107="","",INDEX(Securities!$C$6:$C$105,$AO107)&amp;"")</f>
        <v/>
      </c>
      <c r="G107" s="79" t="str">
        <f aca="false">IF($AO107="","",INDEX(Securities!$E$6:$E$105,$AO107)&amp;"")</f>
        <v/>
      </c>
      <c r="H107" s="80"/>
      <c r="I107" s="81"/>
      <c r="J107" s="91"/>
      <c r="K107" s="85" t="str">
        <f aca="false">IF(OR($I107="",$J107=""),"",$I107*$J107)</f>
        <v/>
      </c>
      <c r="L107" s="80"/>
      <c r="M107" s="81"/>
      <c r="N107" s="91"/>
      <c r="O107" s="85" t="str">
        <f aca="false">IF(OR($M107="",$N107=""),"",$M107*$N107)</f>
        <v/>
      </c>
      <c r="P107" s="88" t="str">
        <f aca="false">IF($C107="","",N($I107)-N($M107))</f>
        <v/>
      </c>
      <c r="Q107" s="85" t="str">
        <f aca="false">IF(OR($P107="",$J107=""),"",$P107*$J107)</f>
        <v/>
      </c>
      <c r="R107" s="83" t="str">
        <f aca="false">IF($AO107="","",IF(INDEX(Securities!$N$6:$N$105,$AO107)="At cost",IF($J107="","",$J107),IF(INDEX(Securities!$O$6:$O$105,$AO107)="","",INDEX(Securities!$O$6:$O$105,$AO107))))</f>
        <v/>
      </c>
      <c r="S107" s="85" t="str">
        <f aca="false">IF(OR($P107="",$R107=""),"",$P107*$R107)</f>
        <v/>
      </c>
      <c r="T107" s="92" t="str">
        <f aca="false">IF(OR(NOT(ISNUMBER($L107)),NOT(ISNUMBER($H107))),"",$L107-$H107)</f>
        <v/>
      </c>
      <c r="U107" s="79" t="str">
        <f aca="false">IF($T107="","",IF($X107="","Short Term",IF($T107&gt;$X107,"Long Term","Short Term")))</f>
        <v/>
      </c>
      <c r="V107" s="92" t="str">
        <f aca="false">IF(OR(NOT(ISNUMBER($H107)),N($P107)&lt;=0),"",ValDate-$H107)</f>
        <v/>
      </c>
      <c r="W107" s="79" t="str">
        <f aca="false">IF($V107="","",IF($X107="","Short Term",IF($V107&gt;$X107,"Long Term","Short Term")))</f>
        <v/>
      </c>
      <c r="X107" s="92" t="str">
        <f aca="true">IF($G107="","",IF(ISNA(MATCH($G107,L_Category,0)),"",IF(INDEX(L_CatLT,MATCH($G107,L_Category,0))="","",INDEX(L_CatLT,MATCH($G107,L_Category,0)))))</f>
        <v/>
      </c>
      <c r="Y107" s="83" t="str">
        <f aca="false">IF($AO107="","",IF(INDEX(Securities!$Q$6:$Q$105,$AO107)="","",INDEX(Securities!$Q$6:$Q$105,$AO107)))</f>
        <v/>
      </c>
      <c r="Z107" s="79" t="str">
        <f aca="false">IF($C107="","",IF(OR(NOT(ISNUMBER($H107)),$Y107=""),"No",IF($H107&lt;=GFDate,"Yes","No")))</f>
        <v/>
      </c>
      <c r="AA107" s="85" t="str">
        <f aca="false">IF(OR($M107="",$N107="",$J107=""),"",$M107*($N107-$J107))</f>
        <v/>
      </c>
      <c r="AB107" s="85" t="str">
        <f aca="false">IF(OR(N($P107)&lt;=0,$R107="",$J107=""),"",$P107*($R107-$J107))</f>
        <v/>
      </c>
      <c r="AC107" s="83" t="str">
        <f aca="false">IF(OR($M107="",$N107="",$J107=""),"",IF($Z107="Yes",MAX($J107,MIN($Y107,$N107)),$J107))</f>
        <v/>
      </c>
      <c r="AD107" s="85" t="str">
        <f aca="false">IF($AC107="","",$M107*($N107-$AC107))</f>
        <v/>
      </c>
      <c r="AE107" s="83" t="str">
        <f aca="false">IF(OR(N($P107)&lt;=0,$R107="",$J107=""),"",IF($Z107="Yes",MAX($J107,MIN($Y107,$R107)),$J107))</f>
        <v/>
      </c>
      <c r="AF107" s="85" t="str">
        <f aca="false">IF($AE107="","",$P107*($R107-$AE107))</f>
        <v/>
      </c>
      <c r="AG107" s="92" t="str">
        <f aca="false">IF(OR($V107="",$X107=""),"",MAX(0,$X107+1-$V107))</f>
        <v/>
      </c>
      <c r="AH107" s="93" t="str">
        <f aca="false">IF(OR($X107="",NOT(ISNUMBER($H107)),N($P107)&lt;=0),"",$H107+$X107+1)</f>
        <v/>
      </c>
      <c r="AI107" s="91"/>
      <c r="AJ107" s="85" t="str">
        <f aca="false">IF(OR($AI107="",N($P107)&lt;=0),"",$AI107*$P107)</f>
        <v/>
      </c>
      <c r="AK107" s="79" t="str">
        <f aca="false">IF(NOT(ISNUMBER($L107)),"",IF(MONTH($L107)&gt;=4,YEAR($L107)&amp;"-"&amp;RIGHT(YEAR($L107)+1,2),(YEAR($L107)-1)&amp;"-"&amp;RIGHT(YEAR($L107),2)))</f>
        <v/>
      </c>
      <c r="AL107" s="78"/>
      <c r="AM107" s="79" t="str">
        <f aca="false">IF($A107&amp;$B107&amp;$C107="","",IF($A107="","Missing ID",IF(COUNTIF($A$6:$A$205,$A107)&gt;1,"Duplicate ID",IF($AN107="","Unknown account",IF($AO107="","Unknown security",IF(COUNTIFS(Holdings!$B$6:$B$205,$B107,Holdings!$C$6:$C$205,$C107)=0,"No holding row for this lot",IF(OR($I107="",$J107=""),"Missing purchase quantity or rate",IF(NOT(ISNUMBER($H107)),"Missing purchase date",IF(N($H107)&gt;ValDate,"Purchase after valuation date",IF(N($M107)&gt;N($I107),"Sale quantity exceeds purchase",IF(AND(N($M107)&gt;0,OR(NOT(ISNUMBER($L107)),$N107="")),"Sale date or rate missing",IF(AND(ISNUMBER($L107),N($M107)=0),"Sale date with no quantity",IF(AND(ISNUMBER($L107),N($L107)&lt;N($H107)),"Sale before purchase",IF(N($L107)&gt;ValDate,"Sale after valuation date","OK"))))))))))))))</f>
        <v/>
      </c>
      <c r="AN107" s="89" t="str">
        <f aca="false">IF($B107="","",IFERROR(MATCH($B107,Accounts!$A$6:$A$55,0),""))</f>
        <v/>
      </c>
      <c r="AO107" s="89" t="str">
        <f aca="false">IF($C107="","",IFERROR(MATCH($C107,Securities!$A$6:$A$105,0),""))</f>
        <v/>
      </c>
      <c r="AP107" s="89" t="str">
        <f aca="false">IF($AN107="","",INDEX(Accounts!$B$6:$B$55,$AN107)&amp;"")</f>
        <v/>
      </c>
      <c r="AQ107" s="89" t="str">
        <f aca="false">IF(AND(ISNUMBER($AG107),N($P107)&gt;0),IF(AND(N($AG107)&gt;0,N($AG107)&lt;=SoonDays),1,""),"")</f>
        <v/>
      </c>
      <c r="AR107" s="89" t="str">
        <f aca="false">IF($AQ107&lt;&gt;1,"",SUMPRODUCT(($AQ$6:$AQ$205=1)*ISNUMBER($AG$6:$AG$205)*($AG$6:$AG$205&lt;$AG107))+SUMPRODUCT(($AQ$6:$AQ107=1)*ISNUMBER($AG$6:$AG107)*($AG$6:$AG107=$AG107)))</f>
        <v/>
      </c>
    </row>
    <row r="108" customFormat="false" ht="15" hidden="false" customHeight="false" outlineLevel="0" collapsed="false">
      <c r="A108" s="77"/>
      <c r="B108" s="78"/>
      <c r="C108" s="78"/>
      <c r="D108" s="79" t="str">
        <f aca="false">IF($AN108="","",INDEX(Accounts!$C$6:$C$55,$AN108)&amp;"")</f>
        <v/>
      </c>
      <c r="E108" s="79" t="str">
        <f aca="false">IF($AO108="","",INDEX(Securities!$B$6:$B$105,$AO108)&amp;"")</f>
        <v/>
      </c>
      <c r="F108" s="79" t="str">
        <f aca="false">IF($AO108="","",INDEX(Securities!$C$6:$C$105,$AO108)&amp;"")</f>
        <v/>
      </c>
      <c r="G108" s="79" t="str">
        <f aca="false">IF($AO108="","",INDEX(Securities!$E$6:$E$105,$AO108)&amp;"")</f>
        <v/>
      </c>
      <c r="H108" s="80"/>
      <c r="I108" s="81"/>
      <c r="J108" s="91"/>
      <c r="K108" s="85" t="str">
        <f aca="false">IF(OR($I108="",$J108=""),"",$I108*$J108)</f>
        <v/>
      </c>
      <c r="L108" s="80"/>
      <c r="M108" s="81"/>
      <c r="N108" s="91"/>
      <c r="O108" s="85" t="str">
        <f aca="false">IF(OR($M108="",$N108=""),"",$M108*$N108)</f>
        <v/>
      </c>
      <c r="P108" s="88" t="str">
        <f aca="false">IF($C108="","",N($I108)-N($M108))</f>
        <v/>
      </c>
      <c r="Q108" s="85" t="str">
        <f aca="false">IF(OR($P108="",$J108=""),"",$P108*$J108)</f>
        <v/>
      </c>
      <c r="R108" s="83" t="str">
        <f aca="false">IF($AO108="","",IF(INDEX(Securities!$N$6:$N$105,$AO108)="At cost",IF($J108="","",$J108),IF(INDEX(Securities!$O$6:$O$105,$AO108)="","",INDEX(Securities!$O$6:$O$105,$AO108))))</f>
        <v/>
      </c>
      <c r="S108" s="85" t="str">
        <f aca="false">IF(OR($P108="",$R108=""),"",$P108*$R108)</f>
        <v/>
      </c>
      <c r="T108" s="92" t="str">
        <f aca="false">IF(OR(NOT(ISNUMBER($L108)),NOT(ISNUMBER($H108))),"",$L108-$H108)</f>
        <v/>
      </c>
      <c r="U108" s="79" t="str">
        <f aca="false">IF($T108="","",IF($X108="","Short Term",IF($T108&gt;$X108,"Long Term","Short Term")))</f>
        <v/>
      </c>
      <c r="V108" s="92" t="str">
        <f aca="false">IF(OR(NOT(ISNUMBER($H108)),N($P108)&lt;=0),"",ValDate-$H108)</f>
        <v/>
      </c>
      <c r="W108" s="79" t="str">
        <f aca="false">IF($V108="","",IF($X108="","Short Term",IF($V108&gt;$X108,"Long Term","Short Term")))</f>
        <v/>
      </c>
      <c r="X108" s="92" t="str">
        <f aca="true">IF($G108="","",IF(ISNA(MATCH($G108,L_Category,0)),"",IF(INDEX(L_CatLT,MATCH($G108,L_Category,0))="","",INDEX(L_CatLT,MATCH($G108,L_Category,0)))))</f>
        <v/>
      </c>
      <c r="Y108" s="83" t="str">
        <f aca="false">IF($AO108="","",IF(INDEX(Securities!$Q$6:$Q$105,$AO108)="","",INDEX(Securities!$Q$6:$Q$105,$AO108)))</f>
        <v/>
      </c>
      <c r="Z108" s="79" t="str">
        <f aca="false">IF($C108="","",IF(OR(NOT(ISNUMBER($H108)),$Y108=""),"No",IF($H108&lt;=GFDate,"Yes","No")))</f>
        <v/>
      </c>
      <c r="AA108" s="85" t="str">
        <f aca="false">IF(OR($M108="",$N108="",$J108=""),"",$M108*($N108-$J108))</f>
        <v/>
      </c>
      <c r="AB108" s="85" t="str">
        <f aca="false">IF(OR(N($P108)&lt;=0,$R108="",$J108=""),"",$P108*($R108-$J108))</f>
        <v/>
      </c>
      <c r="AC108" s="83" t="str">
        <f aca="false">IF(OR($M108="",$N108="",$J108=""),"",IF($Z108="Yes",MAX($J108,MIN($Y108,$N108)),$J108))</f>
        <v/>
      </c>
      <c r="AD108" s="85" t="str">
        <f aca="false">IF($AC108="","",$M108*($N108-$AC108))</f>
        <v/>
      </c>
      <c r="AE108" s="83" t="str">
        <f aca="false">IF(OR(N($P108)&lt;=0,$R108="",$J108=""),"",IF($Z108="Yes",MAX($J108,MIN($Y108,$R108)),$J108))</f>
        <v/>
      </c>
      <c r="AF108" s="85" t="str">
        <f aca="false">IF($AE108="","",$P108*($R108-$AE108))</f>
        <v/>
      </c>
      <c r="AG108" s="92" t="str">
        <f aca="false">IF(OR($V108="",$X108=""),"",MAX(0,$X108+1-$V108))</f>
        <v/>
      </c>
      <c r="AH108" s="93" t="str">
        <f aca="false">IF(OR($X108="",NOT(ISNUMBER($H108)),N($P108)&lt;=0),"",$H108+$X108+1)</f>
        <v/>
      </c>
      <c r="AI108" s="91"/>
      <c r="AJ108" s="85" t="str">
        <f aca="false">IF(OR($AI108="",N($P108)&lt;=0),"",$AI108*$P108)</f>
        <v/>
      </c>
      <c r="AK108" s="79" t="str">
        <f aca="false">IF(NOT(ISNUMBER($L108)),"",IF(MONTH($L108)&gt;=4,YEAR($L108)&amp;"-"&amp;RIGHT(YEAR($L108)+1,2),(YEAR($L108)-1)&amp;"-"&amp;RIGHT(YEAR($L108),2)))</f>
        <v/>
      </c>
      <c r="AL108" s="78"/>
      <c r="AM108" s="79" t="str">
        <f aca="false">IF($A108&amp;$B108&amp;$C108="","",IF($A108="","Missing ID",IF(COUNTIF($A$6:$A$205,$A108)&gt;1,"Duplicate ID",IF($AN108="","Unknown account",IF($AO108="","Unknown security",IF(COUNTIFS(Holdings!$B$6:$B$205,$B108,Holdings!$C$6:$C$205,$C108)=0,"No holding row for this lot",IF(OR($I108="",$J108=""),"Missing purchase quantity or rate",IF(NOT(ISNUMBER($H108)),"Missing purchase date",IF(N($H108)&gt;ValDate,"Purchase after valuation date",IF(N($M108)&gt;N($I108),"Sale quantity exceeds purchase",IF(AND(N($M108)&gt;0,OR(NOT(ISNUMBER($L108)),$N108="")),"Sale date or rate missing",IF(AND(ISNUMBER($L108),N($M108)=0),"Sale date with no quantity",IF(AND(ISNUMBER($L108),N($L108)&lt;N($H108)),"Sale before purchase",IF(N($L108)&gt;ValDate,"Sale after valuation date","OK"))))))))))))))</f>
        <v/>
      </c>
      <c r="AN108" s="89" t="str">
        <f aca="false">IF($B108="","",IFERROR(MATCH($B108,Accounts!$A$6:$A$55,0),""))</f>
        <v/>
      </c>
      <c r="AO108" s="89" t="str">
        <f aca="false">IF($C108="","",IFERROR(MATCH($C108,Securities!$A$6:$A$105,0),""))</f>
        <v/>
      </c>
      <c r="AP108" s="89" t="str">
        <f aca="false">IF($AN108="","",INDEX(Accounts!$B$6:$B$55,$AN108)&amp;"")</f>
        <v/>
      </c>
      <c r="AQ108" s="89" t="str">
        <f aca="false">IF(AND(ISNUMBER($AG108),N($P108)&gt;0),IF(AND(N($AG108)&gt;0,N($AG108)&lt;=SoonDays),1,""),"")</f>
        <v/>
      </c>
      <c r="AR108" s="89" t="str">
        <f aca="false">IF($AQ108&lt;&gt;1,"",SUMPRODUCT(($AQ$6:$AQ$205=1)*ISNUMBER($AG$6:$AG$205)*($AG$6:$AG$205&lt;$AG108))+SUMPRODUCT(($AQ$6:$AQ108=1)*ISNUMBER($AG$6:$AG108)*($AG$6:$AG108=$AG108)))</f>
        <v/>
      </c>
    </row>
    <row r="109" customFormat="false" ht="15" hidden="false" customHeight="false" outlineLevel="0" collapsed="false">
      <c r="A109" s="77"/>
      <c r="B109" s="78"/>
      <c r="C109" s="78"/>
      <c r="D109" s="79" t="str">
        <f aca="false">IF($AN109="","",INDEX(Accounts!$C$6:$C$55,$AN109)&amp;"")</f>
        <v/>
      </c>
      <c r="E109" s="79" t="str">
        <f aca="false">IF($AO109="","",INDEX(Securities!$B$6:$B$105,$AO109)&amp;"")</f>
        <v/>
      </c>
      <c r="F109" s="79" t="str">
        <f aca="false">IF($AO109="","",INDEX(Securities!$C$6:$C$105,$AO109)&amp;"")</f>
        <v/>
      </c>
      <c r="G109" s="79" t="str">
        <f aca="false">IF($AO109="","",INDEX(Securities!$E$6:$E$105,$AO109)&amp;"")</f>
        <v/>
      </c>
      <c r="H109" s="80"/>
      <c r="I109" s="81"/>
      <c r="J109" s="91"/>
      <c r="K109" s="85" t="str">
        <f aca="false">IF(OR($I109="",$J109=""),"",$I109*$J109)</f>
        <v/>
      </c>
      <c r="L109" s="80"/>
      <c r="M109" s="81"/>
      <c r="N109" s="91"/>
      <c r="O109" s="85" t="str">
        <f aca="false">IF(OR($M109="",$N109=""),"",$M109*$N109)</f>
        <v/>
      </c>
      <c r="P109" s="88" t="str">
        <f aca="false">IF($C109="","",N($I109)-N($M109))</f>
        <v/>
      </c>
      <c r="Q109" s="85" t="str">
        <f aca="false">IF(OR($P109="",$J109=""),"",$P109*$J109)</f>
        <v/>
      </c>
      <c r="R109" s="83" t="str">
        <f aca="false">IF($AO109="","",IF(INDEX(Securities!$N$6:$N$105,$AO109)="At cost",IF($J109="","",$J109),IF(INDEX(Securities!$O$6:$O$105,$AO109)="","",INDEX(Securities!$O$6:$O$105,$AO109))))</f>
        <v/>
      </c>
      <c r="S109" s="85" t="str">
        <f aca="false">IF(OR($P109="",$R109=""),"",$P109*$R109)</f>
        <v/>
      </c>
      <c r="T109" s="92" t="str">
        <f aca="false">IF(OR(NOT(ISNUMBER($L109)),NOT(ISNUMBER($H109))),"",$L109-$H109)</f>
        <v/>
      </c>
      <c r="U109" s="79" t="str">
        <f aca="false">IF($T109="","",IF($X109="","Short Term",IF($T109&gt;$X109,"Long Term","Short Term")))</f>
        <v/>
      </c>
      <c r="V109" s="92" t="str">
        <f aca="false">IF(OR(NOT(ISNUMBER($H109)),N($P109)&lt;=0),"",ValDate-$H109)</f>
        <v/>
      </c>
      <c r="W109" s="79" t="str">
        <f aca="false">IF($V109="","",IF($X109="","Short Term",IF($V109&gt;$X109,"Long Term","Short Term")))</f>
        <v/>
      </c>
      <c r="X109" s="92" t="str">
        <f aca="true">IF($G109="","",IF(ISNA(MATCH($G109,L_Category,0)),"",IF(INDEX(L_CatLT,MATCH($G109,L_Category,0))="","",INDEX(L_CatLT,MATCH($G109,L_Category,0)))))</f>
        <v/>
      </c>
      <c r="Y109" s="83" t="str">
        <f aca="false">IF($AO109="","",IF(INDEX(Securities!$Q$6:$Q$105,$AO109)="","",INDEX(Securities!$Q$6:$Q$105,$AO109)))</f>
        <v/>
      </c>
      <c r="Z109" s="79" t="str">
        <f aca="false">IF($C109="","",IF(OR(NOT(ISNUMBER($H109)),$Y109=""),"No",IF($H109&lt;=GFDate,"Yes","No")))</f>
        <v/>
      </c>
      <c r="AA109" s="85" t="str">
        <f aca="false">IF(OR($M109="",$N109="",$J109=""),"",$M109*($N109-$J109))</f>
        <v/>
      </c>
      <c r="AB109" s="85" t="str">
        <f aca="false">IF(OR(N($P109)&lt;=0,$R109="",$J109=""),"",$P109*($R109-$J109))</f>
        <v/>
      </c>
      <c r="AC109" s="83" t="str">
        <f aca="false">IF(OR($M109="",$N109="",$J109=""),"",IF($Z109="Yes",MAX($J109,MIN($Y109,$N109)),$J109))</f>
        <v/>
      </c>
      <c r="AD109" s="85" t="str">
        <f aca="false">IF($AC109="","",$M109*($N109-$AC109))</f>
        <v/>
      </c>
      <c r="AE109" s="83" t="str">
        <f aca="false">IF(OR(N($P109)&lt;=0,$R109="",$J109=""),"",IF($Z109="Yes",MAX($J109,MIN($Y109,$R109)),$J109))</f>
        <v/>
      </c>
      <c r="AF109" s="85" t="str">
        <f aca="false">IF($AE109="","",$P109*($R109-$AE109))</f>
        <v/>
      </c>
      <c r="AG109" s="92" t="str">
        <f aca="false">IF(OR($V109="",$X109=""),"",MAX(0,$X109+1-$V109))</f>
        <v/>
      </c>
      <c r="AH109" s="93" t="str">
        <f aca="false">IF(OR($X109="",NOT(ISNUMBER($H109)),N($P109)&lt;=0),"",$H109+$X109+1)</f>
        <v/>
      </c>
      <c r="AI109" s="91"/>
      <c r="AJ109" s="85" t="str">
        <f aca="false">IF(OR($AI109="",N($P109)&lt;=0),"",$AI109*$P109)</f>
        <v/>
      </c>
      <c r="AK109" s="79" t="str">
        <f aca="false">IF(NOT(ISNUMBER($L109)),"",IF(MONTH($L109)&gt;=4,YEAR($L109)&amp;"-"&amp;RIGHT(YEAR($L109)+1,2),(YEAR($L109)-1)&amp;"-"&amp;RIGHT(YEAR($L109),2)))</f>
        <v/>
      </c>
      <c r="AL109" s="78"/>
      <c r="AM109" s="79" t="str">
        <f aca="false">IF($A109&amp;$B109&amp;$C109="","",IF($A109="","Missing ID",IF(COUNTIF($A$6:$A$205,$A109)&gt;1,"Duplicate ID",IF($AN109="","Unknown account",IF($AO109="","Unknown security",IF(COUNTIFS(Holdings!$B$6:$B$205,$B109,Holdings!$C$6:$C$205,$C109)=0,"No holding row for this lot",IF(OR($I109="",$J109=""),"Missing purchase quantity or rate",IF(NOT(ISNUMBER($H109)),"Missing purchase date",IF(N($H109)&gt;ValDate,"Purchase after valuation date",IF(N($M109)&gt;N($I109),"Sale quantity exceeds purchase",IF(AND(N($M109)&gt;0,OR(NOT(ISNUMBER($L109)),$N109="")),"Sale date or rate missing",IF(AND(ISNUMBER($L109),N($M109)=0),"Sale date with no quantity",IF(AND(ISNUMBER($L109),N($L109)&lt;N($H109)),"Sale before purchase",IF(N($L109)&gt;ValDate,"Sale after valuation date","OK"))))))))))))))</f>
        <v/>
      </c>
      <c r="AN109" s="89" t="str">
        <f aca="false">IF($B109="","",IFERROR(MATCH($B109,Accounts!$A$6:$A$55,0),""))</f>
        <v/>
      </c>
      <c r="AO109" s="89" t="str">
        <f aca="false">IF($C109="","",IFERROR(MATCH($C109,Securities!$A$6:$A$105,0),""))</f>
        <v/>
      </c>
      <c r="AP109" s="89" t="str">
        <f aca="false">IF($AN109="","",INDEX(Accounts!$B$6:$B$55,$AN109)&amp;"")</f>
        <v/>
      </c>
      <c r="AQ109" s="89" t="str">
        <f aca="false">IF(AND(ISNUMBER($AG109),N($P109)&gt;0),IF(AND(N($AG109)&gt;0,N($AG109)&lt;=SoonDays),1,""),"")</f>
        <v/>
      </c>
      <c r="AR109" s="89" t="str">
        <f aca="false">IF($AQ109&lt;&gt;1,"",SUMPRODUCT(($AQ$6:$AQ$205=1)*ISNUMBER($AG$6:$AG$205)*($AG$6:$AG$205&lt;$AG109))+SUMPRODUCT(($AQ$6:$AQ109=1)*ISNUMBER($AG$6:$AG109)*($AG$6:$AG109=$AG109)))</f>
        <v/>
      </c>
    </row>
    <row r="110" customFormat="false" ht="15" hidden="false" customHeight="false" outlineLevel="0" collapsed="false">
      <c r="A110" s="77"/>
      <c r="B110" s="78"/>
      <c r="C110" s="78"/>
      <c r="D110" s="79" t="str">
        <f aca="false">IF($AN110="","",INDEX(Accounts!$C$6:$C$55,$AN110)&amp;"")</f>
        <v/>
      </c>
      <c r="E110" s="79" t="str">
        <f aca="false">IF($AO110="","",INDEX(Securities!$B$6:$B$105,$AO110)&amp;"")</f>
        <v/>
      </c>
      <c r="F110" s="79" t="str">
        <f aca="false">IF($AO110="","",INDEX(Securities!$C$6:$C$105,$AO110)&amp;"")</f>
        <v/>
      </c>
      <c r="G110" s="79" t="str">
        <f aca="false">IF($AO110="","",INDEX(Securities!$E$6:$E$105,$AO110)&amp;"")</f>
        <v/>
      </c>
      <c r="H110" s="80"/>
      <c r="I110" s="81"/>
      <c r="J110" s="91"/>
      <c r="K110" s="85" t="str">
        <f aca="false">IF(OR($I110="",$J110=""),"",$I110*$J110)</f>
        <v/>
      </c>
      <c r="L110" s="80"/>
      <c r="M110" s="81"/>
      <c r="N110" s="91"/>
      <c r="O110" s="85" t="str">
        <f aca="false">IF(OR($M110="",$N110=""),"",$M110*$N110)</f>
        <v/>
      </c>
      <c r="P110" s="88" t="str">
        <f aca="false">IF($C110="","",N($I110)-N($M110))</f>
        <v/>
      </c>
      <c r="Q110" s="85" t="str">
        <f aca="false">IF(OR($P110="",$J110=""),"",$P110*$J110)</f>
        <v/>
      </c>
      <c r="R110" s="83" t="str">
        <f aca="false">IF($AO110="","",IF(INDEX(Securities!$N$6:$N$105,$AO110)="At cost",IF($J110="","",$J110),IF(INDEX(Securities!$O$6:$O$105,$AO110)="","",INDEX(Securities!$O$6:$O$105,$AO110))))</f>
        <v/>
      </c>
      <c r="S110" s="85" t="str">
        <f aca="false">IF(OR($P110="",$R110=""),"",$P110*$R110)</f>
        <v/>
      </c>
      <c r="T110" s="92" t="str">
        <f aca="false">IF(OR(NOT(ISNUMBER($L110)),NOT(ISNUMBER($H110))),"",$L110-$H110)</f>
        <v/>
      </c>
      <c r="U110" s="79" t="str">
        <f aca="false">IF($T110="","",IF($X110="","Short Term",IF($T110&gt;$X110,"Long Term","Short Term")))</f>
        <v/>
      </c>
      <c r="V110" s="92" t="str">
        <f aca="false">IF(OR(NOT(ISNUMBER($H110)),N($P110)&lt;=0),"",ValDate-$H110)</f>
        <v/>
      </c>
      <c r="W110" s="79" t="str">
        <f aca="false">IF($V110="","",IF($X110="","Short Term",IF($V110&gt;$X110,"Long Term","Short Term")))</f>
        <v/>
      </c>
      <c r="X110" s="92" t="str">
        <f aca="true">IF($G110="","",IF(ISNA(MATCH($G110,L_Category,0)),"",IF(INDEX(L_CatLT,MATCH($G110,L_Category,0))="","",INDEX(L_CatLT,MATCH($G110,L_Category,0)))))</f>
        <v/>
      </c>
      <c r="Y110" s="83" t="str">
        <f aca="false">IF($AO110="","",IF(INDEX(Securities!$Q$6:$Q$105,$AO110)="","",INDEX(Securities!$Q$6:$Q$105,$AO110)))</f>
        <v/>
      </c>
      <c r="Z110" s="79" t="str">
        <f aca="false">IF($C110="","",IF(OR(NOT(ISNUMBER($H110)),$Y110=""),"No",IF($H110&lt;=GFDate,"Yes","No")))</f>
        <v/>
      </c>
      <c r="AA110" s="85" t="str">
        <f aca="false">IF(OR($M110="",$N110="",$J110=""),"",$M110*($N110-$J110))</f>
        <v/>
      </c>
      <c r="AB110" s="85" t="str">
        <f aca="false">IF(OR(N($P110)&lt;=0,$R110="",$J110=""),"",$P110*($R110-$J110))</f>
        <v/>
      </c>
      <c r="AC110" s="83" t="str">
        <f aca="false">IF(OR($M110="",$N110="",$J110=""),"",IF($Z110="Yes",MAX($J110,MIN($Y110,$N110)),$J110))</f>
        <v/>
      </c>
      <c r="AD110" s="85" t="str">
        <f aca="false">IF($AC110="","",$M110*($N110-$AC110))</f>
        <v/>
      </c>
      <c r="AE110" s="83" t="str">
        <f aca="false">IF(OR(N($P110)&lt;=0,$R110="",$J110=""),"",IF($Z110="Yes",MAX($J110,MIN($Y110,$R110)),$J110))</f>
        <v/>
      </c>
      <c r="AF110" s="85" t="str">
        <f aca="false">IF($AE110="","",$P110*($R110-$AE110))</f>
        <v/>
      </c>
      <c r="AG110" s="92" t="str">
        <f aca="false">IF(OR($V110="",$X110=""),"",MAX(0,$X110+1-$V110))</f>
        <v/>
      </c>
      <c r="AH110" s="93" t="str">
        <f aca="false">IF(OR($X110="",NOT(ISNUMBER($H110)),N($P110)&lt;=0),"",$H110+$X110+1)</f>
        <v/>
      </c>
      <c r="AI110" s="91"/>
      <c r="AJ110" s="85" t="str">
        <f aca="false">IF(OR($AI110="",N($P110)&lt;=0),"",$AI110*$P110)</f>
        <v/>
      </c>
      <c r="AK110" s="79" t="str">
        <f aca="false">IF(NOT(ISNUMBER($L110)),"",IF(MONTH($L110)&gt;=4,YEAR($L110)&amp;"-"&amp;RIGHT(YEAR($L110)+1,2),(YEAR($L110)-1)&amp;"-"&amp;RIGHT(YEAR($L110),2)))</f>
        <v/>
      </c>
      <c r="AL110" s="78"/>
      <c r="AM110" s="79" t="str">
        <f aca="false">IF($A110&amp;$B110&amp;$C110="","",IF($A110="","Missing ID",IF(COUNTIF($A$6:$A$205,$A110)&gt;1,"Duplicate ID",IF($AN110="","Unknown account",IF($AO110="","Unknown security",IF(COUNTIFS(Holdings!$B$6:$B$205,$B110,Holdings!$C$6:$C$205,$C110)=0,"No holding row for this lot",IF(OR($I110="",$J110=""),"Missing purchase quantity or rate",IF(NOT(ISNUMBER($H110)),"Missing purchase date",IF(N($H110)&gt;ValDate,"Purchase after valuation date",IF(N($M110)&gt;N($I110),"Sale quantity exceeds purchase",IF(AND(N($M110)&gt;0,OR(NOT(ISNUMBER($L110)),$N110="")),"Sale date or rate missing",IF(AND(ISNUMBER($L110),N($M110)=0),"Sale date with no quantity",IF(AND(ISNUMBER($L110),N($L110)&lt;N($H110)),"Sale before purchase",IF(N($L110)&gt;ValDate,"Sale after valuation date","OK"))))))))))))))</f>
        <v/>
      </c>
      <c r="AN110" s="89" t="str">
        <f aca="false">IF($B110="","",IFERROR(MATCH($B110,Accounts!$A$6:$A$55,0),""))</f>
        <v/>
      </c>
      <c r="AO110" s="89" t="str">
        <f aca="false">IF($C110="","",IFERROR(MATCH($C110,Securities!$A$6:$A$105,0),""))</f>
        <v/>
      </c>
      <c r="AP110" s="89" t="str">
        <f aca="false">IF($AN110="","",INDEX(Accounts!$B$6:$B$55,$AN110)&amp;"")</f>
        <v/>
      </c>
      <c r="AQ110" s="89" t="str">
        <f aca="false">IF(AND(ISNUMBER($AG110),N($P110)&gt;0),IF(AND(N($AG110)&gt;0,N($AG110)&lt;=SoonDays),1,""),"")</f>
        <v/>
      </c>
      <c r="AR110" s="89" t="str">
        <f aca="false">IF($AQ110&lt;&gt;1,"",SUMPRODUCT(($AQ$6:$AQ$205=1)*ISNUMBER($AG$6:$AG$205)*($AG$6:$AG$205&lt;$AG110))+SUMPRODUCT(($AQ$6:$AQ110=1)*ISNUMBER($AG$6:$AG110)*($AG$6:$AG110=$AG110)))</f>
        <v/>
      </c>
    </row>
    <row r="111" customFormat="false" ht="15" hidden="false" customHeight="false" outlineLevel="0" collapsed="false">
      <c r="A111" s="77"/>
      <c r="B111" s="78"/>
      <c r="C111" s="78"/>
      <c r="D111" s="79" t="str">
        <f aca="false">IF($AN111="","",INDEX(Accounts!$C$6:$C$55,$AN111)&amp;"")</f>
        <v/>
      </c>
      <c r="E111" s="79" t="str">
        <f aca="false">IF($AO111="","",INDEX(Securities!$B$6:$B$105,$AO111)&amp;"")</f>
        <v/>
      </c>
      <c r="F111" s="79" t="str">
        <f aca="false">IF($AO111="","",INDEX(Securities!$C$6:$C$105,$AO111)&amp;"")</f>
        <v/>
      </c>
      <c r="G111" s="79" t="str">
        <f aca="false">IF($AO111="","",INDEX(Securities!$E$6:$E$105,$AO111)&amp;"")</f>
        <v/>
      </c>
      <c r="H111" s="80"/>
      <c r="I111" s="81"/>
      <c r="J111" s="91"/>
      <c r="K111" s="85" t="str">
        <f aca="false">IF(OR($I111="",$J111=""),"",$I111*$J111)</f>
        <v/>
      </c>
      <c r="L111" s="80"/>
      <c r="M111" s="81"/>
      <c r="N111" s="91"/>
      <c r="O111" s="85" t="str">
        <f aca="false">IF(OR($M111="",$N111=""),"",$M111*$N111)</f>
        <v/>
      </c>
      <c r="P111" s="88" t="str">
        <f aca="false">IF($C111="","",N($I111)-N($M111))</f>
        <v/>
      </c>
      <c r="Q111" s="85" t="str">
        <f aca="false">IF(OR($P111="",$J111=""),"",$P111*$J111)</f>
        <v/>
      </c>
      <c r="R111" s="83" t="str">
        <f aca="false">IF($AO111="","",IF(INDEX(Securities!$N$6:$N$105,$AO111)="At cost",IF($J111="","",$J111),IF(INDEX(Securities!$O$6:$O$105,$AO111)="","",INDEX(Securities!$O$6:$O$105,$AO111))))</f>
        <v/>
      </c>
      <c r="S111" s="85" t="str">
        <f aca="false">IF(OR($P111="",$R111=""),"",$P111*$R111)</f>
        <v/>
      </c>
      <c r="T111" s="92" t="str">
        <f aca="false">IF(OR(NOT(ISNUMBER($L111)),NOT(ISNUMBER($H111))),"",$L111-$H111)</f>
        <v/>
      </c>
      <c r="U111" s="79" t="str">
        <f aca="false">IF($T111="","",IF($X111="","Short Term",IF($T111&gt;$X111,"Long Term","Short Term")))</f>
        <v/>
      </c>
      <c r="V111" s="92" t="str">
        <f aca="false">IF(OR(NOT(ISNUMBER($H111)),N($P111)&lt;=0),"",ValDate-$H111)</f>
        <v/>
      </c>
      <c r="W111" s="79" t="str">
        <f aca="false">IF($V111="","",IF($X111="","Short Term",IF($V111&gt;$X111,"Long Term","Short Term")))</f>
        <v/>
      </c>
      <c r="X111" s="92" t="str">
        <f aca="true">IF($G111="","",IF(ISNA(MATCH($G111,L_Category,0)),"",IF(INDEX(L_CatLT,MATCH($G111,L_Category,0))="","",INDEX(L_CatLT,MATCH($G111,L_Category,0)))))</f>
        <v/>
      </c>
      <c r="Y111" s="83" t="str">
        <f aca="false">IF($AO111="","",IF(INDEX(Securities!$Q$6:$Q$105,$AO111)="","",INDEX(Securities!$Q$6:$Q$105,$AO111)))</f>
        <v/>
      </c>
      <c r="Z111" s="79" t="str">
        <f aca="false">IF($C111="","",IF(OR(NOT(ISNUMBER($H111)),$Y111=""),"No",IF($H111&lt;=GFDate,"Yes","No")))</f>
        <v/>
      </c>
      <c r="AA111" s="85" t="str">
        <f aca="false">IF(OR($M111="",$N111="",$J111=""),"",$M111*($N111-$J111))</f>
        <v/>
      </c>
      <c r="AB111" s="85" t="str">
        <f aca="false">IF(OR(N($P111)&lt;=0,$R111="",$J111=""),"",$P111*($R111-$J111))</f>
        <v/>
      </c>
      <c r="AC111" s="83" t="str">
        <f aca="false">IF(OR($M111="",$N111="",$J111=""),"",IF($Z111="Yes",MAX($J111,MIN($Y111,$N111)),$J111))</f>
        <v/>
      </c>
      <c r="AD111" s="85" t="str">
        <f aca="false">IF($AC111="","",$M111*($N111-$AC111))</f>
        <v/>
      </c>
      <c r="AE111" s="83" t="str">
        <f aca="false">IF(OR(N($P111)&lt;=0,$R111="",$J111=""),"",IF($Z111="Yes",MAX($J111,MIN($Y111,$R111)),$J111))</f>
        <v/>
      </c>
      <c r="AF111" s="85" t="str">
        <f aca="false">IF($AE111="","",$P111*($R111-$AE111))</f>
        <v/>
      </c>
      <c r="AG111" s="92" t="str">
        <f aca="false">IF(OR($V111="",$X111=""),"",MAX(0,$X111+1-$V111))</f>
        <v/>
      </c>
      <c r="AH111" s="93" t="str">
        <f aca="false">IF(OR($X111="",NOT(ISNUMBER($H111)),N($P111)&lt;=0),"",$H111+$X111+1)</f>
        <v/>
      </c>
      <c r="AI111" s="91"/>
      <c r="AJ111" s="85" t="str">
        <f aca="false">IF(OR($AI111="",N($P111)&lt;=0),"",$AI111*$P111)</f>
        <v/>
      </c>
      <c r="AK111" s="79" t="str">
        <f aca="false">IF(NOT(ISNUMBER($L111)),"",IF(MONTH($L111)&gt;=4,YEAR($L111)&amp;"-"&amp;RIGHT(YEAR($L111)+1,2),(YEAR($L111)-1)&amp;"-"&amp;RIGHT(YEAR($L111),2)))</f>
        <v/>
      </c>
      <c r="AL111" s="78"/>
      <c r="AM111" s="79" t="str">
        <f aca="false">IF($A111&amp;$B111&amp;$C111="","",IF($A111="","Missing ID",IF(COUNTIF($A$6:$A$205,$A111)&gt;1,"Duplicate ID",IF($AN111="","Unknown account",IF($AO111="","Unknown security",IF(COUNTIFS(Holdings!$B$6:$B$205,$B111,Holdings!$C$6:$C$205,$C111)=0,"No holding row for this lot",IF(OR($I111="",$J111=""),"Missing purchase quantity or rate",IF(NOT(ISNUMBER($H111)),"Missing purchase date",IF(N($H111)&gt;ValDate,"Purchase after valuation date",IF(N($M111)&gt;N($I111),"Sale quantity exceeds purchase",IF(AND(N($M111)&gt;0,OR(NOT(ISNUMBER($L111)),$N111="")),"Sale date or rate missing",IF(AND(ISNUMBER($L111),N($M111)=0),"Sale date with no quantity",IF(AND(ISNUMBER($L111),N($L111)&lt;N($H111)),"Sale before purchase",IF(N($L111)&gt;ValDate,"Sale after valuation date","OK"))))))))))))))</f>
        <v/>
      </c>
      <c r="AN111" s="89" t="str">
        <f aca="false">IF($B111="","",IFERROR(MATCH($B111,Accounts!$A$6:$A$55,0),""))</f>
        <v/>
      </c>
      <c r="AO111" s="89" t="str">
        <f aca="false">IF($C111="","",IFERROR(MATCH($C111,Securities!$A$6:$A$105,0),""))</f>
        <v/>
      </c>
      <c r="AP111" s="89" t="str">
        <f aca="false">IF($AN111="","",INDEX(Accounts!$B$6:$B$55,$AN111)&amp;"")</f>
        <v/>
      </c>
      <c r="AQ111" s="89" t="str">
        <f aca="false">IF(AND(ISNUMBER($AG111),N($P111)&gt;0),IF(AND(N($AG111)&gt;0,N($AG111)&lt;=SoonDays),1,""),"")</f>
        <v/>
      </c>
      <c r="AR111" s="89" t="str">
        <f aca="false">IF($AQ111&lt;&gt;1,"",SUMPRODUCT(($AQ$6:$AQ$205=1)*ISNUMBER($AG$6:$AG$205)*($AG$6:$AG$205&lt;$AG111))+SUMPRODUCT(($AQ$6:$AQ111=1)*ISNUMBER($AG$6:$AG111)*($AG$6:$AG111=$AG111)))</f>
        <v/>
      </c>
    </row>
    <row r="112" customFormat="false" ht="15" hidden="false" customHeight="false" outlineLevel="0" collapsed="false">
      <c r="A112" s="77"/>
      <c r="B112" s="78"/>
      <c r="C112" s="78"/>
      <c r="D112" s="79" t="str">
        <f aca="false">IF($AN112="","",INDEX(Accounts!$C$6:$C$55,$AN112)&amp;"")</f>
        <v/>
      </c>
      <c r="E112" s="79" t="str">
        <f aca="false">IF($AO112="","",INDEX(Securities!$B$6:$B$105,$AO112)&amp;"")</f>
        <v/>
      </c>
      <c r="F112" s="79" t="str">
        <f aca="false">IF($AO112="","",INDEX(Securities!$C$6:$C$105,$AO112)&amp;"")</f>
        <v/>
      </c>
      <c r="G112" s="79" t="str">
        <f aca="false">IF($AO112="","",INDEX(Securities!$E$6:$E$105,$AO112)&amp;"")</f>
        <v/>
      </c>
      <c r="H112" s="80"/>
      <c r="I112" s="81"/>
      <c r="J112" s="91"/>
      <c r="K112" s="85" t="str">
        <f aca="false">IF(OR($I112="",$J112=""),"",$I112*$J112)</f>
        <v/>
      </c>
      <c r="L112" s="80"/>
      <c r="M112" s="81"/>
      <c r="N112" s="91"/>
      <c r="O112" s="85" t="str">
        <f aca="false">IF(OR($M112="",$N112=""),"",$M112*$N112)</f>
        <v/>
      </c>
      <c r="P112" s="88" t="str">
        <f aca="false">IF($C112="","",N($I112)-N($M112))</f>
        <v/>
      </c>
      <c r="Q112" s="85" t="str">
        <f aca="false">IF(OR($P112="",$J112=""),"",$P112*$J112)</f>
        <v/>
      </c>
      <c r="R112" s="83" t="str">
        <f aca="false">IF($AO112="","",IF(INDEX(Securities!$N$6:$N$105,$AO112)="At cost",IF($J112="","",$J112),IF(INDEX(Securities!$O$6:$O$105,$AO112)="","",INDEX(Securities!$O$6:$O$105,$AO112))))</f>
        <v/>
      </c>
      <c r="S112" s="85" t="str">
        <f aca="false">IF(OR($P112="",$R112=""),"",$P112*$R112)</f>
        <v/>
      </c>
      <c r="T112" s="92" t="str">
        <f aca="false">IF(OR(NOT(ISNUMBER($L112)),NOT(ISNUMBER($H112))),"",$L112-$H112)</f>
        <v/>
      </c>
      <c r="U112" s="79" t="str">
        <f aca="false">IF($T112="","",IF($X112="","Short Term",IF($T112&gt;$X112,"Long Term","Short Term")))</f>
        <v/>
      </c>
      <c r="V112" s="92" t="str">
        <f aca="false">IF(OR(NOT(ISNUMBER($H112)),N($P112)&lt;=0),"",ValDate-$H112)</f>
        <v/>
      </c>
      <c r="W112" s="79" t="str">
        <f aca="false">IF($V112="","",IF($X112="","Short Term",IF($V112&gt;$X112,"Long Term","Short Term")))</f>
        <v/>
      </c>
      <c r="X112" s="92" t="str">
        <f aca="true">IF($G112="","",IF(ISNA(MATCH($G112,L_Category,0)),"",IF(INDEX(L_CatLT,MATCH($G112,L_Category,0))="","",INDEX(L_CatLT,MATCH($G112,L_Category,0)))))</f>
        <v/>
      </c>
      <c r="Y112" s="83" t="str">
        <f aca="false">IF($AO112="","",IF(INDEX(Securities!$Q$6:$Q$105,$AO112)="","",INDEX(Securities!$Q$6:$Q$105,$AO112)))</f>
        <v/>
      </c>
      <c r="Z112" s="79" t="str">
        <f aca="false">IF($C112="","",IF(OR(NOT(ISNUMBER($H112)),$Y112=""),"No",IF($H112&lt;=GFDate,"Yes","No")))</f>
        <v/>
      </c>
      <c r="AA112" s="85" t="str">
        <f aca="false">IF(OR($M112="",$N112="",$J112=""),"",$M112*($N112-$J112))</f>
        <v/>
      </c>
      <c r="AB112" s="85" t="str">
        <f aca="false">IF(OR(N($P112)&lt;=0,$R112="",$J112=""),"",$P112*($R112-$J112))</f>
        <v/>
      </c>
      <c r="AC112" s="83" t="str">
        <f aca="false">IF(OR($M112="",$N112="",$J112=""),"",IF($Z112="Yes",MAX($J112,MIN($Y112,$N112)),$J112))</f>
        <v/>
      </c>
      <c r="AD112" s="85" t="str">
        <f aca="false">IF($AC112="","",$M112*($N112-$AC112))</f>
        <v/>
      </c>
      <c r="AE112" s="83" t="str">
        <f aca="false">IF(OR(N($P112)&lt;=0,$R112="",$J112=""),"",IF($Z112="Yes",MAX($J112,MIN($Y112,$R112)),$J112))</f>
        <v/>
      </c>
      <c r="AF112" s="85" t="str">
        <f aca="false">IF($AE112="","",$P112*($R112-$AE112))</f>
        <v/>
      </c>
      <c r="AG112" s="92" t="str">
        <f aca="false">IF(OR($V112="",$X112=""),"",MAX(0,$X112+1-$V112))</f>
        <v/>
      </c>
      <c r="AH112" s="93" t="str">
        <f aca="false">IF(OR($X112="",NOT(ISNUMBER($H112)),N($P112)&lt;=0),"",$H112+$X112+1)</f>
        <v/>
      </c>
      <c r="AI112" s="91"/>
      <c r="AJ112" s="85" t="str">
        <f aca="false">IF(OR($AI112="",N($P112)&lt;=0),"",$AI112*$P112)</f>
        <v/>
      </c>
      <c r="AK112" s="79" t="str">
        <f aca="false">IF(NOT(ISNUMBER($L112)),"",IF(MONTH($L112)&gt;=4,YEAR($L112)&amp;"-"&amp;RIGHT(YEAR($L112)+1,2),(YEAR($L112)-1)&amp;"-"&amp;RIGHT(YEAR($L112),2)))</f>
        <v/>
      </c>
      <c r="AL112" s="78"/>
      <c r="AM112" s="79" t="str">
        <f aca="false">IF($A112&amp;$B112&amp;$C112="","",IF($A112="","Missing ID",IF(COUNTIF($A$6:$A$205,$A112)&gt;1,"Duplicate ID",IF($AN112="","Unknown account",IF($AO112="","Unknown security",IF(COUNTIFS(Holdings!$B$6:$B$205,$B112,Holdings!$C$6:$C$205,$C112)=0,"No holding row for this lot",IF(OR($I112="",$J112=""),"Missing purchase quantity or rate",IF(NOT(ISNUMBER($H112)),"Missing purchase date",IF(N($H112)&gt;ValDate,"Purchase after valuation date",IF(N($M112)&gt;N($I112),"Sale quantity exceeds purchase",IF(AND(N($M112)&gt;0,OR(NOT(ISNUMBER($L112)),$N112="")),"Sale date or rate missing",IF(AND(ISNUMBER($L112),N($M112)=0),"Sale date with no quantity",IF(AND(ISNUMBER($L112),N($L112)&lt;N($H112)),"Sale before purchase",IF(N($L112)&gt;ValDate,"Sale after valuation date","OK"))))))))))))))</f>
        <v/>
      </c>
      <c r="AN112" s="89" t="str">
        <f aca="false">IF($B112="","",IFERROR(MATCH($B112,Accounts!$A$6:$A$55,0),""))</f>
        <v/>
      </c>
      <c r="AO112" s="89" t="str">
        <f aca="false">IF($C112="","",IFERROR(MATCH($C112,Securities!$A$6:$A$105,0),""))</f>
        <v/>
      </c>
      <c r="AP112" s="89" t="str">
        <f aca="false">IF($AN112="","",INDEX(Accounts!$B$6:$B$55,$AN112)&amp;"")</f>
        <v/>
      </c>
      <c r="AQ112" s="89" t="str">
        <f aca="false">IF(AND(ISNUMBER($AG112),N($P112)&gt;0),IF(AND(N($AG112)&gt;0,N($AG112)&lt;=SoonDays),1,""),"")</f>
        <v/>
      </c>
      <c r="AR112" s="89" t="str">
        <f aca="false">IF($AQ112&lt;&gt;1,"",SUMPRODUCT(($AQ$6:$AQ$205=1)*ISNUMBER($AG$6:$AG$205)*($AG$6:$AG$205&lt;$AG112))+SUMPRODUCT(($AQ$6:$AQ112=1)*ISNUMBER($AG$6:$AG112)*($AG$6:$AG112=$AG112)))</f>
        <v/>
      </c>
    </row>
    <row r="113" customFormat="false" ht="15" hidden="false" customHeight="false" outlineLevel="0" collapsed="false">
      <c r="A113" s="77"/>
      <c r="B113" s="78"/>
      <c r="C113" s="78"/>
      <c r="D113" s="79" t="str">
        <f aca="false">IF($AN113="","",INDEX(Accounts!$C$6:$C$55,$AN113)&amp;"")</f>
        <v/>
      </c>
      <c r="E113" s="79" t="str">
        <f aca="false">IF($AO113="","",INDEX(Securities!$B$6:$B$105,$AO113)&amp;"")</f>
        <v/>
      </c>
      <c r="F113" s="79" t="str">
        <f aca="false">IF($AO113="","",INDEX(Securities!$C$6:$C$105,$AO113)&amp;"")</f>
        <v/>
      </c>
      <c r="G113" s="79" t="str">
        <f aca="false">IF($AO113="","",INDEX(Securities!$E$6:$E$105,$AO113)&amp;"")</f>
        <v/>
      </c>
      <c r="H113" s="80"/>
      <c r="I113" s="81"/>
      <c r="J113" s="91"/>
      <c r="K113" s="85" t="str">
        <f aca="false">IF(OR($I113="",$J113=""),"",$I113*$J113)</f>
        <v/>
      </c>
      <c r="L113" s="80"/>
      <c r="M113" s="81"/>
      <c r="N113" s="91"/>
      <c r="O113" s="85" t="str">
        <f aca="false">IF(OR($M113="",$N113=""),"",$M113*$N113)</f>
        <v/>
      </c>
      <c r="P113" s="88" t="str">
        <f aca="false">IF($C113="","",N($I113)-N($M113))</f>
        <v/>
      </c>
      <c r="Q113" s="85" t="str">
        <f aca="false">IF(OR($P113="",$J113=""),"",$P113*$J113)</f>
        <v/>
      </c>
      <c r="R113" s="83" t="str">
        <f aca="false">IF($AO113="","",IF(INDEX(Securities!$N$6:$N$105,$AO113)="At cost",IF($J113="","",$J113),IF(INDEX(Securities!$O$6:$O$105,$AO113)="","",INDEX(Securities!$O$6:$O$105,$AO113))))</f>
        <v/>
      </c>
      <c r="S113" s="85" t="str">
        <f aca="false">IF(OR($P113="",$R113=""),"",$P113*$R113)</f>
        <v/>
      </c>
      <c r="T113" s="92" t="str">
        <f aca="false">IF(OR(NOT(ISNUMBER($L113)),NOT(ISNUMBER($H113))),"",$L113-$H113)</f>
        <v/>
      </c>
      <c r="U113" s="79" t="str">
        <f aca="false">IF($T113="","",IF($X113="","Short Term",IF($T113&gt;$X113,"Long Term","Short Term")))</f>
        <v/>
      </c>
      <c r="V113" s="92" t="str">
        <f aca="false">IF(OR(NOT(ISNUMBER($H113)),N($P113)&lt;=0),"",ValDate-$H113)</f>
        <v/>
      </c>
      <c r="W113" s="79" t="str">
        <f aca="false">IF($V113="","",IF($X113="","Short Term",IF($V113&gt;$X113,"Long Term","Short Term")))</f>
        <v/>
      </c>
      <c r="X113" s="92" t="str">
        <f aca="true">IF($G113="","",IF(ISNA(MATCH($G113,L_Category,0)),"",IF(INDEX(L_CatLT,MATCH($G113,L_Category,0))="","",INDEX(L_CatLT,MATCH($G113,L_Category,0)))))</f>
        <v/>
      </c>
      <c r="Y113" s="83" t="str">
        <f aca="false">IF($AO113="","",IF(INDEX(Securities!$Q$6:$Q$105,$AO113)="","",INDEX(Securities!$Q$6:$Q$105,$AO113)))</f>
        <v/>
      </c>
      <c r="Z113" s="79" t="str">
        <f aca="false">IF($C113="","",IF(OR(NOT(ISNUMBER($H113)),$Y113=""),"No",IF($H113&lt;=GFDate,"Yes","No")))</f>
        <v/>
      </c>
      <c r="AA113" s="85" t="str">
        <f aca="false">IF(OR($M113="",$N113="",$J113=""),"",$M113*($N113-$J113))</f>
        <v/>
      </c>
      <c r="AB113" s="85" t="str">
        <f aca="false">IF(OR(N($P113)&lt;=0,$R113="",$J113=""),"",$P113*($R113-$J113))</f>
        <v/>
      </c>
      <c r="AC113" s="83" t="str">
        <f aca="false">IF(OR($M113="",$N113="",$J113=""),"",IF($Z113="Yes",MAX($J113,MIN($Y113,$N113)),$J113))</f>
        <v/>
      </c>
      <c r="AD113" s="85" t="str">
        <f aca="false">IF($AC113="","",$M113*($N113-$AC113))</f>
        <v/>
      </c>
      <c r="AE113" s="83" t="str">
        <f aca="false">IF(OR(N($P113)&lt;=0,$R113="",$J113=""),"",IF($Z113="Yes",MAX($J113,MIN($Y113,$R113)),$J113))</f>
        <v/>
      </c>
      <c r="AF113" s="85" t="str">
        <f aca="false">IF($AE113="","",$P113*($R113-$AE113))</f>
        <v/>
      </c>
      <c r="AG113" s="92" t="str">
        <f aca="false">IF(OR($V113="",$X113=""),"",MAX(0,$X113+1-$V113))</f>
        <v/>
      </c>
      <c r="AH113" s="93" t="str">
        <f aca="false">IF(OR($X113="",NOT(ISNUMBER($H113)),N($P113)&lt;=0),"",$H113+$X113+1)</f>
        <v/>
      </c>
      <c r="AI113" s="91"/>
      <c r="AJ113" s="85" t="str">
        <f aca="false">IF(OR($AI113="",N($P113)&lt;=0),"",$AI113*$P113)</f>
        <v/>
      </c>
      <c r="AK113" s="79" t="str">
        <f aca="false">IF(NOT(ISNUMBER($L113)),"",IF(MONTH($L113)&gt;=4,YEAR($L113)&amp;"-"&amp;RIGHT(YEAR($L113)+1,2),(YEAR($L113)-1)&amp;"-"&amp;RIGHT(YEAR($L113),2)))</f>
        <v/>
      </c>
      <c r="AL113" s="78"/>
      <c r="AM113" s="79" t="str">
        <f aca="false">IF($A113&amp;$B113&amp;$C113="","",IF($A113="","Missing ID",IF(COUNTIF($A$6:$A$205,$A113)&gt;1,"Duplicate ID",IF($AN113="","Unknown account",IF($AO113="","Unknown security",IF(COUNTIFS(Holdings!$B$6:$B$205,$B113,Holdings!$C$6:$C$205,$C113)=0,"No holding row for this lot",IF(OR($I113="",$J113=""),"Missing purchase quantity or rate",IF(NOT(ISNUMBER($H113)),"Missing purchase date",IF(N($H113)&gt;ValDate,"Purchase after valuation date",IF(N($M113)&gt;N($I113),"Sale quantity exceeds purchase",IF(AND(N($M113)&gt;0,OR(NOT(ISNUMBER($L113)),$N113="")),"Sale date or rate missing",IF(AND(ISNUMBER($L113),N($M113)=0),"Sale date with no quantity",IF(AND(ISNUMBER($L113),N($L113)&lt;N($H113)),"Sale before purchase",IF(N($L113)&gt;ValDate,"Sale after valuation date","OK"))))))))))))))</f>
        <v/>
      </c>
      <c r="AN113" s="89" t="str">
        <f aca="false">IF($B113="","",IFERROR(MATCH($B113,Accounts!$A$6:$A$55,0),""))</f>
        <v/>
      </c>
      <c r="AO113" s="89" t="str">
        <f aca="false">IF($C113="","",IFERROR(MATCH($C113,Securities!$A$6:$A$105,0),""))</f>
        <v/>
      </c>
      <c r="AP113" s="89" t="str">
        <f aca="false">IF($AN113="","",INDEX(Accounts!$B$6:$B$55,$AN113)&amp;"")</f>
        <v/>
      </c>
      <c r="AQ113" s="89" t="str">
        <f aca="false">IF(AND(ISNUMBER($AG113),N($P113)&gt;0),IF(AND(N($AG113)&gt;0,N($AG113)&lt;=SoonDays),1,""),"")</f>
        <v/>
      </c>
      <c r="AR113" s="89" t="str">
        <f aca="false">IF($AQ113&lt;&gt;1,"",SUMPRODUCT(($AQ$6:$AQ$205=1)*ISNUMBER($AG$6:$AG$205)*($AG$6:$AG$205&lt;$AG113))+SUMPRODUCT(($AQ$6:$AQ113=1)*ISNUMBER($AG$6:$AG113)*($AG$6:$AG113=$AG113)))</f>
        <v/>
      </c>
    </row>
    <row r="114" customFormat="false" ht="15" hidden="false" customHeight="false" outlineLevel="0" collapsed="false">
      <c r="A114" s="77"/>
      <c r="B114" s="78"/>
      <c r="C114" s="78"/>
      <c r="D114" s="79" t="str">
        <f aca="false">IF($AN114="","",INDEX(Accounts!$C$6:$C$55,$AN114)&amp;"")</f>
        <v/>
      </c>
      <c r="E114" s="79" t="str">
        <f aca="false">IF($AO114="","",INDEX(Securities!$B$6:$B$105,$AO114)&amp;"")</f>
        <v/>
      </c>
      <c r="F114" s="79" t="str">
        <f aca="false">IF($AO114="","",INDEX(Securities!$C$6:$C$105,$AO114)&amp;"")</f>
        <v/>
      </c>
      <c r="G114" s="79" t="str">
        <f aca="false">IF($AO114="","",INDEX(Securities!$E$6:$E$105,$AO114)&amp;"")</f>
        <v/>
      </c>
      <c r="H114" s="80"/>
      <c r="I114" s="81"/>
      <c r="J114" s="91"/>
      <c r="K114" s="85" t="str">
        <f aca="false">IF(OR($I114="",$J114=""),"",$I114*$J114)</f>
        <v/>
      </c>
      <c r="L114" s="80"/>
      <c r="M114" s="81"/>
      <c r="N114" s="91"/>
      <c r="O114" s="85" t="str">
        <f aca="false">IF(OR($M114="",$N114=""),"",$M114*$N114)</f>
        <v/>
      </c>
      <c r="P114" s="88" t="str">
        <f aca="false">IF($C114="","",N($I114)-N($M114))</f>
        <v/>
      </c>
      <c r="Q114" s="85" t="str">
        <f aca="false">IF(OR($P114="",$J114=""),"",$P114*$J114)</f>
        <v/>
      </c>
      <c r="R114" s="83" t="str">
        <f aca="false">IF($AO114="","",IF(INDEX(Securities!$N$6:$N$105,$AO114)="At cost",IF($J114="","",$J114),IF(INDEX(Securities!$O$6:$O$105,$AO114)="","",INDEX(Securities!$O$6:$O$105,$AO114))))</f>
        <v/>
      </c>
      <c r="S114" s="85" t="str">
        <f aca="false">IF(OR($P114="",$R114=""),"",$P114*$R114)</f>
        <v/>
      </c>
      <c r="T114" s="92" t="str">
        <f aca="false">IF(OR(NOT(ISNUMBER($L114)),NOT(ISNUMBER($H114))),"",$L114-$H114)</f>
        <v/>
      </c>
      <c r="U114" s="79" t="str">
        <f aca="false">IF($T114="","",IF($X114="","Short Term",IF($T114&gt;$X114,"Long Term","Short Term")))</f>
        <v/>
      </c>
      <c r="V114" s="92" t="str">
        <f aca="false">IF(OR(NOT(ISNUMBER($H114)),N($P114)&lt;=0),"",ValDate-$H114)</f>
        <v/>
      </c>
      <c r="W114" s="79" t="str">
        <f aca="false">IF($V114="","",IF($X114="","Short Term",IF($V114&gt;$X114,"Long Term","Short Term")))</f>
        <v/>
      </c>
      <c r="X114" s="92" t="str">
        <f aca="true">IF($G114="","",IF(ISNA(MATCH($G114,L_Category,0)),"",IF(INDEX(L_CatLT,MATCH($G114,L_Category,0))="","",INDEX(L_CatLT,MATCH($G114,L_Category,0)))))</f>
        <v/>
      </c>
      <c r="Y114" s="83" t="str">
        <f aca="false">IF($AO114="","",IF(INDEX(Securities!$Q$6:$Q$105,$AO114)="","",INDEX(Securities!$Q$6:$Q$105,$AO114)))</f>
        <v/>
      </c>
      <c r="Z114" s="79" t="str">
        <f aca="false">IF($C114="","",IF(OR(NOT(ISNUMBER($H114)),$Y114=""),"No",IF($H114&lt;=GFDate,"Yes","No")))</f>
        <v/>
      </c>
      <c r="AA114" s="85" t="str">
        <f aca="false">IF(OR($M114="",$N114="",$J114=""),"",$M114*($N114-$J114))</f>
        <v/>
      </c>
      <c r="AB114" s="85" t="str">
        <f aca="false">IF(OR(N($P114)&lt;=0,$R114="",$J114=""),"",$P114*($R114-$J114))</f>
        <v/>
      </c>
      <c r="AC114" s="83" t="str">
        <f aca="false">IF(OR($M114="",$N114="",$J114=""),"",IF($Z114="Yes",MAX($J114,MIN($Y114,$N114)),$J114))</f>
        <v/>
      </c>
      <c r="AD114" s="85" t="str">
        <f aca="false">IF($AC114="","",$M114*($N114-$AC114))</f>
        <v/>
      </c>
      <c r="AE114" s="83" t="str">
        <f aca="false">IF(OR(N($P114)&lt;=0,$R114="",$J114=""),"",IF($Z114="Yes",MAX($J114,MIN($Y114,$R114)),$J114))</f>
        <v/>
      </c>
      <c r="AF114" s="85" t="str">
        <f aca="false">IF($AE114="","",$P114*($R114-$AE114))</f>
        <v/>
      </c>
      <c r="AG114" s="92" t="str">
        <f aca="false">IF(OR($V114="",$X114=""),"",MAX(0,$X114+1-$V114))</f>
        <v/>
      </c>
      <c r="AH114" s="93" t="str">
        <f aca="false">IF(OR($X114="",NOT(ISNUMBER($H114)),N($P114)&lt;=0),"",$H114+$X114+1)</f>
        <v/>
      </c>
      <c r="AI114" s="91"/>
      <c r="AJ114" s="85" t="str">
        <f aca="false">IF(OR($AI114="",N($P114)&lt;=0),"",$AI114*$P114)</f>
        <v/>
      </c>
      <c r="AK114" s="79" t="str">
        <f aca="false">IF(NOT(ISNUMBER($L114)),"",IF(MONTH($L114)&gt;=4,YEAR($L114)&amp;"-"&amp;RIGHT(YEAR($L114)+1,2),(YEAR($L114)-1)&amp;"-"&amp;RIGHT(YEAR($L114),2)))</f>
        <v/>
      </c>
      <c r="AL114" s="78"/>
      <c r="AM114" s="79" t="str">
        <f aca="false">IF($A114&amp;$B114&amp;$C114="","",IF($A114="","Missing ID",IF(COUNTIF($A$6:$A$205,$A114)&gt;1,"Duplicate ID",IF($AN114="","Unknown account",IF($AO114="","Unknown security",IF(COUNTIFS(Holdings!$B$6:$B$205,$B114,Holdings!$C$6:$C$205,$C114)=0,"No holding row for this lot",IF(OR($I114="",$J114=""),"Missing purchase quantity or rate",IF(NOT(ISNUMBER($H114)),"Missing purchase date",IF(N($H114)&gt;ValDate,"Purchase after valuation date",IF(N($M114)&gt;N($I114),"Sale quantity exceeds purchase",IF(AND(N($M114)&gt;0,OR(NOT(ISNUMBER($L114)),$N114="")),"Sale date or rate missing",IF(AND(ISNUMBER($L114),N($M114)=0),"Sale date with no quantity",IF(AND(ISNUMBER($L114),N($L114)&lt;N($H114)),"Sale before purchase",IF(N($L114)&gt;ValDate,"Sale after valuation date","OK"))))))))))))))</f>
        <v/>
      </c>
      <c r="AN114" s="89" t="str">
        <f aca="false">IF($B114="","",IFERROR(MATCH($B114,Accounts!$A$6:$A$55,0),""))</f>
        <v/>
      </c>
      <c r="AO114" s="89" t="str">
        <f aca="false">IF($C114="","",IFERROR(MATCH($C114,Securities!$A$6:$A$105,0),""))</f>
        <v/>
      </c>
      <c r="AP114" s="89" t="str">
        <f aca="false">IF($AN114="","",INDEX(Accounts!$B$6:$B$55,$AN114)&amp;"")</f>
        <v/>
      </c>
      <c r="AQ114" s="89" t="str">
        <f aca="false">IF(AND(ISNUMBER($AG114),N($P114)&gt;0),IF(AND(N($AG114)&gt;0,N($AG114)&lt;=SoonDays),1,""),"")</f>
        <v/>
      </c>
      <c r="AR114" s="89" t="str">
        <f aca="false">IF($AQ114&lt;&gt;1,"",SUMPRODUCT(($AQ$6:$AQ$205=1)*ISNUMBER($AG$6:$AG$205)*($AG$6:$AG$205&lt;$AG114))+SUMPRODUCT(($AQ$6:$AQ114=1)*ISNUMBER($AG$6:$AG114)*($AG$6:$AG114=$AG114)))</f>
        <v/>
      </c>
    </row>
    <row r="115" customFormat="false" ht="15" hidden="false" customHeight="false" outlineLevel="0" collapsed="false">
      <c r="A115" s="77"/>
      <c r="B115" s="78"/>
      <c r="C115" s="78"/>
      <c r="D115" s="79" t="str">
        <f aca="false">IF($AN115="","",INDEX(Accounts!$C$6:$C$55,$AN115)&amp;"")</f>
        <v/>
      </c>
      <c r="E115" s="79" t="str">
        <f aca="false">IF($AO115="","",INDEX(Securities!$B$6:$B$105,$AO115)&amp;"")</f>
        <v/>
      </c>
      <c r="F115" s="79" t="str">
        <f aca="false">IF($AO115="","",INDEX(Securities!$C$6:$C$105,$AO115)&amp;"")</f>
        <v/>
      </c>
      <c r="G115" s="79" t="str">
        <f aca="false">IF($AO115="","",INDEX(Securities!$E$6:$E$105,$AO115)&amp;"")</f>
        <v/>
      </c>
      <c r="H115" s="80"/>
      <c r="I115" s="81"/>
      <c r="J115" s="91"/>
      <c r="K115" s="85" t="str">
        <f aca="false">IF(OR($I115="",$J115=""),"",$I115*$J115)</f>
        <v/>
      </c>
      <c r="L115" s="80"/>
      <c r="M115" s="81"/>
      <c r="N115" s="91"/>
      <c r="O115" s="85" t="str">
        <f aca="false">IF(OR($M115="",$N115=""),"",$M115*$N115)</f>
        <v/>
      </c>
      <c r="P115" s="88" t="str">
        <f aca="false">IF($C115="","",N($I115)-N($M115))</f>
        <v/>
      </c>
      <c r="Q115" s="85" t="str">
        <f aca="false">IF(OR($P115="",$J115=""),"",$P115*$J115)</f>
        <v/>
      </c>
      <c r="R115" s="83" t="str">
        <f aca="false">IF($AO115="","",IF(INDEX(Securities!$N$6:$N$105,$AO115)="At cost",IF($J115="","",$J115),IF(INDEX(Securities!$O$6:$O$105,$AO115)="","",INDEX(Securities!$O$6:$O$105,$AO115))))</f>
        <v/>
      </c>
      <c r="S115" s="85" t="str">
        <f aca="false">IF(OR($P115="",$R115=""),"",$P115*$R115)</f>
        <v/>
      </c>
      <c r="T115" s="92" t="str">
        <f aca="false">IF(OR(NOT(ISNUMBER($L115)),NOT(ISNUMBER($H115))),"",$L115-$H115)</f>
        <v/>
      </c>
      <c r="U115" s="79" t="str">
        <f aca="false">IF($T115="","",IF($X115="","Short Term",IF($T115&gt;$X115,"Long Term","Short Term")))</f>
        <v/>
      </c>
      <c r="V115" s="92" t="str">
        <f aca="false">IF(OR(NOT(ISNUMBER($H115)),N($P115)&lt;=0),"",ValDate-$H115)</f>
        <v/>
      </c>
      <c r="W115" s="79" t="str">
        <f aca="false">IF($V115="","",IF($X115="","Short Term",IF($V115&gt;$X115,"Long Term","Short Term")))</f>
        <v/>
      </c>
      <c r="X115" s="92" t="str">
        <f aca="true">IF($G115="","",IF(ISNA(MATCH($G115,L_Category,0)),"",IF(INDEX(L_CatLT,MATCH($G115,L_Category,0))="","",INDEX(L_CatLT,MATCH($G115,L_Category,0)))))</f>
        <v/>
      </c>
      <c r="Y115" s="83" t="str">
        <f aca="false">IF($AO115="","",IF(INDEX(Securities!$Q$6:$Q$105,$AO115)="","",INDEX(Securities!$Q$6:$Q$105,$AO115)))</f>
        <v/>
      </c>
      <c r="Z115" s="79" t="str">
        <f aca="false">IF($C115="","",IF(OR(NOT(ISNUMBER($H115)),$Y115=""),"No",IF($H115&lt;=GFDate,"Yes","No")))</f>
        <v/>
      </c>
      <c r="AA115" s="85" t="str">
        <f aca="false">IF(OR($M115="",$N115="",$J115=""),"",$M115*($N115-$J115))</f>
        <v/>
      </c>
      <c r="AB115" s="85" t="str">
        <f aca="false">IF(OR(N($P115)&lt;=0,$R115="",$J115=""),"",$P115*($R115-$J115))</f>
        <v/>
      </c>
      <c r="AC115" s="83" t="str">
        <f aca="false">IF(OR($M115="",$N115="",$J115=""),"",IF($Z115="Yes",MAX($J115,MIN($Y115,$N115)),$J115))</f>
        <v/>
      </c>
      <c r="AD115" s="85" t="str">
        <f aca="false">IF($AC115="","",$M115*($N115-$AC115))</f>
        <v/>
      </c>
      <c r="AE115" s="83" t="str">
        <f aca="false">IF(OR(N($P115)&lt;=0,$R115="",$J115=""),"",IF($Z115="Yes",MAX($J115,MIN($Y115,$R115)),$J115))</f>
        <v/>
      </c>
      <c r="AF115" s="85" t="str">
        <f aca="false">IF($AE115="","",$P115*($R115-$AE115))</f>
        <v/>
      </c>
      <c r="AG115" s="92" t="str">
        <f aca="false">IF(OR($V115="",$X115=""),"",MAX(0,$X115+1-$V115))</f>
        <v/>
      </c>
      <c r="AH115" s="93" t="str">
        <f aca="false">IF(OR($X115="",NOT(ISNUMBER($H115)),N($P115)&lt;=0),"",$H115+$X115+1)</f>
        <v/>
      </c>
      <c r="AI115" s="91"/>
      <c r="AJ115" s="85" t="str">
        <f aca="false">IF(OR($AI115="",N($P115)&lt;=0),"",$AI115*$P115)</f>
        <v/>
      </c>
      <c r="AK115" s="79" t="str">
        <f aca="false">IF(NOT(ISNUMBER($L115)),"",IF(MONTH($L115)&gt;=4,YEAR($L115)&amp;"-"&amp;RIGHT(YEAR($L115)+1,2),(YEAR($L115)-1)&amp;"-"&amp;RIGHT(YEAR($L115),2)))</f>
        <v/>
      </c>
      <c r="AL115" s="78"/>
      <c r="AM115" s="79" t="str">
        <f aca="false">IF($A115&amp;$B115&amp;$C115="","",IF($A115="","Missing ID",IF(COUNTIF($A$6:$A$205,$A115)&gt;1,"Duplicate ID",IF($AN115="","Unknown account",IF($AO115="","Unknown security",IF(COUNTIFS(Holdings!$B$6:$B$205,$B115,Holdings!$C$6:$C$205,$C115)=0,"No holding row for this lot",IF(OR($I115="",$J115=""),"Missing purchase quantity or rate",IF(NOT(ISNUMBER($H115)),"Missing purchase date",IF(N($H115)&gt;ValDate,"Purchase after valuation date",IF(N($M115)&gt;N($I115),"Sale quantity exceeds purchase",IF(AND(N($M115)&gt;0,OR(NOT(ISNUMBER($L115)),$N115="")),"Sale date or rate missing",IF(AND(ISNUMBER($L115),N($M115)=0),"Sale date with no quantity",IF(AND(ISNUMBER($L115),N($L115)&lt;N($H115)),"Sale before purchase",IF(N($L115)&gt;ValDate,"Sale after valuation date","OK"))))))))))))))</f>
        <v/>
      </c>
      <c r="AN115" s="89" t="str">
        <f aca="false">IF($B115="","",IFERROR(MATCH($B115,Accounts!$A$6:$A$55,0),""))</f>
        <v/>
      </c>
      <c r="AO115" s="89" t="str">
        <f aca="false">IF($C115="","",IFERROR(MATCH($C115,Securities!$A$6:$A$105,0),""))</f>
        <v/>
      </c>
      <c r="AP115" s="89" t="str">
        <f aca="false">IF($AN115="","",INDEX(Accounts!$B$6:$B$55,$AN115)&amp;"")</f>
        <v/>
      </c>
      <c r="AQ115" s="89" t="str">
        <f aca="false">IF(AND(ISNUMBER($AG115),N($P115)&gt;0),IF(AND(N($AG115)&gt;0,N($AG115)&lt;=SoonDays),1,""),"")</f>
        <v/>
      </c>
      <c r="AR115" s="89" t="str">
        <f aca="false">IF($AQ115&lt;&gt;1,"",SUMPRODUCT(($AQ$6:$AQ$205=1)*ISNUMBER($AG$6:$AG$205)*($AG$6:$AG$205&lt;$AG115))+SUMPRODUCT(($AQ$6:$AQ115=1)*ISNUMBER($AG$6:$AG115)*($AG$6:$AG115=$AG115)))</f>
        <v/>
      </c>
    </row>
    <row r="116" customFormat="false" ht="15" hidden="false" customHeight="false" outlineLevel="0" collapsed="false">
      <c r="A116" s="77"/>
      <c r="B116" s="78"/>
      <c r="C116" s="78"/>
      <c r="D116" s="79" t="str">
        <f aca="false">IF($AN116="","",INDEX(Accounts!$C$6:$C$55,$AN116)&amp;"")</f>
        <v/>
      </c>
      <c r="E116" s="79" t="str">
        <f aca="false">IF($AO116="","",INDEX(Securities!$B$6:$B$105,$AO116)&amp;"")</f>
        <v/>
      </c>
      <c r="F116" s="79" t="str">
        <f aca="false">IF($AO116="","",INDEX(Securities!$C$6:$C$105,$AO116)&amp;"")</f>
        <v/>
      </c>
      <c r="G116" s="79" t="str">
        <f aca="false">IF($AO116="","",INDEX(Securities!$E$6:$E$105,$AO116)&amp;"")</f>
        <v/>
      </c>
      <c r="H116" s="80"/>
      <c r="I116" s="81"/>
      <c r="J116" s="91"/>
      <c r="K116" s="85" t="str">
        <f aca="false">IF(OR($I116="",$J116=""),"",$I116*$J116)</f>
        <v/>
      </c>
      <c r="L116" s="80"/>
      <c r="M116" s="81"/>
      <c r="N116" s="91"/>
      <c r="O116" s="85" t="str">
        <f aca="false">IF(OR($M116="",$N116=""),"",$M116*$N116)</f>
        <v/>
      </c>
      <c r="P116" s="88" t="str">
        <f aca="false">IF($C116="","",N($I116)-N($M116))</f>
        <v/>
      </c>
      <c r="Q116" s="85" t="str">
        <f aca="false">IF(OR($P116="",$J116=""),"",$P116*$J116)</f>
        <v/>
      </c>
      <c r="R116" s="83" t="str">
        <f aca="false">IF($AO116="","",IF(INDEX(Securities!$N$6:$N$105,$AO116)="At cost",IF($J116="","",$J116),IF(INDEX(Securities!$O$6:$O$105,$AO116)="","",INDEX(Securities!$O$6:$O$105,$AO116))))</f>
        <v/>
      </c>
      <c r="S116" s="85" t="str">
        <f aca="false">IF(OR($P116="",$R116=""),"",$P116*$R116)</f>
        <v/>
      </c>
      <c r="T116" s="92" t="str">
        <f aca="false">IF(OR(NOT(ISNUMBER($L116)),NOT(ISNUMBER($H116))),"",$L116-$H116)</f>
        <v/>
      </c>
      <c r="U116" s="79" t="str">
        <f aca="false">IF($T116="","",IF($X116="","Short Term",IF($T116&gt;$X116,"Long Term","Short Term")))</f>
        <v/>
      </c>
      <c r="V116" s="92" t="str">
        <f aca="false">IF(OR(NOT(ISNUMBER($H116)),N($P116)&lt;=0),"",ValDate-$H116)</f>
        <v/>
      </c>
      <c r="W116" s="79" t="str">
        <f aca="false">IF($V116="","",IF($X116="","Short Term",IF($V116&gt;$X116,"Long Term","Short Term")))</f>
        <v/>
      </c>
      <c r="X116" s="92" t="str">
        <f aca="true">IF($G116="","",IF(ISNA(MATCH($G116,L_Category,0)),"",IF(INDEX(L_CatLT,MATCH($G116,L_Category,0))="","",INDEX(L_CatLT,MATCH($G116,L_Category,0)))))</f>
        <v/>
      </c>
      <c r="Y116" s="83" t="str">
        <f aca="false">IF($AO116="","",IF(INDEX(Securities!$Q$6:$Q$105,$AO116)="","",INDEX(Securities!$Q$6:$Q$105,$AO116)))</f>
        <v/>
      </c>
      <c r="Z116" s="79" t="str">
        <f aca="false">IF($C116="","",IF(OR(NOT(ISNUMBER($H116)),$Y116=""),"No",IF($H116&lt;=GFDate,"Yes","No")))</f>
        <v/>
      </c>
      <c r="AA116" s="85" t="str">
        <f aca="false">IF(OR($M116="",$N116="",$J116=""),"",$M116*($N116-$J116))</f>
        <v/>
      </c>
      <c r="AB116" s="85" t="str">
        <f aca="false">IF(OR(N($P116)&lt;=0,$R116="",$J116=""),"",$P116*($R116-$J116))</f>
        <v/>
      </c>
      <c r="AC116" s="83" t="str">
        <f aca="false">IF(OR($M116="",$N116="",$J116=""),"",IF($Z116="Yes",MAX($J116,MIN($Y116,$N116)),$J116))</f>
        <v/>
      </c>
      <c r="AD116" s="85" t="str">
        <f aca="false">IF($AC116="","",$M116*($N116-$AC116))</f>
        <v/>
      </c>
      <c r="AE116" s="83" t="str">
        <f aca="false">IF(OR(N($P116)&lt;=0,$R116="",$J116=""),"",IF($Z116="Yes",MAX($J116,MIN($Y116,$R116)),$J116))</f>
        <v/>
      </c>
      <c r="AF116" s="85" t="str">
        <f aca="false">IF($AE116="","",$P116*($R116-$AE116))</f>
        <v/>
      </c>
      <c r="AG116" s="92" t="str">
        <f aca="false">IF(OR($V116="",$X116=""),"",MAX(0,$X116+1-$V116))</f>
        <v/>
      </c>
      <c r="AH116" s="93" t="str">
        <f aca="false">IF(OR($X116="",NOT(ISNUMBER($H116)),N($P116)&lt;=0),"",$H116+$X116+1)</f>
        <v/>
      </c>
      <c r="AI116" s="91"/>
      <c r="AJ116" s="85" t="str">
        <f aca="false">IF(OR($AI116="",N($P116)&lt;=0),"",$AI116*$P116)</f>
        <v/>
      </c>
      <c r="AK116" s="79" t="str">
        <f aca="false">IF(NOT(ISNUMBER($L116)),"",IF(MONTH($L116)&gt;=4,YEAR($L116)&amp;"-"&amp;RIGHT(YEAR($L116)+1,2),(YEAR($L116)-1)&amp;"-"&amp;RIGHT(YEAR($L116),2)))</f>
        <v/>
      </c>
      <c r="AL116" s="78"/>
      <c r="AM116" s="79" t="str">
        <f aca="false">IF($A116&amp;$B116&amp;$C116="","",IF($A116="","Missing ID",IF(COUNTIF($A$6:$A$205,$A116)&gt;1,"Duplicate ID",IF($AN116="","Unknown account",IF($AO116="","Unknown security",IF(COUNTIFS(Holdings!$B$6:$B$205,$B116,Holdings!$C$6:$C$205,$C116)=0,"No holding row for this lot",IF(OR($I116="",$J116=""),"Missing purchase quantity or rate",IF(NOT(ISNUMBER($H116)),"Missing purchase date",IF(N($H116)&gt;ValDate,"Purchase after valuation date",IF(N($M116)&gt;N($I116),"Sale quantity exceeds purchase",IF(AND(N($M116)&gt;0,OR(NOT(ISNUMBER($L116)),$N116="")),"Sale date or rate missing",IF(AND(ISNUMBER($L116),N($M116)=0),"Sale date with no quantity",IF(AND(ISNUMBER($L116),N($L116)&lt;N($H116)),"Sale before purchase",IF(N($L116)&gt;ValDate,"Sale after valuation date","OK"))))))))))))))</f>
        <v/>
      </c>
      <c r="AN116" s="89" t="str">
        <f aca="false">IF($B116="","",IFERROR(MATCH($B116,Accounts!$A$6:$A$55,0),""))</f>
        <v/>
      </c>
      <c r="AO116" s="89" t="str">
        <f aca="false">IF($C116="","",IFERROR(MATCH($C116,Securities!$A$6:$A$105,0),""))</f>
        <v/>
      </c>
      <c r="AP116" s="89" t="str">
        <f aca="false">IF($AN116="","",INDEX(Accounts!$B$6:$B$55,$AN116)&amp;"")</f>
        <v/>
      </c>
      <c r="AQ116" s="89" t="str">
        <f aca="false">IF(AND(ISNUMBER($AG116),N($P116)&gt;0),IF(AND(N($AG116)&gt;0,N($AG116)&lt;=SoonDays),1,""),"")</f>
        <v/>
      </c>
      <c r="AR116" s="89" t="str">
        <f aca="false">IF($AQ116&lt;&gt;1,"",SUMPRODUCT(($AQ$6:$AQ$205=1)*ISNUMBER($AG$6:$AG$205)*($AG$6:$AG$205&lt;$AG116))+SUMPRODUCT(($AQ$6:$AQ116=1)*ISNUMBER($AG$6:$AG116)*($AG$6:$AG116=$AG116)))</f>
        <v/>
      </c>
    </row>
    <row r="117" customFormat="false" ht="15" hidden="false" customHeight="false" outlineLevel="0" collapsed="false">
      <c r="A117" s="77"/>
      <c r="B117" s="78"/>
      <c r="C117" s="78"/>
      <c r="D117" s="79" t="str">
        <f aca="false">IF($AN117="","",INDEX(Accounts!$C$6:$C$55,$AN117)&amp;"")</f>
        <v/>
      </c>
      <c r="E117" s="79" t="str">
        <f aca="false">IF($AO117="","",INDEX(Securities!$B$6:$B$105,$AO117)&amp;"")</f>
        <v/>
      </c>
      <c r="F117" s="79" t="str">
        <f aca="false">IF($AO117="","",INDEX(Securities!$C$6:$C$105,$AO117)&amp;"")</f>
        <v/>
      </c>
      <c r="G117" s="79" t="str">
        <f aca="false">IF($AO117="","",INDEX(Securities!$E$6:$E$105,$AO117)&amp;"")</f>
        <v/>
      </c>
      <c r="H117" s="80"/>
      <c r="I117" s="81"/>
      <c r="J117" s="91"/>
      <c r="K117" s="85" t="str">
        <f aca="false">IF(OR($I117="",$J117=""),"",$I117*$J117)</f>
        <v/>
      </c>
      <c r="L117" s="80"/>
      <c r="M117" s="81"/>
      <c r="N117" s="91"/>
      <c r="O117" s="85" t="str">
        <f aca="false">IF(OR($M117="",$N117=""),"",$M117*$N117)</f>
        <v/>
      </c>
      <c r="P117" s="88" t="str">
        <f aca="false">IF($C117="","",N($I117)-N($M117))</f>
        <v/>
      </c>
      <c r="Q117" s="85" t="str">
        <f aca="false">IF(OR($P117="",$J117=""),"",$P117*$J117)</f>
        <v/>
      </c>
      <c r="R117" s="83" t="str">
        <f aca="false">IF($AO117="","",IF(INDEX(Securities!$N$6:$N$105,$AO117)="At cost",IF($J117="","",$J117),IF(INDEX(Securities!$O$6:$O$105,$AO117)="","",INDEX(Securities!$O$6:$O$105,$AO117))))</f>
        <v/>
      </c>
      <c r="S117" s="85" t="str">
        <f aca="false">IF(OR($P117="",$R117=""),"",$P117*$R117)</f>
        <v/>
      </c>
      <c r="T117" s="92" t="str">
        <f aca="false">IF(OR(NOT(ISNUMBER($L117)),NOT(ISNUMBER($H117))),"",$L117-$H117)</f>
        <v/>
      </c>
      <c r="U117" s="79" t="str">
        <f aca="false">IF($T117="","",IF($X117="","Short Term",IF($T117&gt;$X117,"Long Term","Short Term")))</f>
        <v/>
      </c>
      <c r="V117" s="92" t="str">
        <f aca="false">IF(OR(NOT(ISNUMBER($H117)),N($P117)&lt;=0),"",ValDate-$H117)</f>
        <v/>
      </c>
      <c r="W117" s="79" t="str">
        <f aca="false">IF($V117="","",IF($X117="","Short Term",IF($V117&gt;$X117,"Long Term","Short Term")))</f>
        <v/>
      </c>
      <c r="X117" s="92" t="str">
        <f aca="true">IF($G117="","",IF(ISNA(MATCH($G117,L_Category,0)),"",IF(INDEX(L_CatLT,MATCH($G117,L_Category,0))="","",INDEX(L_CatLT,MATCH($G117,L_Category,0)))))</f>
        <v/>
      </c>
      <c r="Y117" s="83" t="str">
        <f aca="false">IF($AO117="","",IF(INDEX(Securities!$Q$6:$Q$105,$AO117)="","",INDEX(Securities!$Q$6:$Q$105,$AO117)))</f>
        <v/>
      </c>
      <c r="Z117" s="79" t="str">
        <f aca="false">IF($C117="","",IF(OR(NOT(ISNUMBER($H117)),$Y117=""),"No",IF($H117&lt;=GFDate,"Yes","No")))</f>
        <v/>
      </c>
      <c r="AA117" s="85" t="str">
        <f aca="false">IF(OR($M117="",$N117="",$J117=""),"",$M117*($N117-$J117))</f>
        <v/>
      </c>
      <c r="AB117" s="85" t="str">
        <f aca="false">IF(OR(N($P117)&lt;=0,$R117="",$J117=""),"",$P117*($R117-$J117))</f>
        <v/>
      </c>
      <c r="AC117" s="83" t="str">
        <f aca="false">IF(OR($M117="",$N117="",$J117=""),"",IF($Z117="Yes",MAX($J117,MIN($Y117,$N117)),$J117))</f>
        <v/>
      </c>
      <c r="AD117" s="85" t="str">
        <f aca="false">IF($AC117="","",$M117*($N117-$AC117))</f>
        <v/>
      </c>
      <c r="AE117" s="83" t="str">
        <f aca="false">IF(OR(N($P117)&lt;=0,$R117="",$J117=""),"",IF($Z117="Yes",MAX($J117,MIN($Y117,$R117)),$J117))</f>
        <v/>
      </c>
      <c r="AF117" s="85" t="str">
        <f aca="false">IF($AE117="","",$P117*($R117-$AE117))</f>
        <v/>
      </c>
      <c r="AG117" s="92" t="str">
        <f aca="false">IF(OR($V117="",$X117=""),"",MAX(0,$X117+1-$V117))</f>
        <v/>
      </c>
      <c r="AH117" s="93" t="str">
        <f aca="false">IF(OR($X117="",NOT(ISNUMBER($H117)),N($P117)&lt;=0),"",$H117+$X117+1)</f>
        <v/>
      </c>
      <c r="AI117" s="91"/>
      <c r="AJ117" s="85" t="str">
        <f aca="false">IF(OR($AI117="",N($P117)&lt;=0),"",$AI117*$P117)</f>
        <v/>
      </c>
      <c r="AK117" s="79" t="str">
        <f aca="false">IF(NOT(ISNUMBER($L117)),"",IF(MONTH($L117)&gt;=4,YEAR($L117)&amp;"-"&amp;RIGHT(YEAR($L117)+1,2),(YEAR($L117)-1)&amp;"-"&amp;RIGHT(YEAR($L117),2)))</f>
        <v/>
      </c>
      <c r="AL117" s="78"/>
      <c r="AM117" s="79" t="str">
        <f aca="false">IF($A117&amp;$B117&amp;$C117="","",IF($A117="","Missing ID",IF(COUNTIF($A$6:$A$205,$A117)&gt;1,"Duplicate ID",IF($AN117="","Unknown account",IF($AO117="","Unknown security",IF(COUNTIFS(Holdings!$B$6:$B$205,$B117,Holdings!$C$6:$C$205,$C117)=0,"No holding row for this lot",IF(OR($I117="",$J117=""),"Missing purchase quantity or rate",IF(NOT(ISNUMBER($H117)),"Missing purchase date",IF(N($H117)&gt;ValDate,"Purchase after valuation date",IF(N($M117)&gt;N($I117),"Sale quantity exceeds purchase",IF(AND(N($M117)&gt;0,OR(NOT(ISNUMBER($L117)),$N117="")),"Sale date or rate missing",IF(AND(ISNUMBER($L117),N($M117)=0),"Sale date with no quantity",IF(AND(ISNUMBER($L117),N($L117)&lt;N($H117)),"Sale before purchase",IF(N($L117)&gt;ValDate,"Sale after valuation date","OK"))))))))))))))</f>
        <v/>
      </c>
      <c r="AN117" s="89" t="str">
        <f aca="false">IF($B117="","",IFERROR(MATCH($B117,Accounts!$A$6:$A$55,0),""))</f>
        <v/>
      </c>
      <c r="AO117" s="89" t="str">
        <f aca="false">IF($C117="","",IFERROR(MATCH($C117,Securities!$A$6:$A$105,0),""))</f>
        <v/>
      </c>
      <c r="AP117" s="89" t="str">
        <f aca="false">IF($AN117="","",INDEX(Accounts!$B$6:$B$55,$AN117)&amp;"")</f>
        <v/>
      </c>
      <c r="AQ117" s="89" t="str">
        <f aca="false">IF(AND(ISNUMBER($AG117),N($P117)&gt;0),IF(AND(N($AG117)&gt;0,N($AG117)&lt;=SoonDays),1,""),"")</f>
        <v/>
      </c>
      <c r="AR117" s="89" t="str">
        <f aca="false">IF($AQ117&lt;&gt;1,"",SUMPRODUCT(($AQ$6:$AQ$205=1)*ISNUMBER($AG$6:$AG$205)*($AG$6:$AG$205&lt;$AG117))+SUMPRODUCT(($AQ$6:$AQ117=1)*ISNUMBER($AG$6:$AG117)*($AG$6:$AG117=$AG117)))</f>
        <v/>
      </c>
    </row>
    <row r="118" customFormat="false" ht="15" hidden="false" customHeight="false" outlineLevel="0" collapsed="false">
      <c r="A118" s="77"/>
      <c r="B118" s="78"/>
      <c r="C118" s="78"/>
      <c r="D118" s="79" t="str">
        <f aca="false">IF($AN118="","",INDEX(Accounts!$C$6:$C$55,$AN118)&amp;"")</f>
        <v/>
      </c>
      <c r="E118" s="79" t="str">
        <f aca="false">IF($AO118="","",INDEX(Securities!$B$6:$B$105,$AO118)&amp;"")</f>
        <v/>
      </c>
      <c r="F118" s="79" t="str">
        <f aca="false">IF($AO118="","",INDEX(Securities!$C$6:$C$105,$AO118)&amp;"")</f>
        <v/>
      </c>
      <c r="G118" s="79" t="str">
        <f aca="false">IF($AO118="","",INDEX(Securities!$E$6:$E$105,$AO118)&amp;"")</f>
        <v/>
      </c>
      <c r="H118" s="80"/>
      <c r="I118" s="81"/>
      <c r="J118" s="91"/>
      <c r="K118" s="85" t="str">
        <f aca="false">IF(OR($I118="",$J118=""),"",$I118*$J118)</f>
        <v/>
      </c>
      <c r="L118" s="80"/>
      <c r="M118" s="81"/>
      <c r="N118" s="91"/>
      <c r="O118" s="85" t="str">
        <f aca="false">IF(OR($M118="",$N118=""),"",$M118*$N118)</f>
        <v/>
      </c>
      <c r="P118" s="88" t="str">
        <f aca="false">IF($C118="","",N($I118)-N($M118))</f>
        <v/>
      </c>
      <c r="Q118" s="85" t="str">
        <f aca="false">IF(OR($P118="",$J118=""),"",$P118*$J118)</f>
        <v/>
      </c>
      <c r="R118" s="83" t="str">
        <f aca="false">IF($AO118="","",IF(INDEX(Securities!$N$6:$N$105,$AO118)="At cost",IF($J118="","",$J118),IF(INDEX(Securities!$O$6:$O$105,$AO118)="","",INDEX(Securities!$O$6:$O$105,$AO118))))</f>
        <v/>
      </c>
      <c r="S118" s="85" t="str">
        <f aca="false">IF(OR($P118="",$R118=""),"",$P118*$R118)</f>
        <v/>
      </c>
      <c r="T118" s="92" t="str">
        <f aca="false">IF(OR(NOT(ISNUMBER($L118)),NOT(ISNUMBER($H118))),"",$L118-$H118)</f>
        <v/>
      </c>
      <c r="U118" s="79" t="str">
        <f aca="false">IF($T118="","",IF($X118="","Short Term",IF($T118&gt;$X118,"Long Term","Short Term")))</f>
        <v/>
      </c>
      <c r="V118" s="92" t="str">
        <f aca="false">IF(OR(NOT(ISNUMBER($H118)),N($P118)&lt;=0),"",ValDate-$H118)</f>
        <v/>
      </c>
      <c r="W118" s="79" t="str">
        <f aca="false">IF($V118="","",IF($X118="","Short Term",IF($V118&gt;$X118,"Long Term","Short Term")))</f>
        <v/>
      </c>
      <c r="X118" s="92" t="str">
        <f aca="true">IF($G118="","",IF(ISNA(MATCH($G118,L_Category,0)),"",IF(INDEX(L_CatLT,MATCH($G118,L_Category,0))="","",INDEX(L_CatLT,MATCH($G118,L_Category,0)))))</f>
        <v/>
      </c>
      <c r="Y118" s="83" t="str">
        <f aca="false">IF($AO118="","",IF(INDEX(Securities!$Q$6:$Q$105,$AO118)="","",INDEX(Securities!$Q$6:$Q$105,$AO118)))</f>
        <v/>
      </c>
      <c r="Z118" s="79" t="str">
        <f aca="false">IF($C118="","",IF(OR(NOT(ISNUMBER($H118)),$Y118=""),"No",IF($H118&lt;=GFDate,"Yes","No")))</f>
        <v/>
      </c>
      <c r="AA118" s="85" t="str">
        <f aca="false">IF(OR($M118="",$N118="",$J118=""),"",$M118*($N118-$J118))</f>
        <v/>
      </c>
      <c r="AB118" s="85" t="str">
        <f aca="false">IF(OR(N($P118)&lt;=0,$R118="",$J118=""),"",$P118*($R118-$J118))</f>
        <v/>
      </c>
      <c r="AC118" s="83" t="str">
        <f aca="false">IF(OR($M118="",$N118="",$J118=""),"",IF($Z118="Yes",MAX($J118,MIN($Y118,$N118)),$J118))</f>
        <v/>
      </c>
      <c r="AD118" s="85" t="str">
        <f aca="false">IF($AC118="","",$M118*($N118-$AC118))</f>
        <v/>
      </c>
      <c r="AE118" s="83" t="str">
        <f aca="false">IF(OR(N($P118)&lt;=0,$R118="",$J118=""),"",IF($Z118="Yes",MAX($J118,MIN($Y118,$R118)),$J118))</f>
        <v/>
      </c>
      <c r="AF118" s="85" t="str">
        <f aca="false">IF($AE118="","",$P118*($R118-$AE118))</f>
        <v/>
      </c>
      <c r="AG118" s="92" t="str">
        <f aca="false">IF(OR($V118="",$X118=""),"",MAX(0,$X118+1-$V118))</f>
        <v/>
      </c>
      <c r="AH118" s="93" t="str">
        <f aca="false">IF(OR($X118="",NOT(ISNUMBER($H118)),N($P118)&lt;=0),"",$H118+$X118+1)</f>
        <v/>
      </c>
      <c r="AI118" s="91"/>
      <c r="AJ118" s="85" t="str">
        <f aca="false">IF(OR($AI118="",N($P118)&lt;=0),"",$AI118*$P118)</f>
        <v/>
      </c>
      <c r="AK118" s="79" t="str">
        <f aca="false">IF(NOT(ISNUMBER($L118)),"",IF(MONTH($L118)&gt;=4,YEAR($L118)&amp;"-"&amp;RIGHT(YEAR($L118)+1,2),(YEAR($L118)-1)&amp;"-"&amp;RIGHT(YEAR($L118),2)))</f>
        <v/>
      </c>
      <c r="AL118" s="78"/>
      <c r="AM118" s="79" t="str">
        <f aca="false">IF($A118&amp;$B118&amp;$C118="","",IF($A118="","Missing ID",IF(COUNTIF($A$6:$A$205,$A118)&gt;1,"Duplicate ID",IF($AN118="","Unknown account",IF($AO118="","Unknown security",IF(COUNTIFS(Holdings!$B$6:$B$205,$B118,Holdings!$C$6:$C$205,$C118)=0,"No holding row for this lot",IF(OR($I118="",$J118=""),"Missing purchase quantity or rate",IF(NOT(ISNUMBER($H118)),"Missing purchase date",IF(N($H118)&gt;ValDate,"Purchase after valuation date",IF(N($M118)&gt;N($I118),"Sale quantity exceeds purchase",IF(AND(N($M118)&gt;0,OR(NOT(ISNUMBER($L118)),$N118="")),"Sale date or rate missing",IF(AND(ISNUMBER($L118),N($M118)=0),"Sale date with no quantity",IF(AND(ISNUMBER($L118),N($L118)&lt;N($H118)),"Sale before purchase",IF(N($L118)&gt;ValDate,"Sale after valuation date","OK"))))))))))))))</f>
        <v/>
      </c>
      <c r="AN118" s="89" t="str">
        <f aca="false">IF($B118="","",IFERROR(MATCH($B118,Accounts!$A$6:$A$55,0),""))</f>
        <v/>
      </c>
      <c r="AO118" s="89" t="str">
        <f aca="false">IF($C118="","",IFERROR(MATCH($C118,Securities!$A$6:$A$105,0),""))</f>
        <v/>
      </c>
      <c r="AP118" s="89" t="str">
        <f aca="false">IF($AN118="","",INDEX(Accounts!$B$6:$B$55,$AN118)&amp;"")</f>
        <v/>
      </c>
      <c r="AQ118" s="89" t="str">
        <f aca="false">IF(AND(ISNUMBER($AG118),N($P118)&gt;0),IF(AND(N($AG118)&gt;0,N($AG118)&lt;=SoonDays),1,""),"")</f>
        <v/>
      </c>
      <c r="AR118" s="89" t="str">
        <f aca="false">IF($AQ118&lt;&gt;1,"",SUMPRODUCT(($AQ$6:$AQ$205=1)*ISNUMBER($AG$6:$AG$205)*($AG$6:$AG$205&lt;$AG118))+SUMPRODUCT(($AQ$6:$AQ118=1)*ISNUMBER($AG$6:$AG118)*($AG$6:$AG118=$AG118)))</f>
        <v/>
      </c>
    </row>
    <row r="119" customFormat="false" ht="15" hidden="false" customHeight="false" outlineLevel="0" collapsed="false">
      <c r="A119" s="77"/>
      <c r="B119" s="78"/>
      <c r="C119" s="78"/>
      <c r="D119" s="79" t="str">
        <f aca="false">IF($AN119="","",INDEX(Accounts!$C$6:$C$55,$AN119)&amp;"")</f>
        <v/>
      </c>
      <c r="E119" s="79" t="str">
        <f aca="false">IF($AO119="","",INDEX(Securities!$B$6:$B$105,$AO119)&amp;"")</f>
        <v/>
      </c>
      <c r="F119" s="79" t="str">
        <f aca="false">IF($AO119="","",INDEX(Securities!$C$6:$C$105,$AO119)&amp;"")</f>
        <v/>
      </c>
      <c r="G119" s="79" t="str">
        <f aca="false">IF($AO119="","",INDEX(Securities!$E$6:$E$105,$AO119)&amp;"")</f>
        <v/>
      </c>
      <c r="H119" s="80"/>
      <c r="I119" s="81"/>
      <c r="J119" s="91"/>
      <c r="K119" s="85" t="str">
        <f aca="false">IF(OR($I119="",$J119=""),"",$I119*$J119)</f>
        <v/>
      </c>
      <c r="L119" s="80"/>
      <c r="M119" s="81"/>
      <c r="N119" s="91"/>
      <c r="O119" s="85" t="str">
        <f aca="false">IF(OR($M119="",$N119=""),"",$M119*$N119)</f>
        <v/>
      </c>
      <c r="P119" s="88" t="str">
        <f aca="false">IF($C119="","",N($I119)-N($M119))</f>
        <v/>
      </c>
      <c r="Q119" s="85" t="str">
        <f aca="false">IF(OR($P119="",$J119=""),"",$P119*$J119)</f>
        <v/>
      </c>
      <c r="R119" s="83" t="str">
        <f aca="false">IF($AO119="","",IF(INDEX(Securities!$N$6:$N$105,$AO119)="At cost",IF($J119="","",$J119),IF(INDEX(Securities!$O$6:$O$105,$AO119)="","",INDEX(Securities!$O$6:$O$105,$AO119))))</f>
        <v/>
      </c>
      <c r="S119" s="85" t="str">
        <f aca="false">IF(OR($P119="",$R119=""),"",$P119*$R119)</f>
        <v/>
      </c>
      <c r="T119" s="92" t="str">
        <f aca="false">IF(OR(NOT(ISNUMBER($L119)),NOT(ISNUMBER($H119))),"",$L119-$H119)</f>
        <v/>
      </c>
      <c r="U119" s="79" t="str">
        <f aca="false">IF($T119="","",IF($X119="","Short Term",IF($T119&gt;$X119,"Long Term","Short Term")))</f>
        <v/>
      </c>
      <c r="V119" s="92" t="str">
        <f aca="false">IF(OR(NOT(ISNUMBER($H119)),N($P119)&lt;=0),"",ValDate-$H119)</f>
        <v/>
      </c>
      <c r="W119" s="79" t="str">
        <f aca="false">IF($V119="","",IF($X119="","Short Term",IF($V119&gt;$X119,"Long Term","Short Term")))</f>
        <v/>
      </c>
      <c r="X119" s="92" t="str">
        <f aca="true">IF($G119="","",IF(ISNA(MATCH($G119,L_Category,0)),"",IF(INDEX(L_CatLT,MATCH($G119,L_Category,0))="","",INDEX(L_CatLT,MATCH($G119,L_Category,0)))))</f>
        <v/>
      </c>
      <c r="Y119" s="83" t="str">
        <f aca="false">IF($AO119="","",IF(INDEX(Securities!$Q$6:$Q$105,$AO119)="","",INDEX(Securities!$Q$6:$Q$105,$AO119)))</f>
        <v/>
      </c>
      <c r="Z119" s="79" t="str">
        <f aca="false">IF($C119="","",IF(OR(NOT(ISNUMBER($H119)),$Y119=""),"No",IF($H119&lt;=GFDate,"Yes","No")))</f>
        <v/>
      </c>
      <c r="AA119" s="85" t="str">
        <f aca="false">IF(OR($M119="",$N119="",$J119=""),"",$M119*($N119-$J119))</f>
        <v/>
      </c>
      <c r="AB119" s="85" t="str">
        <f aca="false">IF(OR(N($P119)&lt;=0,$R119="",$J119=""),"",$P119*($R119-$J119))</f>
        <v/>
      </c>
      <c r="AC119" s="83" t="str">
        <f aca="false">IF(OR($M119="",$N119="",$J119=""),"",IF($Z119="Yes",MAX($J119,MIN($Y119,$N119)),$J119))</f>
        <v/>
      </c>
      <c r="AD119" s="85" t="str">
        <f aca="false">IF($AC119="","",$M119*($N119-$AC119))</f>
        <v/>
      </c>
      <c r="AE119" s="83" t="str">
        <f aca="false">IF(OR(N($P119)&lt;=0,$R119="",$J119=""),"",IF($Z119="Yes",MAX($J119,MIN($Y119,$R119)),$J119))</f>
        <v/>
      </c>
      <c r="AF119" s="85" t="str">
        <f aca="false">IF($AE119="","",$P119*($R119-$AE119))</f>
        <v/>
      </c>
      <c r="AG119" s="92" t="str">
        <f aca="false">IF(OR($V119="",$X119=""),"",MAX(0,$X119+1-$V119))</f>
        <v/>
      </c>
      <c r="AH119" s="93" t="str">
        <f aca="false">IF(OR($X119="",NOT(ISNUMBER($H119)),N($P119)&lt;=0),"",$H119+$X119+1)</f>
        <v/>
      </c>
      <c r="AI119" s="91"/>
      <c r="AJ119" s="85" t="str">
        <f aca="false">IF(OR($AI119="",N($P119)&lt;=0),"",$AI119*$P119)</f>
        <v/>
      </c>
      <c r="AK119" s="79" t="str">
        <f aca="false">IF(NOT(ISNUMBER($L119)),"",IF(MONTH($L119)&gt;=4,YEAR($L119)&amp;"-"&amp;RIGHT(YEAR($L119)+1,2),(YEAR($L119)-1)&amp;"-"&amp;RIGHT(YEAR($L119),2)))</f>
        <v/>
      </c>
      <c r="AL119" s="78"/>
      <c r="AM119" s="79" t="str">
        <f aca="false">IF($A119&amp;$B119&amp;$C119="","",IF($A119="","Missing ID",IF(COUNTIF($A$6:$A$205,$A119)&gt;1,"Duplicate ID",IF($AN119="","Unknown account",IF($AO119="","Unknown security",IF(COUNTIFS(Holdings!$B$6:$B$205,$B119,Holdings!$C$6:$C$205,$C119)=0,"No holding row for this lot",IF(OR($I119="",$J119=""),"Missing purchase quantity or rate",IF(NOT(ISNUMBER($H119)),"Missing purchase date",IF(N($H119)&gt;ValDate,"Purchase after valuation date",IF(N($M119)&gt;N($I119),"Sale quantity exceeds purchase",IF(AND(N($M119)&gt;0,OR(NOT(ISNUMBER($L119)),$N119="")),"Sale date or rate missing",IF(AND(ISNUMBER($L119),N($M119)=0),"Sale date with no quantity",IF(AND(ISNUMBER($L119),N($L119)&lt;N($H119)),"Sale before purchase",IF(N($L119)&gt;ValDate,"Sale after valuation date","OK"))))))))))))))</f>
        <v/>
      </c>
      <c r="AN119" s="89" t="str">
        <f aca="false">IF($B119="","",IFERROR(MATCH($B119,Accounts!$A$6:$A$55,0),""))</f>
        <v/>
      </c>
      <c r="AO119" s="89" t="str">
        <f aca="false">IF($C119="","",IFERROR(MATCH($C119,Securities!$A$6:$A$105,0),""))</f>
        <v/>
      </c>
      <c r="AP119" s="89" t="str">
        <f aca="false">IF($AN119="","",INDEX(Accounts!$B$6:$B$55,$AN119)&amp;"")</f>
        <v/>
      </c>
      <c r="AQ119" s="89" t="str">
        <f aca="false">IF(AND(ISNUMBER($AG119),N($P119)&gt;0),IF(AND(N($AG119)&gt;0,N($AG119)&lt;=SoonDays),1,""),"")</f>
        <v/>
      </c>
      <c r="AR119" s="89" t="str">
        <f aca="false">IF($AQ119&lt;&gt;1,"",SUMPRODUCT(($AQ$6:$AQ$205=1)*ISNUMBER($AG$6:$AG$205)*($AG$6:$AG$205&lt;$AG119))+SUMPRODUCT(($AQ$6:$AQ119=1)*ISNUMBER($AG$6:$AG119)*($AG$6:$AG119=$AG119)))</f>
        <v/>
      </c>
    </row>
    <row r="120" customFormat="false" ht="15" hidden="false" customHeight="false" outlineLevel="0" collapsed="false">
      <c r="A120" s="77"/>
      <c r="B120" s="78"/>
      <c r="C120" s="78"/>
      <c r="D120" s="79" t="str">
        <f aca="false">IF($AN120="","",INDEX(Accounts!$C$6:$C$55,$AN120)&amp;"")</f>
        <v/>
      </c>
      <c r="E120" s="79" t="str">
        <f aca="false">IF($AO120="","",INDEX(Securities!$B$6:$B$105,$AO120)&amp;"")</f>
        <v/>
      </c>
      <c r="F120" s="79" t="str">
        <f aca="false">IF($AO120="","",INDEX(Securities!$C$6:$C$105,$AO120)&amp;"")</f>
        <v/>
      </c>
      <c r="G120" s="79" t="str">
        <f aca="false">IF($AO120="","",INDEX(Securities!$E$6:$E$105,$AO120)&amp;"")</f>
        <v/>
      </c>
      <c r="H120" s="80"/>
      <c r="I120" s="81"/>
      <c r="J120" s="91"/>
      <c r="K120" s="85" t="str">
        <f aca="false">IF(OR($I120="",$J120=""),"",$I120*$J120)</f>
        <v/>
      </c>
      <c r="L120" s="80"/>
      <c r="M120" s="81"/>
      <c r="N120" s="91"/>
      <c r="O120" s="85" t="str">
        <f aca="false">IF(OR($M120="",$N120=""),"",$M120*$N120)</f>
        <v/>
      </c>
      <c r="P120" s="88" t="str">
        <f aca="false">IF($C120="","",N($I120)-N($M120))</f>
        <v/>
      </c>
      <c r="Q120" s="85" t="str">
        <f aca="false">IF(OR($P120="",$J120=""),"",$P120*$J120)</f>
        <v/>
      </c>
      <c r="R120" s="83" t="str">
        <f aca="false">IF($AO120="","",IF(INDEX(Securities!$N$6:$N$105,$AO120)="At cost",IF($J120="","",$J120),IF(INDEX(Securities!$O$6:$O$105,$AO120)="","",INDEX(Securities!$O$6:$O$105,$AO120))))</f>
        <v/>
      </c>
      <c r="S120" s="85" t="str">
        <f aca="false">IF(OR($P120="",$R120=""),"",$P120*$R120)</f>
        <v/>
      </c>
      <c r="T120" s="92" t="str">
        <f aca="false">IF(OR(NOT(ISNUMBER($L120)),NOT(ISNUMBER($H120))),"",$L120-$H120)</f>
        <v/>
      </c>
      <c r="U120" s="79" t="str">
        <f aca="false">IF($T120="","",IF($X120="","Short Term",IF($T120&gt;$X120,"Long Term","Short Term")))</f>
        <v/>
      </c>
      <c r="V120" s="92" t="str">
        <f aca="false">IF(OR(NOT(ISNUMBER($H120)),N($P120)&lt;=0),"",ValDate-$H120)</f>
        <v/>
      </c>
      <c r="W120" s="79" t="str">
        <f aca="false">IF($V120="","",IF($X120="","Short Term",IF($V120&gt;$X120,"Long Term","Short Term")))</f>
        <v/>
      </c>
      <c r="X120" s="92" t="str">
        <f aca="true">IF($G120="","",IF(ISNA(MATCH($G120,L_Category,0)),"",IF(INDEX(L_CatLT,MATCH($G120,L_Category,0))="","",INDEX(L_CatLT,MATCH($G120,L_Category,0)))))</f>
        <v/>
      </c>
      <c r="Y120" s="83" t="str">
        <f aca="false">IF($AO120="","",IF(INDEX(Securities!$Q$6:$Q$105,$AO120)="","",INDEX(Securities!$Q$6:$Q$105,$AO120)))</f>
        <v/>
      </c>
      <c r="Z120" s="79" t="str">
        <f aca="false">IF($C120="","",IF(OR(NOT(ISNUMBER($H120)),$Y120=""),"No",IF($H120&lt;=GFDate,"Yes","No")))</f>
        <v/>
      </c>
      <c r="AA120" s="85" t="str">
        <f aca="false">IF(OR($M120="",$N120="",$J120=""),"",$M120*($N120-$J120))</f>
        <v/>
      </c>
      <c r="AB120" s="85" t="str">
        <f aca="false">IF(OR(N($P120)&lt;=0,$R120="",$J120=""),"",$P120*($R120-$J120))</f>
        <v/>
      </c>
      <c r="AC120" s="83" t="str">
        <f aca="false">IF(OR($M120="",$N120="",$J120=""),"",IF($Z120="Yes",MAX($J120,MIN($Y120,$N120)),$J120))</f>
        <v/>
      </c>
      <c r="AD120" s="85" t="str">
        <f aca="false">IF($AC120="","",$M120*($N120-$AC120))</f>
        <v/>
      </c>
      <c r="AE120" s="83" t="str">
        <f aca="false">IF(OR(N($P120)&lt;=0,$R120="",$J120=""),"",IF($Z120="Yes",MAX($J120,MIN($Y120,$R120)),$J120))</f>
        <v/>
      </c>
      <c r="AF120" s="85" t="str">
        <f aca="false">IF($AE120="","",$P120*($R120-$AE120))</f>
        <v/>
      </c>
      <c r="AG120" s="92" t="str">
        <f aca="false">IF(OR($V120="",$X120=""),"",MAX(0,$X120+1-$V120))</f>
        <v/>
      </c>
      <c r="AH120" s="93" t="str">
        <f aca="false">IF(OR($X120="",NOT(ISNUMBER($H120)),N($P120)&lt;=0),"",$H120+$X120+1)</f>
        <v/>
      </c>
      <c r="AI120" s="91"/>
      <c r="AJ120" s="85" t="str">
        <f aca="false">IF(OR($AI120="",N($P120)&lt;=0),"",$AI120*$P120)</f>
        <v/>
      </c>
      <c r="AK120" s="79" t="str">
        <f aca="false">IF(NOT(ISNUMBER($L120)),"",IF(MONTH($L120)&gt;=4,YEAR($L120)&amp;"-"&amp;RIGHT(YEAR($L120)+1,2),(YEAR($L120)-1)&amp;"-"&amp;RIGHT(YEAR($L120),2)))</f>
        <v/>
      </c>
      <c r="AL120" s="78"/>
      <c r="AM120" s="79" t="str">
        <f aca="false">IF($A120&amp;$B120&amp;$C120="","",IF($A120="","Missing ID",IF(COUNTIF($A$6:$A$205,$A120)&gt;1,"Duplicate ID",IF($AN120="","Unknown account",IF($AO120="","Unknown security",IF(COUNTIFS(Holdings!$B$6:$B$205,$B120,Holdings!$C$6:$C$205,$C120)=0,"No holding row for this lot",IF(OR($I120="",$J120=""),"Missing purchase quantity or rate",IF(NOT(ISNUMBER($H120)),"Missing purchase date",IF(N($H120)&gt;ValDate,"Purchase after valuation date",IF(N($M120)&gt;N($I120),"Sale quantity exceeds purchase",IF(AND(N($M120)&gt;0,OR(NOT(ISNUMBER($L120)),$N120="")),"Sale date or rate missing",IF(AND(ISNUMBER($L120),N($M120)=0),"Sale date with no quantity",IF(AND(ISNUMBER($L120),N($L120)&lt;N($H120)),"Sale before purchase",IF(N($L120)&gt;ValDate,"Sale after valuation date","OK"))))))))))))))</f>
        <v/>
      </c>
      <c r="AN120" s="89" t="str">
        <f aca="false">IF($B120="","",IFERROR(MATCH($B120,Accounts!$A$6:$A$55,0),""))</f>
        <v/>
      </c>
      <c r="AO120" s="89" t="str">
        <f aca="false">IF($C120="","",IFERROR(MATCH($C120,Securities!$A$6:$A$105,0),""))</f>
        <v/>
      </c>
      <c r="AP120" s="89" t="str">
        <f aca="false">IF($AN120="","",INDEX(Accounts!$B$6:$B$55,$AN120)&amp;"")</f>
        <v/>
      </c>
      <c r="AQ120" s="89" t="str">
        <f aca="false">IF(AND(ISNUMBER($AG120),N($P120)&gt;0),IF(AND(N($AG120)&gt;0,N($AG120)&lt;=SoonDays),1,""),"")</f>
        <v/>
      </c>
      <c r="AR120" s="89" t="str">
        <f aca="false">IF($AQ120&lt;&gt;1,"",SUMPRODUCT(($AQ$6:$AQ$205=1)*ISNUMBER($AG$6:$AG$205)*($AG$6:$AG$205&lt;$AG120))+SUMPRODUCT(($AQ$6:$AQ120=1)*ISNUMBER($AG$6:$AG120)*($AG$6:$AG120=$AG120)))</f>
        <v/>
      </c>
    </row>
    <row r="121" customFormat="false" ht="15" hidden="false" customHeight="false" outlineLevel="0" collapsed="false">
      <c r="A121" s="77"/>
      <c r="B121" s="78"/>
      <c r="C121" s="78"/>
      <c r="D121" s="79" t="str">
        <f aca="false">IF($AN121="","",INDEX(Accounts!$C$6:$C$55,$AN121)&amp;"")</f>
        <v/>
      </c>
      <c r="E121" s="79" t="str">
        <f aca="false">IF($AO121="","",INDEX(Securities!$B$6:$B$105,$AO121)&amp;"")</f>
        <v/>
      </c>
      <c r="F121" s="79" t="str">
        <f aca="false">IF($AO121="","",INDEX(Securities!$C$6:$C$105,$AO121)&amp;"")</f>
        <v/>
      </c>
      <c r="G121" s="79" t="str">
        <f aca="false">IF($AO121="","",INDEX(Securities!$E$6:$E$105,$AO121)&amp;"")</f>
        <v/>
      </c>
      <c r="H121" s="80"/>
      <c r="I121" s="81"/>
      <c r="J121" s="91"/>
      <c r="K121" s="85" t="str">
        <f aca="false">IF(OR($I121="",$J121=""),"",$I121*$J121)</f>
        <v/>
      </c>
      <c r="L121" s="80"/>
      <c r="M121" s="81"/>
      <c r="N121" s="91"/>
      <c r="O121" s="85" t="str">
        <f aca="false">IF(OR($M121="",$N121=""),"",$M121*$N121)</f>
        <v/>
      </c>
      <c r="P121" s="88" t="str">
        <f aca="false">IF($C121="","",N($I121)-N($M121))</f>
        <v/>
      </c>
      <c r="Q121" s="85" t="str">
        <f aca="false">IF(OR($P121="",$J121=""),"",$P121*$J121)</f>
        <v/>
      </c>
      <c r="R121" s="83" t="str">
        <f aca="false">IF($AO121="","",IF(INDEX(Securities!$N$6:$N$105,$AO121)="At cost",IF($J121="","",$J121),IF(INDEX(Securities!$O$6:$O$105,$AO121)="","",INDEX(Securities!$O$6:$O$105,$AO121))))</f>
        <v/>
      </c>
      <c r="S121" s="85" t="str">
        <f aca="false">IF(OR($P121="",$R121=""),"",$P121*$R121)</f>
        <v/>
      </c>
      <c r="T121" s="92" t="str">
        <f aca="false">IF(OR(NOT(ISNUMBER($L121)),NOT(ISNUMBER($H121))),"",$L121-$H121)</f>
        <v/>
      </c>
      <c r="U121" s="79" t="str">
        <f aca="false">IF($T121="","",IF($X121="","Short Term",IF($T121&gt;$X121,"Long Term","Short Term")))</f>
        <v/>
      </c>
      <c r="V121" s="92" t="str">
        <f aca="false">IF(OR(NOT(ISNUMBER($H121)),N($P121)&lt;=0),"",ValDate-$H121)</f>
        <v/>
      </c>
      <c r="W121" s="79" t="str">
        <f aca="false">IF($V121="","",IF($X121="","Short Term",IF($V121&gt;$X121,"Long Term","Short Term")))</f>
        <v/>
      </c>
      <c r="X121" s="92" t="str">
        <f aca="true">IF($G121="","",IF(ISNA(MATCH($G121,L_Category,0)),"",IF(INDEX(L_CatLT,MATCH($G121,L_Category,0))="","",INDEX(L_CatLT,MATCH($G121,L_Category,0)))))</f>
        <v/>
      </c>
      <c r="Y121" s="83" t="str">
        <f aca="false">IF($AO121="","",IF(INDEX(Securities!$Q$6:$Q$105,$AO121)="","",INDEX(Securities!$Q$6:$Q$105,$AO121)))</f>
        <v/>
      </c>
      <c r="Z121" s="79" t="str">
        <f aca="false">IF($C121="","",IF(OR(NOT(ISNUMBER($H121)),$Y121=""),"No",IF($H121&lt;=GFDate,"Yes","No")))</f>
        <v/>
      </c>
      <c r="AA121" s="85" t="str">
        <f aca="false">IF(OR($M121="",$N121="",$J121=""),"",$M121*($N121-$J121))</f>
        <v/>
      </c>
      <c r="AB121" s="85" t="str">
        <f aca="false">IF(OR(N($P121)&lt;=0,$R121="",$J121=""),"",$P121*($R121-$J121))</f>
        <v/>
      </c>
      <c r="AC121" s="83" t="str">
        <f aca="false">IF(OR($M121="",$N121="",$J121=""),"",IF($Z121="Yes",MAX($J121,MIN($Y121,$N121)),$J121))</f>
        <v/>
      </c>
      <c r="AD121" s="85" t="str">
        <f aca="false">IF($AC121="","",$M121*($N121-$AC121))</f>
        <v/>
      </c>
      <c r="AE121" s="83" t="str">
        <f aca="false">IF(OR(N($P121)&lt;=0,$R121="",$J121=""),"",IF($Z121="Yes",MAX($J121,MIN($Y121,$R121)),$J121))</f>
        <v/>
      </c>
      <c r="AF121" s="85" t="str">
        <f aca="false">IF($AE121="","",$P121*($R121-$AE121))</f>
        <v/>
      </c>
      <c r="AG121" s="92" t="str">
        <f aca="false">IF(OR($V121="",$X121=""),"",MAX(0,$X121+1-$V121))</f>
        <v/>
      </c>
      <c r="AH121" s="93" t="str">
        <f aca="false">IF(OR($X121="",NOT(ISNUMBER($H121)),N($P121)&lt;=0),"",$H121+$X121+1)</f>
        <v/>
      </c>
      <c r="AI121" s="91"/>
      <c r="AJ121" s="85" t="str">
        <f aca="false">IF(OR($AI121="",N($P121)&lt;=0),"",$AI121*$P121)</f>
        <v/>
      </c>
      <c r="AK121" s="79" t="str">
        <f aca="false">IF(NOT(ISNUMBER($L121)),"",IF(MONTH($L121)&gt;=4,YEAR($L121)&amp;"-"&amp;RIGHT(YEAR($L121)+1,2),(YEAR($L121)-1)&amp;"-"&amp;RIGHT(YEAR($L121),2)))</f>
        <v/>
      </c>
      <c r="AL121" s="78"/>
      <c r="AM121" s="79" t="str">
        <f aca="false">IF($A121&amp;$B121&amp;$C121="","",IF($A121="","Missing ID",IF(COUNTIF($A$6:$A$205,$A121)&gt;1,"Duplicate ID",IF($AN121="","Unknown account",IF($AO121="","Unknown security",IF(COUNTIFS(Holdings!$B$6:$B$205,$B121,Holdings!$C$6:$C$205,$C121)=0,"No holding row for this lot",IF(OR($I121="",$J121=""),"Missing purchase quantity or rate",IF(NOT(ISNUMBER($H121)),"Missing purchase date",IF(N($H121)&gt;ValDate,"Purchase after valuation date",IF(N($M121)&gt;N($I121),"Sale quantity exceeds purchase",IF(AND(N($M121)&gt;0,OR(NOT(ISNUMBER($L121)),$N121="")),"Sale date or rate missing",IF(AND(ISNUMBER($L121),N($M121)=0),"Sale date with no quantity",IF(AND(ISNUMBER($L121),N($L121)&lt;N($H121)),"Sale before purchase",IF(N($L121)&gt;ValDate,"Sale after valuation date","OK"))))))))))))))</f>
        <v/>
      </c>
      <c r="AN121" s="89" t="str">
        <f aca="false">IF($B121="","",IFERROR(MATCH($B121,Accounts!$A$6:$A$55,0),""))</f>
        <v/>
      </c>
      <c r="AO121" s="89" t="str">
        <f aca="false">IF($C121="","",IFERROR(MATCH($C121,Securities!$A$6:$A$105,0),""))</f>
        <v/>
      </c>
      <c r="AP121" s="89" t="str">
        <f aca="false">IF($AN121="","",INDEX(Accounts!$B$6:$B$55,$AN121)&amp;"")</f>
        <v/>
      </c>
      <c r="AQ121" s="89" t="str">
        <f aca="false">IF(AND(ISNUMBER($AG121),N($P121)&gt;0),IF(AND(N($AG121)&gt;0,N($AG121)&lt;=SoonDays),1,""),"")</f>
        <v/>
      </c>
      <c r="AR121" s="89" t="str">
        <f aca="false">IF($AQ121&lt;&gt;1,"",SUMPRODUCT(($AQ$6:$AQ$205=1)*ISNUMBER($AG$6:$AG$205)*($AG$6:$AG$205&lt;$AG121))+SUMPRODUCT(($AQ$6:$AQ121=1)*ISNUMBER($AG$6:$AG121)*($AG$6:$AG121=$AG121)))</f>
        <v/>
      </c>
    </row>
    <row r="122" customFormat="false" ht="15" hidden="false" customHeight="false" outlineLevel="0" collapsed="false">
      <c r="A122" s="77"/>
      <c r="B122" s="78"/>
      <c r="C122" s="78"/>
      <c r="D122" s="79" t="str">
        <f aca="false">IF($AN122="","",INDEX(Accounts!$C$6:$C$55,$AN122)&amp;"")</f>
        <v/>
      </c>
      <c r="E122" s="79" t="str">
        <f aca="false">IF($AO122="","",INDEX(Securities!$B$6:$B$105,$AO122)&amp;"")</f>
        <v/>
      </c>
      <c r="F122" s="79" t="str">
        <f aca="false">IF($AO122="","",INDEX(Securities!$C$6:$C$105,$AO122)&amp;"")</f>
        <v/>
      </c>
      <c r="G122" s="79" t="str">
        <f aca="false">IF($AO122="","",INDEX(Securities!$E$6:$E$105,$AO122)&amp;"")</f>
        <v/>
      </c>
      <c r="H122" s="80"/>
      <c r="I122" s="81"/>
      <c r="J122" s="91"/>
      <c r="K122" s="85" t="str">
        <f aca="false">IF(OR($I122="",$J122=""),"",$I122*$J122)</f>
        <v/>
      </c>
      <c r="L122" s="80"/>
      <c r="M122" s="81"/>
      <c r="N122" s="91"/>
      <c r="O122" s="85" t="str">
        <f aca="false">IF(OR($M122="",$N122=""),"",$M122*$N122)</f>
        <v/>
      </c>
      <c r="P122" s="88" t="str">
        <f aca="false">IF($C122="","",N($I122)-N($M122))</f>
        <v/>
      </c>
      <c r="Q122" s="85" t="str">
        <f aca="false">IF(OR($P122="",$J122=""),"",$P122*$J122)</f>
        <v/>
      </c>
      <c r="R122" s="83" t="str">
        <f aca="false">IF($AO122="","",IF(INDEX(Securities!$N$6:$N$105,$AO122)="At cost",IF($J122="","",$J122),IF(INDEX(Securities!$O$6:$O$105,$AO122)="","",INDEX(Securities!$O$6:$O$105,$AO122))))</f>
        <v/>
      </c>
      <c r="S122" s="85" t="str">
        <f aca="false">IF(OR($P122="",$R122=""),"",$P122*$R122)</f>
        <v/>
      </c>
      <c r="T122" s="92" t="str">
        <f aca="false">IF(OR(NOT(ISNUMBER($L122)),NOT(ISNUMBER($H122))),"",$L122-$H122)</f>
        <v/>
      </c>
      <c r="U122" s="79" t="str">
        <f aca="false">IF($T122="","",IF($X122="","Short Term",IF($T122&gt;$X122,"Long Term","Short Term")))</f>
        <v/>
      </c>
      <c r="V122" s="92" t="str">
        <f aca="false">IF(OR(NOT(ISNUMBER($H122)),N($P122)&lt;=0),"",ValDate-$H122)</f>
        <v/>
      </c>
      <c r="W122" s="79" t="str">
        <f aca="false">IF($V122="","",IF($X122="","Short Term",IF($V122&gt;$X122,"Long Term","Short Term")))</f>
        <v/>
      </c>
      <c r="X122" s="92" t="str">
        <f aca="true">IF($G122="","",IF(ISNA(MATCH($G122,L_Category,0)),"",IF(INDEX(L_CatLT,MATCH($G122,L_Category,0))="","",INDEX(L_CatLT,MATCH($G122,L_Category,0)))))</f>
        <v/>
      </c>
      <c r="Y122" s="83" t="str">
        <f aca="false">IF($AO122="","",IF(INDEX(Securities!$Q$6:$Q$105,$AO122)="","",INDEX(Securities!$Q$6:$Q$105,$AO122)))</f>
        <v/>
      </c>
      <c r="Z122" s="79" t="str">
        <f aca="false">IF($C122="","",IF(OR(NOT(ISNUMBER($H122)),$Y122=""),"No",IF($H122&lt;=GFDate,"Yes","No")))</f>
        <v/>
      </c>
      <c r="AA122" s="85" t="str">
        <f aca="false">IF(OR($M122="",$N122="",$J122=""),"",$M122*($N122-$J122))</f>
        <v/>
      </c>
      <c r="AB122" s="85" t="str">
        <f aca="false">IF(OR(N($P122)&lt;=0,$R122="",$J122=""),"",$P122*($R122-$J122))</f>
        <v/>
      </c>
      <c r="AC122" s="83" t="str">
        <f aca="false">IF(OR($M122="",$N122="",$J122=""),"",IF($Z122="Yes",MAX($J122,MIN($Y122,$N122)),$J122))</f>
        <v/>
      </c>
      <c r="AD122" s="85" t="str">
        <f aca="false">IF($AC122="","",$M122*($N122-$AC122))</f>
        <v/>
      </c>
      <c r="AE122" s="83" t="str">
        <f aca="false">IF(OR(N($P122)&lt;=0,$R122="",$J122=""),"",IF($Z122="Yes",MAX($J122,MIN($Y122,$R122)),$J122))</f>
        <v/>
      </c>
      <c r="AF122" s="85" t="str">
        <f aca="false">IF($AE122="","",$P122*($R122-$AE122))</f>
        <v/>
      </c>
      <c r="AG122" s="92" t="str">
        <f aca="false">IF(OR($V122="",$X122=""),"",MAX(0,$X122+1-$V122))</f>
        <v/>
      </c>
      <c r="AH122" s="93" t="str">
        <f aca="false">IF(OR($X122="",NOT(ISNUMBER($H122)),N($P122)&lt;=0),"",$H122+$X122+1)</f>
        <v/>
      </c>
      <c r="AI122" s="91"/>
      <c r="AJ122" s="85" t="str">
        <f aca="false">IF(OR($AI122="",N($P122)&lt;=0),"",$AI122*$P122)</f>
        <v/>
      </c>
      <c r="AK122" s="79" t="str">
        <f aca="false">IF(NOT(ISNUMBER($L122)),"",IF(MONTH($L122)&gt;=4,YEAR($L122)&amp;"-"&amp;RIGHT(YEAR($L122)+1,2),(YEAR($L122)-1)&amp;"-"&amp;RIGHT(YEAR($L122),2)))</f>
        <v/>
      </c>
      <c r="AL122" s="78"/>
      <c r="AM122" s="79" t="str">
        <f aca="false">IF($A122&amp;$B122&amp;$C122="","",IF($A122="","Missing ID",IF(COUNTIF($A$6:$A$205,$A122)&gt;1,"Duplicate ID",IF($AN122="","Unknown account",IF($AO122="","Unknown security",IF(COUNTIFS(Holdings!$B$6:$B$205,$B122,Holdings!$C$6:$C$205,$C122)=0,"No holding row for this lot",IF(OR($I122="",$J122=""),"Missing purchase quantity or rate",IF(NOT(ISNUMBER($H122)),"Missing purchase date",IF(N($H122)&gt;ValDate,"Purchase after valuation date",IF(N($M122)&gt;N($I122),"Sale quantity exceeds purchase",IF(AND(N($M122)&gt;0,OR(NOT(ISNUMBER($L122)),$N122="")),"Sale date or rate missing",IF(AND(ISNUMBER($L122),N($M122)=0),"Sale date with no quantity",IF(AND(ISNUMBER($L122),N($L122)&lt;N($H122)),"Sale before purchase",IF(N($L122)&gt;ValDate,"Sale after valuation date","OK"))))))))))))))</f>
        <v/>
      </c>
      <c r="AN122" s="89" t="str">
        <f aca="false">IF($B122="","",IFERROR(MATCH($B122,Accounts!$A$6:$A$55,0),""))</f>
        <v/>
      </c>
      <c r="AO122" s="89" t="str">
        <f aca="false">IF($C122="","",IFERROR(MATCH($C122,Securities!$A$6:$A$105,0),""))</f>
        <v/>
      </c>
      <c r="AP122" s="89" t="str">
        <f aca="false">IF($AN122="","",INDEX(Accounts!$B$6:$B$55,$AN122)&amp;"")</f>
        <v/>
      </c>
      <c r="AQ122" s="89" t="str">
        <f aca="false">IF(AND(ISNUMBER($AG122),N($P122)&gt;0),IF(AND(N($AG122)&gt;0,N($AG122)&lt;=SoonDays),1,""),"")</f>
        <v/>
      </c>
      <c r="AR122" s="89" t="str">
        <f aca="false">IF($AQ122&lt;&gt;1,"",SUMPRODUCT(($AQ$6:$AQ$205=1)*ISNUMBER($AG$6:$AG$205)*($AG$6:$AG$205&lt;$AG122))+SUMPRODUCT(($AQ$6:$AQ122=1)*ISNUMBER($AG$6:$AG122)*($AG$6:$AG122=$AG122)))</f>
        <v/>
      </c>
    </row>
    <row r="123" customFormat="false" ht="15" hidden="false" customHeight="false" outlineLevel="0" collapsed="false">
      <c r="A123" s="77"/>
      <c r="B123" s="78"/>
      <c r="C123" s="78"/>
      <c r="D123" s="79" t="str">
        <f aca="false">IF($AN123="","",INDEX(Accounts!$C$6:$C$55,$AN123)&amp;"")</f>
        <v/>
      </c>
      <c r="E123" s="79" t="str">
        <f aca="false">IF($AO123="","",INDEX(Securities!$B$6:$B$105,$AO123)&amp;"")</f>
        <v/>
      </c>
      <c r="F123" s="79" t="str">
        <f aca="false">IF($AO123="","",INDEX(Securities!$C$6:$C$105,$AO123)&amp;"")</f>
        <v/>
      </c>
      <c r="G123" s="79" t="str">
        <f aca="false">IF($AO123="","",INDEX(Securities!$E$6:$E$105,$AO123)&amp;"")</f>
        <v/>
      </c>
      <c r="H123" s="80"/>
      <c r="I123" s="81"/>
      <c r="J123" s="91"/>
      <c r="K123" s="85" t="str">
        <f aca="false">IF(OR($I123="",$J123=""),"",$I123*$J123)</f>
        <v/>
      </c>
      <c r="L123" s="80"/>
      <c r="M123" s="81"/>
      <c r="N123" s="91"/>
      <c r="O123" s="85" t="str">
        <f aca="false">IF(OR($M123="",$N123=""),"",$M123*$N123)</f>
        <v/>
      </c>
      <c r="P123" s="88" t="str">
        <f aca="false">IF($C123="","",N($I123)-N($M123))</f>
        <v/>
      </c>
      <c r="Q123" s="85" t="str">
        <f aca="false">IF(OR($P123="",$J123=""),"",$P123*$J123)</f>
        <v/>
      </c>
      <c r="R123" s="83" t="str">
        <f aca="false">IF($AO123="","",IF(INDEX(Securities!$N$6:$N$105,$AO123)="At cost",IF($J123="","",$J123),IF(INDEX(Securities!$O$6:$O$105,$AO123)="","",INDEX(Securities!$O$6:$O$105,$AO123))))</f>
        <v/>
      </c>
      <c r="S123" s="85" t="str">
        <f aca="false">IF(OR($P123="",$R123=""),"",$P123*$R123)</f>
        <v/>
      </c>
      <c r="T123" s="92" t="str">
        <f aca="false">IF(OR(NOT(ISNUMBER($L123)),NOT(ISNUMBER($H123))),"",$L123-$H123)</f>
        <v/>
      </c>
      <c r="U123" s="79" t="str">
        <f aca="false">IF($T123="","",IF($X123="","Short Term",IF($T123&gt;$X123,"Long Term","Short Term")))</f>
        <v/>
      </c>
      <c r="V123" s="92" t="str">
        <f aca="false">IF(OR(NOT(ISNUMBER($H123)),N($P123)&lt;=0),"",ValDate-$H123)</f>
        <v/>
      </c>
      <c r="W123" s="79" t="str">
        <f aca="false">IF($V123="","",IF($X123="","Short Term",IF($V123&gt;$X123,"Long Term","Short Term")))</f>
        <v/>
      </c>
      <c r="X123" s="92" t="str">
        <f aca="true">IF($G123="","",IF(ISNA(MATCH($G123,L_Category,0)),"",IF(INDEX(L_CatLT,MATCH($G123,L_Category,0))="","",INDEX(L_CatLT,MATCH($G123,L_Category,0)))))</f>
        <v/>
      </c>
      <c r="Y123" s="83" t="str">
        <f aca="false">IF($AO123="","",IF(INDEX(Securities!$Q$6:$Q$105,$AO123)="","",INDEX(Securities!$Q$6:$Q$105,$AO123)))</f>
        <v/>
      </c>
      <c r="Z123" s="79" t="str">
        <f aca="false">IF($C123="","",IF(OR(NOT(ISNUMBER($H123)),$Y123=""),"No",IF($H123&lt;=GFDate,"Yes","No")))</f>
        <v/>
      </c>
      <c r="AA123" s="85" t="str">
        <f aca="false">IF(OR($M123="",$N123="",$J123=""),"",$M123*($N123-$J123))</f>
        <v/>
      </c>
      <c r="AB123" s="85" t="str">
        <f aca="false">IF(OR(N($P123)&lt;=0,$R123="",$J123=""),"",$P123*($R123-$J123))</f>
        <v/>
      </c>
      <c r="AC123" s="83" t="str">
        <f aca="false">IF(OR($M123="",$N123="",$J123=""),"",IF($Z123="Yes",MAX($J123,MIN($Y123,$N123)),$J123))</f>
        <v/>
      </c>
      <c r="AD123" s="85" t="str">
        <f aca="false">IF($AC123="","",$M123*($N123-$AC123))</f>
        <v/>
      </c>
      <c r="AE123" s="83" t="str">
        <f aca="false">IF(OR(N($P123)&lt;=0,$R123="",$J123=""),"",IF($Z123="Yes",MAX($J123,MIN($Y123,$R123)),$J123))</f>
        <v/>
      </c>
      <c r="AF123" s="85" t="str">
        <f aca="false">IF($AE123="","",$P123*($R123-$AE123))</f>
        <v/>
      </c>
      <c r="AG123" s="92" t="str">
        <f aca="false">IF(OR($V123="",$X123=""),"",MAX(0,$X123+1-$V123))</f>
        <v/>
      </c>
      <c r="AH123" s="93" t="str">
        <f aca="false">IF(OR($X123="",NOT(ISNUMBER($H123)),N($P123)&lt;=0),"",$H123+$X123+1)</f>
        <v/>
      </c>
      <c r="AI123" s="91"/>
      <c r="AJ123" s="85" t="str">
        <f aca="false">IF(OR($AI123="",N($P123)&lt;=0),"",$AI123*$P123)</f>
        <v/>
      </c>
      <c r="AK123" s="79" t="str">
        <f aca="false">IF(NOT(ISNUMBER($L123)),"",IF(MONTH($L123)&gt;=4,YEAR($L123)&amp;"-"&amp;RIGHT(YEAR($L123)+1,2),(YEAR($L123)-1)&amp;"-"&amp;RIGHT(YEAR($L123),2)))</f>
        <v/>
      </c>
      <c r="AL123" s="78"/>
      <c r="AM123" s="79" t="str">
        <f aca="false">IF($A123&amp;$B123&amp;$C123="","",IF($A123="","Missing ID",IF(COUNTIF($A$6:$A$205,$A123)&gt;1,"Duplicate ID",IF($AN123="","Unknown account",IF($AO123="","Unknown security",IF(COUNTIFS(Holdings!$B$6:$B$205,$B123,Holdings!$C$6:$C$205,$C123)=0,"No holding row for this lot",IF(OR($I123="",$J123=""),"Missing purchase quantity or rate",IF(NOT(ISNUMBER($H123)),"Missing purchase date",IF(N($H123)&gt;ValDate,"Purchase after valuation date",IF(N($M123)&gt;N($I123),"Sale quantity exceeds purchase",IF(AND(N($M123)&gt;0,OR(NOT(ISNUMBER($L123)),$N123="")),"Sale date or rate missing",IF(AND(ISNUMBER($L123),N($M123)=0),"Sale date with no quantity",IF(AND(ISNUMBER($L123),N($L123)&lt;N($H123)),"Sale before purchase",IF(N($L123)&gt;ValDate,"Sale after valuation date","OK"))))))))))))))</f>
        <v/>
      </c>
      <c r="AN123" s="89" t="str">
        <f aca="false">IF($B123="","",IFERROR(MATCH($B123,Accounts!$A$6:$A$55,0),""))</f>
        <v/>
      </c>
      <c r="AO123" s="89" t="str">
        <f aca="false">IF($C123="","",IFERROR(MATCH($C123,Securities!$A$6:$A$105,0),""))</f>
        <v/>
      </c>
      <c r="AP123" s="89" t="str">
        <f aca="false">IF($AN123="","",INDEX(Accounts!$B$6:$B$55,$AN123)&amp;"")</f>
        <v/>
      </c>
      <c r="AQ123" s="89" t="str">
        <f aca="false">IF(AND(ISNUMBER($AG123),N($P123)&gt;0),IF(AND(N($AG123)&gt;0,N($AG123)&lt;=SoonDays),1,""),"")</f>
        <v/>
      </c>
      <c r="AR123" s="89" t="str">
        <f aca="false">IF($AQ123&lt;&gt;1,"",SUMPRODUCT(($AQ$6:$AQ$205=1)*ISNUMBER($AG$6:$AG$205)*($AG$6:$AG$205&lt;$AG123))+SUMPRODUCT(($AQ$6:$AQ123=1)*ISNUMBER($AG$6:$AG123)*($AG$6:$AG123=$AG123)))</f>
        <v/>
      </c>
    </row>
    <row r="124" customFormat="false" ht="15" hidden="false" customHeight="false" outlineLevel="0" collapsed="false">
      <c r="A124" s="77"/>
      <c r="B124" s="78"/>
      <c r="C124" s="78"/>
      <c r="D124" s="79" t="str">
        <f aca="false">IF($AN124="","",INDEX(Accounts!$C$6:$C$55,$AN124)&amp;"")</f>
        <v/>
      </c>
      <c r="E124" s="79" t="str">
        <f aca="false">IF($AO124="","",INDEX(Securities!$B$6:$B$105,$AO124)&amp;"")</f>
        <v/>
      </c>
      <c r="F124" s="79" t="str">
        <f aca="false">IF($AO124="","",INDEX(Securities!$C$6:$C$105,$AO124)&amp;"")</f>
        <v/>
      </c>
      <c r="G124" s="79" t="str">
        <f aca="false">IF($AO124="","",INDEX(Securities!$E$6:$E$105,$AO124)&amp;"")</f>
        <v/>
      </c>
      <c r="H124" s="80"/>
      <c r="I124" s="81"/>
      <c r="J124" s="91"/>
      <c r="K124" s="85" t="str">
        <f aca="false">IF(OR($I124="",$J124=""),"",$I124*$J124)</f>
        <v/>
      </c>
      <c r="L124" s="80"/>
      <c r="M124" s="81"/>
      <c r="N124" s="91"/>
      <c r="O124" s="85" t="str">
        <f aca="false">IF(OR($M124="",$N124=""),"",$M124*$N124)</f>
        <v/>
      </c>
      <c r="P124" s="88" t="str">
        <f aca="false">IF($C124="","",N($I124)-N($M124))</f>
        <v/>
      </c>
      <c r="Q124" s="85" t="str">
        <f aca="false">IF(OR($P124="",$J124=""),"",$P124*$J124)</f>
        <v/>
      </c>
      <c r="R124" s="83" t="str">
        <f aca="false">IF($AO124="","",IF(INDEX(Securities!$N$6:$N$105,$AO124)="At cost",IF($J124="","",$J124),IF(INDEX(Securities!$O$6:$O$105,$AO124)="","",INDEX(Securities!$O$6:$O$105,$AO124))))</f>
        <v/>
      </c>
      <c r="S124" s="85" t="str">
        <f aca="false">IF(OR($P124="",$R124=""),"",$P124*$R124)</f>
        <v/>
      </c>
      <c r="T124" s="92" t="str">
        <f aca="false">IF(OR(NOT(ISNUMBER($L124)),NOT(ISNUMBER($H124))),"",$L124-$H124)</f>
        <v/>
      </c>
      <c r="U124" s="79" t="str">
        <f aca="false">IF($T124="","",IF($X124="","Short Term",IF($T124&gt;$X124,"Long Term","Short Term")))</f>
        <v/>
      </c>
      <c r="V124" s="92" t="str">
        <f aca="false">IF(OR(NOT(ISNUMBER($H124)),N($P124)&lt;=0),"",ValDate-$H124)</f>
        <v/>
      </c>
      <c r="W124" s="79" t="str">
        <f aca="false">IF($V124="","",IF($X124="","Short Term",IF($V124&gt;$X124,"Long Term","Short Term")))</f>
        <v/>
      </c>
      <c r="X124" s="92" t="str">
        <f aca="true">IF($G124="","",IF(ISNA(MATCH($G124,L_Category,0)),"",IF(INDEX(L_CatLT,MATCH($G124,L_Category,0))="","",INDEX(L_CatLT,MATCH($G124,L_Category,0)))))</f>
        <v/>
      </c>
      <c r="Y124" s="83" t="str">
        <f aca="false">IF($AO124="","",IF(INDEX(Securities!$Q$6:$Q$105,$AO124)="","",INDEX(Securities!$Q$6:$Q$105,$AO124)))</f>
        <v/>
      </c>
      <c r="Z124" s="79" t="str">
        <f aca="false">IF($C124="","",IF(OR(NOT(ISNUMBER($H124)),$Y124=""),"No",IF($H124&lt;=GFDate,"Yes","No")))</f>
        <v/>
      </c>
      <c r="AA124" s="85" t="str">
        <f aca="false">IF(OR($M124="",$N124="",$J124=""),"",$M124*($N124-$J124))</f>
        <v/>
      </c>
      <c r="AB124" s="85" t="str">
        <f aca="false">IF(OR(N($P124)&lt;=0,$R124="",$J124=""),"",$P124*($R124-$J124))</f>
        <v/>
      </c>
      <c r="AC124" s="83" t="str">
        <f aca="false">IF(OR($M124="",$N124="",$J124=""),"",IF($Z124="Yes",MAX($J124,MIN($Y124,$N124)),$J124))</f>
        <v/>
      </c>
      <c r="AD124" s="85" t="str">
        <f aca="false">IF($AC124="","",$M124*($N124-$AC124))</f>
        <v/>
      </c>
      <c r="AE124" s="83" t="str">
        <f aca="false">IF(OR(N($P124)&lt;=0,$R124="",$J124=""),"",IF($Z124="Yes",MAX($J124,MIN($Y124,$R124)),$J124))</f>
        <v/>
      </c>
      <c r="AF124" s="85" t="str">
        <f aca="false">IF($AE124="","",$P124*($R124-$AE124))</f>
        <v/>
      </c>
      <c r="AG124" s="92" t="str">
        <f aca="false">IF(OR($V124="",$X124=""),"",MAX(0,$X124+1-$V124))</f>
        <v/>
      </c>
      <c r="AH124" s="93" t="str">
        <f aca="false">IF(OR($X124="",NOT(ISNUMBER($H124)),N($P124)&lt;=0),"",$H124+$X124+1)</f>
        <v/>
      </c>
      <c r="AI124" s="91"/>
      <c r="AJ124" s="85" t="str">
        <f aca="false">IF(OR($AI124="",N($P124)&lt;=0),"",$AI124*$P124)</f>
        <v/>
      </c>
      <c r="AK124" s="79" t="str">
        <f aca="false">IF(NOT(ISNUMBER($L124)),"",IF(MONTH($L124)&gt;=4,YEAR($L124)&amp;"-"&amp;RIGHT(YEAR($L124)+1,2),(YEAR($L124)-1)&amp;"-"&amp;RIGHT(YEAR($L124),2)))</f>
        <v/>
      </c>
      <c r="AL124" s="78"/>
      <c r="AM124" s="79" t="str">
        <f aca="false">IF($A124&amp;$B124&amp;$C124="","",IF($A124="","Missing ID",IF(COUNTIF($A$6:$A$205,$A124)&gt;1,"Duplicate ID",IF($AN124="","Unknown account",IF($AO124="","Unknown security",IF(COUNTIFS(Holdings!$B$6:$B$205,$B124,Holdings!$C$6:$C$205,$C124)=0,"No holding row for this lot",IF(OR($I124="",$J124=""),"Missing purchase quantity or rate",IF(NOT(ISNUMBER($H124)),"Missing purchase date",IF(N($H124)&gt;ValDate,"Purchase after valuation date",IF(N($M124)&gt;N($I124),"Sale quantity exceeds purchase",IF(AND(N($M124)&gt;0,OR(NOT(ISNUMBER($L124)),$N124="")),"Sale date or rate missing",IF(AND(ISNUMBER($L124),N($M124)=0),"Sale date with no quantity",IF(AND(ISNUMBER($L124),N($L124)&lt;N($H124)),"Sale before purchase",IF(N($L124)&gt;ValDate,"Sale after valuation date","OK"))))))))))))))</f>
        <v/>
      </c>
      <c r="AN124" s="89" t="str">
        <f aca="false">IF($B124="","",IFERROR(MATCH($B124,Accounts!$A$6:$A$55,0),""))</f>
        <v/>
      </c>
      <c r="AO124" s="89" t="str">
        <f aca="false">IF($C124="","",IFERROR(MATCH($C124,Securities!$A$6:$A$105,0),""))</f>
        <v/>
      </c>
      <c r="AP124" s="89" t="str">
        <f aca="false">IF($AN124="","",INDEX(Accounts!$B$6:$B$55,$AN124)&amp;"")</f>
        <v/>
      </c>
      <c r="AQ124" s="89" t="str">
        <f aca="false">IF(AND(ISNUMBER($AG124),N($P124)&gt;0),IF(AND(N($AG124)&gt;0,N($AG124)&lt;=SoonDays),1,""),"")</f>
        <v/>
      </c>
      <c r="AR124" s="89" t="str">
        <f aca="false">IF($AQ124&lt;&gt;1,"",SUMPRODUCT(($AQ$6:$AQ$205=1)*ISNUMBER($AG$6:$AG$205)*($AG$6:$AG$205&lt;$AG124))+SUMPRODUCT(($AQ$6:$AQ124=1)*ISNUMBER($AG$6:$AG124)*($AG$6:$AG124=$AG124)))</f>
        <v/>
      </c>
    </row>
    <row r="125" customFormat="false" ht="15" hidden="false" customHeight="false" outlineLevel="0" collapsed="false">
      <c r="A125" s="77"/>
      <c r="B125" s="78"/>
      <c r="C125" s="78"/>
      <c r="D125" s="79" t="str">
        <f aca="false">IF($AN125="","",INDEX(Accounts!$C$6:$C$55,$AN125)&amp;"")</f>
        <v/>
      </c>
      <c r="E125" s="79" t="str">
        <f aca="false">IF($AO125="","",INDEX(Securities!$B$6:$B$105,$AO125)&amp;"")</f>
        <v/>
      </c>
      <c r="F125" s="79" t="str">
        <f aca="false">IF($AO125="","",INDEX(Securities!$C$6:$C$105,$AO125)&amp;"")</f>
        <v/>
      </c>
      <c r="G125" s="79" t="str">
        <f aca="false">IF($AO125="","",INDEX(Securities!$E$6:$E$105,$AO125)&amp;"")</f>
        <v/>
      </c>
      <c r="H125" s="80"/>
      <c r="I125" s="81"/>
      <c r="J125" s="91"/>
      <c r="K125" s="85" t="str">
        <f aca="false">IF(OR($I125="",$J125=""),"",$I125*$J125)</f>
        <v/>
      </c>
      <c r="L125" s="80"/>
      <c r="M125" s="81"/>
      <c r="N125" s="91"/>
      <c r="O125" s="85" t="str">
        <f aca="false">IF(OR($M125="",$N125=""),"",$M125*$N125)</f>
        <v/>
      </c>
      <c r="P125" s="88" t="str">
        <f aca="false">IF($C125="","",N($I125)-N($M125))</f>
        <v/>
      </c>
      <c r="Q125" s="85" t="str">
        <f aca="false">IF(OR($P125="",$J125=""),"",$P125*$J125)</f>
        <v/>
      </c>
      <c r="R125" s="83" t="str">
        <f aca="false">IF($AO125="","",IF(INDEX(Securities!$N$6:$N$105,$AO125)="At cost",IF($J125="","",$J125),IF(INDEX(Securities!$O$6:$O$105,$AO125)="","",INDEX(Securities!$O$6:$O$105,$AO125))))</f>
        <v/>
      </c>
      <c r="S125" s="85" t="str">
        <f aca="false">IF(OR($P125="",$R125=""),"",$P125*$R125)</f>
        <v/>
      </c>
      <c r="T125" s="92" t="str">
        <f aca="false">IF(OR(NOT(ISNUMBER($L125)),NOT(ISNUMBER($H125))),"",$L125-$H125)</f>
        <v/>
      </c>
      <c r="U125" s="79" t="str">
        <f aca="false">IF($T125="","",IF($X125="","Short Term",IF($T125&gt;$X125,"Long Term","Short Term")))</f>
        <v/>
      </c>
      <c r="V125" s="92" t="str">
        <f aca="false">IF(OR(NOT(ISNUMBER($H125)),N($P125)&lt;=0),"",ValDate-$H125)</f>
        <v/>
      </c>
      <c r="W125" s="79" t="str">
        <f aca="false">IF($V125="","",IF($X125="","Short Term",IF($V125&gt;$X125,"Long Term","Short Term")))</f>
        <v/>
      </c>
      <c r="X125" s="92" t="str">
        <f aca="true">IF($G125="","",IF(ISNA(MATCH($G125,L_Category,0)),"",IF(INDEX(L_CatLT,MATCH($G125,L_Category,0))="","",INDEX(L_CatLT,MATCH($G125,L_Category,0)))))</f>
        <v/>
      </c>
      <c r="Y125" s="83" t="str">
        <f aca="false">IF($AO125="","",IF(INDEX(Securities!$Q$6:$Q$105,$AO125)="","",INDEX(Securities!$Q$6:$Q$105,$AO125)))</f>
        <v/>
      </c>
      <c r="Z125" s="79" t="str">
        <f aca="false">IF($C125="","",IF(OR(NOT(ISNUMBER($H125)),$Y125=""),"No",IF($H125&lt;=GFDate,"Yes","No")))</f>
        <v/>
      </c>
      <c r="AA125" s="85" t="str">
        <f aca="false">IF(OR($M125="",$N125="",$J125=""),"",$M125*($N125-$J125))</f>
        <v/>
      </c>
      <c r="AB125" s="85" t="str">
        <f aca="false">IF(OR(N($P125)&lt;=0,$R125="",$J125=""),"",$P125*($R125-$J125))</f>
        <v/>
      </c>
      <c r="AC125" s="83" t="str">
        <f aca="false">IF(OR($M125="",$N125="",$J125=""),"",IF($Z125="Yes",MAX($J125,MIN($Y125,$N125)),$J125))</f>
        <v/>
      </c>
      <c r="AD125" s="85" t="str">
        <f aca="false">IF($AC125="","",$M125*($N125-$AC125))</f>
        <v/>
      </c>
      <c r="AE125" s="83" t="str">
        <f aca="false">IF(OR(N($P125)&lt;=0,$R125="",$J125=""),"",IF($Z125="Yes",MAX($J125,MIN($Y125,$R125)),$J125))</f>
        <v/>
      </c>
      <c r="AF125" s="85" t="str">
        <f aca="false">IF($AE125="","",$P125*($R125-$AE125))</f>
        <v/>
      </c>
      <c r="AG125" s="92" t="str">
        <f aca="false">IF(OR($V125="",$X125=""),"",MAX(0,$X125+1-$V125))</f>
        <v/>
      </c>
      <c r="AH125" s="93" t="str">
        <f aca="false">IF(OR($X125="",NOT(ISNUMBER($H125)),N($P125)&lt;=0),"",$H125+$X125+1)</f>
        <v/>
      </c>
      <c r="AI125" s="91"/>
      <c r="AJ125" s="85" t="str">
        <f aca="false">IF(OR($AI125="",N($P125)&lt;=0),"",$AI125*$P125)</f>
        <v/>
      </c>
      <c r="AK125" s="79" t="str">
        <f aca="false">IF(NOT(ISNUMBER($L125)),"",IF(MONTH($L125)&gt;=4,YEAR($L125)&amp;"-"&amp;RIGHT(YEAR($L125)+1,2),(YEAR($L125)-1)&amp;"-"&amp;RIGHT(YEAR($L125),2)))</f>
        <v/>
      </c>
      <c r="AL125" s="78"/>
      <c r="AM125" s="79" t="str">
        <f aca="false">IF($A125&amp;$B125&amp;$C125="","",IF($A125="","Missing ID",IF(COUNTIF($A$6:$A$205,$A125)&gt;1,"Duplicate ID",IF($AN125="","Unknown account",IF($AO125="","Unknown security",IF(COUNTIFS(Holdings!$B$6:$B$205,$B125,Holdings!$C$6:$C$205,$C125)=0,"No holding row for this lot",IF(OR($I125="",$J125=""),"Missing purchase quantity or rate",IF(NOT(ISNUMBER($H125)),"Missing purchase date",IF(N($H125)&gt;ValDate,"Purchase after valuation date",IF(N($M125)&gt;N($I125),"Sale quantity exceeds purchase",IF(AND(N($M125)&gt;0,OR(NOT(ISNUMBER($L125)),$N125="")),"Sale date or rate missing",IF(AND(ISNUMBER($L125),N($M125)=0),"Sale date with no quantity",IF(AND(ISNUMBER($L125),N($L125)&lt;N($H125)),"Sale before purchase",IF(N($L125)&gt;ValDate,"Sale after valuation date","OK"))))))))))))))</f>
        <v/>
      </c>
      <c r="AN125" s="89" t="str">
        <f aca="false">IF($B125="","",IFERROR(MATCH($B125,Accounts!$A$6:$A$55,0),""))</f>
        <v/>
      </c>
      <c r="AO125" s="89" t="str">
        <f aca="false">IF($C125="","",IFERROR(MATCH($C125,Securities!$A$6:$A$105,0),""))</f>
        <v/>
      </c>
      <c r="AP125" s="89" t="str">
        <f aca="false">IF($AN125="","",INDEX(Accounts!$B$6:$B$55,$AN125)&amp;"")</f>
        <v/>
      </c>
      <c r="AQ125" s="89" t="str">
        <f aca="false">IF(AND(ISNUMBER($AG125),N($P125)&gt;0),IF(AND(N($AG125)&gt;0,N($AG125)&lt;=SoonDays),1,""),"")</f>
        <v/>
      </c>
      <c r="AR125" s="89" t="str">
        <f aca="false">IF($AQ125&lt;&gt;1,"",SUMPRODUCT(($AQ$6:$AQ$205=1)*ISNUMBER($AG$6:$AG$205)*($AG$6:$AG$205&lt;$AG125))+SUMPRODUCT(($AQ$6:$AQ125=1)*ISNUMBER($AG$6:$AG125)*($AG$6:$AG125=$AG125)))</f>
        <v/>
      </c>
    </row>
    <row r="126" customFormat="false" ht="15" hidden="false" customHeight="false" outlineLevel="0" collapsed="false">
      <c r="A126" s="77"/>
      <c r="B126" s="78"/>
      <c r="C126" s="78"/>
      <c r="D126" s="79" t="str">
        <f aca="false">IF($AN126="","",INDEX(Accounts!$C$6:$C$55,$AN126)&amp;"")</f>
        <v/>
      </c>
      <c r="E126" s="79" t="str">
        <f aca="false">IF($AO126="","",INDEX(Securities!$B$6:$B$105,$AO126)&amp;"")</f>
        <v/>
      </c>
      <c r="F126" s="79" t="str">
        <f aca="false">IF($AO126="","",INDEX(Securities!$C$6:$C$105,$AO126)&amp;"")</f>
        <v/>
      </c>
      <c r="G126" s="79" t="str">
        <f aca="false">IF($AO126="","",INDEX(Securities!$E$6:$E$105,$AO126)&amp;"")</f>
        <v/>
      </c>
      <c r="H126" s="80"/>
      <c r="I126" s="81"/>
      <c r="J126" s="91"/>
      <c r="K126" s="85" t="str">
        <f aca="false">IF(OR($I126="",$J126=""),"",$I126*$J126)</f>
        <v/>
      </c>
      <c r="L126" s="80"/>
      <c r="M126" s="81"/>
      <c r="N126" s="91"/>
      <c r="O126" s="85" t="str">
        <f aca="false">IF(OR($M126="",$N126=""),"",$M126*$N126)</f>
        <v/>
      </c>
      <c r="P126" s="88" t="str">
        <f aca="false">IF($C126="","",N($I126)-N($M126))</f>
        <v/>
      </c>
      <c r="Q126" s="85" t="str">
        <f aca="false">IF(OR($P126="",$J126=""),"",$P126*$J126)</f>
        <v/>
      </c>
      <c r="R126" s="83" t="str">
        <f aca="false">IF($AO126="","",IF(INDEX(Securities!$N$6:$N$105,$AO126)="At cost",IF($J126="","",$J126),IF(INDEX(Securities!$O$6:$O$105,$AO126)="","",INDEX(Securities!$O$6:$O$105,$AO126))))</f>
        <v/>
      </c>
      <c r="S126" s="85" t="str">
        <f aca="false">IF(OR($P126="",$R126=""),"",$P126*$R126)</f>
        <v/>
      </c>
      <c r="T126" s="92" t="str">
        <f aca="false">IF(OR(NOT(ISNUMBER($L126)),NOT(ISNUMBER($H126))),"",$L126-$H126)</f>
        <v/>
      </c>
      <c r="U126" s="79" t="str">
        <f aca="false">IF($T126="","",IF($X126="","Short Term",IF($T126&gt;$X126,"Long Term","Short Term")))</f>
        <v/>
      </c>
      <c r="V126" s="92" t="str">
        <f aca="false">IF(OR(NOT(ISNUMBER($H126)),N($P126)&lt;=0),"",ValDate-$H126)</f>
        <v/>
      </c>
      <c r="W126" s="79" t="str">
        <f aca="false">IF($V126="","",IF($X126="","Short Term",IF($V126&gt;$X126,"Long Term","Short Term")))</f>
        <v/>
      </c>
      <c r="X126" s="92" t="str">
        <f aca="true">IF($G126="","",IF(ISNA(MATCH($G126,L_Category,0)),"",IF(INDEX(L_CatLT,MATCH($G126,L_Category,0))="","",INDEX(L_CatLT,MATCH($G126,L_Category,0)))))</f>
        <v/>
      </c>
      <c r="Y126" s="83" t="str">
        <f aca="false">IF($AO126="","",IF(INDEX(Securities!$Q$6:$Q$105,$AO126)="","",INDEX(Securities!$Q$6:$Q$105,$AO126)))</f>
        <v/>
      </c>
      <c r="Z126" s="79" t="str">
        <f aca="false">IF($C126="","",IF(OR(NOT(ISNUMBER($H126)),$Y126=""),"No",IF($H126&lt;=GFDate,"Yes","No")))</f>
        <v/>
      </c>
      <c r="AA126" s="85" t="str">
        <f aca="false">IF(OR($M126="",$N126="",$J126=""),"",$M126*($N126-$J126))</f>
        <v/>
      </c>
      <c r="AB126" s="85" t="str">
        <f aca="false">IF(OR(N($P126)&lt;=0,$R126="",$J126=""),"",$P126*($R126-$J126))</f>
        <v/>
      </c>
      <c r="AC126" s="83" t="str">
        <f aca="false">IF(OR($M126="",$N126="",$J126=""),"",IF($Z126="Yes",MAX($J126,MIN($Y126,$N126)),$J126))</f>
        <v/>
      </c>
      <c r="AD126" s="85" t="str">
        <f aca="false">IF($AC126="","",$M126*($N126-$AC126))</f>
        <v/>
      </c>
      <c r="AE126" s="83" t="str">
        <f aca="false">IF(OR(N($P126)&lt;=0,$R126="",$J126=""),"",IF($Z126="Yes",MAX($J126,MIN($Y126,$R126)),$J126))</f>
        <v/>
      </c>
      <c r="AF126" s="85" t="str">
        <f aca="false">IF($AE126="","",$P126*($R126-$AE126))</f>
        <v/>
      </c>
      <c r="AG126" s="92" t="str">
        <f aca="false">IF(OR($V126="",$X126=""),"",MAX(0,$X126+1-$V126))</f>
        <v/>
      </c>
      <c r="AH126" s="93" t="str">
        <f aca="false">IF(OR($X126="",NOT(ISNUMBER($H126)),N($P126)&lt;=0),"",$H126+$X126+1)</f>
        <v/>
      </c>
      <c r="AI126" s="91"/>
      <c r="AJ126" s="85" t="str">
        <f aca="false">IF(OR($AI126="",N($P126)&lt;=0),"",$AI126*$P126)</f>
        <v/>
      </c>
      <c r="AK126" s="79" t="str">
        <f aca="false">IF(NOT(ISNUMBER($L126)),"",IF(MONTH($L126)&gt;=4,YEAR($L126)&amp;"-"&amp;RIGHT(YEAR($L126)+1,2),(YEAR($L126)-1)&amp;"-"&amp;RIGHT(YEAR($L126),2)))</f>
        <v/>
      </c>
      <c r="AL126" s="78"/>
      <c r="AM126" s="79" t="str">
        <f aca="false">IF($A126&amp;$B126&amp;$C126="","",IF($A126="","Missing ID",IF(COUNTIF($A$6:$A$205,$A126)&gt;1,"Duplicate ID",IF($AN126="","Unknown account",IF($AO126="","Unknown security",IF(COUNTIFS(Holdings!$B$6:$B$205,$B126,Holdings!$C$6:$C$205,$C126)=0,"No holding row for this lot",IF(OR($I126="",$J126=""),"Missing purchase quantity or rate",IF(NOT(ISNUMBER($H126)),"Missing purchase date",IF(N($H126)&gt;ValDate,"Purchase after valuation date",IF(N($M126)&gt;N($I126),"Sale quantity exceeds purchase",IF(AND(N($M126)&gt;0,OR(NOT(ISNUMBER($L126)),$N126="")),"Sale date or rate missing",IF(AND(ISNUMBER($L126),N($M126)=0),"Sale date with no quantity",IF(AND(ISNUMBER($L126),N($L126)&lt;N($H126)),"Sale before purchase",IF(N($L126)&gt;ValDate,"Sale after valuation date","OK"))))))))))))))</f>
        <v/>
      </c>
      <c r="AN126" s="89" t="str">
        <f aca="false">IF($B126="","",IFERROR(MATCH($B126,Accounts!$A$6:$A$55,0),""))</f>
        <v/>
      </c>
      <c r="AO126" s="89" t="str">
        <f aca="false">IF($C126="","",IFERROR(MATCH($C126,Securities!$A$6:$A$105,0),""))</f>
        <v/>
      </c>
      <c r="AP126" s="89" t="str">
        <f aca="false">IF($AN126="","",INDEX(Accounts!$B$6:$B$55,$AN126)&amp;"")</f>
        <v/>
      </c>
      <c r="AQ126" s="89" t="str">
        <f aca="false">IF(AND(ISNUMBER($AG126),N($P126)&gt;0),IF(AND(N($AG126)&gt;0,N($AG126)&lt;=SoonDays),1,""),"")</f>
        <v/>
      </c>
      <c r="AR126" s="89" t="str">
        <f aca="false">IF($AQ126&lt;&gt;1,"",SUMPRODUCT(($AQ$6:$AQ$205=1)*ISNUMBER($AG$6:$AG$205)*($AG$6:$AG$205&lt;$AG126))+SUMPRODUCT(($AQ$6:$AQ126=1)*ISNUMBER($AG$6:$AG126)*($AG$6:$AG126=$AG126)))</f>
        <v/>
      </c>
    </row>
    <row r="127" customFormat="false" ht="15" hidden="false" customHeight="false" outlineLevel="0" collapsed="false">
      <c r="A127" s="77"/>
      <c r="B127" s="78"/>
      <c r="C127" s="78"/>
      <c r="D127" s="79" t="str">
        <f aca="false">IF($AN127="","",INDEX(Accounts!$C$6:$C$55,$AN127)&amp;"")</f>
        <v/>
      </c>
      <c r="E127" s="79" t="str">
        <f aca="false">IF($AO127="","",INDEX(Securities!$B$6:$B$105,$AO127)&amp;"")</f>
        <v/>
      </c>
      <c r="F127" s="79" t="str">
        <f aca="false">IF($AO127="","",INDEX(Securities!$C$6:$C$105,$AO127)&amp;"")</f>
        <v/>
      </c>
      <c r="G127" s="79" t="str">
        <f aca="false">IF($AO127="","",INDEX(Securities!$E$6:$E$105,$AO127)&amp;"")</f>
        <v/>
      </c>
      <c r="H127" s="80"/>
      <c r="I127" s="81"/>
      <c r="J127" s="91"/>
      <c r="K127" s="85" t="str">
        <f aca="false">IF(OR($I127="",$J127=""),"",$I127*$J127)</f>
        <v/>
      </c>
      <c r="L127" s="80"/>
      <c r="M127" s="81"/>
      <c r="N127" s="91"/>
      <c r="O127" s="85" t="str">
        <f aca="false">IF(OR($M127="",$N127=""),"",$M127*$N127)</f>
        <v/>
      </c>
      <c r="P127" s="88" t="str">
        <f aca="false">IF($C127="","",N($I127)-N($M127))</f>
        <v/>
      </c>
      <c r="Q127" s="85" t="str">
        <f aca="false">IF(OR($P127="",$J127=""),"",$P127*$J127)</f>
        <v/>
      </c>
      <c r="R127" s="83" t="str">
        <f aca="false">IF($AO127="","",IF(INDEX(Securities!$N$6:$N$105,$AO127)="At cost",IF($J127="","",$J127),IF(INDEX(Securities!$O$6:$O$105,$AO127)="","",INDEX(Securities!$O$6:$O$105,$AO127))))</f>
        <v/>
      </c>
      <c r="S127" s="85" t="str">
        <f aca="false">IF(OR($P127="",$R127=""),"",$P127*$R127)</f>
        <v/>
      </c>
      <c r="T127" s="92" t="str">
        <f aca="false">IF(OR(NOT(ISNUMBER($L127)),NOT(ISNUMBER($H127))),"",$L127-$H127)</f>
        <v/>
      </c>
      <c r="U127" s="79" t="str">
        <f aca="false">IF($T127="","",IF($X127="","Short Term",IF($T127&gt;$X127,"Long Term","Short Term")))</f>
        <v/>
      </c>
      <c r="V127" s="92" t="str">
        <f aca="false">IF(OR(NOT(ISNUMBER($H127)),N($P127)&lt;=0),"",ValDate-$H127)</f>
        <v/>
      </c>
      <c r="W127" s="79" t="str">
        <f aca="false">IF($V127="","",IF($X127="","Short Term",IF($V127&gt;$X127,"Long Term","Short Term")))</f>
        <v/>
      </c>
      <c r="X127" s="92" t="str">
        <f aca="true">IF($G127="","",IF(ISNA(MATCH($G127,L_Category,0)),"",IF(INDEX(L_CatLT,MATCH($G127,L_Category,0))="","",INDEX(L_CatLT,MATCH($G127,L_Category,0)))))</f>
        <v/>
      </c>
      <c r="Y127" s="83" t="str">
        <f aca="false">IF($AO127="","",IF(INDEX(Securities!$Q$6:$Q$105,$AO127)="","",INDEX(Securities!$Q$6:$Q$105,$AO127)))</f>
        <v/>
      </c>
      <c r="Z127" s="79" t="str">
        <f aca="false">IF($C127="","",IF(OR(NOT(ISNUMBER($H127)),$Y127=""),"No",IF($H127&lt;=GFDate,"Yes","No")))</f>
        <v/>
      </c>
      <c r="AA127" s="85" t="str">
        <f aca="false">IF(OR($M127="",$N127="",$J127=""),"",$M127*($N127-$J127))</f>
        <v/>
      </c>
      <c r="AB127" s="85" t="str">
        <f aca="false">IF(OR(N($P127)&lt;=0,$R127="",$J127=""),"",$P127*($R127-$J127))</f>
        <v/>
      </c>
      <c r="AC127" s="83" t="str">
        <f aca="false">IF(OR($M127="",$N127="",$J127=""),"",IF($Z127="Yes",MAX($J127,MIN($Y127,$N127)),$J127))</f>
        <v/>
      </c>
      <c r="AD127" s="85" t="str">
        <f aca="false">IF($AC127="","",$M127*($N127-$AC127))</f>
        <v/>
      </c>
      <c r="AE127" s="83" t="str">
        <f aca="false">IF(OR(N($P127)&lt;=0,$R127="",$J127=""),"",IF($Z127="Yes",MAX($J127,MIN($Y127,$R127)),$J127))</f>
        <v/>
      </c>
      <c r="AF127" s="85" t="str">
        <f aca="false">IF($AE127="","",$P127*($R127-$AE127))</f>
        <v/>
      </c>
      <c r="AG127" s="92" t="str">
        <f aca="false">IF(OR($V127="",$X127=""),"",MAX(0,$X127+1-$V127))</f>
        <v/>
      </c>
      <c r="AH127" s="93" t="str">
        <f aca="false">IF(OR($X127="",NOT(ISNUMBER($H127)),N($P127)&lt;=0),"",$H127+$X127+1)</f>
        <v/>
      </c>
      <c r="AI127" s="91"/>
      <c r="AJ127" s="85" t="str">
        <f aca="false">IF(OR($AI127="",N($P127)&lt;=0),"",$AI127*$P127)</f>
        <v/>
      </c>
      <c r="AK127" s="79" t="str">
        <f aca="false">IF(NOT(ISNUMBER($L127)),"",IF(MONTH($L127)&gt;=4,YEAR($L127)&amp;"-"&amp;RIGHT(YEAR($L127)+1,2),(YEAR($L127)-1)&amp;"-"&amp;RIGHT(YEAR($L127),2)))</f>
        <v/>
      </c>
      <c r="AL127" s="78"/>
      <c r="AM127" s="79" t="str">
        <f aca="false">IF($A127&amp;$B127&amp;$C127="","",IF($A127="","Missing ID",IF(COUNTIF($A$6:$A$205,$A127)&gt;1,"Duplicate ID",IF($AN127="","Unknown account",IF($AO127="","Unknown security",IF(COUNTIFS(Holdings!$B$6:$B$205,$B127,Holdings!$C$6:$C$205,$C127)=0,"No holding row for this lot",IF(OR($I127="",$J127=""),"Missing purchase quantity or rate",IF(NOT(ISNUMBER($H127)),"Missing purchase date",IF(N($H127)&gt;ValDate,"Purchase after valuation date",IF(N($M127)&gt;N($I127),"Sale quantity exceeds purchase",IF(AND(N($M127)&gt;0,OR(NOT(ISNUMBER($L127)),$N127="")),"Sale date or rate missing",IF(AND(ISNUMBER($L127),N($M127)=0),"Sale date with no quantity",IF(AND(ISNUMBER($L127),N($L127)&lt;N($H127)),"Sale before purchase",IF(N($L127)&gt;ValDate,"Sale after valuation date","OK"))))))))))))))</f>
        <v/>
      </c>
      <c r="AN127" s="89" t="str">
        <f aca="false">IF($B127="","",IFERROR(MATCH($B127,Accounts!$A$6:$A$55,0),""))</f>
        <v/>
      </c>
      <c r="AO127" s="89" t="str">
        <f aca="false">IF($C127="","",IFERROR(MATCH($C127,Securities!$A$6:$A$105,0),""))</f>
        <v/>
      </c>
      <c r="AP127" s="89" t="str">
        <f aca="false">IF($AN127="","",INDEX(Accounts!$B$6:$B$55,$AN127)&amp;"")</f>
        <v/>
      </c>
      <c r="AQ127" s="89" t="str">
        <f aca="false">IF(AND(ISNUMBER($AG127),N($P127)&gt;0),IF(AND(N($AG127)&gt;0,N($AG127)&lt;=SoonDays),1,""),"")</f>
        <v/>
      </c>
      <c r="AR127" s="89" t="str">
        <f aca="false">IF($AQ127&lt;&gt;1,"",SUMPRODUCT(($AQ$6:$AQ$205=1)*ISNUMBER($AG$6:$AG$205)*($AG$6:$AG$205&lt;$AG127))+SUMPRODUCT(($AQ$6:$AQ127=1)*ISNUMBER($AG$6:$AG127)*($AG$6:$AG127=$AG127)))</f>
        <v/>
      </c>
    </row>
    <row r="128" customFormat="false" ht="15" hidden="false" customHeight="false" outlineLevel="0" collapsed="false">
      <c r="A128" s="77"/>
      <c r="B128" s="78"/>
      <c r="C128" s="78"/>
      <c r="D128" s="79" t="str">
        <f aca="false">IF($AN128="","",INDEX(Accounts!$C$6:$C$55,$AN128)&amp;"")</f>
        <v/>
      </c>
      <c r="E128" s="79" t="str">
        <f aca="false">IF($AO128="","",INDEX(Securities!$B$6:$B$105,$AO128)&amp;"")</f>
        <v/>
      </c>
      <c r="F128" s="79" t="str">
        <f aca="false">IF($AO128="","",INDEX(Securities!$C$6:$C$105,$AO128)&amp;"")</f>
        <v/>
      </c>
      <c r="G128" s="79" t="str">
        <f aca="false">IF($AO128="","",INDEX(Securities!$E$6:$E$105,$AO128)&amp;"")</f>
        <v/>
      </c>
      <c r="H128" s="80"/>
      <c r="I128" s="81"/>
      <c r="J128" s="91"/>
      <c r="K128" s="85" t="str">
        <f aca="false">IF(OR($I128="",$J128=""),"",$I128*$J128)</f>
        <v/>
      </c>
      <c r="L128" s="80"/>
      <c r="M128" s="81"/>
      <c r="N128" s="91"/>
      <c r="O128" s="85" t="str">
        <f aca="false">IF(OR($M128="",$N128=""),"",$M128*$N128)</f>
        <v/>
      </c>
      <c r="P128" s="88" t="str">
        <f aca="false">IF($C128="","",N($I128)-N($M128))</f>
        <v/>
      </c>
      <c r="Q128" s="85" t="str">
        <f aca="false">IF(OR($P128="",$J128=""),"",$P128*$J128)</f>
        <v/>
      </c>
      <c r="R128" s="83" t="str">
        <f aca="false">IF($AO128="","",IF(INDEX(Securities!$N$6:$N$105,$AO128)="At cost",IF($J128="","",$J128),IF(INDEX(Securities!$O$6:$O$105,$AO128)="","",INDEX(Securities!$O$6:$O$105,$AO128))))</f>
        <v/>
      </c>
      <c r="S128" s="85" t="str">
        <f aca="false">IF(OR($P128="",$R128=""),"",$P128*$R128)</f>
        <v/>
      </c>
      <c r="T128" s="92" t="str">
        <f aca="false">IF(OR(NOT(ISNUMBER($L128)),NOT(ISNUMBER($H128))),"",$L128-$H128)</f>
        <v/>
      </c>
      <c r="U128" s="79" t="str">
        <f aca="false">IF($T128="","",IF($X128="","Short Term",IF($T128&gt;$X128,"Long Term","Short Term")))</f>
        <v/>
      </c>
      <c r="V128" s="92" t="str">
        <f aca="false">IF(OR(NOT(ISNUMBER($H128)),N($P128)&lt;=0),"",ValDate-$H128)</f>
        <v/>
      </c>
      <c r="W128" s="79" t="str">
        <f aca="false">IF($V128="","",IF($X128="","Short Term",IF($V128&gt;$X128,"Long Term","Short Term")))</f>
        <v/>
      </c>
      <c r="X128" s="92" t="str">
        <f aca="true">IF($G128="","",IF(ISNA(MATCH($G128,L_Category,0)),"",IF(INDEX(L_CatLT,MATCH($G128,L_Category,0))="","",INDEX(L_CatLT,MATCH($G128,L_Category,0)))))</f>
        <v/>
      </c>
      <c r="Y128" s="83" t="str">
        <f aca="false">IF($AO128="","",IF(INDEX(Securities!$Q$6:$Q$105,$AO128)="","",INDEX(Securities!$Q$6:$Q$105,$AO128)))</f>
        <v/>
      </c>
      <c r="Z128" s="79" t="str">
        <f aca="false">IF($C128="","",IF(OR(NOT(ISNUMBER($H128)),$Y128=""),"No",IF($H128&lt;=GFDate,"Yes","No")))</f>
        <v/>
      </c>
      <c r="AA128" s="85" t="str">
        <f aca="false">IF(OR($M128="",$N128="",$J128=""),"",$M128*($N128-$J128))</f>
        <v/>
      </c>
      <c r="AB128" s="85" t="str">
        <f aca="false">IF(OR(N($P128)&lt;=0,$R128="",$J128=""),"",$P128*($R128-$J128))</f>
        <v/>
      </c>
      <c r="AC128" s="83" t="str">
        <f aca="false">IF(OR($M128="",$N128="",$J128=""),"",IF($Z128="Yes",MAX($J128,MIN($Y128,$N128)),$J128))</f>
        <v/>
      </c>
      <c r="AD128" s="85" t="str">
        <f aca="false">IF($AC128="","",$M128*($N128-$AC128))</f>
        <v/>
      </c>
      <c r="AE128" s="83" t="str">
        <f aca="false">IF(OR(N($P128)&lt;=0,$R128="",$J128=""),"",IF($Z128="Yes",MAX($J128,MIN($Y128,$R128)),$J128))</f>
        <v/>
      </c>
      <c r="AF128" s="85" t="str">
        <f aca="false">IF($AE128="","",$P128*($R128-$AE128))</f>
        <v/>
      </c>
      <c r="AG128" s="92" t="str">
        <f aca="false">IF(OR($V128="",$X128=""),"",MAX(0,$X128+1-$V128))</f>
        <v/>
      </c>
      <c r="AH128" s="93" t="str">
        <f aca="false">IF(OR($X128="",NOT(ISNUMBER($H128)),N($P128)&lt;=0),"",$H128+$X128+1)</f>
        <v/>
      </c>
      <c r="AI128" s="91"/>
      <c r="AJ128" s="85" t="str">
        <f aca="false">IF(OR($AI128="",N($P128)&lt;=0),"",$AI128*$P128)</f>
        <v/>
      </c>
      <c r="AK128" s="79" t="str">
        <f aca="false">IF(NOT(ISNUMBER($L128)),"",IF(MONTH($L128)&gt;=4,YEAR($L128)&amp;"-"&amp;RIGHT(YEAR($L128)+1,2),(YEAR($L128)-1)&amp;"-"&amp;RIGHT(YEAR($L128),2)))</f>
        <v/>
      </c>
      <c r="AL128" s="78"/>
      <c r="AM128" s="79" t="str">
        <f aca="false">IF($A128&amp;$B128&amp;$C128="","",IF($A128="","Missing ID",IF(COUNTIF($A$6:$A$205,$A128)&gt;1,"Duplicate ID",IF($AN128="","Unknown account",IF($AO128="","Unknown security",IF(COUNTIFS(Holdings!$B$6:$B$205,$B128,Holdings!$C$6:$C$205,$C128)=0,"No holding row for this lot",IF(OR($I128="",$J128=""),"Missing purchase quantity or rate",IF(NOT(ISNUMBER($H128)),"Missing purchase date",IF(N($H128)&gt;ValDate,"Purchase after valuation date",IF(N($M128)&gt;N($I128),"Sale quantity exceeds purchase",IF(AND(N($M128)&gt;0,OR(NOT(ISNUMBER($L128)),$N128="")),"Sale date or rate missing",IF(AND(ISNUMBER($L128),N($M128)=0),"Sale date with no quantity",IF(AND(ISNUMBER($L128),N($L128)&lt;N($H128)),"Sale before purchase",IF(N($L128)&gt;ValDate,"Sale after valuation date","OK"))))))))))))))</f>
        <v/>
      </c>
      <c r="AN128" s="89" t="str">
        <f aca="false">IF($B128="","",IFERROR(MATCH($B128,Accounts!$A$6:$A$55,0),""))</f>
        <v/>
      </c>
      <c r="AO128" s="89" t="str">
        <f aca="false">IF($C128="","",IFERROR(MATCH($C128,Securities!$A$6:$A$105,0),""))</f>
        <v/>
      </c>
      <c r="AP128" s="89" t="str">
        <f aca="false">IF($AN128="","",INDEX(Accounts!$B$6:$B$55,$AN128)&amp;"")</f>
        <v/>
      </c>
      <c r="AQ128" s="89" t="str">
        <f aca="false">IF(AND(ISNUMBER($AG128),N($P128)&gt;0),IF(AND(N($AG128)&gt;0,N($AG128)&lt;=SoonDays),1,""),"")</f>
        <v/>
      </c>
      <c r="AR128" s="89" t="str">
        <f aca="false">IF($AQ128&lt;&gt;1,"",SUMPRODUCT(($AQ$6:$AQ$205=1)*ISNUMBER($AG$6:$AG$205)*($AG$6:$AG$205&lt;$AG128))+SUMPRODUCT(($AQ$6:$AQ128=1)*ISNUMBER($AG$6:$AG128)*($AG$6:$AG128=$AG128)))</f>
        <v/>
      </c>
    </row>
    <row r="129" customFormat="false" ht="15" hidden="false" customHeight="false" outlineLevel="0" collapsed="false">
      <c r="A129" s="77"/>
      <c r="B129" s="78"/>
      <c r="C129" s="78"/>
      <c r="D129" s="79" t="str">
        <f aca="false">IF($AN129="","",INDEX(Accounts!$C$6:$C$55,$AN129)&amp;"")</f>
        <v/>
      </c>
      <c r="E129" s="79" t="str">
        <f aca="false">IF($AO129="","",INDEX(Securities!$B$6:$B$105,$AO129)&amp;"")</f>
        <v/>
      </c>
      <c r="F129" s="79" t="str">
        <f aca="false">IF($AO129="","",INDEX(Securities!$C$6:$C$105,$AO129)&amp;"")</f>
        <v/>
      </c>
      <c r="G129" s="79" t="str">
        <f aca="false">IF($AO129="","",INDEX(Securities!$E$6:$E$105,$AO129)&amp;"")</f>
        <v/>
      </c>
      <c r="H129" s="80"/>
      <c r="I129" s="81"/>
      <c r="J129" s="91"/>
      <c r="K129" s="85" t="str">
        <f aca="false">IF(OR($I129="",$J129=""),"",$I129*$J129)</f>
        <v/>
      </c>
      <c r="L129" s="80"/>
      <c r="M129" s="81"/>
      <c r="N129" s="91"/>
      <c r="O129" s="85" t="str">
        <f aca="false">IF(OR($M129="",$N129=""),"",$M129*$N129)</f>
        <v/>
      </c>
      <c r="P129" s="88" t="str">
        <f aca="false">IF($C129="","",N($I129)-N($M129))</f>
        <v/>
      </c>
      <c r="Q129" s="85" t="str">
        <f aca="false">IF(OR($P129="",$J129=""),"",$P129*$J129)</f>
        <v/>
      </c>
      <c r="R129" s="83" t="str">
        <f aca="false">IF($AO129="","",IF(INDEX(Securities!$N$6:$N$105,$AO129)="At cost",IF($J129="","",$J129),IF(INDEX(Securities!$O$6:$O$105,$AO129)="","",INDEX(Securities!$O$6:$O$105,$AO129))))</f>
        <v/>
      </c>
      <c r="S129" s="85" t="str">
        <f aca="false">IF(OR($P129="",$R129=""),"",$P129*$R129)</f>
        <v/>
      </c>
      <c r="T129" s="92" t="str">
        <f aca="false">IF(OR(NOT(ISNUMBER($L129)),NOT(ISNUMBER($H129))),"",$L129-$H129)</f>
        <v/>
      </c>
      <c r="U129" s="79" t="str">
        <f aca="false">IF($T129="","",IF($X129="","Short Term",IF($T129&gt;$X129,"Long Term","Short Term")))</f>
        <v/>
      </c>
      <c r="V129" s="92" t="str">
        <f aca="false">IF(OR(NOT(ISNUMBER($H129)),N($P129)&lt;=0),"",ValDate-$H129)</f>
        <v/>
      </c>
      <c r="W129" s="79" t="str">
        <f aca="false">IF($V129="","",IF($X129="","Short Term",IF($V129&gt;$X129,"Long Term","Short Term")))</f>
        <v/>
      </c>
      <c r="X129" s="92" t="str">
        <f aca="true">IF($G129="","",IF(ISNA(MATCH($G129,L_Category,0)),"",IF(INDEX(L_CatLT,MATCH($G129,L_Category,0))="","",INDEX(L_CatLT,MATCH($G129,L_Category,0)))))</f>
        <v/>
      </c>
      <c r="Y129" s="83" t="str">
        <f aca="false">IF($AO129="","",IF(INDEX(Securities!$Q$6:$Q$105,$AO129)="","",INDEX(Securities!$Q$6:$Q$105,$AO129)))</f>
        <v/>
      </c>
      <c r="Z129" s="79" t="str">
        <f aca="false">IF($C129="","",IF(OR(NOT(ISNUMBER($H129)),$Y129=""),"No",IF($H129&lt;=GFDate,"Yes","No")))</f>
        <v/>
      </c>
      <c r="AA129" s="85" t="str">
        <f aca="false">IF(OR($M129="",$N129="",$J129=""),"",$M129*($N129-$J129))</f>
        <v/>
      </c>
      <c r="AB129" s="85" t="str">
        <f aca="false">IF(OR(N($P129)&lt;=0,$R129="",$J129=""),"",$P129*($R129-$J129))</f>
        <v/>
      </c>
      <c r="AC129" s="83" t="str">
        <f aca="false">IF(OR($M129="",$N129="",$J129=""),"",IF($Z129="Yes",MAX($J129,MIN($Y129,$N129)),$J129))</f>
        <v/>
      </c>
      <c r="AD129" s="85" t="str">
        <f aca="false">IF($AC129="","",$M129*($N129-$AC129))</f>
        <v/>
      </c>
      <c r="AE129" s="83" t="str">
        <f aca="false">IF(OR(N($P129)&lt;=0,$R129="",$J129=""),"",IF($Z129="Yes",MAX($J129,MIN($Y129,$R129)),$J129))</f>
        <v/>
      </c>
      <c r="AF129" s="85" t="str">
        <f aca="false">IF($AE129="","",$P129*($R129-$AE129))</f>
        <v/>
      </c>
      <c r="AG129" s="92" t="str">
        <f aca="false">IF(OR($V129="",$X129=""),"",MAX(0,$X129+1-$V129))</f>
        <v/>
      </c>
      <c r="AH129" s="93" t="str">
        <f aca="false">IF(OR($X129="",NOT(ISNUMBER($H129)),N($P129)&lt;=0),"",$H129+$X129+1)</f>
        <v/>
      </c>
      <c r="AI129" s="91"/>
      <c r="AJ129" s="85" t="str">
        <f aca="false">IF(OR($AI129="",N($P129)&lt;=0),"",$AI129*$P129)</f>
        <v/>
      </c>
      <c r="AK129" s="79" t="str">
        <f aca="false">IF(NOT(ISNUMBER($L129)),"",IF(MONTH($L129)&gt;=4,YEAR($L129)&amp;"-"&amp;RIGHT(YEAR($L129)+1,2),(YEAR($L129)-1)&amp;"-"&amp;RIGHT(YEAR($L129),2)))</f>
        <v/>
      </c>
      <c r="AL129" s="78"/>
      <c r="AM129" s="79" t="str">
        <f aca="false">IF($A129&amp;$B129&amp;$C129="","",IF($A129="","Missing ID",IF(COUNTIF($A$6:$A$205,$A129)&gt;1,"Duplicate ID",IF($AN129="","Unknown account",IF($AO129="","Unknown security",IF(COUNTIFS(Holdings!$B$6:$B$205,$B129,Holdings!$C$6:$C$205,$C129)=0,"No holding row for this lot",IF(OR($I129="",$J129=""),"Missing purchase quantity or rate",IF(NOT(ISNUMBER($H129)),"Missing purchase date",IF(N($H129)&gt;ValDate,"Purchase after valuation date",IF(N($M129)&gt;N($I129),"Sale quantity exceeds purchase",IF(AND(N($M129)&gt;0,OR(NOT(ISNUMBER($L129)),$N129="")),"Sale date or rate missing",IF(AND(ISNUMBER($L129),N($M129)=0),"Sale date with no quantity",IF(AND(ISNUMBER($L129),N($L129)&lt;N($H129)),"Sale before purchase",IF(N($L129)&gt;ValDate,"Sale after valuation date","OK"))))))))))))))</f>
        <v/>
      </c>
      <c r="AN129" s="89" t="str">
        <f aca="false">IF($B129="","",IFERROR(MATCH($B129,Accounts!$A$6:$A$55,0),""))</f>
        <v/>
      </c>
      <c r="AO129" s="89" t="str">
        <f aca="false">IF($C129="","",IFERROR(MATCH($C129,Securities!$A$6:$A$105,0),""))</f>
        <v/>
      </c>
      <c r="AP129" s="89" t="str">
        <f aca="false">IF($AN129="","",INDEX(Accounts!$B$6:$B$55,$AN129)&amp;"")</f>
        <v/>
      </c>
      <c r="AQ129" s="89" t="str">
        <f aca="false">IF(AND(ISNUMBER($AG129),N($P129)&gt;0),IF(AND(N($AG129)&gt;0,N($AG129)&lt;=SoonDays),1,""),"")</f>
        <v/>
      </c>
      <c r="AR129" s="89" t="str">
        <f aca="false">IF($AQ129&lt;&gt;1,"",SUMPRODUCT(($AQ$6:$AQ$205=1)*ISNUMBER($AG$6:$AG$205)*($AG$6:$AG$205&lt;$AG129))+SUMPRODUCT(($AQ$6:$AQ129=1)*ISNUMBER($AG$6:$AG129)*($AG$6:$AG129=$AG129)))</f>
        <v/>
      </c>
    </row>
    <row r="130" customFormat="false" ht="15" hidden="false" customHeight="false" outlineLevel="0" collapsed="false">
      <c r="A130" s="77"/>
      <c r="B130" s="78"/>
      <c r="C130" s="78"/>
      <c r="D130" s="79" t="str">
        <f aca="false">IF($AN130="","",INDEX(Accounts!$C$6:$C$55,$AN130)&amp;"")</f>
        <v/>
      </c>
      <c r="E130" s="79" t="str">
        <f aca="false">IF($AO130="","",INDEX(Securities!$B$6:$B$105,$AO130)&amp;"")</f>
        <v/>
      </c>
      <c r="F130" s="79" t="str">
        <f aca="false">IF($AO130="","",INDEX(Securities!$C$6:$C$105,$AO130)&amp;"")</f>
        <v/>
      </c>
      <c r="G130" s="79" t="str">
        <f aca="false">IF($AO130="","",INDEX(Securities!$E$6:$E$105,$AO130)&amp;"")</f>
        <v/>
      </c>
      <c r="H130" s="80"/>
      <c r="I130" s="81"/>
      <c r="J130" s="91"/>
      <c r="K130" s="85" t="str">
        <f aca="false">IF(OR($I130="",$J130=""),"",$I130*$J130)</f>
        <v/>
      </c>
      <c r="L130" s="80"/>
      <c r="M130" s="81"/>
      <c r="N130" s="91"/>
      <c r="O130" s="85" t="str">
        <f aca="false">IF(OR($M130="",$N130=""),"",$M130*$N130)</f>
        <v/>
      </c>
      <c r="P130" s="88" t="str">
        <f aca="false">IF($C130="","",N($I130)-N($M130))</f>
        <v/>
      </c>
      <c r="Q130" s="85" t="str">
        <f aca="false">IF(OR($P130="",$J130=""),"",$P130*$J130)</f>
        <v/>
      </c>
      <c r="R130" s="83" t="str">
        <f aca="false">IF($AO130="","",IF(INDEX(Securities!$N$6:$N$105,$AO130)="At cost",IF($J130="","",$J130),IF(INDEX(Securities!$O$6:$O$105,$AO130)="","",INDEX(Securities!$O$6:$O$105,$AO130))))</f>
        <v/>
      </c>
      <c r="S130" s="85" t="str">
        <f aca="false">IF(OR($P130="",$R130=""),"",$P130*$R130)</f>
        <v/>
      </c>
      <c r="T130" s="92" t="str">
        <f aca="false">IF(OR(NOT(ISNUMBER($L130)),NOT(ISNUMBER($H130))),"",$L130-$H130)</f>
        <v/>
      </c>
      <c r="U130" s="79" t="str">
        <f aca="false">IF($T130="","",IF($X130="","Short Term",IF($T130&gt;$X130,"Long Term","Short Term")))</f>
        <v/>
      </c>
      <c r="V130" s="92" t="str">
        <f aca="false">IF(OR(NOT(ISNUMBER($H130)),N($P130)&lt;=0),"",ValDate-$H130)</f>
        <v/>
      </c>
      <c r="W130" s="79" t="str">
        <f aca="false">IF($V130="","",IF($X130="","Short Term",IF($V130&gt;$X130,"Long Term","Short Term")))</f>
        <v/>
      </c>
      <c r="X130" s="92" t="str">
        <f aca="true">IF($G130="","",IF(ISNA(MATCH($G130,L_Category,0)),"",IF(INDEX(L_CatLT,MATCH($G130,L_Category,0))="","",INDEX(L_CatLT,MATCH($G130,L_Category,0)))))</f>
        <v/>
      </c>
      <c r="Y130" s="83" t="str">
        <f aca="false">IF($AO130="","",IF(INDEX(Securities!$Q$6:$Q$105,$AO130)="","",INDEX(Securities!$Q$6:$Q$105,$AO130)))</f>
        <v/>
      </c>
      <c r="Z130" s="79" t="str">
        <f aca="false">IF($C130="","",IF(OR(NOT(ISNUMBER($H130)),$Y130=""),"No",IF($H130&lt;=GFDate,"Yes","No")))</f>
        <v/>
      </c>
      <c r="AA130" s="85" t="str">
        <f aca="false">IF(OR($M130="",$N130="",$J130=""),"",$M130*($N130-$J130))</f>
        <v/>
      </c>
      <c r="AB130" s="85" t="str">
        <f aca="false">IF(OR(N($P130)&lt;=0,$R130="",$J130=""),"",$P130*($R130-$J130))</f>
        <v/>
      </c>
      <c r="AC130" s="83" t="str">
        <f aca="false">IF(OR($M130="",$N130="",$J130=""),"",IF($Z130="Yes",MAX($J130,MIN($Y130,$N130)),$J130))</f>
        <v/>
      </c>
      <c r="AD130" s="85" t="str">
        <f aca="false">IF($AC130="","",$M130*($N130-$AC130))</f>
        <v/>
      </c>
      <c r="AE130" s="83" t="str">
        <f aca="false">IF(OR(N($P130)&lt;=0,$R130="",$J130=""),"",IF($Z130="Yes",MAX($J130,MIN($Y130,$R130)),$J130))</f>
        <v/>
      </c>
      <c r="AF130" s="85" t="str">
        <f aca="false">IF($AE130="","",$P130*($R130-$AE130))</f>
        <v/>
      </c>
      <c r="AG130" s="92" t="str">
        <f aca="false">IF(OR($V130="",$X130=""),"",MAX(0,$X130+1-$V130))</f>
        <v/>
      </c>
      <c r="AH130" s="93" t="str">
        <f aca="false">IF(OR($X130="",NOT(ISNUMBER($H130)),N($P130)&lt;=0),"",$H130+$X130+1)</f>
        <v/>
      </c>
      <c r="AI130" s="91"/>
      <c r="AJ130" s="85" t="str">
        <f aca="false">IF(OR($AI130="",N($P130)&lt;=0),"",$AI130*$P130)</f>
        <v/>
      </c>
      <c r="AK130" s="79" t="str">
        <f aca="false">IF(NOT(ISNUMBER($L130)),"",IF(MONTH($L130)&gt;=4,YEAR($L130)&amp;"-"&amp;RIGHT(YEAR($L130)+1,2),(YEAR($L130)-1)&amp;"-"&amp;RIGHT(YEAR($L130),2)))</f>
        <v/>
      </c>
      <c r="AL130" s="78"/>
      <c r="AM130" s="79" t="str">
        <f aca="false">IF($A130&amp;$B130&amp;$C130="","",IF($A130="","Missing ID",IF(COUNTIF($A$6:$A$205,$A130)&gt;1,"Duplicate ID",IF($AN130="","Unknown account",IF($AO130="","Unknown security",IF(COUNTIFS(Holdings!$B$6:$B$205,$B130,Holdings!$C$6:$C$205,$C130)=0,"No holding row for this lot",IF(OR($I130="",$J130=""),"Missing purchase quantity or rate",IF(NOT(ISNUMBER($H130)),"Missing purchase date",IF(N($H130)&gt;ValDate,"Purchase after valuation date",IF(N($M130)&gt;N($I130),"Sale quantity exceeds purchase",IF(AND(N($M130)&gt;0,OR(NOT(ISNUMBER($L130)),$N130="")),"Sale date or rate missing",IF(AND(ISNUMBER($L130),N($M130)=0),"Sale date with no quantity",IF(AND(ISNUMBER($L130),N($L130)&lt;N($H130)),"Sale before purchase",IF(N($L130)&gt;ValDate,"Sale after valuation date","OK"))))))))))))))</f>
        <v/>
      </c>
      <c r="AN130" s="89" t="str">
        <f aca="false">IF($B130="","",IFERROR(MATCH($B130,Accounts!$A$6:$A$55,0),""))</f>
        <v/>
      </c>
      <c r="AO130" s="89" t="str">
        <f aca="false">IF($C130="","",IFERROR(MATCH($C130,Securities!$A$6:$A$105,0),""))</f>
        <v/>
      </c>
      <c r="AP130" s="89" t="str">
        <f aca="false">IF($AN130="","",INDEX(Accounts!$B$6:$B$55,$AN130)&amp;"")</f>
        <v/>
      </c>
      <c r="AQ130" s="89" t="str">
        <f aca="false">IF(AND(ISNUMBER($AG130),N($P130)&gt;0),IF(AND(N($AG130)&gt;0,N($AG130)&lt;=SoonDays),1,""),"")</f>
        <v/>
      </c>
      <c r="AR130" s="89" t="str">
        <f aca="false">IF($AQ130&lt;&gt;1,"",SUMPRODUCT(($AQ$6:$AQ$205=1)*ISNUMBER($AG$6:$AG$205)*($AG$6:$AG$205&lt;$AG130))+SUMPRODUCT(($AQ$6:$AQ130=1)*ISNUMBER($AG$6:$AG130)*($AG$6:$AG130=$AG130)))</f>
        <v/>
      </c>
    </row>
    <row r="131" customFormat="false" ht="15" hidden="false" customHeight="false" outlineLevel="0" collapsed="false">
      <c r="A131" s="77"/>
      <c r="B131" s="78"/>
      <c r="C131" s="78"/>
      <c r="D131" s="79" t="str">
        <f aca="false">IF($AN131="","",INDEX(Accounts!$C$6:$C$55,$AN131)&amp;"")</f>
        <v/>
      </c>
      <c r="E131" s="79" t="str">
        <f aca="false">IF($AO131="","",INDEX(Securities!$B$6:$B$105,$AO131)&amp;"")</f>
        <v/>
      </c>
      <c r="F131" s="79" t="str">
        <f aca="false">IF($AO131="","",INDEX(Securities!$C$6:$C$105,$AO131)&amp;"")</f>
        <v/>
      </c>
      <c r="G131" s="79" t="str">
        <f aca="false">IF($AO131="","",INDEX(Securities!$E$6:$E$105,$AO131)&amp;"")</f>
        <v/>
      </c>
      <c r="H131" s="80"/>
      <c r="I131" s="81"/>
      <c r="J131" s="91"/>
      <c r="K131" s="85" t="str">
        <f aca="false">IF(OR($I131="",$J131=""),"",$I131*$J131)</f>
        <v/>
      </c>
      <c r="L131" s="80"/>
      <c r="M131" s="81"/>
      <c r="N131" s="91"/>
      <c r="O131" s="85" t="str">
        <f aca="false">IF(OR($M131="",$N131=""),"",$M131*$N131)</f>
        <v/>
      </c>
      <c r="P131" s="88" t="str">
        <f aca="false">IF($C131="","",N($I131)-N($M131))</f>
        <v/>
      </c>
      <c r="Q131" s="85" t="str">
        <f aca="false">IF(OR($P131="",$J131=""),"",$P131*$J131)</f>
        <v/>
      </c>
      <c r="R131" s="83" t="str">
        <f aca="false">IF($AO131="","",IF(INDEX(Securities!$N$6:$N$105,$AO131)="At cost",IF($J131="","",$J131),IF(INDEX(Securities!$O$6:$O$105,$AO131)="","",INDEX(Securities!$O$6:$O$105,$AO131))))</f>
        <v/>
      </c>
      <c r="S131" s="85" t="str">
        <f aca="false">IF(OR($P131="",$R131=""),"",$P131*$R131)</f>
        <v/>
      </c>
      <c r="T131" s="92" t="str">
        <f aca="false">IF(OR(NOT(ISNUMBER($L131)),NOT(ISNUMBER($H131))),"",$L131-$H131)</f>
        <v/>
      </c>
      <c r="U131" s="79" t="str">
        <f aca="false">IF($T131="","",IF($X131="","Short Term",IF($T131&gt;$X131,"Long Term","Short Term")))</f>
        <v/>
      </c>
      <c r="V131" s="92" t="str">
        <f aca="false">IF(OR(NOT(ISNUMBER($H131)),N($P131)&lt;=0),"",ValDate-$H131)</f>
        <v/>
      </c>
      <c r="W131" s="79" t="str">
        <f aca="false">IF($V131="","",IF($X131="","Short Term",IF($V131&gt;$X131,"Long Term","Short Term")))</f>
        <v/>
      </c>
      <c r="X131" s="92" t="str">
        <f aca="true">IF($G131="","",IF(ISNA(MATCH($G131,L_Category,0)),"",IF(INDEX(L_CatLT,MATCH($G131,L_Category,0))="","",INDEX(L_CatLT,MATCH($G131,L_Category,0)))))</f>
        <v/>
      </c>
      <c r="Y131" s="83" t="str">
        <f aca="false">IF($AO131="","",IF(INDEX(Securities!$Q$6:$Q$105,$AO131)="","",INDEX(Securities!$Q$6:$Q$105,$AO131)))</f>
        <v/>
      </c>
      <c r="Z131" s="79" t="str">
        <f aca="false">IF($C131="","",IF(OR(NOT(ISNUMBER($H131)),$Y131=""),"No",IF($H131&lt;=GFDate,"Yes","No")))</f>
        <v/>
      </c>
      <c r="AA131" s="85" t="str">
        <f aca="false">IF(OR($M131="",$N131="",$J131=""),"",$M131*($N131-$J131))</f>
        <v/>
      </c>
      <c r="AB131" s="85" t="str">
        <f aca="false">IF(OR(N($P131)&lt;=0,$R131="",$J131=""),"",$P131*($R131-$J131))</f>
        <v/>
      </c>
      <c r="AC131" s="83" t="str">
        <f aca="false">IF(OR($M131="",$N131="",$J131=""),"",IF($Z131="Yes",MAX($J131,MIN($Y131,$N131)),$J131))</f>
        <v/>
      </c>
      <c r="AD131" s="85" t="str">
        <f aca="false">IF($AC131="","",$M131*($N131-$AC131))</f>
        <v/>
      </c>
      <c r="AE131" s="83" t="str">
        <f aca="false">IF(OR(N($P131)&lt;=0,$R131="",$J131=""),"",IF($Z131="Yes",MAX($J131,MIN($Y131,$R131)),$J131))</f>
        <v/>
      </c>
      <c r="AF131" s="85" t="str">
        <f aca="false">IF($AE131="","",$P131*($R131-$AE131))</f>
        <v/>
      </c>
      <c r="AG131" s="92" t="str">
        <f aca="false">IF(OR($V131="",$X131=""),"",MAX(0,$X131+1-$V131))</f>
        <v/>
      </c>
      <c r="AH131" s="93" t="str">
        <f aca="false">IF(OR($X131="",NOT(ISNUMBER($H131)),N($P131)&lt;=0),"",$H131+$X131+1)</f>
        <v/>
      </c>
      <c r="AI131" s="91"/>
      <c r="AJ131" s="85" t="str">
        <f aca="false">IF(OR($AI131="",N($P131)&lt;=0),"",$AI131*$P131)</f>
        <v/>
      </c>
      <c r="AK131" s="79" t="str">
        <f aca="false">IF(NOT(ISNUMBER($L131)),"",IF(MONTH($L131)&gt;=4,YEAR($L131)&amp;"-"&amp;RIGHT(YEAR($L131)+1,2),(YEAR($L131)-1)&amp;"-"&amp;RIGHT(YEAR($L131),2)))</f>
        <v/>
      </c>
      <c r="AL131" s="78"/>
      <c r="AM131" s="79" t="str">
        <f aca="false">IF($A131&amp;$B131&amp;$C131="","",IF($A131="","Missing ID",IF(COUNTIF($A$6:$A$205,$A131)&gt;1,"Duplicate ID",IF($AN131="","Unknown account",IF($AO131="","Unknown security",IF(COUNTIFS(Holdings!$B$6:$B$205,$B131,Holdings!$C$6:$C$205,$C131)=0,"No holding row for this lot",IF(OR($I131="",$J131=""),"Missing purchase quantity or rate",IF(NOT(ISNUMBER($H131)),"Missing purchase date",IF(N($H131)&gt;ValDate,"Purchase after valuation date",IF(N($M131)&gt;N($I131),"Sale quantity exceeds purchase",IF(AND(N($M131)&gt;0,OR(NOT(ISNUMBER($L131)),$N131="")),"Sale date or rate missing",IF(AND(ISNUMBER($L131),N($M131)=0),"Sale date with no quantity",IF(AND(ISNUMBER($L131),N($L131)&lt;N($H131)),"Sale before purchase",IF(N($L131)&gt;ValDate,"Sale after valuation date","OK"))))))))))))))</f>
        <v/>
      </c>
      <c r="AN131" s="89" t="str">
        <f aca="false">IF($B131="","",IFERROR(MATCH($B131,Accounts!$A$6:$A$55,0),""))</f>
        <v/>
      </c>
      <c r="AO131" s="89" t="str">
        <f aca="false">IF($C131="","",IFERROR(MATCH($C131,Securities!$A$6:$A$105,0),""))</f>
        <v/>
      </c>
      <c r="AP131" s="89" t="str">
        <f aca="false">IF($AN131="","",INDEX(Accounts!$B$6:$B$55,$AN131)&amp;"")</f>
        <v/>
      </c>
      <c r="AQ131" s="89" t="str">
        <f aca="false">IF(AND(ISNUMBER($AG131),N($P131)&gt;0),IF(AND(N($AG131)&gt;0,N($AG131)&lt;=SoonDays),1,""),"")</f>
        <v/>
      </c>
      <c r="AR131" s="89" t="str">
        <f aca="false">IF($AQ131&lt;&gt;1,"",SUMPRODUCT(($AQ$6:$AQ$205=1)*ISNUMBER($AG$6:$AG$205)*($AG$6:$AG$205&lt;$AG131))+SUMPRODUCT(($AQ$6:$AQ131=1)*ISNUMBER($AG$6:$AG131)*($AG$6:$AG131=$AG131)))</f>
        <v/>
      </c>
    </row>
    <row r="132" customFormat="false" ht="15" hidden="false" customHeight="false" outlineLevel="0" collapsed="false">
      <c r="A132" s="77"/>
      <c r="B132" s="78"/>
      <c r="C132" s="78"/>
      <c r="D132" s="79" t="str">
        <f aca="false">IF($AN132="","",INDEX(Accounts!$C$6:$C$55,$AN132)&amp;"")</f>
        <v/>
      </c>
      <c r="E132" s="79" t="str">
        <f aca="false">IF($AO132="","",INDEX(Securities!$B$6:$B$105,$AO132)&amp;"")</f>
        <v/>
      </c>
      <c r="F132" s="79" t="str">
        <f aca="false">IF($AO132="","",INDEX(Securities!$C$6:$C$105,$AO132)&amp;"")</f>
        <v/>
      </c>
      <c r="G132" s="79" t="str">
        <f aca="false">IF($AO132="","",INDEX(Securities!$E$6:$E$105,$AO132)&amp;"")</f>
        <v/>
      </c>
      <c r="H132" s="80"/>
      <c r="I132" s="81"/>
      <c r="J132" s="91"/>
      <c r="K132" s="85" t="str">
        <f aca="false">IF(OR($I132="",$J132=""),"",$I132*$J132)</f>
        <v/>
      </c>
      <c r="L132" s="80"/>
      <c r="M132" s="81"/>
      <c r="N132" s="91"/>
      <c r="O132" s="85" t="str">
        <f aca="false">IF(OR($M132="",$N132=""),"",$M132*$N132)</f>
        <v/>
      </c>
      <c r="P132" s="88" t="str">
        <f aca="false">IF($C132="","",N($I132)-N($M132))</f>
        <v/>
      </c>
      <c r="Q132" s="85" t="str">
        <f aca="false">IF(OR($P132="",$J132=""),"",$P132*$J132)</f>
        <v/>
      </c>
      <c r="R132" s="83" t="str">
        <f aca="false">IF($AO132="","",IF(INDEX(Securities!$N$6:$N$105,$AO132)="At cost",IF($J132="","",$J132),IF(INDEX(Securities!$O$6:$O$105,$AO132)="","",INDEX(Securities!$O$6:$O$105,$AO132))))</f>
        <v/>
      </c>
      <c r="S132" s="85" t="str">
        <f aca="false">IF(OR($P132="",$R132=""),"",$P132*$R132)</f>
        <v/>
      </c>
      <c r="T132" s="92" t="str">
        <f aca="false">IF(OR(NOT(ISNUMBER($L132)),NOT(ISNUMBER($H132))),"",$L132-$H132)</f>
        <v/>
      </c>
      <c r="U132" s="79" t="str">
        <f aca="false">IF($T132="","",IF($X132="","Short Term",IF($T132&gt;$X132,"Long Term","Short Term")))</f>
        <v/>
      </c>
      <c r="V132" s="92" t="str">
        <f aca="false">IF(OR(NOT(ISNUMBER($H132)),N($P132)&lt;=0),"",ValDate-$H132)</f>
        <v/>
      </c>
      <c r="W132" s="79" t="str">
        <f aca="false">IF($V132="","",IF($X132="","Short Term",IF($V132&gt;$X132,"Long Term","Short Term")))</f>
        <v/>
      </c>
      <c r="X132" s="92" t="str">
        <f aca="true">IF($G132="","",IF(ISNA(MATCH($G132,L_Category,0)),"",IF(INDEX(L_CatLT,MATCH($G132,L_Category,0))="","",INDEX(L_CatLT,MATCH($G132,L_Category,0)))))</f>
        <v/>
      </c>
      <c r="Y132" s="83" t="str">
        <f aca="false">IF($AO132="","",IF(INDEX(Securities!$Q$6:$Q$105,$AO132)="","",INDEX(Securities!$Q$6:$Q$105,$AO132)))</f>
        <v/>
      </c>
      <c r="Z132" s="79" t="str">
        <f aca="false">IF($C132="","",IF(OR(NOT(ISNUMBER($H132)),$Y132=""),"No",IF($H132&lt;=GFDate,"Yes","No")))</f>
        <v/>
      </c>
      <c r="AA132" s="85" t="str">
        <f aca="false">IF(OR($M132="",$N132="",$J132=""),"",$M132*($N132-$J132))</f>
        <v/>
      </c>
      <c r="AB132" s="85" t="str">
        <f aca="false">IF(OR(N($P132)&lt;=0,$R132="",$J132=""),"",$P132*($R132-$J132))</f>
        <v/>
      </c>
      <c r="AC132" s="83" t="str">
        <f aca="false">IF(OR($M132="",$N132="",$J132=""),"",IF($Z132="Yes",MAX($J132,MIN($Y132,$N132)),$J132))</f>
        <v/>
      </c>
      <c r="AD132" s="85" t="str">
        <f aca="false">IF($AC132="","",$M132*($N132-$AC132))</f>
        <v/>
      </c>
      <c r="AE132" s="83" t="str">
        <f aca="false">IF(OR(N($P132)&lt;=0,$R132="",$J132=""),"",IF($Z132="Yes",MAX($J132,MIN($Y132,$R132)),$J132))</f>
        <v/>
      </c>
      <c r="AF132" s="85" t="str">
        <f aca="false">IF($AE132="","",$P132*($R132-$AE132))</f>
        <v/>
      </c>
      <c r="AG132" s="92" t="str">
        <f aca="false">IF(OR($V132="",$X132=""),"",MAX(0,$X132+1-$V132))</f>
        <v/>
      </c>
      <c r="AH132" s="93" t="str">
        <f aca="false">IF(OR($X132="",NOT(ISNUMBER($H132)),N($P132)&lt;=0),"",$H132+$X132+1)</f>
        <v/>
      </c>
      <c r="AI132" s="91"/>
      <c r="AJ132" s="85" t="str">
        <f aca="false">IF(OR($AI132="",N($P132)&lt;=0),"",$AI132*$P132)</f>
        <v/>
      </c>
      <c r="AK132" s="79" t="str">
        <f aca="false">IF(NOT(ISNUMBER($L132)),"",IF(MONTH($L132)&gt;=4,YEAR($L132)&amp;"-"&amp;RIGHT(YEAR($L132)+1,2),(YEAR($L132)-1)&amp;"-"&amp;RIGHT(YEAR($L132),2)))</f>
        <v/>
      </c>
      <c r="AL132" s="78"/>
      <c r="AM132" s="79" t="str">
        <f aca="false">IF($A132&amp;$B132&amp;$C132="","",IF($A132="","Missing ID",IF(COUNTIF($A$6:$A$205,$A132)&gt;1,"Duplicate ID",IF($AN132="","Unknown account",IF($AO132="","Unknown security",IF(COUNTIFS(Holdings!$B$6:$B$205,$B132,Holdings!$C$6:$C$205,$C132)=0,"No holding row for this lot",IF(OR($I132="",$J132=""),"Missing purchase quantity or rate",IF(NOT(ISNUMBER($H132)),"Missing purchase date",IF(N($H132)&gt;ValDate,"Purchase after valuation date",IF(N($M132)&gt;N($I132),"Sale quantity exceeds purchase",IF(AND(N($M132)&gt;0,OR(NOT(ISNUMBER($L132)),$N132="")),"Sale date or rate missing",IF(AND(ISNUMBER($L132),N($M132)=0),"Sale date with no quantity",IF(AND(ISNUMBER($L132),N($L132)&lt;N($H132)),"Sale before purchase",IF(N($L132)&gt;ValDate,"Sale after valuation date","OK"))))))))))))))</f>
        <v/>
      </c>
      <c r="AN132" s="89" t="str">
        <f aca="false">IF($B132="","",IFERROR(MATCH($B132,Accounts!$A$6:$A$55,0),""))</f>
        <v/>
      </c>
      <c r="AO132" s="89" t="str">
        <f aca="false">IF($C132="","",IFERROR(MATCH($C132,Securities!$A$6:$A$105,0),""))</f>
        <v/>
      </c>
      <c r="AP132" s="89" t="str">
        <f aca="false">IF($AN132="","",INDEX(Accounts!$B$6:$B$55,$AN132)&amp;"")</f>
        <v/>
      </c>
      <c r="AQ132" s="89" t="str">
        <f aca="false">IF(AND(ISNUMBER($AG132),N($P132)&gt;0),IF(AND(N($AG132)&gt;0,N($AG132)&lt;=SoonDays),1,""),"")</f>
        <v/>
      </c>
      <c r="AR132" s="89" t="str">
        <f aca="false">IF($AQ132&lt;&gt;1,"",SUMPRODUCT(($AQ$6:$AQ$205=1)*ISNUMBER($AG$6:$AG$205)*($AG$6:$AG$205&lt;$AG132))+SUMPRODUCT(($AQ$6:$AQ132=1)*ISNUMBER($AG$6:$AG132)*($AG$6:$AG132=$AG132)))</f>
        <v/>
      </c>
    </row>
    <row r="133" customFormat="false" ht="15" hidden="false" customHeight="false" outlineLevel="0" collapsed="false">
      <c r="A133" s="77"/>
      <c r="B133" s="78"/>
      <c r="C133" s="78"/>
      <c r="D133" s="79" t="str">
        <f aca="false">IF($AN133="","",INDEX(Accounts!$C$6:$C$55,$AN133)&amp;"")</f>
        <v/>
      </c>
      <c r="E133" s="79" t="str">
        <f aca="false">IF($AO133="","",INDEX(Securities!$B$6:$B$105,$AO133)&amp;"")</f>
        <v/>
      </c>
      <c r="F133" s="79" t="str">
        <f aca="false">IF($AO133="","",INDEX(Securities!$C$6:$C$105,$AO133)&amp;"")</f>
        <v/>
      </c>
      <c r="G133" s="79" t="str">
        <f aca="false">IF($AO133="","",INDEX(Securities!$E$6:$E$105,$AO133)&amp;"")</f>
        <v/>
      </c>
      <c r="H133" s="80"/>
      <c r="I133" s="81"/>
      <c r="J133" s="91"/>
      <c r="K133" s="85" t="str">
        <f aca="false">IF(OR($I133="",$J133=""),"",$I133*$J133)</f>
        <v/>
      </c>
      <c r="L133" s="80"/>
      <c r="M133" s="81"/>
      <c r="N133" s="91"/>
      <c r="O133" s="85" t="str">
        <f aca="false">IF(OR($M133="",$N133=""),"",$M133*$N133)</f>
        <v/>
      </c>
      <c r="P133" s="88" t="str">
        <f aca="false">IF($C133="","",N($I133)-N($M133))</f>
        <v/>
      </c>
      <c r="Q133" s="85" t="str">
        <f aca="false">IF(OR($P133="",$J133=""),"",$P133*$J133)</f>
        <v/>
      </c>
      <c r="R133" s="83" t="str">
        <f aca="false">IF($AO133="","",IF(INDEX(Securities!$N$6:$N$105,$AO133)="At cost",IF($J133="","",$J133),IF(INDEX(Securities!$O$6:$O$105,$AO133)="","",INDEX(Securities!$O$6:$O$105,$AO133))))</f>
        <v/>
      </c>
      <c r="S133" s="85" t="str">
        <f aca="false">IF(OR($P133="",$R133=""),"",$P133*$R133)</f>
        <v/>
      </c>
      <c r="T133" s="92" t="str">
        <f aca="false">IF(OR(NOT(ISNUMBER($L133)),NOT(ISNUMBER($H133))),"",$L133-$H133)</f>
        <v/>
      </c>
      <c r="U133" s="79" t="str">
        <f aca="false">IF($T133="","",IF($X133="","Short Term",IF($T133&gt;$X133,"Long Term","Short Term")))</f>
        <v/>
      </c>
      <c r="V133" s="92" t="str">
        <f aca="false">IF(OR(NOT(ISNUMBER($H133)),N($P133)&lt;=0),"",ValDate-$H133)</f>
        <v/>
      </c>
      <c r="W133" s="79" t="str">
        <f aca="false">IF($V133="","",IF($X133="","Short Term",IF($V133&gt;$X133,"Long Term","Short Term")))</f>
        <v/>
      </c>
      <c r="X133" s="92" t="str">
        <f aca="true">IF($G133="","",IF(ISNA(MATCH($G133,L_Category,0)),"",IF(INDEX(L_CatLT,MATCH($G133,L_Category,0))="","",INDEX(L_CatLT,MATCH($G133,L_Category,0)))))</f>
        <v/>
      </c>
      <c r="Y133" s="83" t="str">
        <f aca="false">IF($AO133="","",IF(INDEX(Securities!$Q$6:$Q$105,$AO133)="","",INDEX(Securities!$Q$6:$Q$105,$AO133)))</f>
        <v/>
      </c>
      <c r="Z133" s="79" t="str">
        <f aca="false">IF($C133="","",IF(OR(NOT(ISNUMBER($H133)),$Y133=""),"No",IF($H133&lt;=GFDate,"Yes","No")))</f>
        <v/>
      </c>
      <c r="AA133" s="85" t="str">
        <f aca="false">IF(OR($M133="",$N133="",$J133=""),"",$M133*($N133-$J133))</f>
        <v/>
      </c>
      <c r="AB133" s="85" t="str">
        <f aca="false">IF(OR(N($P133)&lt;=0,$R133="",$J133=""),"",$P133*($R133-$J133))</f>
        <v/>
      </c>
      <c r="AC133" s="83" t="str">
        <f aca="false">IF(OR($M133="",$N133="",$J133=""),"",IF($Z133="Yes",MAX($J133,MIN($Y133,$N133)),$J133))</f>
        <v/>
      </c>
      <c r="AD133" s="85" t="str">
        <f aca="false">IF($AC133="","",$M133*($N133-$AC133))</f>
        <v/>
      </c>
      <c r="AE133" s="83" t="str">
        <f aca="false">IF(OR(N($P133)&lt;=0,$R133="",$J133=""),"",IF($Z133="Yes",MAX($J133,MIN($Y133,$R133)),$J133))</f>
        <v/>
      </c>
      <c r="AF133" s="85" t="str">
        <f aca="false">IF($AE133="","",$P133*($R133-$AE133))</f>
        <v/>
      </c>
      <c r="AG133" s="92" t="str">
        <f aca="false">IF(OR($V133="",$X133=""),"",MAX(0,$X133+1-$V133))</f>
        <v/>
      </c>
      <c r="AH133" s="93" t="str">
        <f aca="false">IF(OR($X133="",NOT(ISNUMBER($H133)),N($P133)&lt;=0),"",$H133+$X133+1)</f>
        <v/>
      </c>
      <c r="AI133" s="91"/>
      <c r="AJ133" s="85" t="str">
        <f aca="false">IF(OR($AI133="",N($P133)&lt;=0),"",$AI133*$P133)</f>
        <v/>
      </c>
      <c r="AK133" s="79" t="str">
        <f aca="false">IF(NOT(ISNUMBER($L133)),"",IF(MONTH($L133)&gt;=4,YEAR($L133)&amp;"-"&amp;RIGHT(YEAR($L133)+1,2),(YEAR($L133)-1)&amp;"-"&amp;RIGHT(YEAR($L133),2)))</f>
        <v/>
      </c>
      <c r="AL133" s="78"/>
      <c r="AM133" s="79" t="str">
        <f aca="false">IF($A133&amp;$B133&amp;$C133="","",IF($A133="","Missing ID",IF(COUNTIF($A$6:$A$205,$A133)&gt;1,"Duplicate ID",IF($AN133="","Unknown account",IF($AO133="","Unknown security",IF(COUNTIFS(Holdings!$B$6:$B$205,$B133,Holdings!$C$6:$C$205,$C133)=0,"No holding row for this lot",IF(OR($I133="",$J133=""),"Missing purchase quantity or rate",IF(NOT(ISNUMBER($H133)),"Missing purchase date",IF(N($H133)&gt;ValDate,"Purchase after valuation date",IF(N($M133)&gt;N($I133),"Sale quantity exceeds purchase",IF(AND(N($M133)&gt;0,OR(NOT(ISNUMBER($L133)),$N133="")),"Sale date or rate missing",IF(AND(ISNUMBER($L133),N($M133)=0),"Sale date with no quantity",IF(AND(ISNUMBER($L133),N($L133)&lt;N($H133)),"Sale before purchase",IF(N($L133)&gt;ValDate,"Sale after valuation date","OK"))))))))))))))</f>
        <v/>
      </c>
      <c r="AN133" s="89" t="str">
        <f aca="false">IF($B133="","",IFERROR(MATCH($B133,Accounts!$A$6:$A$55,0),""))</f>
        <v/>
      </c>
      <c r="AO133" s="89" t="str">
        <f aca="false">IF($C133="","",IFERROR(MATCH($C133,Securities!$A$6:$A$105,0),""))</f>
        <v/>
      </c>
      <c r="AP133" s="89" t="str">
        <f aca="false">IF($AN133="","",INDEX(Accounts!$B$6:$B$55,$AN133)&amp;"")</f>
        <v/>
      </c>
      <c r="AQ133" s="89" t="str">
        <f aca="false">IF(AND(ISNUMBER($AG133),N($P133)&gt;0),IF(AND(N($AG133)&gt;0,N($AG133)&lt;=SoonDays),1,""),"")</f>
        <v/>
      </c>
      <c r="AR133" s="89" t="str">
        <f aca="false">IF($AQ133&lt;&gt;1,"",SUMPRODUCT(($AQ$6:$AQ$205=1)*ISNUMBER($AG$6:$AG$205)*($AG$6:$AG$205&lt;$AG133))+SUMPRODUCT(($AQ$6:$AQ133=1)*ISNUMBER($AG$6:$AG133)*($AG$6:$AG133=$AG133)))</f>
        <v/>
      </c>
    </row>
    <row r="134" customFormat="false" ht="15" hidden="false" customHeight="false" outlineLevel="0" collapsed="false">
      <c r="A134" s="77"/>
      <c r="B134" s="78"/>
      <c r="C134" s="78"/>
      <c r="D134" s="79" t="str">
        <f aca="false">IF($AN134="","",INDEX(Accounts!$C$6:$C$55,$AN134)&amp;"")</f>
        <v/>
      </c>
      <c r="E134" s="79" t="str">
        <f aca="false">IF($AO134="","",INDEX(Securities!$B$6:$B$105,$AO134)&amp;"")</f>
        <v/>
      </c>
      <c r="F134" s="79" t="str">
        <f aca="false">IF($AO134="","",INDEX(Securities!$C$6:$C$105,$AO134)&amp;"")</f>
        <v/>
      </c>
      <c r="G134" s="79" t="str">
        <f aca="false">IF($AO134="","",INDEX(Securities!$E$6:$E$105,$AO134)&amp;"")</f>
        <v/>
      </c>
      <c r="H134" s="80"/>
      <c r="I134" s="81"/>
      <c r="J134" s="91"/>
      <c r="K134" s="85" t="str">
        <f aca="false">IF(OR($I134="",$J134=""),"",$I134*$J134)</f>
        <v/>
      </c>
      <c r="L134" s="80"/>
      <c r="M134" s="81"/>
      <c r="N134" s="91"/>
      <c r="O134" s="85" t="str">
        <f aca="false">IF(OR($M134="",$N134=""),"",$M134*$N134)</f>
        <v/>
      </c>
      <c r="P134" s="88" t="str">
        <f aca="false">IF($C134="","",N($I134)-N($M134))</f>
        <v/>
      </c>
      <c r="Q134" s="85" t="str">
        <f aca="false">IF(OR($P134="",$J134=""),"",$P134*$J134)</f>
        <v/>
      </c>
      <c r="R134" s="83" t="str">
        <f aca="false">IF($AO134="","",IF(INDEX(Securities!$N$6:$N$105,$AO134)="At cost",IF($J134="","",$J134),IF(INDEX(Securities!$O$6:$O$105,$AO134)="","",INDEX(Securities!$O$6:$O$105,$AO134))))</f>
        <v/>
      </c>
      <c r="S134" s="85" t="str">
        <f aca="false">IF(OR($P134="",$R134=""),"",$P134*$R134)</f>
        <v/>
      </c>
      <c r="T134" s="92" t="str">
        <f aca="false">IF(OR(NOT(ISNUMBER($L134)),NOT(ISNUMBER($H134))),"",$L134-$H134)</f>
        <v/>
      </c>
      <c r="U134" s="79" t="str">
        <f aca="false">IF($T134="","",IF($X134="","Short Term",IF($T134&gt;$X134,"Long Term","Short Term")))</f>
        <v/>
      </c>
      <c r="V134" s="92" t="str">
        <f aca="false">IF(OR(NOT(ISNUMBER($H134)),N($P134)&lt;=0),"",ValDate-$H134)</f>
        <v/>
      </c>
      <c r="W134" s="79" t="str">
        <f aca="false">IF($V134="","",IF($X134="","Short Term",IF($V134&gt;$X134,"Long Term","Short Term")))</f>
        <v/>
      </c>
      <c r="X134" s="92" t="str">
        <f aca="true">IF($G134="","",IF(ISNA(MATCH($G134,L_Category,0)),"",IF(INDEX(L_CatLT,MATCH($G134,L_Category,0))="","",INDEX(L_CatLT,MATCH($G134,L_Category,0)))))</f>
        <v/>
      </c>
      <c r="Y134" s="83" t="str">
        <f aca="false">IF($AO134="","",IF(INDEX(Securities!$Q$6:$Q$105,$AO134)="","",INDEX(Securities!$Q$6:$Q$105,$AO134)))</f>
        <v/>
      </c>
      <c r="Z134" s="79" t="str">
        <f aca="false">IF($C134="","",IF(OR(NOT(ISNUMBER($H134)),$Y134=""),"No",IF($H134&lt;=GFDate,"Yes","No")))</f>
        <v/>
      </c>
      <c r="AA134" s="85" t="str">
        <f aca="false">IF(OR($M134="",$N134="",$J134=""),"",$M134*($N134-$J134))</f>
        <v/>
      </c>
      <c r="AB134" s="85" t="str">
        <f aca="false">IF(OR(N($P134)&lt;=0,$R134="",$J134=""),"",$P134*($R134-$J134))</f>
        <v/>
      </c>
      <c r="AC134" s="83" t="str">
        <f aca="false">IF(OR($M134="",$N134="",$J134=""),"",IF($Z134="Yes",MAX($J134,MIN($Y134,$N134)),$J134))</f>
        <v/>
      </c>
      <c r="AD134" s="85" t="str">
        <f aca="false">IF($AC134="","",$M134*($N134-$AC134))</f>
        <v/>
      </c>
      <c r="AE134" s="83" t="str">
        <f aca="false">IF(OR(N($P134)&lt;=0,$R134="",$J134=""),"",IF($Z134="Yes",MAX($J134,MIN($Y134,$R134)),$J134))</f>
        <v/>
      </c>
      <c r="AF134" s="85" t="str">
        <f aca="false">IF($AE134="","",$P134*($R134-$AE134))</f>
        <v/>
      </c>
      <c r="AG134" s="92" t="str">
        <f aca="false">IF(OR($V134="",$X134=""),"",MAX(0,$X134+1-$V134))</f>
        <v/>
      </c>
      <c r="AH134" s="93" t="str">
        <f aca="false">IF(OR($X134="",NOT(ISNUMBER($H134)),N($P134)&lt;=0),"",$H134+$X134+1)</f>
        <v/>
      </c>
      <c r="AI134" s="91"/>
      <c r="AJ134" s="85" t="str">
        <f aca="false">IF(OR($AI134="",N($P134)&lt;=0),"",$AI134*$P134)</f>
        <v/>
      </c>
      <c r="AK134" s="79" t="str">
        <f aca="false">IF(NOT(ISNUMBER($L134)),"",IF(MONTH($L134)&gt;=4,YEAR($L134)&amp;"-"&amp;RIGHT(YEAR($L134)+1,2),(YEAR($L134)-1)&amp;"-"&amp;RIGHT(YEAR($L134),2)))</f>
        <v/>
      </c>
      <c r="AL134" s="78"/>
      <c r="AM134" s="79" t="str">
        <f aca="false">IF($A134&amp;$B134&amp;$C134="","",IF($A134="","Missing ID",IF(COUNTIF($A$6:$A$205,$A134)&gt;1,"Duplicate ID",IF($AN134="","Unknown account",IF($AO134="","Unknown security",IF(COUNTIFS(Holdings!$B$6:$B$205,$B134,Holdings!$C$6:$C$205,$C134)=0,"No holding row for this lot",IF(OR($I134="",$J134=""),"Missing purchase quantity or rate",IF(NOT(ISNUMBER($H134)),"Missing purchase date",IF(N($H134)&gt;ValDate,"Purchase after valuation date",IF(N($M134)&gt;N($I134),"Sale quantity exceeds purchase",IF(AND(N($M134)&gt;0,OR(NOT(ISNUMBER($L134)),$N134="")),"Sale date or rate missing",IF(AND(ISNUMBER($L134),N($M134)=0),"Sale date with no quantity",IF(AND(ISNUMBER($L134),N($L134)&lt;N($H134)),"Sale before purchase",IF(N($L134)&gt;ValDate,"Sale after valuation date","OK"))))))))))))))</f>
        <v/>
      </c>
      <c r="AN134" s="89" t="str">
        <f aca="false">IF($B134="","",IFERROR(MATCH($B134,Accounts!$A$6:$A$55,0),""))</f>
        <v/>
      </c>
      <c r="AO134" s="89" t="str">
        <f aca="false">IF($C134="","",IFERROR(MATCH($C134,Securities!$A$6:$A$105,0),""))</f>
        <v/>
      </c>
      <c r="AP134" s="89" t="str">
        <f aca="false">IF($AN134="","",INDEX(Accounts!$B$6:$B$55,$AN134)&amp;"")</f>
        <v/>
      </c>
      <c r="AQ134" s="89" t="str">
        <f aca="false">IF(AND(ISNUMBER($AG134),N($P134)&gt;0),IF(AND(N($AG134)&gt;0,N($AG134)&lt;=SoonDays),1,""),"")</f>
        <v/>
      </c>
      <c r="AR134" s="89" t="str">
        <f aca="false">IF($AQ134&lt;&gt;1,"",SUMPRODUCT(($AQ$6:$AQ$205=1)*ISNUMBER($AG$6:$AG$205)*($AG$6:$AG$205&lt;$AG134))+SUMPRODUCT(($AQ$6:$AQ134=1)*ISNUMBER($AG$6:$AG134)*($AG$6:$AG134=$AG134)))</f>
        <v/>
      </c>
    </row>
    <row r="135" customFormat="false" ht="15" hidden="false" customHeight="false" outlineLevel="0" collapsed="false">
      <c r="A135" s="77"/>
      <c r="B135" s="78"/>
      <c r="C135" s="78"/>
      <c r="D135" s="79" t="str">
        <f aca="false">IF($AN135="","",INDEX(Accounts!$C$6:$C$55,$AN135)&amp;"")</f>
        <v/>
      </c>
      <c r="E135" s="79" t="str">
        <f aca="false">IF($AO135="","",INDEX(Securities!$B$6:$B$105,$AO135)&amp;"")</f>
        <v/>
      </c>
      <c r="F135" s="79" t="str">
        <f aca="false">IF($AO135="","",INDEX(Securities!$C$6:$C$105,$AO135)&amp;"")</f>
        <v/>
      </c>
      <c r="G135" s="79" t="str">
        <f aca="false">IF($AO135="","",INDEX(Securities!$E$6:$E$105,$AO135)&amp;"")</f>
        <v/>
      </c>
      <c r="H135" s="80"/>
      <c r="I135" s="81"/>
      <c r="J135" s="91"/>
      <c r="K135" s="85" t="str">
        <f aca="false">IF(OR($I135="",$J135=""),"",$I135*$J135)</f>
        <v/>
      </c>
      <c r="L135" s="80"/>
      <c r="M135" s="81"/>
      <c r="N135" s="91"/>
      <c r="O135" s="85" t="str">
        <f aca="false">IF(OR($M135="",$N135=""),"",$M135*$N135)</f>
        <v/>
      </c>
      <c r="P135" s="88" t="str">
        <f aca="false">IF($C135="","",N($I135)-N($M135))</f>
        <v/>
      </c>
      <c r="Q135" s="85" t="str">
        <f aca="false">IF(OR($P135="",$J135=""),"",$P135*$J135)</f>
        <v/>
      </c>
      <c r="R135" s="83" t="str">
        <f aca="false">IF($AO135="","",IF(INDEX(Securities!$N$6:$N$105,$AO135)="At cost",IF($J135="","",$J135),IF(INDEX(Securities!$O$6:$O$105,$AO135)="","",INDEX(Securities!$O$6:$O$105,$AO135))))</f>
        <v/>
      </c>
      <c r="S135" s="85" t="str">
        <f aca="false">IF(OR($P135="",$R135=""),"",$P135*$R135)</f>
        <v/>
      </c>
      <c r="T135" s="92" t="str">
        <f aca="false">IF(OR(NOT(ISNUMBER($L135)),NOT(ISNUMBER($H135))),"",$L135-$H135)</f>
        <v/>
      </c>
      <c r="U135" s="79" t="str">
        <f aca="false">IF($T135="","",IF($X135="","Short Term",IF($T135&gt;$X135,"Long Term","Short Term")))</f>
        <v/>
      </c>
      <c r="V135" s="92" t="str">
        <f aca="false">IF(OR(NOT(ISNUMBER($H135)),N($P135)&lt;=0),"",ValDate-$H135)</f>
        <v/>
      </c>
      <c r="W135" s="79" t="str">
        <f aca="false">IF($V135="","",IF($X135="","Short Term",IF($V135&gt;$X135,"Long Term","Short Term")))</f>
        <v/>
      </c>
      <c r="X135" s="92" t="str">
        <f aca="true">IF($G135="","",IF(ISNA(MATCH($G135,L_Category,0)),"",IF(INDEX(L_CatLT,MATCH($G135,L_Category,0))="","",INDEX(L_CatLT,MATCH($G135,L_Category,0)))))</f>
        <v/>
      </c>
      <c r="Y135" s="83" t="str">
        <f aca="false">IF($AO135="","",IF(INDEX(Securities!$Q$6:$Q$105,$AO135)="","",INDEX(Securities!$Q$6:$Q$105,$AO135)))</f>
        <v/>
      </c>
      <c r="Z135" s="79" t="str">
        <f aca="false">IF($C135="","",IF(OR(NOT(ISNUMBER($H135)),$Y135=""),"No",IF($H135&lt;=GFDate,"Yes","No")))</f>
        <v/>
      </c>
      <c r="AA135" s="85" t="str">
        <f aca="false">IF(OR($M135="",$N135="",$J135=""),"",$M135*($N135-$J135))</f>
        <v/>
      </c>
      <c r="AB135" s="85" t="str">
        <f aca="false">IF(OR(N($P135)&lt;=0,$R135="",$J135=""),"",$P135*($R135-$J135))</f>
        <v/>
      </c>
      <c r="AC135" s="83" t="str">
        <f aca="false">IF(OR($M135="",$N135="",$J135=""),"",IF($Z135="Yes",MAX($J135,MIN($Y135,$N135)),$J135))</f>
        <v/>
      </c>
      <c r="AD135" s="85" t="str">
        <f aca="false">IF($AC135="","",$M135*($N135-$AC135))</f>
        <v/>
      </c>
      <c r="AE135" s="83" t="str">
        <f aca="false">IF(OR(N($P135)&lt;=0,$R135="",$J135=""),"",IF($Z135="Yes",MAX($J135,MIN($Y135,$R135)),$J135))</f>
        <v/>
      </c>
      <c r="AF135" s="85" t="str">
        <f aca="false">IF($AE135="","",$P135*($R135-$AE135))</f>
        <v/>
      </c>
      <c r="AG135" s="92" t="str">
        <f aca="false">IF(OR($V135="",$X135=""),"",MAX(0,$X135+1-$V135))</f>
        <v/>
      </c>
      <c r="AH135" s="93" t="str">
        <f aca="false">IF(OR($X135="",NOT(ISNUMBER($H135)),N($P135)&lt;=0),"",$H135+$X135+1)</f>
        <v/>
      </c>
      <c r="AI135" s="91"/>
      <c r="AJ135" s="85" t="str">
        <f aca="false">IF(OR($AI135="",N($P135)&lt;=0),"",$AI135*$P135)</f>
        <v/>
      </c>
      <c r="AK135" s="79" t="str">
        <f aca="false">IF(NOT(ISNUMBER($L135)),"",IF(MONTH($L135)&gt;=4,YEAR($L135)&amp;"-"&amp;RIGHT(YEAR($L135)+1,2),(YEAR($L135)-1)&amp;"-"&amp;RIGHT(YEAR($L135),2)))</f>
        <v/>
      </c>
      <c r="AL135" s="78"/>
      <c r="AM135" s="79" t="str">
        <f aca="false">IF($A135&amp;$B135&amp;$C135="","",IF($A135="","Missing ID",IF(COUNTIF($A$6:$A$205,$A135)&gt;1,"Duplicate ID",IF($AN135="","Unknown account",IF($AO135="","Unknown security",IF(COUNTIFS(Holdings!$B$6:$B$205,$B135,Holdings!$C$6:$C$205,$C135)=0,"No holding row for this lot",IF(OR($I135="",$J135=""),"Missing purchase quantity or rate",IF(NOT(ISNUMBER($H135)),"Missing purchase date",IF(N($H135)&gt;ValDate,"Purchase after valuation date",IF(N($M135)&gt;N($I135),"Sale quantity exceeds purchase",IF(AND(N($M135)&gt;0,OR(NOT(ISNUMBER($L135)),$N135="")),"Sale date or rate missing",IF(AND(ISNUMBER($L135),N($M135)=0),"Sale date with no quantity",IF(AND(ISNUMBER($L135),N($L135)&lt;N($H135)),"Sale before purchase",IF(N($L135)&gt;ValDate,"Sale after valuation date","OK"))))))))))))))</f>
        <v/>
      </c>
      <c r="AN135" s="89" t="str">
        <f aca="false">IF($B135="","",IFERROR(MATCH($B135,Accounts!$A$6:$A$55,0),""))</f>
        <v/>
      </c>
      <c r="AO135" s="89" t="str">
        <f aca="false">IF($C135="","",IFERROR(MATCH($C135,Securities!$A$6:$A$105,0),""))</f>
        <v/>
      </c>
      <c r="AP135" s="89" t="str">
        <f aca="false">IF($AN135="","",INDEX(Accounts!$B$6:$B$55,$AN135)&amp;"")</f>
        <v/>
      </c>
      <c r="AQ135" s="89" t="str">
        <f aca="false">IF(AND(ISNUMBER($AG135),N($P135)&gt;0),IF(AND(N($AG135)&gt;0,N($AG135)&lt;=SoonDays),1,""),"")</f>
        <v/>
      </c>
      <c r="AR135" s="89" t="str">
        <f aca="false">IF($AQ135&lt;&gt;1,"",SUMPRODUCT(($AQ$6:$AQ$205=1)*ISNUMBER($AG$6:$AG$205)*($AG$6:$AG$205&lt;$AG135))+SUMPRODUCT(($AQ$6:$AQ135=1)*ISNUMBER($AG$6:$AG135)*($AG$6:$AG135=$AG135)))</f>
        <v/>
      </c>
    </row>
    <row r="136" customFormat="false" ht="15" hidden="false" customHeight="false" outlineLevel="0" collapsed="false">
      <c r="A136" s="77"/>
      <c r="B136" s="78"/>
      <c r="C136" s="78"/>
      <c r="D136" s="79" t="str">
        <f aca="false">IF($AN136="","",INDEX(Accounts!$C$6:$C$55,$AN136)&amp;"")</f>
        <v/>
      </c>
      <c r="E136" s="79" t="str">
        <f aca="false">IF($AO136="","",INDEX(Securities!$B$6:$B$105,$AO136)&amp;"")</f>
        <v/>
      </c>
      <c r="F136" s="79" t="str">
        <f aca="false">IF($AO136="","",INDEX(Securities!$C$6:$C$105,$AO136)&amp;"")</f>
        <v/>
      </c>
      <c r="G136" s="79" t="str">
        <f aca="false">IF($AO136="","",INDEX(Securities!$E$6:$E$105,$AO136)&amp;"")</f>
        <v/>
      </c>
      <c r="H136" s="80"/>
      <c r="I136" s="81"/>
      <c r="J136" s="91"/>
      <c r="K136" s="85" t="str">
        <f aca="false">IF(OR($I136="",$J136=""),"",$I136*$J136)</f>
        <v/>
      </c>
      <c r="L136" s="80"/>
      <c r="M136" s="81"/>
      <c r="N136" s="91"/>
      <c r="O136" s="85" t="str">
        <f aca="false">IF(OR($M136="",$N136=""),"",$M136*$N136)</f>
        <v/>
      </c>
      <c r="P136" s="88" t="str">
        <f aca="false">IF($C136="","",N($I136)-N($M136))</f>
        <v/>
      </c>
      <c r="Q136" s="85" t="str">
        <f aca="false">IF(OR($P136="",$J136=""),"",$P136*$J136)</f>
        <v/>
      </c>
      <c r="R136" s="83" t="str">
        <f aca="false">IF($AO136="","",IF(INDEX(Securities!$N$6:$N$105,$AO136)="At cost",IF($J136="","",$J136),IF(INDEX(Securities!$O$6:$O$105,$AO136)="","",INDEX(Securities!$O$6:$O$105,$AO136))))</f>
        <v/>
      </c>
      <c r="S136" s="85" t="str">
        <f aca="false">IF(OR($P136="",$R136=""),"",$P136*$R136)</f>
        <v/>
      </c>
      <c r="T136" s="92" t="str">
        <f aca="false">IF(OR(NOT(ISNUMBER($L136)),NOT(ISNUMBER($H136))),"",$L136-$H136)</f>
        <v/>
      </c>
      <c r="U136" s="79" t="str">
        <f aca="false">IF($T136="","",IF($X136="","Short Term",IF($T136&gt;$X136,"Long Term","Short Term")))</f>
        <v/>
      </c>
      <c r="V136" s="92" t="str">
        <f aca="false">IF(OR(NOT(ISNUMBER($H136)),N($P136)&lt;=0),"",ValDate-$H136)</f>
        <v/>
      </c>
      <c r="W136" s="79" t="str">
        <f aca="false">IF($V136="","",IF($X136="","Short Term",IF($V136&gt;$X136,"Long Term","Short Term")))</f>
        <v/>
      </c>
      <c r="X136" s="92" t="str">
        <f aca="true">IF($G136="","",IF(ISNA(MATCH($G136,L_Category,0)),"",IF(INDEX(L_CatLT,MATCH($G136,L_Category,0))="","",INDEX(L_CatLT,MATCH($G136,L_Category,0)))))</f>
        <v/>
      </c>
      <c r="Y136" s="83" t="str">
        <f aca="false">IF($AO136="","",IF(INDEX(Securities!$Q$6:$Q$105,$AO136)="","",INDEX(Securities!$Q$6:$Q$105,$AO136)))</f>
        <v/>
      </c>
      <c r="Z136" s="79" t="str">
        <f aca="false">IF($C136="","",IF(OR(NOT(ISNUMBER($H136)),$Y136=""),"No",IF($H136&lt;=GFDate,"Yes","No")))</f>
        <v/>
      </c>
      <c r="AA136" s="85" t="str">
        <f aca="false">IF(OR($M136="",$N136="",$J136=""),"",$M136*($N136-$J136))</f>
        <v/>
      </c>
      <c r="AB136" s="85" t="str">
        <f aca="false">IF(OR(N($P136)&lt;=0,$R136="",$J136=""),"",$P136*($R136-$J136))</f>
        <v/>
      </c>
      <c r="AC136" s="83" t="str">
        <f aca="false">IF(OR($M136="",$N136="",$J136=""),"",IF($Z136="Yes",MAX($J136,MIN($Y136,$N136)),$J136))</f>
        <v/>
      </c>
      <c r="AD136" s="85" t="str">
        <f aca="false">IF($AC136="","",$M136*($N136-$AC136))</f>
        <v/>
      </c>
      <c r="AE136" s="83" t="str">
        <f aca="false">IF(OR(N($P136)&lt;=0,$R136="",$J136=""),"",IF($Z136="Yes",MAX($J136,MIN($Y136,$R136)),$J136))</f>
        <v/>
      </c>
      <c r="AF136" s="85" t="str">
        <f aca="false">IF($AE136="","",$P136*($R136-$AE136))</f>
        <v/>
      </c>
      <c r="AG136" s="92" t="str">
        <f aca="false">IF(OR($V136="",$X136=""),"",MAX(0,$X136+1-$V136))</f>
        <v/>
      </c>
      <c r="AH136" s="93" t="str">
        <f aca="false">IF(OR($X136="",NOT(ISNUMBER($H136)),N($P136)&lt;=0),"",$H136+$X136+1)</f>
        <v/>
      </c>
      <c r="AI136" s="91"/>
      <c r="AJ136" s="85" t="str">
        <f aca="false">IF(OR($AI136="",N($P136)&lt;=0),"",$AI136*$P136)</f>
        <v/>
      </c>
      <c r="AK136" s="79" t="str">
        <f aca="false">IF(NOT(ISNUMBER($L136)),"",IF(MONTH($L136)&gt;=4,YEAR($L136)&amp;"-"&amp;RIGHT(YEAR($L136)+1,2),(YEAR($L136)-1)&amp;"-"&amp;RIGHT(YEAR($L136),2)))</f>
        <v/>
      </c>
      <c r="AL136" s="78"/>
      <c r="AM136" s="79" t="str">
        <f aca="false">IF($A136&amp;$B136&amp;$C136="","",IF($A136="","Missing ID",IF(COUNTIF($A$6:$A$205,$A136)&gt;1,"Duplicate ID",IF($AN136="","Unknown account",IF($AO136="","Unknown security",IF(COUNTIFS(Holdings!$B$6:$B$205,$B136,Holdings!$C$6:$C$205,$C136)=0,"No holding row for this lot",IF(OR($I136="",$J136=""),"Missing purchase quantity or rate",IF(NOT(ISNUMBER($H136)),"Missing purchase date",IF(N($H136)&gt;ValDate,"Purchase after valuation date",IF(N($M136)&gt;N($I136),"Sale quantity exceeds purchase",IF(AND(N($M136)&gt;0,OR(NOT(ISNUMBER($L136)),$N136="")),"Sale date or rate missing",IF(AND(ISNUMBER($L136),N($M136)=0),"Sale date with no quantity",IF(AND(ISNUMBER($L136),N($L136)&lt;N($H136)),"Sale before purchase",IF(N($L136)&gt;ValDate,"Sale after valuation date","OK"))))))))))))))</f>
        <v/>
      </c>
      <c r="AN136" s="89" t="str">
        <f aca="false">IF($B136="","",IFERROR(MATCH($B136,Accounts!$A$6:$A$55,0),""))</f>
        <v/>
      </c>
      <c r="AO136" s="89" t="str">
        <f aca="false">IF($C136="","",IFERROR(MATCH($C136,Securities!$A$6:$A$105,0),""))</f>
        <v/>
      </c>
      <c r="AP136" s="89" t="str">
        <f aca="false">IF($AN136="","",INDEX(Accounts!$B$6:$B$55,$AN136)&amp;"")</f>
        <v/>
      </c>
      <c r="AQ136" s="89" t="str">
        <f aca="false">IF(AND(ISNUMBER($AG136),N($P136)&gt;0),IF(AND(N($AG136)&gt;0,N($AG136)&lt;=SoonDays),1,""),"")</f>
        <v/>
      </c>
      <c r="AR136" s="89" t="str">
        <f aca="false">IF($AQ136&lt;&gt;1,"",SUMPRODUCT(($AQ$6:$AQ$205=1)*ISNUMBER($AG$6:$AG$205)*($AG$6:$AG$205&lt;$AG136))+SUMPRODUCT(($AQ$6:$AQ136=1)*ISNUMBER($AG$6:$AG136)*($AG$6:$AG136=$AG136)))</f>
        <v/>
      </c>
    </row>
    <row r="137" customFormat="false" ht="15" hidden="false" customHeight="false" outlineLevel="0" collapsed="false">
      <c r="A137" s="77"/>
      <c r="B137" s="78"/>
      <c r="C137" s="78"/>
      <c r="D137" s="79" t="str">
        <f aca="false">IF($AN137="","",INDEX(Accounts!$C$6:$C$55,$AN137)&amp;"")</f>
        <v/>
      </c>
      <c r="E137" s="79" t="str">
        <f aca="false">IF($AO137="","",INDEX(Securities!$B$6:$B$105,$AO137)&amp;"")</f>
        <v/>
      </c>
      <c r="F137" s="79" t="str">
        <f aca="false">IF($AO137="","",INDEX(Securities!$C$6:$C$105,$AO137)&amp;"")</f>
        <v/>
      </c>
      <c r="G137" s="79" t="str">
        <f aca="false">IF($AO137="","",INDEX(Securities!$E$6:$E$105,$AO137)&amp;"")</f>
        <v/>
      </c>
      <c r="H137" s="80"/>
      <c r="I137" s="81"/>
      <c r="J137" s="91"/>
      <c r="K137" s="85" t="str">
        <f aca="false">IF(OR($I137="",$J137=""),"",$I137*$J137)</f>
        <v/>
      </c>
      <c r="L137" s="80"/>
      <c r="M137" s="81"/>
      <c r="N137" s="91"/>
      <c r="O137" s="85" t="str">
        <f aca="false">IF(OR($M137="",$N137=""),"",$M137*$N137)</f>
        <v/>
      </c>
      <c r="P137" s="88" t="str">
        <f aca="false">IF($C137="","",N($I137)-N($M137))</f>
        <v/>
      </c>
      <c r="Q137" s="85" t="str">
        <f aca="false">IF(OR($P137="",$J137=""),"",$P137*$J137)</f>
        <v/>
      </c>
      <c r="R137" s="83" t="str">
        <f aca="false">IF($AO137="","",IF(INDEX(Securities!$N$6:$N$105,$AO137)="At cost",IF($J137="","",$J137),IF(INDEX(Securities!$O$6:$O$105,$AO137)="","",INDEX(Securities!$O$6:$O$105,$AO137))))</f>
        <v/>
      </c>
      <c r="S137" s="85" t="str">
        <f aca="false">IF(OR($P137="",$R137=""),"",$P137*$R137)</f>
        <v/>
      </c>
      <c r="T137" s="92" t="str">
        <f aca="false">IF(OR(NOT(ISNUMBER($L137)),NOT(ISNUMBER($H137))),"",$L137-$H137)</f>
        <v/>
      </c>
      <c r="U137" s="79" t="str">
        <f aca="false">IF($T137="","",IF($X137="","Short Term",IF($T137&gt;$X137,"Long Term","Short Term")))</f>
        <v/>
      </c>
      <c r="V137" s="92" t="str">
        <f aca="false">IF(OR(NOT(ISNUMBER($H137)),N($P137)&lt;=0),"",ValDate-$H137)</f>
        <v/>
      </c>
      <c r="W137" s="79" t="str">
        <f aca="false">IF($V137="","",IF($X137="","Short Term",IF($V137&gt;$X137,"Long Term","Short Term")))</f>
        <v/>
      </c>
      <c r="X137" s="92" t="str">
        <f aca="true">IF($G137="","",IF(ISNA(MATCH($G137,L_Category,0)),"",IF(INDEX(L_CatLT,MATCH($G137,L_Category,0))="","",INDEX(L_CatLT,MATCH($G137,L_Category,0)))))</f>
        <v/>
      </c>
      <c r="Y137" s="83" t="str">
        <f aca="false">IF($AO137="","",IF(INDEX(Securities!$Q$6:$Q$105,$AO137)="","",INDEX(Securities!$Q$6:$Q$105,$AO137)))</f>
        <v/>
      </c>
      <c r="Z137" s="79" t="str">
        <f aca="false">IF($C137="","",IF(OR(NOT(ISNUMBER($H137)),$Y137=""),"No",IF($H137&lt;=GFDate,"Yes","No")))</f>
        <v/>
      </c>
      <c r="AA137" s="85" t="str">
        <f aca="false">IF(OR($M137="",$N137="",$J137=""),"",$M137*($N137-$J137))</f>
        <v/>
      </c>
      <c r="AB137" s="85" t="str">
        <f aca="false">IF(OR(N($P137)&lt;=0,$R137="",$J137=""),"",$P137*($R137-$J137))</f>
        <v/>
      </c>
      <c r="AC137" s="83" t="str">
        <f aca="false">IF(OR($M137="",$N137="",$J137=""),"",IF($Z137="Yes",MAX($J137,MIN($Y137,$N137)),$J137))</f>
        <v/>
      </c>
      <c r="AD137" s="85" t="str">
        <f aca="false">IF($AC137="","",$M137*($N137-$AC137))</f>
        <v/>
      </c>
      <c r="AE137" s="83" t="str">
        <f aca="false">IF(OR(N($P137)&lt;=0,$R137="",$J137=""),"",IF($Z137="Yes",MAX($J137,MIN($Y137,$R137)),$J137))</f>
        <v/>
      </c>
      <c r="AF137" s="85" t="str">
        <f aca="false">IF($AE137="","",$P137*($R137-$AE137))</f>
        <v/>
      </c>
      <c r="AG137" s="92" t="str">
        <f aca="false">IF(OR($V137="",$X137=""),"",MAX(0,$X137+1-$V137))</f>
        <v/>
      </c>
      <c r="AH137" s="93" t="str">
        <f aca="false">IF(OR($X137="",NOT(ISNUMBER($H137)),N($P137)&lt;=0),"",$H137+$X137+1)</f>
        <v/>
      </c>
      <c r="AI137" s="91"/>
      <c r="AJ137" s="85" t="str">
        <f aca="false">IF(OR($AI137="",N($P137)&lt;=0),"",$AI137*$P137)</f>
        <v/>
      </c>
      <c r="AK137" s="79" t="str">
        <f aca="false">IF(NOT(ISNUMBER($L137)),"",IF(MONTH($L137)&gt;=4,YEAR($L137)&amp;"-"&amp;RIGHT(YEAR($L137)+1,2),(YEAR($L137)-1)&amp;"-"&amp;RIGHT(YEAR($L137),2)))</f>
        <v/>
      </c>
      <c r="AL137" s="78"/>
      <c r="AM137" s="79" t="str">
        <f aca="false">IF($A137&amp;$B137&amp;$C137="","",IF($A137="","Missing ID",IF(COUNTIF($A$6:$A$205,$A137)&gt;1,"Duplicate ID",IF($AN137="","Unknown account",IF($AO137="","Unknown security",IF(COUNTIFS(Holdings!$B$6:$B$205,$B137,Holdings!$C$6:$C$205,$C137)=0,"No holding row for this lot",IF(OR($I137="",$J137=""),"Missing purchase quantity or rate",IF(NOT(ISNUMBER($H137)),"Missing purchase date",IF(N($H137)&gt;ValDate,"Purchase after valuation date",IF(N($M137)&gt;N($I137),"Sale quantity exceeds purchase",IF(AND(N($M137)&gt;0,OR(NOT(ISNUMBER($L137)),$N137="")),"Sale date or rate missing",IF(AND(ISNUMBER($L137),N($M137)=0),"Sale date with no quantity",IF(AND(ISNUMBER($L137),N($L137)&lt;N($H137)),"Sale before purchase",IF(N($L137)&gt;ValDate,"Sale after valuation date","OK"))))))))))))))</f>
        <v/>
      </c>
      <c r="AN137" s="89" t="str">
        <f aca="false">IF($B137="","",IFERROR(MATCH($B137,Accounts!$A$6:$A$55,0),""))</f>
        <v/>
      </c>
      <c r="AO137" s="89" t="str">
        <f aca="false">IF($C137="","",IFERROR(MATCH($C137,Securities!$A$6:$A$105,0),""))</f>
        <v/>
      </c>
      <c r="AP137" s="89" t="str">
        <f aca="false">IF($AN137="","",INDEX(Accounts!$B$6:$B$55,$AN137)&amp;"")</f>
        <v/>
      </c>
      <c r="AQ137" s="89" t="str">
        <f aca="false">IF(AND(ISNUMBER($AG137),N($P137)&gt;0),IF(AND(N($AG137)&gt;0,N($AG137)&lt;=SoonDays),1,""),"")</f>
        <v/>
      </c>
      <c r="AR137" s="89" t="str">
        <f aca="false">IF($AQ137&lt;&gt;1,"",SUMPRODUCT(($AQ$6:$AQ$205=1)*ISNUMBER($AG$6:$AG$205)*($AG$6:$AG$205&lt;$AG137))+SUMPRODUCT(($AQ$6:$AQ137=1)*ISNUMBER($AG$6:$AG137)*($AG$6:$AG137=$AG137)))</f>
        <v/>
      </c>
    </row>
    <row r="138" customFormat="false" ht="15" hidden="false" customHeight="false" outlineLevel="0" collapsed="false">
      <c r="A138" s="77"/>
      <c r="B138" s="78"/>
      <c r="C138" s="78"/>
      <c r="D138" s="79" t="str">
        <f aca="false">IF($AN138="","",INDEX(Accounts!$C$6:$C$55,$AN138)&amp;"")</f>
        <v/>
      </c>
      <c r="E138" s="79" t="str">
        <f aca="false">IF($AO138="","",INDEX(Securities!$B$6:$B$105,$AO138)&amp;"")</f>
        <v/>
      </c>
      <c r="F138" s="79" t="str">
        <f aca="false">IF($AO138="","",INDEX(Securities!$C$6:$C$105,$AO138)&amp;"")</f>
        <v/>
      </c>
      <c r="G138" s="79" t="str">
        <f aca="false">IF($AO138="","",INDEX(Securities!$E$6:$E$105,$AO138)&amp;"")</f>
        <v/>
      </c>
      <c r="H138" s="80"/>
      <c r="I138" s="81"/>
      <c r="J138" s="91"/>
      <c r="K138" s="85" t="str">
        <f aca="false">IF(OR($I138="",$J138=""),"",$I138*$J138)</f>
        <v/>
      </c>
      <c r="L138" s="80"/>
      <c r="M138" s="81"/>
      <c r="N138" s="91"/>
      <c r="O138" s="85" t="str">
        <f aca="false">IF(OR($M138="",$N138=""),"",$M138*$N138)</f>
        <v/>
      </c>
      <c r="P138" s="88" t="str">
        <f aca="false">IF($C138="","",N($I138)-N($M138))</f>
        <v/>
      </c>
      <c r="Q138" s="85" t="str">
        <f aca="false">IF(OR($P138="",$J138=""),"",$P138*$J138)</f>
        <v/>
      </c>
      <c r="R138" s="83" t="str">
        <f aca="false">IF($AO138="","",IF(INDEX(Securities!$N$6:$N$105,$AO138)="At cost",IF($J138="","",$J138),IF(INDEX(Securities!$O$6:$O$105,$AO138)="","",INDEX(Securities!$O$6:$O$105,$AO138))))</f>
        <v/>
      </c>
      <c r="S138" s="85" t="str">
        <f aca="false">IF(OR($P138="",$R138=""),"",$P138*$R138)</f>
        <v/>
      </c>
      <c r="T138" s="92" t="str">
        <f aca="false">IF(OR(NOT(ISNUMBER($L138)),NOT(ISNUMBER($H138))),"",$L138-$H138)</f>
        <v/>
      </c>
      <c r="U138" s="79" t="str">
        <f aca="false">IF($T138="","",IF($X138="","Short Term",IF($T138&gt;$X138,"Long Term","Short Term")))</f>
        <v/>
      </c>
      <c r="V138" s="92" t="str">
        <f aca="false">IF(OR(NOT(ISNUMBER($H138)),N($P138)&lt;=0),"",ValDate-$H138)</f>
        <v/>
      </c>
      <c r="W138" s="79" t="str">
        <f aca="false">IF($V138="","",IF($X138="","Short Term",IF($V138&gt;$X138,"Long Term","Short Term")))</f>
        <v/>
      </c>
      <c r="X138" s="92" t="str">
        <f aca="true">IF($G138="","",IF(ISNA(MATCH($G138,L_Category,0)),"",IF(INDEX(L_CatLT,MATCH($G138,L_Category,0))="","",INDEX(L_CatLT,MATCH($G138,L_Category,0)))))</f>
        <v/>
      </c>
      <c r="Y138" s="83" t="str">
        <f aca="false">IF($AO138="","",IF(INDEX(Securities!$Q$6:$Q$105,$AO138)="","",INDEX(Securities!$Q$6:$Q$105,$AO138)))</f>
        <v/>
      </c>
      <c r="Z138" s="79" t="str">
        <f aca="false">IF($C138="","",IF(OR(NOT(ISNUMBER($H138)),$Y138=""),"No",IF($H138&lt;=GFDate,"Yes","No")))</f>
        <v/>
      </c>
      <c r="AA138" s="85" t="str">
        <f aca="false">IF(OR($M138="",$N138="",$J138=""),"",$M138*($N138-$J138))</f>
        <v/>
      </c>
      <c r="AB138" s="85" t="str">
        <f aca="false">IF(OR(N($P138)&lt;=0,$R138="",$J138=""),"",$P138*($R138-$J138))</f>
        <v/>
      </c>
      <c r="AC138" s="83" t="str">
        <f aca="false">IF(OR($M138="",$N138="",$J138=""),"",IF($Z138="Yes",MAX($J138,MIN($Y138,$N138)),$J138))</f>
        <v/>
      </c>
      <c r="AD138" s="85" t="str">
        <f aca="false">IF($AC138="","",$M138*($N138-$AC138))</f>
        <v/>
      </c>
      <c r="AE138" s="83" t="str">
        <f aca="false">IF(OR(N($P138)&lt;=0,$R138="",$J138=""),"",IF($Z138="Yes",MAX($J138,MIN($Y138,$R138)),$J138))</f>
        <v/>
      </c>
      <c r="AF138" s="85" t="str">
        <f aca="false">IF($AE138="","",$P138*($R138-$AE138))</f>
        <v/>
      </c>
      <c r="AG138" s="92" t="str">
        <f aca="false">IF(OR($V138="",$X138=""),"",MAX(0,$X138+1-$V138))</f>
        <v/>
      </c>
      <c r="AH138" s="93" t="str">
        <f aca="false">IF(OR($X138="",NOT(ISNUMBER($H138)),N($P138)&lt;=0),"",$H138+$X138+1)</f>
        <v/>
      </c>
      <c r="AI138" s="91"/>
      <c r="AJ138" s="85" t="str">
        <f aca="false">IF(OR($AI138="",N($P138)&lt;=0),"",$AI138*$P138)</f>
        <v/>
      </c>
      <c r="AK138" s="79" t="str">
        <f aca="false">IF(NOT(ISNUMBER($L138)),"",IF(MONTH($L138)&gt;=4,YEAR($L138)&amp;"-"&amp;RIGHT(YEAR($L138)+1,2),(YEAR($L138)-1)&amp;"-"&amp;RIGHT(YEAR($L138),2)))</f>
        <v/>
      </c>
      <c r="AL138" s="78"/>
      <c r="AM138" s="79" t="str">
        <f aca="false">IF($A138&amp;$B138&amp;$C138="","",IF($A138="","Missing ID",IF(COUNTIF($A$6:$A$205,$A138)&gt;1,"Duplicate ID",IF($AN138="","Unknown account",IF($AO138="","Unknown security",IF(COUNTIFS(Holdings!$B$6:$B$205,$B138,Holdings!$C$6:$C$205,$C138)=0,"No holding row for this lot",IF(OR($I138="",$J138=""),"Missing purchase quantity or rate",IF(NOT(ISNUMBER($H138)),"Missing purchase date",IF(N($H138)&gt;ValDate,"Purchase after valuation date",IF(N($M138)&gt;N($I138),"Sale quantity exceeds purchase",IF(AND(N($M138)&gt;0,OR(NOT(ISNUMBER($L138)),$N138="")),"Sale date or rate missing",IF(AND(ISNUMBER($L138),N($M138)=0),"Sale date with no quantity",IF(AND(ISNUMBER($L138),N($L138)&lt;N($H138)),"Sale before purchase",IF(N($L138)&gt;ValDate,"Sale after valuation date","OK"))))))))))))))</f>
        <v/>
      </c>
      <c r="AN138" s="89" t="str">
        <f aca="false">IF($B138="","",IFERROR(MATCH($B138,Accounts!$A$6:$A$55,0),""))</f>
        <v/>
      </c>
      <c r="AO138" s="89" t="str">
        <f aca="false">IF($C138="","",IFERROR(MATCH($C138,Securities!$A$6:$A$105,0),""))</f>
        <v/>
      </c>
      <c r="AP138" s="89" t="str">
        <f aca="false">IF($AN138="","",INDEX(Accounts!$B$6:$B$55,$AN138)&amp;"")</f>
        <v/>
      </c>
      <c r="AQ138" s="89" t="str">
        <f aca="false">IF(AND(ISNUMBER($AG138),N($P138)&gt;0),IF(AND(N($AG138)&gt;0,N($AG138)&lt;=SoonDays),1,""),"")</f>
        <v/>
      </c>
      <c r="AR138" s="89" t="str">
        <f aca="false">IF($AQ138&lt;&gt;1,"",SUMPRODUCT(($AQ$6:$AQ$205=1)*ISNUMBER($AG$6:$AG$205)*($AG$6:$AG$205&lt;$AG138))+SUMPRODUCT(($AQ$6:$AQ138=1)*ISNUMBER($AG$6:$AG138)*($AG$6:$AG138=$AG138)))</f>
        <v/>
      </c>
    </row>
    <row r="139" customFormat="false" ht="15" hidden="false" customHeight="false" outlineLevel="0" collapsed="false">
      <c r="A139" s="77"/>
      <c r="B139" s="78"/>
      <c r="C139" s="78"/>
      <c r="D139" s="79" t="str">
        <f aca="false">IF($AN139="","",INDEX(Accounts!$C$6:$C$55,$AN139)&amp;"")</f>
        <v/>
      </c>
      <c r="E139" s="79" t="str">
        <f aca="false">IF($AO139="","",INDEX(Securities!$B$6:$B$105,$AO139)&amp;"")</f>
        <v/>
      </c>
      <c r="F139" s="79" t="str">
        <f aca="false">IF($AO139="","",INDEX(Securities!$C$6:$C$105,$AO139)&amp;"")</f>
        <v/>
      </c>
      <c r="G139" s="79" t="str">
        <f aca="false">IF($AO139="","",INDEX(Securities!$E$6:$E$105,$AO139)&amp;"")</f>
        <v/>
      </c>
      <c r="H139" s="80"/>
      <c r="I139" s="81"/>
      <c r="J139" s="91"/>
      <c r="K139" s="85" t="str">
        <f aca="false">IF(OR($I139="",$J139=""),"",$I139*$J139)</f>
        <v/>
      </c>
      <c r="L139" s="80"/>
      <c r="M139" s="81"/>
      <c r="N139" s="91"/>
      <c r="O139" s="85" t="str">
        <f aca="false">IF(OR($M139="",$N139=""),"",$M139*$N139)</f>
        <v/>
      </c>
      <c r="P139" s="88" t="str">
        <f aca="false">IF($C139="","",N($I139)-N($M139))</f>
        <v/>
      </c>
      <c r="Q139" s="85" t="str">
        <f aca="false">IF(OR($P139="",$J139=""),"",$P139*$J139)</f>
        <v/>
      </c>
      <c r="R139" s="83" t="str">
        <f aca="false">IF($AO139="","",IF(INDEX(Securities!$N$6:$N$105,$AO139)="At cost",IF($J139="","",$J139),IF(INDEX(Securities!$O$6:$O$105,$AO139)="","",INDEX(Securities!$O$6:$O$105,$AO139))))</f>
        <v/>
      </c>
      <c r="S139" s="85" t="str">
        <f aca="false">IF(OR($P139="",$R139=""),"",$P139*$R139)</f>
        <v/>
      </c>
      <c r="T139" s="92" t="str">
        <f aca="false">IF(OR(NOT(ISNUMBER($L139)),NOT(ISNUMBER($H139))),"",$L139-$H139)</f>
        <v/>
      </c>
      <c r="U139" s="79" t="str">
        <f aca="false">IF($T139="","",IF($X139="","Short Term",IF($T139&gt;$X139,"Long Term","Short Term")))</f>
        <v/>
      </c>
      <c r="V139" s="92" t="str">
        <f aca="false">IF(OR(NOT(ISNUMBER($H139)),N($P139)&lt;=0),"",ValDate-$H139)</f>
        <v/>
      </c>
      <c r="W139" s="79" t="str">
        <f aca="false">IF($V139="","",IF($X139="","Short Term",IF($V139&gt;$X139,"Long Term","Short Term")))</f>
        <v/>
      </c>
      <c r="X139" s="92" t="str">
        <f aca="true">IF($G139="","",IF(ISNA(MATCH($G139,L_Category,0)),"",IF(INDEX(L_CatLT,MATCH($G139,L_Category,0))="","",INDEX(L_CatLT,MATCH($G139,L_Category,0)))))</f>
        <v/>
      </c>
      <c r="Y139" s="83" t="str">
        <f aca="false">IF($AO139="","",IF(INDEX(Securities!$Q$6:$Q$105,$AO139)="","",INDEX(Securities!$Q$6:$Q$105,$AO139)))</f>
        <v/>
      </c>
      <c r="Z139" s="79" t="str">
        <f aca="false">IF($C139="","",IF(OR(NOT(ISNUMBER($H139)),$Y139=""),"No",IF($H139&lt;=GFDate,"Yes","No")))</f>
        <v/>
      </c>
      <c r="AA139" s="85" t="str">
        <f aca="false">IF(OR($M139="",$N139="",$J139=""),"",$M139*($N139-$J139))</f>
        <v/>
      </c>
      <c r="AB139" s="85" t="str">
        <f aca="false">IF(OR(N($P139)&lt;=0,$R139="",$J139=""),"",$P139*($R139-$J139))</f>
        <v/>
      </c>
      <c r="AC139" s="83" t="str">
        <f aca="false">IF(OR($M139="",$N139="",$J139=""),"",IF($Z139="Yes",MAX($J139,MIN($Y139,$N139)),$J139))</f>
        <v/>
      </c>
      <c r="AD139" s="85" t="str">
        <f aca="false">IF($AC139="","",$M139*($N139-$AC139))</f>
        <v/>
      </c>
      <c r="AE139" s="83" t="str">
        <f aca="false">IF(OR(N($P139)&lt;=0,$R139="",$J139=""),"",IF($Z139="Yes",MAX($J139,MIN($Y139,$R139)),$J139))</f>
        <v/>
      </c>
      <c r="AF139" s="85" t="str">
        <f aca="false">IF($AE139="","",$P139*($R139-$AE139))</f>
        <v/>
      </c>
      <c r="AG139" s="92" t="str">
        <f aca="false">IF(OR($V139="",$X139=""),"",MAX(0,$X139+1-$V139))</f>
        <v/>
      </c>
      <c r="AH139" s="93" t="str">
        <f aca="false">IF(OR($X139="",NOT(ISNUMBER($H139)),N($P139)&lt;=0),"",$H139+$X139+1)</f>
        <v/>
      </c>
      <c r="AI139" s="91"/>
      <c r="AJ139" s="85" t="str">
        <f aca="false">IF(OR($AI139="",N($P139)&lt;=0),"",$AI139*$P139)</f>
        <v/>
      </c>
      <c r="AK139" s="79" t="str">
        <f aca="false">IF(NOT(ISNUMBER($L139)),"",IF(MONTH($L139)&gt;=4,YEAR($L139)&amp;"-"&amp;RIGHT(YEAR($L139)+1,2),(YEAR($L139)-1)&amp;"-"&amp;RIGHT(YEAR($L139),2)))</f>
        <v/>
      </c>
      <c r="AL139" s="78"/>
      <c r="AM139" s="79" t="str">
        <f aca="false">IF($A139&amp;$B139&amp;$C139="","",IF($A139="","Missing ID",IF(COUNTIF($A$6:$A$205,$A139)&gt;1,"Duplicate ID",IF($AN139="","Unknown account",IF($AO139="","Unknown security",IF(COUNTIFS(Holdings!$B$6:$B$205,$B139,Holdings!$C$6:$C$205,$C139)=0,"No holding row for this lot",IF(OR($I139="",$J139=""),"Missing purchase quantity or rate",IF(NOT(ISNUMBER($H139)),"Missing purchase date",IF(N($H139)&gt;ValDate,"Purchase after valuation date",IF(N($M139)&gt;N($I139),"Sale quantity exceeds purchase",IF(AND(N($M139)&gt;0,OR(NOT(ISNUMBER($L139)),$N139="")),"Sale date or rate missing",IF(AND(ISNUMBER($L139),N($M139)=0),"Sale date with no quantity",IF(AND(ISNUMBER($L139),N($L139)&lt;N($H139)),"Sale before purchase",IF(N($L139)&gt;ValDate,"Sale after valuation date","OK"))))))))))))))</f>
        <v/>
      </c>
      <c r="AN139" s="89" t="str">
        <f aca="false">IF($B139="","",IFERROR(MATCH($B139,Accounts!$A$6:$A$55,0),""))</f>
        <v/>
      </c>
      <c r="AO139" s="89" t="str">
        <f aca="false">IF($C139="","",IFERROR(MATCH($C139,Securities!$A$6:$A$105,0),""))</f>
        <v/>
      </c>
      <c r="AP139" s="89" t="str">
        <f aca="false">IF($AN139="","",INDEX(Accounts!$B$6:$B$55,$AN139)&amp;"")</f>
        <v/>
      </c>
      <c r="AQ139" s="89" t="str">
        <f aca="false">IF(AND(ISNUMBER($AG139),N($P139)&gt;0),IF(AND(N($AG139)&gt;0,N($AG139)&lt;=SoonDays),1,""),"")</f>
        <v/>
      </c>
      <c r="AR139" s="89" t="str">
        <f aca="false">IF($AQ139&lt;&gt;1,"",SUMPRODUCT(($AQ$6:$AQ$205=1)*ISNUMBER($AG$6:$AG$205)*($AG$6:$AG$205&lt;$AG139))+SUMPRODUCT(($AQ$6:$AQ139=1)*ISNUMBER($AG$6:$AG139)*($AG$6:$AG139=$AG139)))</f>
        <v/>
      </c>
    </row>
    <row r="140" customFormat="false" ht="15" hidden="false" customHeight="false" outlineLevel="0" collapsed="false">
      <c r="A140" s="77"/>
      <c r="B140" s="78"/>
      <c r="C140" s="78"/>
      <c r="D140" s="79" t="str">
        <f aca="false">IF($AN140="","",INDEX(Accounts!$C$6:$C$55,$AN140)&amp;"")</f>
        <v/>
      </c>
      <c r="E140" s="79" t="str">
        <f aca="false">IF($AO140="","",INDEX(Securities!$B$6:$B$105,$AO140)&amp;"")</f>
        <v/>
      </c>
      <c r="F140" s="79" t="str">
        <f aca="false">IF($AO140="","",INDEX(Securities!$C$6:$C$105,$AO140)&amp;"")</f>
        <v/>
      </c>
      <c r="G140" s="79" t="str">
        <f aca="false">IF($AO140="","",INDEX(Securities!$E$6:$E$105,$AO140)&amp;"")</f>
        <v/>
      </c>
      <c r="H140" s="80"/>
      <c r="I140" s="81"/>
      <c r="J140" s="91"/>
      <c r="K140" s="85" t="str">
        <f aca="false">IF(OR($I140="",$J140=""),"",$I140*$J140)</f>
        <v/>
      </c>
      <c r="L140" s="80"/>
      <c r="M140" s="81"/>
      <c r="N140" s="91"/>
      <c r="O140" s="85" t="str">
        <f aca="false">IF(OR($M140="",$N140=""),"",$M140*$N140)</f>
        <v/>
      </c>
      <c r="P140" s="88" t="str">
        <f aca="false">IF($C140="","",N($I140)-N($M140))</f>
        <v/>
      </c>
      <c r="Q140" s="85" t="str">
        <f aca="false">IF(OR($P140="",$J140=""),"",$P140*$J140)</f>
        <v/>
      </c>
      <c r="R140" s="83" t="str">
        <f aca="false">IF($AO140="","",IF(INDEX(Securities!$N$6:$N$105,$AO140)="At cost",IF($J140="","",$J140),IF(INDEX(Securities!$O$6:$O$105,$AO140)="","",INDEX(Securities!$O$6:$O$105,$AO140))))</f>
        <v/>
      </c>
      <c r="S140" s="85" t="str">
        <f aca="false">IF(OR($P140="",$R140=""),"",$P140*$R140)</f>
        <v/>
      </c>
      <c r="T140" s="92" t="str">
        <f aca="false">IF(OR(NOT(ISNUMBER($L140)),NOT(ISNUMBER($H140))),"",$L140-$H140)</f>
        <v/>
      </c>
      <c r="U140" s="79" t="str">
        <f aca="false">IF($T140="","",IF($X140="","Short Term",IF($T140&gt;$X140,"Long Term","Short Term")))</f>
        <v/>
      </c>
      <c r="V140" s="92" t="str">
        <f aca="false">IF(OR(NOT(ISNUMBER($H140)),N($P140)&lt;=0),"",ValDate-$H140)</f>
        <v/>
      </c>
      <c r="W140" s="79" t="str">
        <f aca="false">IF($V140="","",IF($X140="","Short Term",IF($V140&gt;$X140,"Long Term","Short Term")))</f>
        <v/>
      </c>
      <c r="X140" s="92" t="str">
        <f aca="true">IF($G140="","",IF(ISNA(MATCH($G140,L_Category,0)),"",IF(INDEX(L_CatLT,MATCH($G140,L_Category,0))="","",INDEX(L_CatLT,MATCH($G140,L_Category,0)))))</f>
        <v/>
      </c>
      <c r="Y140" s="83" t="str">
        <f aca="false">IF($AO140="","",IF(INDEX(Securities!$Q$6:$Q$105,$AO140)="","",INDEX(Securities!$Q$6:$Q$105,$AO140)))</f>
        <v/>
      </c>
      <c r="Z140" s="79" t="str">
        <f aca="false">IF($C140="","",IF(OR(NOT(ISNUMBER($H140)),$Y140=""),"No",IF($H140&lt;=GFDate,"Yes","No")))</f>
        <v/>
      </c>
      <c r="AA140" s="85" t="str">
        <f aca="false">IF(OR($M140="",$N140="",$J140=""),"",$M140*($N140-$J140))</f>
        <v/>
      </c>
      <c r="AB140" s="85" t="str">
        <f aca="false">IF(OR(N($P140)&lt;=0,$R140="",$J140=""),"",$P140*($R140-$J140))</f>
        <v/>
      </c>
      <c r="AC140" s="83" t="str">
        <f aca="false">IF(OR($M140="",$N140="",$J140=""),"",IF($Z140="Yes",MAX($J140,MIN($Y140,$N140)),$J140))</f>
        <v/>
      </c>
      <c r="AD140" s="85" t="str">
        <f aca="false">IF($AC140="","",$M140*($N140-$AC140))</f>
        <v/>
      </c>
      <c r="AE140" s="83" t="str">
        <f aca="false">IF(OR(N($P140)&lt;=0,$R140="",$J140=""),"",IF($Z140="Yes",MAX($J140,MIN($Y140,$R140)),$J140))</f>
        <v/>
      </c>
      <c r="AF140" s="85" t="str">
        <f aca="false">IF($AE140="","",$P140*($R140-$AE140))</f>
        <v/>
      </c>
      <c r="AG140" s="92" t="str">
        <f aca="false">IF(OR($V140="",$X140=""),"",MAX(0,$X140+1-$V140))</f>
        <v/>
      </c>
      <c r="AH140" s="93" t="str">
        <f aca="false">IF(OR($X140="",NOT(ISNUMBER($H140)),N($P140)&lt;=0),"",$H140+$X140+1)</f>
        <v/>
      </c>
      <c r="AI140" s="91"/>
      <c r="AJ140" s="85" t="str">
        <f aca="false">IF(OR($AI140="",N($P140)&lt;=0),"",$AI140*$P140)</f>
        <v/>
      </c>
      <c r="AK140" s="79" t="str">
        <f aca="false">IF(NOT(ISNUMBER($L140)),"",IF(MONTH($L140)&gt;=4,YEAR($L140)&amp;"-"&amp;RIGHT(YEAR($L140)+1,2),(YEAR($L140)-1)&amp;"-"&amp;RIGHT(YEAR($L140),2)))</f>
        <v/>
      </c>
      <c r="AL140" s="78"/>
      <c r="AM140" s="79" t="str">
        <f aca="false">IF($A140&amp;$B140&amp;$C140="","",IF($A140="","Missing ID",IF(COUNTIF($A$6:$A$205,$A140)&gt;1,"Duplicate ID",IF($AN140="","Unknown account",IF($AO140="","Unknown security",IF(COUNTIFS(Holdings!$B$6:$B$205,$B140,Holdings!$C$6:$C$205,$C140)=0,"No holding row for this lot",IF(OR($I140="",$J140=""),"Missing purchase quantity or rate",IF(NOT(ISNUMBER($H140)),"Missing purchase date",IF(N($H140)&gt;ValDate,"Purchase after valuation date",IF(N($M140)&gt;N($I140),"Sale quantity exceeds purchase",IF(AND(N($M140)&gt;0,OR(NOT(ISNUMBER($L140)),$N140="")),"Sale date or rate missing",IF(AND(ISNUMBER($L140),N($M140)=0),"Sale date with no quantity",IF(AND(ISNUMBER($L140),N($L140)&lt;N($H140)),"Sale before purchase",IF(N($L140)&gt;ValDate,"Sale after valuation date","OK"))))))))))))))</f>
        <v/>
      </c>
      <c r="AN140" s="89" t="str">
        <f aca="false">IF($B140="","",IFERROR(MATCH($B140,Accounts!$A$6:$A$55,0),""))</f>
        <v/>
      </c>
      <c r="AO140" s="89" t="str">
        <f aca="false">IF($C140="","",IFERROR(MATCH($C140,Securities!$A$6:$A$105,0),""))</f>
        <v/>
      </c>
      <c r="AP140" s="89" t="str">
        <f aca="false">IF($AN140="","",INDEX(Accounts!$B$6:$B$55,$AN140)&amp;"")</f>
        <v/>
      </c>
      <c r="AQ140" s="89" t="str">
        <f aca="false">IF(AND(ISNUMBER($AG140),N($P140)&gt;0),IF(AND(N($AG140)&gt;0,N($AG140)&lt;=SoonDays),1,""),"")</f>
        <v/>
      </c>
      <c r="AR140" s="89" t="str">
        <f aca="false">IF($AQ140&lt;&gt;1,"",SUMPRODUCT(($AQ$6:$AQ$205=1)*ISNUMBER($AG$6:$AG$205)*($AG$6:$AG$205&lt;$AG140))+SUMPRODUCT(($AQ$6:$AQ140=1)*ISNUMBER($AG$6:$AG140)*($AG$6:$AG140=$AG140)))</f>
        <v/>
      </c>
    </row>
    <row r="141" customFormat="false" ht="15" hidden="false" customHeight="false" outlineLevel="0" collapsed="false">
      <c r="A141" s="77"/>
      <c r="B141" s="78"/>
      <c r="C141" s="78"/>
      <c r="D141" s="79" t="str">
        <f aca="false">IF($AN141="","",INDEX(Accounts!$C$6:$C$55,$AN141)&amp;"")</f>
        <v/>
      </c>
      <c r="E141" s="79" t="str">
        <f aca="false">IF($AO141="","",INDEX(Securities!$B$6:$B$105,$AO141)&amp;"")</f>
        <v/>
      </c>
      <c r="F141" s="79" t="str">
        <f aca="false">IF($AO141="","",INDEX(Securities!$C$6:$C$105,$AO141)&amp;"")</f>
        <v/>
      </c>
      <c r="G141" s="79" t="str">
        <f aca="false">IF($AO141="","",INDEX(Securities!$E$6:$E$105,$AO141)&amp;"")</f>
        <v/>
      </c>
      <c r="H141" s="80"/>
      <c r="I141" s="81"/>
      <c r="J141" s="91"/>
      <c r="K141" s="85" t="str">
        <f aca="false">IF(OR($I141="",$J141=""),"",$I141*$J141)</f>
        <v/>
      </c>
      <c r="L141" s="80"/>
      <c r="M141" s="81"/>
      <c r="N141" s="91"/>
      <c r="O141" s="85" t="str">
        <f aca="false">IF(OR($M141="",$N141=""),"",$M141*$N141)</f>
        <v/>
      </c>
      <c r="P141" s="88" t="str">
        <f aca="false">IF($C141="","",N($I141)-N($M141))</f>
        <v/>
      </c>
      <c r="Q141" s="85" t="str">
        <f aca="false">IF(OR($P141="",$J141=""),"",$P141*$J141)</f>
        <v/>
      </c>
      <c r="R141" s="83" t="str">
        <f aca="false">IF($AO141="","",IF(INDEX(Securities!$N$6:$N$105,$AO141)="At cost",IF($J141="","",$J141),IF(INDEX(Securities!$O$6:$O$105,$AO141)="","",INDEX(Securities!$O$6:$O$105,$AO141))))</f>
        <v/>
      </c>
      <c r="S141" s="85" t="str">
        <f aca="false">IF(OR($P141="",$R141=""),"",$P141*$R141)</f>
        <v/>
      </c>
      <c r="T141" s="92" t="str">
        <f aca="false">IF(OR(NOT(ISNUMBER($L141)),NOT(ISNUMBER($H141))),"",$L141-$H141)</f>
        <v/>
      </c>
      <c r="U141" s="79" t="str">
        <f aca="false">IF($T141="","",IF($X141="","Short Term",IF($T141&gt;$X141,"Long Term","Short Term")))</f>
        <v/>
      </c>
      <c r="V141" s="92" t="str">
        <f aca="false">IF(OR(NOT(ISNUMBER($H141)),N($P141)&lt;=0),"",ValDate-$H141)</f>
        <v/>
      </c>
      <c r="W141" s="79" t="str">
        <f aca="false">IF($V141="","",IF($X141="","Short Term",IF($V141&gt;$X141,"Long Term","Short Term")))</f>
        <v/>
      </c>
      <c r="X141" s="92" t="str">
        <f aca="true">IF($G141="","",IF(ISNA(MATCH($G141,L_Category,0)),"",IF(INDEX(L_CatLT,MATCH($G141,L_Category,0))="","",INDEX(L_CatLT,MATCH($G141,L_Category,0)))))</f>
        <v/>
      </c>
      <c r="Y141" s="83" t="str">
        <f aca="false">IF($AO141="","",IF(INDEX(Securities!$Q$6:$Q$105,$AO141)="","",INDEX(Securities!$Q$6:$Q$105,$AO141)))</f>
        <v/>
      </c>
      <c r="Z141" s="79" t="str">
        <f aca="false">IF($C141="","",IF(OR(NOT(ISNUMBER($H141)),$Y141=""),"No",IF($H141&lt;=GFDate,"Yes","No")))</f>
        <v/>
      </c>
      <c r="AA141" s="85" t="str">
        <f aca="false">IF(OR($M141="",$N141="",$J141=""),"",$M141*($N141-$J141))</f>
        <v/>
      </c>
      <c r="AB141" s="85" t="str">
        <f aca="false">IF(OR(N($P141)&lt;=0,$R141="",$J141=""),"",$P141*($R141-$J141))</f>
        <v/>
      </c>
      <c r="AC141" s="83" t="str">
        <f aca="false">IF(OR($M141="",$N141="",$J141=""),"",IF($Z141="Yes",MAX($J141,MIN($Y141,$N141)),$J141))</f>
        <v/>
      </c>
      <c r="AD141" s="85" t="str">
        <f aca="false">IF($AC141="","",$M141*($N141-$AC141))</f>
        <v/>
      </c>
      <c r="AE141" s="83" t="str">
        <f aca="false">IF(OR(N($P141)&lt;=0,$R141="",$J141=""),"",IF($Z141="Yes",MAX($J141,MIN($Y141,$R141)),$J141))</f>
        <v/>
      </c>
      <c r="AF141" s="85" t="str">
        <f aca="false">IF($AE141="","",$P141*($R141-$AE141))</f>
        <v/>
      </c>
      <c r="AG141" s="92" t="str">
        <f aca="false">IF(OR($V141="",$X141=""),"",MAX(0,$X141+1-$V141))</f>
        <v/>
      </c>
      <c r="AH141" s="93" t="str">
        <f aca="false">IF(OR($X141="",NOT(ISNUMBER($H141)),N($P141)&lt;=0),"",$H141+$X141+1)</f>
        <v/>
      </c>
      <c r="AI141" s="91"/>
      <c r="AJ141" s="85" t="str">
        <f aca="false">IF(OR($AI141="",N($P141)&lt;=0),"",$AI141*$P141)</f>
        <v/>
      </c>
      <c r="AK141" s="79" t="str">
        <f aca="false">IF(NOT(ISNUMBER($L141)),"",IF(MONTH($L141)&gt;=4,YEAR($L141)&amp;"-"&amp;RIGHT(YEAR($L141)+1,2),(YEAR($L141)-1)&amp;"-"&amp;RIGHT(YEAR($L141),2)))</f>
        <v/>
      </c>
      <c r="AL141" s="78"/>
      <c r="AM141" s="79" t="str">
        <f aca="false">IF($A141&amp;$B141&amp;$C141="","",IF($A141="","Missing ID",IF(COUNTIF($A$6:$A$205,$A141)&gt;1,"Duplicate ID",IF($AN141="","Unknown account",IF($AO141="","Unknown security",IF(COUNTIFS(Holdings!$B$6:$B$205,$B141,Holdings!$C$6:$C$205,$C141)=0,"No holding row for this lot",IF(OR($I141="",$J141=""),"Missing purchase quantity or rate",IF(NOT(ISNUMBER($H141)),"Missing purchase date",IF(N($H141)&gt;ValDate,"Purchase after valuation date",IF(N($M141)&gt;N($I141),"Sale quantity exceeds purchase",IF(AND(N($M141)&gt;0,OR(NOT(ISNUMBER($L141)),$N141="")),"Sale date or rate missing",IF(AND(ISNUMBER($L141),N($M141)=0),"Sale date with no quantity",IF(AND(ISNUMBER($L141),N($L141)&lt;N($H141)),"Sale before purchase",IF(N($L141)&gt;ValDate,"Sale after valuation date","OK"))))))))))))))</f>
        <v/>
      </c>
      <c r="AN141" s="89" t="str">
        <f aca="false">IF($B141="","",IFERROR(MATCH($B141,Accounts!$A$6:$A$55,0),""))</f>
        <v/>
      </c>
      <c r="AO141" s="89" t="str">
        <f aca="false">IF($C141="","",IFERROR(MATCH($C141,Securities!$A$6:$A$105,0),""))</f>
        <v/>
      </c>
      <c r="AP141" s="89" t="str">
        <f aca="false">IF($AN141="","",INDEX(Accounts!$B$6:$B$55,$AN141)&amp;"")</f>
        <v/>
      </c>
      <c r="AQ141" s="89" t="str">
        <f aca="false">IF(AND(ISNUMBER($AG141),N($P141)&gt;0),IF(AND(N($AG141)&gt;0,N($AG141)&lt;=SoonDays),1,""),"")</f>
        <v/>
      </c>
      <c r="AR141" s="89" t="str">
        <f aca="false">IF($AQ141&lt;&gt;1,"",SUMPRODUCT(($AQ$6:$AQ$205=1)*ISNUMBER($AG$6:$AG$205)*($AG$6:$AG$205&lt;$AG141))+SUMPRODUCT(($AQ$6:$AQ141=1)*ISNUMBER($AG$6:$AG141)*($AG$6:$AG141=$AG141)))</f>
        <v/>
      </c>
    </row>
    <row r="142" customFormat="false" ht="15" hidden="false" customHeight="false" outlineLevel="0" collapsed="false">
      <c r="A142" s="77"/>
      <c r="B142" s="78"/>
      <c r="C142" s="78"/>
      <c r="D142" s="79" t="str">
        <f aca="false">IF($AN142="","",INDEX(Accounts!$C$6:$C$55,$AN142)&amp;"")</f>
        <v/>
      </c>
      <c r="E142" s="79" t="str">
        <f aca="false">IF($AO142="","",INDEX(Securities!$B$6:$B$105,$AO142)&amp;"")</f>
        <v/>
      </c>
      <c r="F142" s="79" t="str">
        <f aca="false">IF($AO142="","",INDEX(Securities!$C$6:$C$105,$AO142)&amp;"")</f>
        <v/>
      </c>
      <c r="G142" s="79" t="str">
        <f aca="false">IF($AO142="","",INDEX(Securities!$E$6:$E$105,$AO142)&amp;"")</f>
        <v/>
      </c>
      <c r="H142" s="80"/>
      <c r="I142" s="81"/>
      <c r="J142" s="91"/>
      <c r="K142" s="85" t="str">
        <f aca="false">IF(OR($I142="",$J142=""),"",$I142*$J142)</f>
        <v/>
      </c>
      <c r="L142" s="80"/>
      <c r="M142" s="81"/>
      <c r="N142" s="91"/>
      <c r="O142" s="85" t="str">
        <f aca="false">IF(OR($M142="",$N142=""),"",$M142*$N142)</f>
        <v/>
      </c>
      <c r="P142" s="88" t="str">
        <f aca="false">IF($C142="","",N($I142)-N($M142))</f>
        <v/>
      </c>
      <c r="Q142" s="85" t="str">
        <f aca="false">IF(OR($P142="",$J142=""),"",$P142*$J142)</f>
        <v/>
      </c>
      <c r="R142" s="83" t="str">
        <f aca="false">IF($AO142="","",IF(INDEX(Securities!$N$6:$N$105,$AO142)="At cost",IF($J142="","",$J142),IF(INDEX(Securities!$O$6:$O$105,$AO142)="","",INDEX(Securities!$O$6:$O$105,$AO142))))</f>
        <v/>
      </c>
      <c r="S142" s="85" t="str">
        <f aca="false">IF(OR($P142="",$R142=""),"",$P142*$R142)</f>
        <v/>
      </c>
      <c r="T142" s="92" t="str">
        <f aca="false">IF(OR(NOT(ISNUMBER($L142)),NOT(ISNUMBER($H142))),"",$L142-$H142)</f>
        <v/>
      </c>
      <c r="U142" s="79" t="str">
        <f aca="false">IF($T142="","",IF($X142="","Short Term",IF($T142&gt;$X142,"Long Term","Short Term")))</f>
        <v/>
      </c>
      <c r="V142" s="92" t="str">
        <f aca="false">IF(OR(NOT(ISNUMBER($H142)),N($P142)&lt;=0),"",ValDate-$H142)</f>
        <v/>
      </c>
      <c r="W142" s="79" t="str">
        <f aca="false">IF($V142="","",IF($X142="","Short Term",IF($V142&gt;$X142,"Long Term","Short Term")))</f>
        <v/>
      </c>
      <c r="X142" s="92" t="str">
        <f aca="true">IF($G142="","",IF(ISNA(MATCH($G142,L_Category,0)),"",IF(INDEX(L_CatLT,MATCH($G142,L_Category,0))="","",INDEX(L_CatLT,MATCH($G142,L_Category,0)))))</f>
        <v/>
      </c>
      <c r="Y142" s="83" t="str">
        <f aca="false">IF($AO142="","",IF(INDEX(Securities!$Q$6:$Q$105,$AO142)="","",INDEX(Securities!$Q$6:$Q$105,$AO142)))</f>
        <v/>
      </c>
      <c r="Z142" s="79" t="str">
        <f aca="false">IF($C142="","",IF(OR(NOT(ISNUMBER($H142)),$Y142=""),"No",IF($H142&lt;=GFDate,"Yes","No")))</f>
        <v/>
      </c>
      <c r="AA142" s="85" t="str">
        <f aca="false">IF(OR($M142="",$N142="",$J142=""),"",$M142*($N142-$J142))</f>
        <v/>
      </c>
      <c r="AB142" s="85" t="str">
        <f aca="false">IF(OR(N($P142)&lt;=0,$R142="",$J142=""),"",$P142*($R142-$J142))</f>
        <v/>
      </c>
      <c r="AC142" s="83" t="str">
        <f aca="false">IF(OR($M142="",$N142="",$J142=""),"",IF($Z142="Yes",MAX($J142,MIN($Y142,$N142)),$J142))</f>
        <v/>
      </c>
      <c r="AD142" s="85" t="str">
        <f aca="false">IF($AC142="","",$M142*($N142-$AC142))</f>
        <v/>
      </c>
      <c r="AE142" s="83" t="str">
        <f aca="false">IF(OR(N($P142)&lt;=0,$R142="",$J142=""),"",IF($Z142="Yes",MAX($J142,MIN($Y142,$R142)),$J142))</f>
        <v/>
      </c>
      <c r="AF142" s="85" t="str">
        <f aca="false">IF($AE142="","",$P142*($R142-$AE142))</f>
        <v/>
      </c>
      <c r="AG142" s="92" t="str">
        <f aca="false">IF(OR($V142="",$X142=""),"",MAX(0,$X142+1-$V142))</f>
        <v/>
      </c>
      <c r="AH142" s="93" t="str">
        <f aca="false">IF(OR($X142="",NOT(ISNUMBER($H142)),N($P142)&lt;=0),"",$H142+$X142+1)</f>
        <v/>
      </c>
      <c r="AI142" s="91"/>
      <c r="AJ142" s="85" t="str">
        <f aca="false">IF(OR($AI142="",N($P142)&lt;=0),"",$AI142*$P142)</f>
        <v/>
      </c>
      <c r="AK142" s="79" t="str">
        <f aca="false">IF(NOT(ISNUMBER($L142)),"",IF(MONTH($L142)&gt;=4,YEAR($L142)&amp;"-"&amp;RIGHT(YEAR($L142)+1,2),(YEAR($L142)-1)&amp;"-"&amp;RIGHT(YEAR($L142),2)))</f>
        <v/>
      </c>
      <c r="AL142" s="78"/>
      <c r="AM142" s="79" t="str">
        <f aca="false">IF($A142&amp;$B142&amp;$C142="","",IF($A142="","Missing ID",IF(COUNTIF($A$6:$A$205,$A142)&gt;1,"Duplicate ID",IF($AN142="","Unknown account",IF($AO142="","Unknown security",IF(COUNTIFS(Holdings!$B$6:$B$205,$B142,Holdings!$C$6:$C$205,$C142)=0,"No holding row for this lot",IF(OR($I142="",$J142=""),"Missing purchase quantity or rate",IF(NOT(ISNUMBER($H142)),"Missing purchase date",IF(N($H142)&gt;ValDate,"Purchase after valuation date",IF(N($M142)&gt;N($I142),"Sale quantity exceeds purchase",IF(AND(N($M142)&gt;0,OR(NOT(ISNUMBER($L142)),$N142="")),"Sale date or rate missing",IF(AND(ISNUMBER($L142),N($M142)=0),"Sale date with no quantity",IF(AND(ISNUMBER($L142),N($L142)&lt;N($H142)),"Sale before purchase",IF(N($L142)&gt;ValDate,"Sale after valuation date","OK"))))))))))))))</f>
        <v/>
      </c>
      <c r="AN142" s="89" t="str">
        <f aca="false">IF($B142="","",IFERROR(MATCH($B142,Accounts!$A$6:$A$55,0),""))</f>
        <v/>
      </c>
      <c r="AO142" s="89" t="str">
        <f aca="false">IF($C142="","",IFERROR(MATCH($C142,Securities!$A$6:$A$105,0),""))</f>
        <v/>
      </c>
      <c r="AP142" s="89" t="str">
        <f aca="false">IF($AN142="","",INDEX(Accounts!$B$6:$B$55,$AN142)&amp;"")</f>
        <v/>
      </c>
      <c r="AQ142" s="89" t="str">
        <f aca="false">IF(AND(ISNUMBER($AG142),N($P142)&gt;0),IF(AND(N($AG142)&gt;0,N($AG142)&lt;=SoonDays),1,""),"")</f>
        <v/>
      </c>
      <c r="AR142" s="89" t="str">
        <f aca="false">IF($AQ142&lt;&gt;1,"",SUMPRODUCT(($AQ$6:$AQ$205=1)*ISNUMBER($AG$6:$AG$205)*($AG$6:$AG$205&lt;$AG142))+SUMPRODUCT(($AQ$6:$AQ142=1)*ISNUMBER($AG$6:$AG142)*($AG$6:$AG142=$AG142)))</f>
        <v/>
      </c>
    </row>
    <row r="143" customFormat="false" ht="15" hidden="false" customHeight="false" outlineLevel="0" collapsed="false">
      <c r="A143" s="77"/>
      <c r="B143" s="78"/>
      <c r="C143" s="78"/>
      <c r="D143" s="79" t="str">
        <f aca="false">IF($AN143="","",INDEX(Accounts!$C$6:$C$55,$AN143)&amp;"")</f>
        <v/>
      </c>
      <c r="E143" s="79" t="str">
        <f aca="false">IF($AO143="","",INDEX(Securities!$B$6:$B$105,$AO143)&amp;"")</f>
        <v/>
      </c>
      <c r="F143" s="79" t="str">
        <f aca="false">IF($AO143="","",INDEX(Securities!$C$6:$C$105,$AO143)&amp;"")</f>
        <v/>
      </c>
      <c r="G143" s="79" t="str">
        <f aca="false">IF($AO143="","",INDEX(Securities!$E$6:$E$105,$AO143)&amp;"")</f>
        <v/>
      </c>
      <c r="H143" s="80"/>
      <c r="I143" s="81"/>
      <c r="J143" s="91"/>
      <c r="K143" s="85" t="str">
        <f aca="false">IF(OR($I143="",$J143=""),"",$I143*$J143)</f>
        <v/>
      </c>
      <c r="L143" s="80"/>
      <c r="M143" s="81"/>
      <c r="N143" s="91"/>
      <c r="O143" s="85" t="str">
        <f aca="false">IF(OR($M143="",$N143=""),"",$M143*$N143)</f>
        <v/>
      </c>
      <c r="P143" s="88" t="str">
        <f aca="false">IF($C143="","",N($I143)-N($M143))</f>
        <v/>
      </c>
      <c r="Q143" s="85" t="str">
        <f aca="false">IF(OR($P143="",$J143=""),"",$P143*$J143)</f>
        <v/>
      </c>
      <c r="R143" s="83" t="str">
        <f aca="false">IF($AO143="","",IF(INDEX(Securities!$N$6:$N$105,$AO143)="At cost",IF($J143="","",$J143),IF(INDEX(Securities!$O$6:$O$105,$AO143)="","",INDEX(Securities!$O$6:$O$105,$AO143))))</f>
        <v/>
      </c>
      <c r="S143" s="85" t="str">
        <f aca="false">IF(OR($P143="",$R143=""),"",$P143*$R143)</f>
        <v/>
      </c>
      <c r="T143" s="92" t="str">
        <f aca="false">IF(OR(NOT(ISNUMBER($L143)),NOT(ISNUMBER($H143))),"",$L143-$H143)</f>
        <v/>
      </c>
      <c r="U143" s="79" t="str">
        <f aca="false">IF($T143="","",IF($X143="","Short Term",IF($T143&gt;$X143,"Long Term","Short Term")))</f>
        <v/>
      </c>
      <c r="V143" s="92" t="str">
        <f aca="false">IF(OR(NOT(ISNUMBER($H143)),N($P143)&lt;=0),"",ValDate-$H143)</f>
        <v/>
      </c>
      <c r="W143" s="79" t="str">
        <f aca="false">IF($V143="","",IF($X143="","Short Term",IF($V143&gt;$X143,"Long Term","Short Term")))</f>
        <v/>
      </c>
      <c r="X143" s="92" t="str">
        <f aca="true">IF($G143="","",IF(ISNA(MATCH($G143,L_Category,0)),"",IF(INDEX(L_CatLT,MATCH($G143,L_Category,0))="","",INDEX(L_CatLT,MATCH($G143,L_Category,0)))))</f>
        <v/>
      </c>
      <c r="Y143" s="83" t="str">
        <f aca="false">IF($AO143="","",IF(INDEX(Securities!$Q$6:$Q$105,$AO143)="","",INDEX(Securities!$Q$6:$Q$105,$AO143)))</f>
        <v/>
      </c>
      <c r="Z143" s="79" t="str">
        <f aca="false">IF($C143="","",IF(OR(NOT(ISNUMBER($H143)),$Y143=""),"No",IF($H143&lt;=GFDate,"Yes","No")))</f>
        <v/>
      </c>
      <c r="AA143" s="85" t="str">
        <f aca="false">IF(OR($M143="",$N143="",$J143=""),"",$M143*($N143-$J143))</f>
        <v/>
      </c>
      <c r="AB143" s="85" t="str">
        <f aca="false">IF(OR(N($P143)&lt;=0,$R143="",$J143=""),"",$P143*($R143-$J143))</f>
        <v/>
      </c>
      <c r="AC143" s="83" t="str">
        <f aca="false">IF(OR($M143="",$N143="",$J143=""),"",IF($Z143="Yes",MAX($J143,MIN($Y143,$N143)),$J143))</f>
        <v/>
      </c>
      <c r="AD143" s="85" t="str">
        <f aca="false">IF($AC143="","",$M143*($N143-$AC143))</f>
        <v/>
      </c>
      <c r="AE143" s="83" t="str">
        <f aca="false">IF(OR(N($P143)&lt;=0,$R143="",$J143=""),"",IF($Z143="Yes",MAX($J143,MIN($Y143,$R143)),$J143))</f>
        <v/>
      </c>
      <c r="AF143" s="85" t="str">
        <f aca="false">IF($AE143="","",$P143*($R143-$AE143))</f>
        <v/>
      </c>
      <c r="AG143" s="92" t="str">
        <f aca="false">IF(OR($V143="",$X143=""),"",MAX(0,$X143+1-$V143))</f>
        <v/>
      </c>
      <c r="AH143" s="93" t="str">
        <f aca="false">IF(OR($X143="",NOT(ISNUMBER($H143)),N($P143)&lt;=0),"",$H143+$X143+1)</f>
        <v/>
      </c>
      <c r="AI143" s="91"/>
      <c r="AJ143" s="85" t="str">
        <f aca="false">IF(OR($AI143="",N($P143)&lt;=0),"",$AI143*$P143)</f>
        <v/>
      </c>
      <c r="AK143" s="79" t="str">
        <f aca="false">IF(NOT(ISNUMBER($L143)),"",IF(MONTH($L143)&gt;=4,YEAR($L143)&amp;"-"&amp;RIGHT(YEAR($L143)+1,2),(YEAR($L143)-1)&amp;"-"&amp;RIGHT(YEAR($L143),2)))</f>
        <v/>
      </c>
      <c r="AL143" s="78"/>
      <c r="AM143" s="79" t="str">
        <f aca="false">IF($A143&amp;$B143&amp;$C143="","",IF($A143="","Missing ID",IF(COUNTIF($A$6:$A$205,$A143)&gt;1,"Duplicate ID",IF($AN143="","Unknown account",IF($AO143="","Unknown security",IF(COUNTIFS(Holdings!$B$6:$B$205,$B143,Holdings!$C$6:$C$205,$C143)=0,"No holding row for this lot",IF(OR($I143="",$J143=""),"Missing purchase quantity or rate",IF(NOT(ISNUMBER($H143)),"Missing purchase date",IF(N($H143)&gt;ValDate,"Purchase after valuation date",IF(N($M143)&gt;N($I143),"Sale quantity exceeds purchase",IF(AND(N($M143)&gt;0,OR(NOT(ISNUMBER($L143)),$N143="")),"Sale date or rate missing",IF(AND(ISNUMBER($L143),N($M143)=0),"Sale date with no quantity",IF(AND(ISNUMBER($L143),N($L143)&lt;N($H143)),"Sale before purchase",IF(N($L143)&gt;ValDate,"Sale after valuation date","OK"))))))))))))))</f>
        <v/>
      </c>
      <c r="AN143" s="89" t="str">
        <f aca="false">IF($B143="","",IFERROR(MATCH($B143,Accounts!$A$6:$A$55,0),""))</f>
        <v/>
      </c>
      <c r="AO143" s="89" t="str">
        <f aca="false">IF($C143="","",IFERROR(MATCH($C143,Securities!$A$6:$A$105,0),""))</f>
        <v/>
      </c>
      <c r="AP143" s="89" t="str">
        <f aca="false">IF($AN143="","",INDEX(Accounts!$B$6:$B$55,$AN143)&amp;"")</f>
        <v/>
      </c>
      <c r="AQ143" s="89" t="str">
        <f aca="false">IF(AND(ISNUMBER($AG143),N($P143)&gt;0),IF(AND(N($AG143)&gt;0,N($AG143)&lt;=SoonDays),1,""),"")</f>
        <v/>
      </c>
      <c r="AR143" s="89" t="str">
        <f aca="false">IF($AQ143&lt;&gt;1,"",SUMPRODUCT(($AQ$6:$AQ$205=1)*ISNUMBER($AG$6:$AG$205)*($AG$6:$AG$205&lt;$AG143))+SUMPRODUCT(($AQ$6:$AQ143=1)*ISNUMBER($AG$6:$AG143)*($AG$6:$AG143=$AG143)))</f>
        <v/>
      </c>
    </row>
    <row r="144" customFormat="false" ht="15" hidden="false" customHeight="false" outlineLevel="0" collapsed="false">
      <c r="A144" s="77"/>
      <c r="B144" s="78"/>
      <c r="C144" s="78"/>
      <c r="D144" s="79" t="str">
        <f aca="false">IF($AN144="","",INDEX(Accounts!$C$6:$C$55,$AN144)&amp;"")</f>
        <v/>
      </c>
      <c r="E144" s="79" t="str">
        <f aca="false">IF($AO144="","",INDEX(Securities!$B$6:$B$105,$AO144)&amp;"")</f>
        <v/>
      </c>
      <c r="F144" s="79" t="str">
        <f aca="false">IF($AO144="","",INDEX(Securities!$C$6:$C$105,$AO144)&amp;"")</f>
        <v/>
      </c>
      <c r="G144" s="79" t="str">
        <f aca="false">IF($AO144="","",INDEX(Securities!$E$6:$E$105,$AO144)&amp;"")</f>
        <v/>
      </c>
      <c r="H144" s="80"/>
      <c r="I144" s="81"/>
      <c r="J144" s="91"/>
      <c r="K144" s="85" t="str">
        <f aca="false">IF(OR($I144="",$J144=""),"",$I144*$J144)</f>
        <v/>
      </c>
      <c r="L144" s="80"/>
      <c r="M144" s="81"/>
      <c r="N144" s="91"/>
      <c r="O144" s="85" t="str">
        <f aca="false">IF(OR($M144="",$N144=""),"",$M144*$N144)</f>
        <v/>
      </c>
      <c r="P144" s="88" t="str">
        <f aca="false">IF($C144="","",N($I144)-N($M144))</f>
        <v/>
      </c>
      <c r="Q144" s="85" t="str">
        <f aca="false">IF(OR($P144="",$J144=""),"",$P144*$J144)</f>
        <v/>
      </c>
      <c r="R144" s="83" t="str">
        <f aca="false">IF($AO144="","",IF(INDEX(Securities!$N$6:$N$105,$AO144)="At cost",IF($J144="","",$J144),IF(INDEX(Securities!$O$6:$O$105,$AO144)="","",INDEX(Securities!$O$6:$O$105,$AO144))))</f>
        <v/>
      </c>
      <c r="S144" s="85" t="str">
        <f aca="false">IF(OR($P144="",$R144=""),"",$P144*$R144)</f>
        <v/>
      </c>
      <c r="T144" s="92" t="str">
        <f aca="false">IF(OR(NOT(ISNUMBER($L144)),NOT(ISNUMBER($H144))),"",$L144-$H144)</f>
        <v/>
      </c>
      <c r="U144" s="79" t="str">
        <f aca="false">IF($T144="","",IF($X144="","Short Term",IF($T144&gt;$X144,"Long Term","Short Term")))</f>
        <v/>
      </c>
      <c r="V144" s="92" t="str">
        <f aca="false">IF(OR(NOT(ISNUMBER($H144)),N($P144)&lt;=0),"",ValDate-$H144)</f>
        <v/>
      </c>
      <c r="W144" s="79" t="str">
        <f aca="false">IF($V144="","",IF($X144="","Short Term",IF($V144&gt;$X144,"Long Term","Short Term")))</f>
        <v/>
      </c>
      <c r="X144" s="92" t="str">
        <f aca="true">IF($G144="","",IF(ISNA(MATCH($G144,L_Category,0)),"",IF(INDEX(L_CatLT,MATCH($G144,L_Category,0))="","",INDEX(L_CatLT,MATCH($G144,L_Category,0)))))</f>
        <v/>
      </c>
      <c r="Y144" s="83" t="str">
        <f aca="false">IF($AO144="","",IF(INDEX(Securities!$Q$6:$Q$105,$AO144)="","",INDEX(Securities!$Q$6:$Q$105,$AO144)))</f>
        <v/>
      </c>
      <c r="Z144" s="79" t="str">
        <f aca="false">IF($C144="","",IF(OR(NOT(ISNUMBER($H144)),$Y144=""),"No",IF($H144&lt;=GFDate,"Yes","No")))</f>
        <v/>
      </c>
      <c r="AA144" s="85" t="str">
        <f aca="false">IF(OR($M144="",$N144="",$J144=""),"",$M144*($N144-$J144))</f>
        <v/>
      </c>
      <c r="AB144" s="85" t="str">
        <f aca="false">IF(OR(N($P144)&lt;=0,$R144="",$J144=""),"",$P144*($R144-$J144))</f>
        <v/>
      </c>
      <c r="AC144" s="83" t="str">
        <f aca="false">IF(OR($M144="",$N144="",$J144=""),"",IF($Z144="Yes",MAX($J144,MIN($Y144,$N144)),$J144))</f>
        <v/>
      </c>
      <c r="AD144" s="85" t="str">
        <f aca="false">IF($AC144="","",$M144*($N144-$AC144))</f>
        <v/>
      </c>
      <c r="AE144" s="83" t="str">
        <f aca="false">IF(OR(N($P144)&lt;=0,$R144="",$J144=""),"",IF($Z144="Yes",MAX($J144,MIN($Y144,$R144)),$J144))</f>
        <v/>
      </c>
      <c r="AF144" s="85" t="str">
        <f aca="false">IF($AE144="","",$P144*($R144-$AE144))</f>
        <v/>
      </c>
      <c r="AG144" s="92" t="str">
        <f aca="false">IF(OR($V144="",$X144=""),"",MAX(0,$X144+1-$V144))</f>
        <v/>
      </c>
      <c r="AH144" s="93" t="str">
        <f aca="false">IF(OR($X144="",NOT(ISNUMBER($H144)),N($P144)&lt;=0),"",$H144+$X144+1)</f>
        <v/>
      </c>
      <c r="AI144" s="91"/>
      <c r="AJ144" s="85" t="str">
        <f aca="false">IF(OR($AI144="",N($P144)&lt;=0),"",$AI144*$P144)</f>
        <v/>
      </c>
      <c r="AK144" s="79" t="str">
        <f aca="false">IF(NOT(ISNUMBER($L144)),"",IF(MONTH($L144)&gt;=4,YEAR($L144)&amp;"-"&amp;RIGHT(YEAR($L144)+1,2),(YEAR($L144)-1)&amp;"-"&amp;RIGHT(YEAR($L144),2)))</f>
        <v/>
      </c>
      <c r="AL144" s="78"/>
      <c r="AM144" s="79" t="str">
        <f aca="false">IF($A144&amp;$B144&amp;$C144="","",IF($A144="","Missing ID",IF(COUNTIF($A$6:$A$205,$A144)&gt;1,"Duplicate ID",IF($AN144="","Unknown account",IF($AO144="","Unknown security",IF(COUNTIFS(Holdings!$B$6:$B$205,$B144,Holdings!$C$6:$C$205,$C144)=0,"No holding row for this lot",IF(OR($I144="",$J144=""),"Missing purchase quantity or rate",IF(NOT(ISNUMBER($H144)),"Missing purchase date",IF(N($H144)&gt;ValDate,"Purchase after valuation date",IF(N($M144)&gt;N($I144),"Sale quantity exceeds purchase",IF(AND(N($M144)&gt;0,OR(NOT(ISNUMBER($L144)),$N144="")),"Sale date or rate missing",IF(AND(ISNUMBER($L144),N($M144)=0),"Sale date with no quantity",IF(AND(ISNUMBER($L144),N($L144)&lt;N($H144)),"Sale before purchase",IF(N($L144)&gt;ValDate,"Sale after valuation date","OK"))))))))))))))</f>
        <v/>
      </c>
      <c r="AN144" s="89" t="str">
        <f aca="false">IF($B144="","",IFERROR(MATCH($B144,Accounts!$A$6:$A$55,0),""))</f>
        <v/>
      </c>
      <c r="AO144" s="89" t="str">
        <f aca="false">IF($C144="","",IFERROR(MATCH($C144,Securities!$A$6:$A$105,0),""))</f>
        <v/>
      </c>
      <c r="AP144" s="89" t="str">
        <f aca="false">IF($AN144="","",INDEX(Accounts!$B$6:$B$55,$AN144)&amp;"")</f>
        <v/>
      </c>
      <c r="AQ144" s="89" t="str">
        <f aca="false">IF(AND(ISNUMBER($AG144),N($P144)&gt;0),IF(AND(N($AG144)&gt;0,N($AG144)&lt;=SoonDays),1,""),"")</f>
        <v/>
      </c>
      <c r="AR144" s="89" t="str">
        <f aca="false">IF($AQ144&lt;&gt;1,"",SUMPRODUCT(($AQ$6:$AQ$205=1)*ISNUMBER($AG$6:$AG$205)*($AG$6:$AG$205&lt;$AG144))+SUMPRODUCT(($AQ$6:$AQ144=1)*ISNUMBER($AG$6:$AG144)*($AG$6:$AG144=$AG144)))</f>
        <v/>
      </c>
    </row>
    <row r="145" customFormat="false" ht="15" hidden="false" customHeight="false" outlineLevel="0" collapsed="false">
      <c r="A145" s="77"/>
      <c r="B145" s="78"/>
      <c r="C145" s="78"/>
      <c r="D145" s="79" t="str">
        <f aca="false">IF($AN145="","",INDEX(Accounts!$C$6:$C$55,$AN145)&amp;"")</f>
        <v/>
      </c>
      <c r="E145" s="79" t="str">
        <f aca="false">IF($AO145="","",INDEX(Securities!$B$6:$B$105,$AO145)&amp;"")</f>
        <v/>
      </c>
      <c r="F145" s="79" t="str">
        <f aca="false">IF($AO145="","",INDEX(Securities!$C$6:$C$105,$AO145)&amp;"")</f>
        <v/>
      </c>
      <c r="G145" s="79" t="str">
        <f aca="false">IF($AO145="","",INDEX(Securities!$E$6:$E$105,$AO145)&amp;"")</f>
        <v/>
      </c>
      <c r="H145" s="80"/>
      <c r="I145" s="81"/>
      <c r="J145" s="91"/>
      <c r="K145" s="85" t="str">
        <f aca="false">IF(OR($I145="",$J145=""),"",$I145*$J145)</f>
        <v/>
      </c>
      <c r="L145" s="80"/>
      <c r="M145" s="81"/>
      <c r="N145" s="91"/>
      <c r="O145" s="85" t="str">
        <f aca="false">IF(OR($M145="",$N145=""),"",$M145*$N145)</f>
        <v/>
      </c>
      <c r="P145" s="88" t="str">
        <f aca="false">IF($C145="","",N($I145)-N($M145))</f>
        <v/>
      </c>
      <c r="Q145" s="85" t="str">
        <f aca="false">IF(OR($P145="",$J145=""),"",$P145*$J145)</f>
        <v/>
      </c>
      <c r="R145" s="83" t="str">
        <f aca="false">IF($AO145="","",IF(INDEX(Securities!$N$6:$N$105,$AO145)="At cost",IF($J145="","",$J145),IF(INDEX(Securities!$O$6:$O$105,$AO145)="","",INDEX(Securities!$O$6:$O$105,$AO145))))</f>
        <v/>
      </c>
      <c r="S145" s="85" t="str">
        <f aca="false">IF(OR($P145="",$R145=""),"",$P145*$R145)</f>
        <v/>
      </c>
      <c r="T145" s="92" t="str">
        <f aca="false">IF(OR(NOT(ISNUMBER($L145)),NOT(ISNUMBER($H145))),"",$L145-$H145)</f>
        <v/>
      </c>
      <c r="U145" s="79" t="str">
        <f aca="false">IF($T145="","",IF($X145="","Short Term",IF($T145&gt;$X145,"Long Term","Short Term")))</f>
        <v/>
      </c>
      <c r="V145" s="92" t="str">
        <f aca="false">IF(OR(NOT(ISNUMBER($H145)),N($P145)&lt;=0),"",ValDate-$H145)</f>
        <v/>
      </c>
      <c r="W145" s="79" t="str">
        <f aca="false">IF($V145="","",IF($X145="","Short Term",IF($V145&gt;$X145,"Long Term","Short Term")))</f>
        <v/>
      </c>
      <c r="X145" s="92" t="str">
        <f aca="true">IF($G145="","",IF(ISNA(MATCH($G145,L_Category,0)),"",IF(INDEX(L_CatLT,MATCH($G145,L_Category,0))="","",INDEX(L_CatLT,MATCH($G145,L_Category,0)))))</f>
        <v/>
      </c>
      <c r="Y145" s="83" t="str">
        <f aca="false">IF($AO145="","",IF(INDEX(Securities!$Q$6:$Q$105,$AO145)="","",INDEX(Securities!$Q$6:$Q$105,$AO145)))</f>
        <v/>
      </c>
      <c r="Z145" s="79" t="str">
        <f aca="false">IF($C145="","",IF(OR(NOT(ISNUMBER($H145)),$Y145=""),"No",IF($H145&lt;=GFDate,"Yes","No")))</f>
        <v/>
      </c>
      <c r="AA145" s="85" t="str">
        <f aca="false">IF(OR($M145="",$N145="",$J145=""),"",$M145*($N145-$J145))</f>
        <v/>
      </c>
      <c r="AB145" s="85" t="str">
        <f aca="false">IF(OR(N($P145)&lt;=0,$R145="",$J145=""),"",$P145*($R145-$J145))</f>
        <v/>
      </c>
      <c r="AC145" s="83" t="str">
        <f aca="false">IF(OR($M145="",$N145="",$J145=""),"",IF($Z145="Yes",MAX($J145,MIN($Y145,$N145)),$J145))</f>
        <v/>
      </c>
      <c r="AD145" s="85" t="str">
        <f aca="false">IF($AC145="","",$M145*($N145-$AC145))</f>
        <v/>
      </c>
      <c r="AE145" s="83" t="str">
        <f aca="false">IF(OR(N($P145)&lt;=0,$R145="",$J145=""),"",IF($Z145="Yes",MAX($J145,MIN($Y145,$R145)),$J145))</f>
        <v/>
      </c>
      <c r="AF145" s="85" t="str">
        <f aca="false">IF($AE145="","",$P145*($R145-$AE145))</f>
        <v/>
      </c>
      <c r="AG145" s="92" t="str">
        <f aca="false">IF(OR($V145="",$X145=""),"",MAX(0,$X145+1-$V145))</f>
        <v/>
      </c>
      <c r="AH145" s="93" t="str">
        <f aca="false">IF(OR($X145="",NOT(ISNUMBER($H145)),N($P145)&lt;=0),"",$H145+$X145+1)</f>
        <v/>
      </c>
      <c r="AI145" s="91"/>
      <c r="AJ145" s="85" t="str">
        <f aca="false">IF(OR($AI145="",N($P145)&lt;=0),"",$AI145*$P145)</f>
        <v/>
      </c>
      <c r="AK145" s="79" t="str">
        <f aca="false">IF(NOT(ISNUMBER($L145)),"",IF(MONTH($L145)&gt;=4,YEAR($L145)&amp;"-"&amp;RIGHT(YEAR($L145)+1,2),(YEAR($L145)-1)&amp;"-"&amp;RIGHT(YEAR($L145),2)))</f>
        <v/>
      </c>
      <c r="AL145" s="78"/>
      <c r="AM145" s="79" t="str">
        <f aca="false">IF($A145&amp;$B145&amp;$C145="","",IF($A145="","Missing ID",IF(COUNTIF($A$6:$A$205,$A145)&gt;1,"Duplicate ID",IF($AN145="","Unknown account",IF($AO145="","Unknown security",IF(COUNTIFS(Holdings!$B$6:$B$205,$B145,Holdings!$C$6:$C$205,$C145)=0,"No holding row for this lot",IF(OR($I145="",$J145=""),"Missing purchase quantity or rate",IF(NOT(ISNUMBER($H145)),"Missing purchase date",IF(N($H145)&gt;ValDate,"Purchase after valuation date",IF(N($M145)&gt;N($I145),"Sale quantity exceeds purchase",IF(AND(N($M145)&gt;0,OR(NOT(ISNUMBER($L145)),$N145="")),"Sale date or rate missing",IF(AND(ISNUMBER($L145),N($M145)=0),"Sale date with no quantity",IF(AND(ISNUMBER($L145),N($L145)&lt;N($H145)),"Sale before purchase",IF(N($L145)&gt;ValDate,"Sale after valuation date","OK"))))))))))))))</f>
        <v/>
      </c>
      <c r="AN145" s="89" t="str">
        <f aca="false">IF($B145="","",IFERROR(MATCH($B145,Accounts!$A$6:$A$55,0),""))</f>
        <v/>
      </c>
      <c r="AO145" s="89" t="str">
        <f aca="false">IF($C145="","",IFERROR(MATCH($C145,Securities!$A$6:$A$105,0),""))</f>
        <v/>
      </c>
      <c r="AP145" s="89" t="str">
        <f aca="false">IF($AN145="","",INDEX(Accounts!$B$6:$B$55,$AN145)&amp;"")</f>
        <v/>
      </c>
      <c r="AQ145" s="89" t="str">
        <f aca="false">IF(AND(ISNUMBER($AG145),N($P145)&gt;0),IF(AND(N($AG145)&gt;0,N($AG145)&lt;=SoonDays),1,""),"")</f>
        <v/>
      </c>
      <c r="AR145" s="89" t="str">
        <f aca="false">IF($AQ145&lt;&gt;1,"",SUMPRODUCT(($AQ$6:$AQ$205=1)*ISNUMBER($AG$6:$AG$205)*($AG$6:$AG$205&lt;$AG145))+SUMPRODUCT(($AQ$6:$AQ145=1)*ISNUMBER($AG$6:$AG145)*($AG$6:$AG145=$AG145)))</f>
        <v/>
      </c>
    </row>
    <row r="146" customFormat="false" ht="15" hidden="false" customHeight="false" outlineLevel="0" collapsed="false">
      <c r="A146" s="77"/>
      <c r="B146" s="78"/>
      <c r="C146" s="78"/>
      <c r="D146" s="79" t="str">
        <f aca="false">IF($AN146="","",INDEX(Accounts!$C$6:$C$55,$AN146)&amp;"")</f>
        <v/>
      </c>
      <c r="E146" s="79" t="str">
        <f aca="false">IF($AO146="","",INDEX(Securities!$B$6:$B$105,$AO146)&amp;"")</f>
        <v/>
      </c>
      <c r="F146" s="79" t="str">
        <f aca="false">IF($AO146="","",INDEX(Securities!$C$6:$C$105,$AO146)&amp;"")</f>
        <v/>
      </c>
      <c r="G146" s="79" t="str">
        <f aca="false">IF($AO146="","",INDEX(Securities!$E$6:$E$105,$AO146)&amp;"")</f>
        <v/>
      </c>
      <c r="H146" s="80"/>
      <c r="I146" s="81"/>
      <c r="J146" s="91"/>
      <c r="K146" s="85" t="str">
        <f aca="false">IF(OR($I146="",$J146=""),"",$I146*$J146)</f>
        <v/>
      </c>
      <c r="L146" s="80"/>
      <c r="M146" s="81"/>
      <c r="N146" s="91"/>
      <c r="O146" s="85" t="str">
        <f aca="false">IF(OR($M146="",$N146=""),"",$M146*$N146)</f>
        <v/>
      </c>
      <c r="P146" s="88" t="str">
        <f aca="false">IF($C146="","",N($I146)-N($M146))</f>
        <v/>
      </c>
      <c r="Q146" s="85" t="str">
        <f aca="false">IF(OR($P146="",$J146=""),"",$P146*$J146)</f>
        <v/>
      </c>
      <c r="R146" s="83" t="str">
        <f aca="false">IF($AO146="","",IF(INDEX(Securities!$N$6:$N$105,$AO146)="At cost",IF($J146="","",$J146),IF(INDEX(Securities!$O$6:$O$105,$AO146)="","",INDEX(Securities!$O$6:$O$105,$AO146))))</f>
        <v/>
      </c>
      <c r="S146" s="85" t="str">
        <f aca="false">IF(OR($P146="",$R146=""),"",$P146*$R146)</f>
        <v/>
      </c>
      <c r="T146" s="92" t="str">
        <f aca="false">IF(OR(NOT(ISNUMBER($L146)),NOT(ISNUMBER($H146))),"",$L146-$H146)</f>
        <v/>
      </c>
      <c r="U146" s="79" t="str">
        <f aca="false">IF($T146="","",IF($X146="","Short Term",IF($T146&gt;$X146,"Long Term","Short Term")))</f>
        <v/>
      </c>
      <c r="V146" s="92" t="str">
        <f aca="false">IF(OR(NOT(ISNUMBER($H146)),N($P146)&lt;=0),"",ValDate-$H146)</f>
        <v/>
      </c>
      <c r="W146" s="79" t="str">
        <f aca="false">IF($V146="","",IF($X146="","Short Term",IF($V146&gt;$X146,"Long Term","Short Term")))</f>
        <v/>
      </c>
      <c r="X146" s="92" t="str">
        <f aca="true">IF($G146="","",IF(ISNA(MATCH($G146,L_Category,0)),"",IF(INDEX(L_CatLT,MATCH($G146,L_Category,0))="","",INDEX(L_CatLT,MATCH($G146,L_Category,0)))))</f>
        <v/>
      </c>
      <c r="Y146" s="83" t="str">
        <f aca="false">IF($AO146="","",IF(INDEX(Securities!$Q$6:$Q$105,$AO146)="","",INDEX(Securities!$Q$6:$Q$105,$AO146)))</f>
        <v/>
      </c>
      <c r="Z146" s="79" t="str">
        <f aca="false">IF($C146="","",IF(OR(NOT(ISNUMBER($H146)),$Y146=""),"No",IF($H146&lt;=GFDate,"Yes","No")))</f>
        <v/>
      </c>
      <c r="AA146" s="85" t="str">
        <f aca="false">IF(OR($M146="",$N146="",$J146=""),"",$M146*($N146-$J146))</f>
        <v/>
      </c>
      <c r="AB146" s="85" t="str">
        <f aca="false">IF(OR(N($P146)&lt;=0,$R146="",$J146=""),"",$P146*($R146-$J146))</f>
        <v/>
      </c>
      <c r="AC146" s="83" t="str">
        <f aca="false">IF(OR($M146="",$N146="",$J146=""),"",IF($Z146="Yes",MAX($J146,MIN($Y146,$N146)),$J146))</f>
        <v/>
      </c>
      <c r="AD146" s="85" t="str">
        <f aca="false">IF($AC146="","",$M146*($N146-$AC146))</f>
        <v/>
      </c>
      <c r="AE146" s="83" t="str">
        <f aca="false">IF(OR(N($P146)&lt;=0,$R146="",$J146=""),"",IF($Z146="Yes",MAX($J146,MIN($Y146,$R146)),$J146))</f>
        <v/>
      </c>
      <c r="AF146" s="85" t="str">
        <f aca="false">IF($AE146="","",$P146*($R146-$AE146))</f>
        <v/>
      </c>
      <c r="AG146" s="92" t="str">
        <f aca="false">IF(OR($V146="",$X146=""),"",MAX(0,$X146+1-$V146))</f>
        <v/>
      </c>
      <c r="AH146" s="93" t="str">
        <f aca="false">IF(OR($X146="",NOT(ISNUMBER($H146)),N($P146)&lt;=0),"",$H146+$X146+1)</f>
        <v/>
      </c>
      <c r="AI146" s="91"/>
      <c r="AJ146" s="85" t="str">
        <f aca="false">IF(OR($AI146="",N($P146)&lt;=0),"",$AI146*$P146)</f>
        <v/>
      </c>
      <c r="AK146" s="79" t="str">
        <f aca="false">IF(NOT(ISNUMBER($L146)),"",IF(MONTH($L146)&gt;=4,YEAR($L146)&amp;"-"&amp;RIGHT(YEAR($L146)+1,2),(YEAR($L146)-1)&amp;"-"&amp;RIGHT(YEAR($L146),2)))</f>
        <v/>
      </c>
      <c r="AL146" s="78"/>
      <c r="AM146" s="79" t="str">
        <f aca="false">IF($A146&amp;$B146&amp;$C146="","",IF($A146="","Missing ID",IF(COUNTIF($A$6:$A$205,$A146)&gt;1,"Duplicate ID",IF($AN146="","Unknown account",IF($AO146="","Unknown security",IF(COUNTIFS(Holdings!$B$6:$B$205,$B146,Holdings!$C$6:$C$205,$C146)=0,"No holding row for this lot",IF(OR($I146="",$J146=""),"Missing purchase quantity or rate",IF(NOT(ISNUMBER($H146)),"Missing purchase date",IF(N($H146)&gt;ValDate,"Purchase after valuation date",IF(N($M146)&gt;N($I146),"Sale quantity exceeds purchase",IF(AND(N($M146)&gt;0,OR(NOT(ISNUMBER($L146)),$N146="")),"Sale date or rate missing",IF(AND(ISNUMBER($L146),N($M146)=0),"Sale date with no quantity",IF(AND(ISNUMBER($L146),N($L146)&lt;N($H146)),"Sale before purchase",IF(N($L146)&gt;ValDate,"Sale after valuation date","OK"))))))))))))))</f>
        <v/>
      </c>
      <c r="AN146" s="89" t="str">
        <f aca="false">IF($B146="","",IFERROR(MATCH($B146,Accounts!$A$6:$A$55,0),""))</f>
        <v/>
      </c>
      <c r="AO146" s="89" t="str">
        <f aca="false">IF($C146="","",IFERROR(MATCH($C146,Securities!$A$6:$A$105,0),""))</f>
        <v/>
      </c>
      <c r="AP146" s="89" t="str">
        <f aca="false">IF($AN146="","",INDEX(Accounts!$B$6:$B$55,$AN146)&amp;"")</f>
        <v/>
      </c>
      <c r="AQ146" s="89" t="str">
        <f aca="false">IF(AND(ISNUMBER($AG146),N($P146)&gt;0),IF(AND(N($AG146)&gt;0,N($AG146)&lt;=SoonDays),1,""),"")</f>
        <v/>
      </c>
      <c r="AR146" s="89" t="str">
        <f aca="false">IF($AQ146&lt;&gt;1,"",SUMPRODUCT(($AQ$6:$AQ$205=1)*ISNUMBER($AG$6:$AG$205)*($AG$6:$AG$205&lt;$AG146))+SUMPRODUCT(($AQ$6:$AQ146=1)*ISNUMBER($AG$6:$AG146)*($AG$6:$AG146=$AG146)))</f>
        <v/>
      </c>
    </row>
    <row r="147" customFormat="false" ht="15" hidden="false" customHeight="false" outlineLevel="0" collapsed="false">
      <c r="A147" s="77"/>
      <c r="B147" s="78"/>
      <c r="C147" s="78"/>
      <c r="D147" s="79" t="str">
        <f aca="false">IF($AN147="","",INDEX(Accounts!$C$6:$C$55,$AN147)&amp;"")</f>
        <v/>
      </c>
      <c r="E147" s="79" t="str">
        <f aca="false">IF($AO147="","",INDEX(Securities!$B$6:$B$105,$AO147)&amp;"")</f>
        <v/>
      </c>
      <c r="F147" s="79" t="str">
        <f aca="false">IF($AO147="","",INDEX(Securities!$C$6:$C$105,$AO147)&amp;"")</f>
        <v/>
      </c>
      <c r="G147" s="79" t="str">
        <f aca="false">IF($AO147="","",INDEX(Securities!$E$6:$E$105,$AO147)&amp;"")</f>
        <v/>
      </c>
      <c r="H147" s="80"/>
      <c r="I147" s="81"/>
      <c r="J147" s="91"/>
      <c r="K147" s="85" t="str">
        <f aca="false">IF(OR($I147="",$J147=""),"",$I147*$J147)</f>
        <v/>
      </c>
      <c r="L147" s="80"/>
      <c r="M147" s="81"/>
      <c r="N147" s="91"/>
      <c r="O147" s="85" t="str">
        <f aca="false">IF(OR($M147="",$N147=""),"",$M147*$N147)</f>
        <v/>
      </c>
      <c r="P147" s="88" t="str">
        <f aca="false">IF($C147="","",N($I147)-N($M147))</f>
        <v/>
      </c>
      <c r="Q147" s="85" t="str">
        <f aca="false">IF(OR($P147="",$J147=""),"",$P147*$J147)</f>
        <v/>
      </c>
      <c r="R147" s="83" t="str">
        <f aca="false">IF($AO147="","",IF(INDEX(Securities!$N$6:$N$105,$AO147)="At cost",IF($J147="","",$J147),IF(INDEX(Securities!$O$6:$O$105,$AO147)="","",INDEX(Securities!$O$6:$O$105,$AO147))))</f>
        <v/>
      </c>
      <c r="S147" s="85" t="str">
        <f aca="false">IF(OR($P147="",$R147=""),"",$P147*$R147)</f>
        <v/>
      </c>
      <c r="T147" s="92" t="str">
        <f aca="false">IF(OR(NOT(ISNUMBER($L147)),NOT(ISNUMBER($H147))),"",$L147-$H147)</f>
        <v/>
      </c>
      <c r="U147" s="79" t="str">
        <f aca="false">IF($T147="","",IF($X147="","Short Term",IF($T147&gt;$X147,"Long Term","Short Term")))</f>
        <v/>
      </c>
      <c r="V147" s="92" t="str">
        <f aca="false">IF(OR(NOT(ISNUMBER($H147)),N($P147)&lt;=0),"",ValDate-$H147)</f>
        <v/>
      </c>
      <c r="W147" s="79" t="str">
        <f aca="false">IF($V147="","",IF($X147="","Short Term",IF($V147&gt;$X147,"Long Term","Short Term")))</f>
        <v/>
      </c>
      <c r="X147" s="92" t="str">
        <f aca="true">IF($G147="","",IF(ISNA(MATCH($G147,L_Category,0)),"",IF(INDEX(L_CatLT,MATCH($G147,L_Category,0))="","",INDEX(L_CatLT,MATCH($G147,L_Category,0)))))</f>
        <v/>
      </c>
      <c r="Y147" s="83" t="str">
        <f aca="false">IF($AO147="","",IF(INDEX(Securities!$Q$6:$Q$105,$AO147)="","",INDEX(Securities!$Q$6:$Q$105,$AO147)))</f>
        <v/>
      </c>
      <c r="Z147" s="79" t="str">
        <f aca="false">IF($C147="","",IF(OR(NOT(ISNUMBER($H147)),$Y147=""),"No",IF($H147&lt;=GFDate,"Yes","No")))</f>
        <v/>
      </c>
      <c r="AA147" s="85" t="str">
        <f aca="false">IF(OR($M147="",$N147="",$J147=""),"",$M147*($N147-$J147))</f>
        <v/>
      </c>
      <c r="AB147" s="85" t="str">
        <f aca="false">IF(OR(N($P147)&lt;=0,$R147="",$J147=""),"",$P147*($R147-$J147))</f>
        <v/>
      </c>
      <c r="AC147" s="83" t="str">
        <f aca="false">IF(OR($M147="",$N147="",$J147=""),"",IF($Z147="Yes",MAX($J147,MIN($Y147,$N147)),$J147))</f>
        <v/>
      </c>
      <c r="AD147" s="85" t="str">
        <f aca="false">IF($AC147="","",$M147*($N147-$AC147))</f>
        <v/>
      </c>
      <c r="AE147" s="83" t="str">
        <f aca="false">IF(OR(N($P147)&lt;=0,$R147="",$J147=""),"",IF($Z147="Yes",MAX($J147,MIN($Y147,$R147)),$J147))</f>
        <v/>
      </c>
      <c r="AF147" s="85" t="str">
        <f aca="false">IF($AE147="","",$P147*($R147-$AE147))</f>
        <v/>
      </c>
      <c r="AG147" s="92" t="str">
        <f aca="false">IF(OR($V147="",$X147=""),"",MAX(0,$X147+1-$V147))</f>
        <v/>
      </c>
      <c r="AH147" s="93" t="str">
        <f aca="false">IF(OR($X147="",NOT(ISNUMBER($H147)),N($P147)&lt;=0),"",$H147+$X147+1)</f>
        <v/>
      </c>
      <c r="AI147" s="91"/>
      <c r="AJ147" s="85" t="str">
        <f aca="false">IF(OR($AI147="",N($P147)&lt;=0),"",$AI147*$P147)</f>
        <v/>
      </c>
      <c r="AK147" s="79" t="str">
        <f aca="false">IF(NOT(ISNUMBER($L147)),"",IF(MONTH($L147)&gt;=4,YEAR($L147)&amp;"-"&amp;RIGHT(YEAR($L147)+1,2),(YEAR($L147)-1)&amp;"-"&amp;RIGHT(YEAR($L147),2)))</f>
        <v/>
      </c>
      <c r="AL147" s="78"/>
      <c r="AM147" s="79" t="str">
        <f aca="false">IF($A147&amp;$B147&amp;$C147="","",IF($A147="","Missing ID",IF(COUNTIF($A$6:$A$205,$A147)&gt;1,"Duplicate ID",IF($AN147="","Unknown account",IF($AO147="","Unknown security",IF(COUNTIFS(Holdings!$B$6:$B$205,$B147,Holdings!$C$6:$C$205,$C147)=0,"No holding row for this lot",IF(OR($I147="",$J147=""),"Missing purchase quantity or rate",IF(NOT(ISNUMBER($H147)),"Missing purchase date",IF(N($H147)&gt;ValDate,"Purchase after valuation date",IF(N($M147)&gt;N($I147),"Sale quantity exceeds purchase",IF(AND(N($M147)&gt;0,OR(NOT(ISNUMBER($L147)),$N147="")),"Sale date or rate missing",IF(AND(ISNUMBER($L147),N($M147)=0),"Sale date with no quantity",IF(AND(ISNUMBER($L147),N($L147)&lt;N($H147)),"Sale before purchase",IF(N($L147)&gt;ValDate,"Sale after valuation date","OK"))))))))))))))</f>
        <v/>
      </c>
      <c r="AN147" s="89" t="str">
        <f aca="false">IF($B147="","",IFERROR(MATCH($B147,Accounts!$A$6:$A$55,0),""))</f>
        <v/>
      </c>
      <c r="AO147" s="89" t="str">
        <f aca="false">IF($C147="","",IFERROR(MATCH($C147,Securities!$A$6:$A$105,0),""))</f>
        <v/>
      </c>
      <c r="AP147" s="89" t="str">
        <f aca="false">IF($AN147="","",INDEX(Accounts!$B$6:$B$55,$AN147)&amp;"")</f>
        <v/>
      </c>
      <c r="AQ147" s="89" t="str">
        <f aca="false">IF(AND(ISNUMBER($AG147),N($P147)&gt;0),IF(AND(N($AG147)&gt;0,N($AG147)&lt;=SoonDays),1,""),"")</f>
        <v/>
      </c>
      <c r="AR147" s="89" t="str">
        <f aca="false">IF($AQ147&lt;&gt;1,"",SUMPRODUCT(($AQ$6:$AQ$205=1)*ISNUMBER($AG$6:$AG$205)*($AG$6:$AG$205&lt;$AG147))+SUMPRODUCT(($AQ$6:$AQ147=1)*ISNUMBER($AG$6:$AG147)*($AG$6:$AG147=$AG147)))</f>
        <v/>
      </c>
    </row>
    <row r="148" customFormat="false" ht="15" hidden="false" customHeight="false" outlineLevel="0" collapsed="false">
      <c r="A148" s="77"/>
      <c r="B148" s="78"/>
      <c r="C148" s="78"/>
      <c r="D148" s="79" t="str">
        <f aca="false">IF($AN148="","",INDEX(Accounts!$C$6:$C$55,$AN148)&amp;"")</f>
        <v/>
      </c>
      <c r="E148" s="79" t="str">
        <f aca="false">IF($AO148="","",INDEX(Securities!$B$6:$B$105,$AO148)&amp;"")</f>
        <v/>
      </c>
      <c r="F148" s="79" t="str">
        <f aca="false">IF($AO148="","",INDEX(Securities!$C$6:$C$105,$AO148)&amp;"")</f>
        <v/>
      </c>
      <c r="G148" s="79" t="str">
        <f aca="false">IF($AO148="","",INDEX(Securities!$E$6:$E$105,$AO148)&amp;"")</f>
        <v/>
      </c>
      <c r="H148" s="80"/>
      <c r="I148" s="81"/>
      <c r="J148" s="91"/>
      <c r="K148" s="85" t="str">
        <f aca="false">IF(OR($I148="",$J148=""),"",$I148*$J148)</f>
        <v/>
      </c>
      <c r="L148" s="80"/>
      <c r="M148" s="81"/>
      <c r="N148" s="91"/>
      <c r="O148" s="85" t="str">
        <f aca="false">IF(OR($M148="",$N148=""),"",$M148*$N148)</f>
        <v/>
      </c>
      <c r="P148" s="88" t="str">
        <f aca="false">IF($C148="","",N($I148)-N($M148))</f>
        <v/>
      </c>
      <c r="Q148" s="85" t="str">
        <f aca="false">IF(OR($P148="",$J148=""),"",$P148*$J148)</f>
        <v/>
      </c>
      <c r="R148" s="83" t="str">
        <f aca="false">IF($AO148="","",IF(INDEX(Securities!$N$6:$N$105,$AO148)="At cost",IF($J148="","",$J148),IF(INDEX(Securities!$O$6:$O$105,$AO148)="","",INDEX(Securities!$O$6:$O$105,$AO148))))</f>
        <v/>
      </c>
      <c r="S148" s="85" t="str">
        <f aca="false">IF(OR($P148="",$R148=""),"",$P148*$R148)</f>
        <v/>
      </c>
      <c r="T148" s="92" t="str">
        <f aca="false">IF(OR(NOT(ISNUMBER($L148)),NOT(ISNUMBER($H148))),"",$L148-$H148)</f>
        <v/>
      </c>
      <c r="U148" s="79" t="str">
        <f aca="false">IF($T148="","",IF($X148="","Short Term",IF($T148&gt;$X148,"Long Term","Short Term")))</f>
        <v/>
      </c>
      <c r="V148" s="92" t="str">
        <f aca="false">IF(OR(NOT(ISNUMBER($H148)),N($P148)&lt;=0),"",ValDate-$H148)</f>
        <v/>
      </c>
      <c r="W148" s="79" t="str">
        <f aca="false">IF($V148="","",IF($X148="","Short Term",IF($V148&gt;$X148,"Long Term","Short Term")))</f>
        <v/>
      </c>
      <c r="X148" s="92" t="str">
        <f aca="true">IF($G148="","",IF(ISNA(MATCH($G148,L_Category,0)),"",IF(INDEX(L_CatLT,MATCH($G148,L_Category,0))="","",INDEX(L_CatLT,MATCH($G148,L_Category,0)))))</f>
        <v/>
      </c>
      <c r="Y148" s="83" t="str">
        <f aca="false">IF($AO148="","",IF(INDEX(Securities!$Q$6:$Q$105,$AO148)="","",INDEX(Securities!$Q$6:$Q$105,$AO148)))</f>
        <v/>
      </c>
      <c r="Z148" s="79" t="str">
        <f aca="false">IF($C148="","",IF(OR(NOT(ISNUMBER($H148)),$Y148=""),"No",IF($H148&lt;=GFDate,"Yes","No")))</f>
        <v/>
      </c>
      <c r="AA148" s="85" t="str">
        <f aca="false">IF(OR($M148="",$N148="",$J148=""),"",$M148*($N148-$J148))</f>
        <v/>
      </c>
      <c r="AB148" s="85" t="str">
        <f aca="false">IF(OR(N($P148)&lt;=0,$R148="",$J148=""),"",$P148*($R148-$J148))</f>
        <v/>
      </c>
      <c r="AC148" s="83" t="str">
        <f aca="false">IF(OR($M148="",$N148="",$J148=""),"",IF($Z148="Yes",MAX($J148,MIN($Y148,$N148)),$J148))</f>
        <v/>
      </c>
      <c r="AD148" s="85" t="str">
        <f aca="false">IF($AC148="","",$M148*($N148-$AC148))</f>
        <v/>
      </c>
      <c r="AE148" s="83" t="str">
        <f aca="false">IF(OR(N($P148)&lt;=0,$R148="",$J148=""),"",IF($Z148="Yes",MAX($J148,MIN($Y148,$R148)),$J148))</f>
        <v/>
      </c>
      <c r="AF148" s="85" t="str">
        <f aca="false">IF($AE148="","",$P148*($R148-$AE148))</f>
        <v/>
      </c>
      <c r="AG148" s="92" t="str">
        <f aca="false">IF(OR($V148="",$X148=""),"",MAX(0,$X148+1-$V148))</f>
        <v/>
      </c>
      <c r="AH148" s="93" t="str">
        <f aca="false">IF(OR($X148="",NOT(ISNUMBER($H148)),N($P148)&lt;=0),"",$H148+$X148+1)</f>
        <v/>
      </c>
      <c r="AI148" s="91"/>
      <c r="AJ148" s="85" t="str">
        <f aca="false">IF(OR($AI148="",N($P148)&lt;=0),"",$AI148*$P148)</f>
        <v/>
      </c>
      <c r="AK148" s="79" t="str">
        <f aca="false">IF(NOT(ISNUMBER($L148)),"",IF(MONTH($L148)&gt;=4,YEAR($L148)&amp;"-"&amp;RIGHT(YEAR($L148)+1,2),(YEAR($L148)-1)&amp;"-"&amp;RIGHT(YEAR($L148),2)))</f>
        <v/>
      </c>
      <c r="AL148" s="78"/>
      <c r="AM148" s="79" t="str">
        <f aca="false">IF($A148&amp;$B148&amp;$C148="","",IF($A148="","Missing ID",IF(COUNTIF($A$6:$A$205,$A148)&gt;1,"Duplicate ID",IF($AN148="","Unknown account",IF($AO148="","Unknown security",IF(COUNTIFS(Holdings!$B$6:$B$205,$B148,Holdings!$C$6:$C$205,$C148)=0,"No holding row for this lot",IF(OR($I148="",$J148=""),"Missing purchase quantity or rate",IF(NOT(ISNUMBER($H148)),"Missing purchase date",IF(N($H148)&gt;ValDate,"Purchase after valuation date",IF(N($M148)&gt;N($I148),"Sale quantity exceeds purchase",IF(AND(N($M148)&gt;0,OR(NOT(ISNUMBER($L148)),$N148="")),"Sale date or rate missing",IF(AND(ISNUMBER($L148),N($M148)=0),"Sale date with no quantity",IF(AND(ISNUMBER($L148),N($L148)&lt;N($H148)),"Sale before purchase",IF(N($L148)&gt;ValDate,"Sale after valuation date","OK"))))))))))))))</f>
        <v/>
      </c>
      <c r="AN148" s="89" t="str">
        <f aca="false">IF($B148="","",IFERROR(MATCH($B148,Accounts!$A$6:$A$55,0),""))</f>
        <v/>
      </c>
      <c r="AO148" s="89" t="str">
        <f aca="false">IF($C148="","",IFERROR(MATCH($C148,Securities!$A$6:$A$105,0),""))</f>
        <v/>
      </c>
      <c r="AP148" s="89" t="str">
        <f aca="false">IF($AN148="","",INDEX(Accounts!$B$6:$B$55,$AN148)&amp;"")</f>
        <v/>
      </c>
      <c r="AQ148" s="89" t="str">
        <f aca="false">IF(AND(ISNUMBER($AG148),N($P148)&gt;0),IF(AND(N($AG148)&gt;0,N($AG148)&lt;=SoonDays),1,""),"")</f>
        <v/>
      </c>
      <c r="AR148" s="89" t="str">
        <f aca="false">IF($AQ148&lt;&gt;1,"",SUMPRODUCT(($AQ$6:$AQ$205=1)*ISNUMBER($AG$6:$AG$205)*($AG$6:$AG$205&lt;$AG148))+SUMPRODUCT(($AQ$6:$AQ148=1)*ISNUMBER($AG$6:$AG148)*($AG$6:$AG148=$AG148)))</f>
        <v/>
      </c>
    </row>
    <row r="149" customFormat="false" ht="15" hidden="false" customHeight="false" outlineLevel="0" collapsed="false">
      <c r="A149" s="77"/>
      <c r="B149" s="78"/>
      <c r="C149" s="78"/>
      <c r="D149" s="79" t="str">
        <f aca="false">IF($AN149="","",INDEX(Accounts!$C$6:$C$55,$AN149)&amp;"")</f>
        <v/>
      </c>
      <c r="E149" s="79" t="str">
        <f aca="false">IF($AO149="","",INDEX(Securities!$B$6:$B$105,$AO149)&amp;"")</f>
        <v/>
      </c>
      <c r="F149" s="79" t="str">
        <f aca="false">IF($AO149="","",INDEX(Securities!$C$6:$C$105,$AO149)&amp;"")</f>
        <v/>
      </c>
      <c r="G149" s="79" t="str">
        <f aca="false">IF($AO149="","",INDEX(Securities!$E$6:$E$105,$AO149)&amp;"")</f>
        <v/>
      </c>
      <c r="H149" s="80"/>
      <c r="I149" s="81"/>
      <c r="J149" s="91"/>
      <c r="K149" s="85" t="str">
        <f aca="false">IF(OR($I149="",$J149=""),"",$I149*$J149)</f>
        <v/>
      </c>
      <c r="L149" s="80"/>
      <c r="M149" s="81"/>
      <c r="N149" s="91"/>
      <c r="O149" s="85" t="str">
        <f aca="false">IF(OR($M149="",$N149=""),"",$M149*$N149)</f>
        <v/>
      </c>
      <c r="P149" s="88" t="str">
        <f aca="false">IF($C149="","",N($I149)-N($M149))</f>
        <v/>
      </c>
      <c r="Q149" s="85" t="str">
        <f aca="false">IF(OR($P149="",$J149=""),"",$P149*$J149)</f>
        <v/>
      </c>
      <c r="R149" s="83" t="str">
        <f aca="false">IF($AO149="","",IF(INDEX(Securities!$N$6:$N$105,$AO149)="At cost",IF($J149="","",$J149),IF(INDEX(Securities!$O$6:$O$105,$AO149)="","",INDEX(Securities!$O$6:$O$105,$AO149))))</f>
        <v/>
      </c>
      <c r="S149" s="85" t="str">
        <f aca="false">IF(OR($P149="",$R149=""),"",$P149*$R149)</f>
        <v/>
      </c>
      <c r="T149" s="92" t="str">
        <f aca="false">IF(OR(NOT(ISNUMBER($L149)),NOT(ISNUMBER($H149))),"",$L149-$H149)</f>
        <v/>
      </c>
      <c r="U149" s="79" t="str">
        <f aca="false">IF($T149="","",IF($X149="","Short Term",IF($T149&gt;$X149,"Long Term","Short Term")))</f>
        <v/>
      </c>
      <c r="V149" s="92" t="str">
        <f aca="false">IF(OR(NOT(ISNUMBER($H149)),N($P149)&lt;=0),"",ValDate-$H149)</f>
        <v/>
      </c>
      <c r="W149" s="79" t="str">
        <f aca="false">IF($V149="","",IF($X149="","Short Term",IF($V149&gt;$X149,"Long Term","Short Term")))</f>
        <v/>
      </c>
      <c r="X149" s="92" t="str">
        <f aca="true">IF($G149="","",IF(ISNA(MATCH($G149,L_Category,0)),"",IF(INDEX(L_CatLT,MATCH($G149,L_Category,0))="","",INDEX(L_CatLT,MATCH($G149,L_Category,0)))))</f>
        <v/>
      </c>
      <c r="Y149" s="83" t="str">
        <f aca="false">IF($AO149="","",IF(INDEX(Securities!$Q$6:$Q$105,$AO149)="","",INDEX(Securities!$Q$6:$Q$105,$AO149)))</f>
        <v/>
      </c>
      <c r="Z149" s="79" t="str">
        <f aca="false">IF($C149="","",IF(OR(NOT(ISNUMBER($H149)),$Y149=""),"No",IF($H149&lt;=GFDate,"Yes","No")))</f>
        <v/>
      </c>
      <c r="AA149" s="85" t="str">
        <f aca="false">IF(OR($M149="",$N149="",$J149=""),"",$M149*($N149-$J149))</f>
        <v/>
      </c>
      <c r="AB149" s="85" t="str">
        <f aca="false">IF(OR(N($P149)&lt;=0,$R149="",$J149=""),"",$P149*($R149-$J149))</f>
        <v/>
      </c>
      <c r="AC149" s="83" t="str">
        <f aca="false">IF(OR($M149="",$N149="",$J149=""),"",IF($Z149="Yes",MAX($J149,MIN($Y149,$N149)),$J149))</f>
        <v/>
      </c>
      <c r="AD149" s="85" t="str">
        <f aca="false">IF($AC149="","",$M149*($N149-$AC149))</f>
        <v/>
      </c>
      <c r="AE149" s="83" t="str">
        <f aca="false">IF(OR(N($P149)&lt;=0,$R149="",$J149=""),"",IF($Z149="Yes",MAX($J149,MIN($Y149,$R149)),$J149))</f>
        <v/>
      </c>
      <c r="AF149" s="85" t="str">
        <f aca="false">IF($AE149="","",$P149*($R149-$AE149))</f>
        <v/>
      </c>
      <c r="AG149" s="92" t="str">
        <f aca="false">IF(OR($V149="",$X149=""),"",MAX(0,$X149+1-$V149))</f>
        <v/>
      </c>
      <c r="AH149" s="93" t="str">
        <f aca="false">IF(OR($X149="",NOT(ISNUMBER($H149)),N($P149)&lt;=0),"",$H149+$X149+1)</f>
        <v/>
      </c>
      <c r="AI149" s="91"/>
      <c r="AJ149" s="85" t="str">
        <f aca="false">IF(OR($AI149="",N($P149)&lt;=0),"",$AI149*$P149)</f>
        <v/>
      </c>
      <c r="AK149" s="79" t="str">
        <f aca="false">IF(NOT(ISNUMBER($L149)),"",IF(MONTH($L149)&gt;=4,YEAR($L149)&amp;"-"&amp;RIGHT(YEAR($L149)+1,2),(YEAR($L149)-1)&amp;"-"&amp;RIGHT(YEAR($L149),2)))</f>
        <v/>
      </c>
      <c r="AL149" s="78"/>
      <c r="AM149" s="79" t="str">
        <f aca="false">IF($A149&amp;$B149&amp;$C149="","",IF($A149="","Missing ID",IF(COUNTIF($A$6:$A$205,$A149)&gt;1,"Duplicate ID",IF($AN149="","Unknown account",IF($AO149="","Unknown security",IF(COUNTIFS(Holdings!$B$6:$B$205,$B149,Holdings!$C$6:$C$205,$C149)=0,"No holding row for this lot",IF(OR($I149="",$J149=""),"Missing purchase quantity or rate",IF(NOT(ISNUMBER($H149)),"Missing purchase date",IF(N($H149)&gt;ValDate,"Purchase after valuation date",IF(N($M149)&gt;N($I149),"Sale quantity exceeds purchase",IF(AND(N($M149)&gt;0,OR(NOT(ISNUMBER($L149)),$N149="")),"Sale date or rate missing",IF(AND(ISNUMBER($L149),N($M149)=0),"Sale date with no quantity",IF(AND(ISNUMBER($L149),N($L149)&lt;N($H149)),"Sale before purchase",IF(N($L149)&gt;ValDate,"Sale after valuation date","OK"))))))))))))))</f>
        <v/>
      </c>
      <c r="AN149" s="89" t="str">
        <f aca="false">IF($B149="","",IFERROR(MATCH($B149,Accounts!$A$6:$A$55,0),""))</f>
        <v/>
      </c>
      <c r="AO149" s="89" t="str">
        <f aca="false">IF($C149="","",IFERROR(MATCH($C149,Securities!$A$6:$A$105,0),""))</f>
        <v/>
      </c>
      <c r="AP149" s="89" t="str">
        <f aca="false">IF($AN149="","",INDEX(Accounts!$B$6:$B$55,$AN149)&amp;"")</f>
        <v/>
      </c>
      <c r="AQ149" s="89" t="str">
        <f aca="false">IF(AND(ISNUMBER($AG149),N($P149)&gt;0),IF(AND(N($AG149)&gt;0,N($AG149)&lt;=SoonDays),1,""),"")</f>
        <v/>
      </c>
      <c r="AR149" s="89" t="str">
        <f aca="false">IF($AQ149&lt;&gt;1,"",SUMPRODUCT(($AQ$6:$AQ$205=1)*ISNUMBER($AG$6:$AG$205)*($AG$6:$AG$205&lt;$AG149))+SUMPRODUCT(($AQ$6:$AQ149=1)*ISNUMBER($AG$6:$AG149)*($AG$6:$AG149=$AG149)))</f>
        <v/>
      </c>
    </row>
    <row r="150" customFormat="false" ht="15" hidden="false" customHeight="false" outlineLevel="0" collapsed="false">
      <c r="A150" s="77"/>
      <c r="B150" s="78"/>
      <c r="C150" s="78"/>
      <c r="D150" s="79" t="str">
        <f aca="false">IF($AN150="","",INDEX(Accounts!$C$6:$C$55,$AN150)&amp;"")</f>
        <v/>
      </c>
      <c r="E150" s="79" t="str">
        <f aca="false">IF($AO150="","",INDEX(Securities!$B$6:$B$105,$AO150)&amp;"")</f>
        <v/>
      </c>
      <c r="F150" s="79" t="str">
        <f aca="false">IF($AO150="","",INDEX(Securities!$C$6:$C$105,$AO150)&amp;"")</f>
        <v/>
      </c>
      <c r="G150" s="79" t="str">
        <f aca="false">IF($AO150="","",INDEX(Securities!$E$6:$E$105,$AO150)&amp;"")</f>
        <v/>
      </c>
      <c r="H150" s="80"/>
      <c r="I150" s="81"/>
      <c r="J150" s="91"/>
      <c r="K150" s="85" t="str">
        <f aca="false">IF(OR($I150="",$J150=""),"",$I150*$J150)</f>
        <v/>
      </c>
      <c r="L150" s="80"/>
      <c r="M150" s="81"/>
      <c r="N150" s="91"/>
      <c r="O150" s="85" t="str">
        <f aca="false">IF(OR($M150="",$N150=""),"",$M150*$N150)</f>
        <v/>
      </c>
      <c r="P150" s="88" t="str">
        <f aca="false">IF($C150="","",N($I150)-N($M150))</f>
        <v/>
      </c>
      <c r="Q150" s="85" t="str">
        <f aca="false">IF(OR($P150="",$J150=""),"",$P150*$J150)</f>
        <v/>
      </c>
      <c r="R150" s="83" t="str">
        <f aca="false">IF($AO150="","",IF(INDEX(Securities!$N$6:$N$105,$AO150)="At cost",IF($J150="","",$J150),IF(INDEX(Securities!$O$6:$O$105,$AO150)="","",INDEX(Securities!$O$6:$O$105,$AO150))))</f>
        <v/>
      </c>
      <c r="S150" s="85" t="str">
        <f aca="false">IF(OR($P150="",$R150=""),"",$P150*$R150)</f>
        <v/>
      </c>
      <c r="T150" s="92" t="str">
        <f aca="false">IF(OR(NOT(ISNUMBER($L150)),NOT(ISNUMBER($H150))),"",$L150-$H150)</f>
        <v/>
      </c>
      <c r="U150" s="79" t="str">
        <f aca="false">IF($T150="","",IF($X150="","Short Term",IF($T150&gt;$X150,"Long Term","Short Term")))</f>
        <v/>
      </c>
      <c r="V150" s="92" t="str">
        <f aca="false">IF(OR(NOT(ISNUMBER($H150)),N($P150)&lt;=0),"",ValDate-$H150)</f>
        <v/>
      </c>
      <c r="W150" s="79" t="str">
        <f aca="false">IF($V150="","",IF($X150="","Short Term",IF($V150&gt;$X150,"Long Term","Short Term")))</f>
        <v/>
      </c>
      <c r="X150" s="92" t="str">
        <f aca="true">IF($G150="","",IF(ISNA(MATCH($G150,L_Category,0)),"",IF(INDEX(L_CatLT,MATCH($G150,L_Category,0))="","",INDEX(L_CatLT,MATCH($G150,L_Category,0)))))</f>
        <v/>
      </c>
      <c r="Y150" s="83" t="str">
        <f aca="false">IF($AO150="","",IF(INDEX(Securities!$Q$6:$Q$105,$AO150)="","",INDEX(Securities!$Q$6:$Q$105,$AO150)))</f>
        <v/>
      </c>
      <c r="Z150" s="79" t="str">
        <f aca="false">IF($C150="","",IF(OR(NOT(ISNUMBER($H150)),$Y150=""),"No",IF($H150&lt;=GFDate,"Yes","No")))</f>
        <v/>
      </c>
      <c r="AA150" s="85" t="str">
        <f aca="false">IF(OR($M150="",$N150="",$J150=""),"",$M150*($N150-$J150))</f>
        <v/>
      </c>
      <c r="AB150" s="85" t="str">
        <f aca="false">IF(OR(N($P150)&lt;=0,$R150="",$J150=""),"",$P150*($R150-$J150))</f>
        <v/>
      </c>
      <c r="AC150" s="83" t="str">
        <f aca="false">IF(OR($M150="",$N150="",$J150=""),"",IF($Z150="Yes",MAX($J150,MIN($Y150,$N150)),$J150))</f>
        <v/>
      </c>
      <c r="AD150" s="85" t="str">
        <f aca="false">IF($AC150="","",$M150*($N150-$AC150))</f>
        <v/>
      </c>
      <c r="AE150" s="83" t="str">
        <f aca="false">IF(OR(N($P150)&lt;=0,$R150="",$J150=""),"",IF($Z150="Yes",MAX($J150,MIN($Y150,$R150)),$J150))</f>
        <v/>
      </c>
      <c r="AF150" s="85" t="str">
        <f aca="false">IF($AE150="","",$P150*($R150-$AE150))</f>
        <v/>
      </c>
      <c r="AG150" s="92" t="str">
        <f aca="false">IF(OR($V150="",$X150=""),"",MAX(0,$X150+1-$V150))</f>
        <v/>
      </c>
      <c r="AH150" s="93" t="str">
        <f aca="false">IF(OR($X150="",NOT(ISNUMBER($H150)),N($P150)&lt;=0),"",$H150+$X150+1)</f>
        <v/>
      </c>
      <c r="AI150" s="91"/>
      <c r="AJ150" s="85" t="str">
        <f aca="false">IF(OR($AI150="",N($P150)&lt;=0),"",$AI150*$P150)</f>
        <v/>
      </c>
      <c r="AK150" s="79" t="str">
        <f aca="false">IF(NOT(ISNUMBER($L150)),"",IF(MONTH($L150)&gt;=4,YEAR($L150)&amp;"-"&amp;RIGHT(YEAR($L150)+1,2),(YEAR($L150)-1)&amp;"-"&amp;RIGHT(YEAR($L150),2)))</f>
        <v/>
      </c>
      <c r="AL150" s="78"/>
      <c r="AM150" s="79" t="str">
        <f aca="false">IF($A150&amp;$B150&amp;$C150="","",IF($A150="","Missing ID",IF(COUNTIF($A$6:$A$205,$A150)&gt;1,"Duplicate ID",IF($AN150="","Unknown account",IF($AO150="","Unknown security",IF(COUNTIFS(Holdings!$B$6:$B$205,$B150,Holdings!$C$6:$C$205,$C150)=0,"No holding row for this lot",IF(OR($I150="",$J150=""),"Missing purchase quantity or rate",IF(NOT(ISNUMBER($H150)),"Missing purchase date",IF(N($H150)&gt;ValDate,"Purchase after valuation date",IF(N($M150)&gt;N($I150),"Sale quantity exceeds purchase",IF(AND(N($M150)&gt;0,OR(NOT(ISNUMBER($L150)),$N150="")),"Sale date or rate missing",IF(AND(ISNUMBER($L150),N($M150)=0),"Sale date with no quantity",IF(AND(ISNUMBER($L150),N($L150)&lt;N($H150)),"Sale before purchase",IF(N($L150)&gt;ValDate,"Sale after valuation date","OK"))))))))))))))</f>
        <v/>
      </c>
      <c r="AN150" s="89" t="str">
        <f aca="false">IF($B150="","",IFERROR(MATCH($B150,Accounts!$A$6:$A$55,0),""))</f>
        <v/>
      </c>
      <c r="AO150" s="89" t="str">
        <f aca="false">IF($C150="","",IFERROR(MATCH($C150,Securities!$A$6:$A$105,0),""))</f>
        <v/>
      </c>
      <c r="AP150" s="89" t="str">
        <f aca="false">IF($AN150="","",INDEX(Accounts!$B$6:$B$55,$AN150)&amp;"")</f>
        <v/>
      </c>
      <c r="AQ150" s="89" t="str">
        <f aca="false">IF(AND(ISNUMBER($AG150),N($P150)&gt;0),IF(AND(N($AG150)&gt;0,N($AG150)&lt;=SoonDays),1,""),"")</f>
        <v/>
      </c>
      <c r="AR150" s="89" t="str">
        <f aca="false">IF($AQ150&lt;&gt;1,"",SUMPRODUCT(($AQ$6:$AQ$205=1)*ISNUMBER($AG$6:$AG$205)*($AG$6:$AG$205&lt;$AG150))+SUMPRODUCT(($AQ$6:$AQ150=1)*ISNUMBER($AG$6:$AG150)*($AG$6:$AG150=$AG150)))</f>
        <v/>
      </c>
    </row>
    <row r="151" customFormat="false" ht="15" hidden="false" customHeight="false" outlineLevel="0" collapsed="false">
      <c r="A151" s="77"/>
      <c r="B151" s="78"/>
      <c r="C151" s="78"/>
      <c r="D151" s="79" t="str">
        <f aca="false">IF($AN151="","",INDEX(Accounts!$C$6:$C$55,$AN151)&amp;"")</f>
        <v/>
      </c>
      <c r="E151" s="79" t="str">
        <f aca="false">IF($AO151="","",INDEX(Securities!$B$6:$B$105,$AO151)&amp;"")</f>
        <v/>
      </c>
      <c r="F151" s="79" t="str">
        <f aca="false">IF($AO151="","",INDEX(Securities!$C$6:$C$105,$AO151)&amp;"")</f>
        <v/>
      </c>
      <c r="G151" s="79" t="str">
        <f aca="false">IF($AO151="","",INDEX(Securities!$E$6:$E$105,$AO151)&amp;"")</f>
        <v/>
      </c>
      <c r="H151" s="80"/>
      <c r="I151" s="81"/>
      <c r="J151" s="91"/>
      <c r="K151" s="85" t="str">
        <f aca="false">IF(OR($I151="",$J151=""),"",$I151*$J151)</f>
        <v/>
      </c>
      <c r="L151" s="80"/>
      <c r="M151" s="81"/>
      <c r="N151" s="91"/>
      <c r="O151" s="85" t="str">
        <f aca="false">IF(OR($M151="",$N151=""),"",$M151*$N151)</f>
        <v/>
      </c>
      <c r="P151" s="88" t="str">
        <f aca="false">IF($C151="","",N($I151)-N($M151))</f>
        <v/>
      </c>
      <c r="Q151" s="85" t="str">
        <f aca="false">IF(OR($P151="",$J151=""),"",$P151*$J151)</f>
        <v/>
      </c>
      <c r="R151" s="83" t="str">
        <f aca="false">IF($AO151="","",IF(INDEX(Securities!$N$6:$N$105,$AO151)="At cost",IF($J151="","",$J151),IF(INDEX(Securities!$O$6:$O$105,$AO151)="","",INDEX(Securities!$O$6:$O$105,$AO151))))</f>
        <v/>
      </c>
      <c r="S151" s="85" t="str">
        <f aca="false">IF(OR($P151="",$R151=""),"",$P151*$R151)</f>
        <v/>
      </c>
      <c r="T151" s="92" t="str">
        <f aca="false">IF(OR(NOT(ISNUMBER($L151)),NOT(ISNUMBER($H151))),"",$L151-$H151)</f>
        <v/>
      </c>
      <c r="U151" s="79" t="str">
        <f aca="false">IF($T151="","",IF($X151="","Short Term",IF($T151&gt;$X151,"Long Term","Short Term")))</f>
        <v/>
      </c>
      <c r="V151" s="92" t="str">
        <f aca="false">IF(OR(NOT(ISNUMBER($H151)),N($P151)&lt;=0),"",ValDate-$H151)</f>
        <v/>
      </c>
      <c r="W151" s="79" t="str">
        <f aca="false">IF($V151="","",IF($X151="","Short Term",IF($V151&gt;$X151,"Long Term","Short Term")))</f>
        <v/>
      </c>
      <c r="X151" s="92" t="str">
        <f aca="true">IF($G151="","",IF(ISNA(MATCH($G151,L_Category,0)),"",IF(INDEX(L_CatLT,MATCH($G151,L_Category,0))="","",INDEX(L_CatLT,MATCH($G151,L_Category,0)))))</f>
        <v/>
      </c>
      <c r="Y151" s="83" t="str">
        <f aca="false">IF($AO151="","",IF(INDEX(Securities!$Q$6:$Q$105,$AO151)="","",INDEX(Securities!$Q$6:$Q$105,$AO151)))</f>
        <v/>
      </c>
      <c r="Z151" s="79" t="str">
        <f aca="false">IF($C151="","",IF(OR(NOT(ISNUMBER($H151)),$Y151=""),"No",IF($H151&lt;=GFDate,"Yes","No")))</f>
        <v/>
      </c>
      <c r="AA151" s="85" t="str">
        <f aca="false">IF(OR($M151="",$N151="",$J151=""),"",$M151*($N151-$J151))</f>
        <v/>
      </c>
      <c r="AB151" s="85" t="str">
        <f aca="false">IF(OR(N($P151)&lt;=0,$R151="",$J151=""),"",$P151*($R151-$J151))</f>
        <v/>
      </c>
      <c r="AC151" s="83" t="str">
        <f aca="false">IF(OR($M151="",$N151="",$J151=""),"",IF($Z151="Yes",MAX($J151,MIN($Y151,$N151)),$J151))</f>
        <v/>
      </c>
      <c r="AD151" s="85" t="str">
        <f aca="false">IF($AC151="","",$M151*($N151-$AC151))</f>
        <v/>
      </c>
      <c r="AE151" s="83" t="str">
        <f aca="false">IF(OR(N($P151)&lt;=0,$R151="",$J151=""),"",IF($Z151="Yes",MAX($J151,MIN($Y151,$R151)),$J151))</f>
        <v/>
      </c>
      <c r="AF151" s="85" t="str">
        <f aca="false">IF($AE151="","",$P151*($R151-$AE151))</f>
        <v/>
      </c>
      <c r="AG151" s="92" t="str">
        <f aca="false">IF(OR($V151="",$X151=""),"",MAX(0,$X151+1-$V151))</f>
        <v/>
      </c>
      <c r="AH151" s="93" t="str">
        <f aca="false">IF(OR($X151="",NOT(ISNUMBER($H151)),N($P151)&lt;=0),"",$H151+$X151+1)</f>
        <v/>
      </c>
      <c r="AI151" s="91"/>
      <c r="AJ151" s="85" t="str">
        <f aca="false">IF(OR($AI151="",N($P151)&lt;=0),"",$AI151*$P151)</f>
        <v/>
      </c>
      <c r="AK151" s="79" t="str">
        <f aca="false">IF(NOT(ISNUMBER($L151)),"",IF(MONTH($L151)&gt;=4,YEAR($L151)&amp;"-"&amp;RIGHT(YEAR($L151)+1,2),(YEAR($L151)-1)&amp;"-"&amp;RIGHT(YEAR($L151),2)))</f>
        <v/>
      </c>
      <c r="AL151" s="78"/>
      <c r="AM151" s="79" t="str">
        <f aca="false">IF($A151&amp;$B151&amp;$C151="","",IF($A151="","Missing ID",IF(COUNTIF($A$6:$A$205,$A151)&gt;1,"Duplicate ID",IF($AN151="","Unknown account",IF($AO151="","Unknown security",IF(COUNTIFS(Holdings!$B$6:$B$205,$B151,Holdings!$C$6:$C$205,$C151)=0,"No holding row for this lot",IF(OR($I151="",$J151=""),"Missing purchase quantity or rate",IF(NOT(ISNUMBER($H151)),"Missing purchase date",IF(N($H151)&gt;ValDate,"Purchase after valuation date",IF(N($M151)&gt;N($I151),"Sale quantity exceeds purchase",IF(AND(N($M151)&gt;0,OR(NOT(ISNUMBER($L151)),$N151="")),"Sale date or rate missing",IF(AND(ISNUMBER($L151),N($M151)=0),"Sale date with no quantity",IF(AND(ISNUMBER($L151),N($L151)&lt;N($H151)),"Sale before purchase",IF(N($L151)&gt;ValDate,"Sale after valuation date","OK"))))))))))))))</f>
        <v/>
      </c>
      <c r="AN151" s="89" t="str">
        <f aca="false">IF($B151="","",IFERROR(MATCH($B151,Accounts!$A$6:$A$55,0),""))</f>
        <v/>
      </c>
      <c r="AO151" s="89" t="str">
        <f aca="false">IF($C151="","",IFERROR(MATCH($C151,Securities!$A$6:$A$105,0),""))</f>
        <v/>
      </c>
      <c r="AP151" s="89" t="str">
        <f aca="false">IF($AN151="","",INDEX(Accounts!$B$6:$B$55,$AN151)&amp;"")</f>
        <v/>
      </c>
      <c r="AQ151" s="89" t="str">
        <f aca="false">IF(AND(ISNUMBER($AG151),N($P151)&gt;0),IF(AND(N($AG151)&gt;0,N($AG151)&lt;=SoonDays),1,""),"")</f>
        <v/>
      </c>
      <c r="AR151" s="89" t="str">
        <f aca="false">IF($AQ151&lt;&gt;1,"",SUMPRODUCT(($AQ$6:$AQ$205=1)*ISNUMBER($AG$6:$AG$205)*($AG$6:$AG$205&lt;$AG151))+SUMPRODUCT(($AQ$6:$AQ151=1)*ISNUMBER($AG$6:$AG151)*($AG$6:$AG151=$AG151)))</f>
        <v/>
      </c>
    </row>
    <row r="152" customFormat="false" ht="15" hidden="false" customHeight="false" outlineLevel="0" collapsed="false">
      <c r="A152" s="77"/>
      <c r="B152" s="78"/>
      <c r="C152" s="78"/>
      <c r="D152" s="79" t="str">
        <f aca="false">IF($AN152="","",INDEX(Accounts!$C$6:$C$55,$AN152)&amp;"")</f>
        <v/>
      </c>
      <c r="E152" s="79" t="str">
        <f aca="false">IF($AO152="","",INDEX(Securities!$B$6:$B$105,$AO152)&amp;"")</f>
        <v/>
      </c>
      <c r="F152" s="79" t="str">
        <f aca="false">IF($AO152="","",INDEX(Securities!$C$6:$C$105,$AO152)&amp;"")</f>
        <v/>
      </c>
      <c r="G152" s="79" t="str">
        <f aca="false">IF($AO152="","",INDEX(Securities!$E$6:$E$105,$AO152)&amp;"")</f>
        <v/>
      </c>
      <c r="H152" s="80"/>
      <c r="I152" s="81"/>
      <c r="J152" s="91"/>
      <c r="K152" s="85" t="str">
        <f aca="false">IF(OR($I152="",$J152=""),"",$I152*$J152)</f>
        <v/>
      </c>
      <c r="L152" s="80"/>
      <c r="M152" s="81"/>
      <c r="N152" s="91"/>
      <c r="O152" s="85" t="str">
        <f aca="false">IF(OR($M152="",$N152=""),"",$M152*$N152)</f>
        <v/>
      </c>
      <c r="P152" s="88" t="str">
        <f aca="false">IF($C152="","",N($I152)-N($M152))</f>
        <v/>
      </c>
      <c r="Q152" s="85" t="str">
        <f aca="false">IF(OR($P152="",$J152=""),"",$P152*$J152)</f>
        <v/>
      </c>
      <c r="R152" s="83" t="str">
        <f aca="false">IF($AO152="","",IF(INDEX(Securities!$N$6:$N$105,$AO152)="At cost",IF($J152="","",$J152),IF(INDEX(Securities!$O$6:$O$105,$AO152)="","",INDEX(Securities!$O$6:$O$105,$AO152))))</f>
        <v/>
      </c>
      <c r="S152" s="85" t="str">
        <f aca="false">IF(OR($P152="",$R152=""),"",$P152*$R152)</f>
        <v/>
      </c>
      <c r="T152" s="92" t="str">
        <f aca="false">IF(OR(NOT(ISNUMBER($L152)),NOT(ISNUMBER($H152))),"",$L152-$H152)</f>
        <v/>
      </c>
      <c r="U152" s="79" t="str">
        <f aca="false">IF($T152="","",IF($X152="","Short Term",IF($T152&gt;$X152,"Long Term","Short Term")))</f>
        <v/>
      </c>
      <c r="V152" s="92" t="str">
        <f aca="false">IF(OR(NOT(ISNUMBER($H152)),N($P152)&lt;=0),"",ValDate-$H152)</f>
        <v/>
      </c>
      <c r="W152" s="79" t="str">
        <f aca="false">IF($V152="","",IF($X152="","Short Term",IF($V152&gt;$X152,"Long Term","Short Term")))</f>
        <v/>
      </c>
      <c r="X152" s="92" t="str">
        <f aca="true">IF($G152="","",IF(ISNA(MATCH($G152,L_Category,0)),"",IF(INDEX(L_CatLT,MATCH($G152,L_Category,0))="","",INDEX(L_CatLT,MATCH($G152,L_Category,0)))))</f>
        <v/>
      </c>
      <c r="Y152" s="83" t="str">
        <f aca="false">IF($AO152="","",IF(INDEX(Securities!$Q$6:$Q$105,$AO152)="","",INDEX(Securities!$Q$6:$Q$105,$AO152)))</f>
        <v/>
      </c>
      <c r="Z152" s="79" t="str">
        <f aca="false">IF($C152="","",IF(OR(NOT(ISNUMBER($H152)),$Y152=""),"No",IF($H152&lt;=GFDate,"Yes","No")))</f>
        <v/>
      </c>
      <c r="AA152" s="85" t="str">
        <f aca="false">IF(OR($M152="",$N152="",$J152=""),"",$M152*($N152-$J152))</f>
        <v/>
      </c>
      <c r="AB152" s="85" t="str">
        <f aca="false">IF(OR(N($P152)&lt;=0,$R152="",$J152=""),"",$P152*($R152-$J152))</f>
        <v/>
      </c>
      <c r="AC152" s="83" t="str">
        <f aca="false">IF(OR($M152="",$N152="",$J152=""),"",IF($Z152="Yes",MAX($J152,MIN($Y152,$N152)),$J152))</f>
        <v/>
      </c>
      <c r="AD152" s="85" t="str">
        <f aca="false">IF($AC152="","",$M152*($N152-$AC152))</f>
        <v/>
      </c>
      <c r="AE152" s="83" t="str">
        <f aca="false">IF(OR(N($P152)&lt;=0,$R152="",$J152=""),"",IF($Z152="Yes",MAX($J152,MIN($Y152,$R152)),$J152))</f>
        <v/>
      </c>
      <c r="AF152" s="85" t="str">
        <f aca="false">IF($AE152="","",$P152*($R152-$AE152))</f>
        <v/>
      </c>
      <c r="AG152" s="92" t="str">
        <f aca="false">IF(OR($V152="",$X152=""),"",MAX(0,$X152+1-$V152))</f>
        <v/>
      </c>
      <c r="AH152" s="93" t="str">
        <f aca="false">IF(OR($X152="",NOT(ISNUMBER($H152)),N($P152)&lt;=0),"",$H152+$X152+1)</f>
        <v/>
      </c>
      <c r="AI152" s="91"/>
      <c r="AJ152" s="85" t="str">
        <f aca="false">IF(OR($AI152="",N($P152)&lt;=0),"",$AI152*$P152)</f>
        <v/>
      </c>
      <c r="AK152" s="79" t="str">
        <f aca="false">IF(NOT(ISNUMBER($L152)),"",IF(MONTH($L152)&gt;=4,YEAR($L152)&amp;"-"&amp;RIGHT(YEAR($L152)+1,2),(YEAR($L152)-1)&amp;"-"&amp;RIGHT(YEAR($L152),2)))</f>
        <v/>
      </c>
      <c r="AL152" s="78"/>
      <c r="AM152" s="79" t="str">
        <f aca="false">IF($A152&amp;$B152&amp;$C152="","",IF($A152="","Missing ID",IF(COUNTIF($A$6:$A$205,$A152)&gt;1,"Duplicate ID",IF($AN152="","Unknown account",IF($AO152="","Unknown security",IF(COUNTIFS(Holdings!$B$6:$B$205,$B152,Holdings!$C$6:$C$205,$C152)=0,"No holding row for this lot",IF(OR($I152="",$J152=""),"Missing purchase quantity or rate",IF(NOT(ISNUMBER($H152)),"Missing purchase date",IF(N($H152)&gt;ValDate,"Purchase after valuation date",IF(N($M152)&gt;N($I152),"Sale quantity exceeds purchase",IF(AND(N($M152)&gt;0,OR(NOT(ISNUMBER($L152)),$N152="")),"Sale date or rate missing",IF(AND(ISNUMBER($L152),N($M152)=0),"Sale date with no quantity",IF(AND(ISNUMBER($L152),N($L152)&lt;N($H152)),"Sale before purchase",IF(N($L152)&gt;ValDate,"Sale after valuation date","OK"))))))))))))))</f>
        <v/>
      </c>
      <c r="AN152" s="89" t="str">
        <f aca="false">IF($B152="","",IFERROR(MATCH($B152,Accounts!$A$6:$A$55,0),""))</f>
        <v/>
      </c>
      <c r="AO152" s="89" t="str">
        <f aca="false">IF($C152="","",IFERROR(MATCH($C152,Securities!$A$6:$A$105,0),""))</f>
        <v/>
      </c>
      <c r="AP152" s="89" t="str">
        <f aca="false">IF($AN152="","",INDEX(Accounts!$B$6:$B$55,$AN152)&amp;"")</f>
        <v/>
      </c>
      <c r="AQ152" s="89" t="str">
        <f aca="false">IF(AND(ISNUMBER($AG152),N($P152)&gt;0),IF(AND(N($AG152)&gt;0,N($AG152)&lt;=SoonDays),1,""),"")</f>
        <v/>
      </c>
      <c r="AR152" s="89" t="str">
        <f aca="false">IF($AQ152&lt;&gt;1,"",SUMPRODUCT(($AQ$6:$AQ$205=1)*ISNUMBER($AG$6:$AG$205)*($AG$6:$AG$205&lt;$AG152))+SUMPRODUCT(($AQ$6:$AQ152=1)*ISNUMBER($AG$6:$AG152)*($AG$6:$AG152=$AG152)))</f>
        <v/>
      </c>
    </row>
    <row r="153" customFormat="false" ht="15" hidden="false" customHeight="false" outlineLevel="0" collapsed="false">
      <c r="A153" s="77"/>
      <c r="B153" s="78"/>
      <c r="C153" s="78"/>
      <c r="D153" s="79" t="str">
        <f aca="false">IF($AN153="","",INDEX(Accounts!$C$6:$C$55,$AN153)&amp;"")</f>
        <v/>
      </c>
      <c r="E153" s="79" t="str">
        <f aca="false">IF($AO153="","",INDEX(Securities!$B$6:$B$105,$AO153)&amp;"")</f>
        <v/>
      </c>
      <c r="F153" s="79" t="str">
        <f aca="false">IF($AO153="","",INDEX(Securities!$C$6:$C$105,$AO153)&amp;"")</f>
        <v/>
      </c>
      <c r="G153" s="79" t="str">
        <f aca="false">IF($AO153="","",INDEX(Securities!$E$6:$E$105,$AO153)&amp;"")</f>
        <v/>
      </c>
      <c r="H153" s="80"/>
      <c r="I153" s="81"/>
      <c r="J153" s="91"/>
      <c r="K153" s="85" t="str">
        <f aca="false">IF(OR($I153="",$J153=""),"",$I153*$J153)</f>
        <v/>
      </c>
      <c r="L153" s="80"/>
      <c r="M153" s="81"/>
      <c r="N153" s="91"/>
      <c r="O153" s="85" t="str">
        <f aca="false">IF(OR($M153="",$N153=""),"",$M153*$N153)</f>
        <v/>
      </c>
      <c r="P153" s="88" t="str">
        <f aca="false">IF($C153="","",N($I153)-N($M153))</f>
        <v/>
      </c>
      <c r="Q153" s="85" t="str">
        <f aca="false">IF(OR($P153="",$J153=""),"",$P153*$J153)</f>
        <v/>
      </c>
      <c r="R153" s="83" t="str">
        <f aca="false">IF($AO153="","",IF(INDEX(Securities!$N$6:$N$105,$AO153)="At cost",IF($J153="","",$J153),IF(INDEX(Securities!$O$6:$O$105,$AO153)="","",INDEX(Securities!$O$6:$O$105,$AO153))))</f>
        <v/>
      </c>
      <c r="S153" s="85" t="str">
        <f aca="false">IF(OR($P153="",$R153=""),"",$P153*$R153)</f>
        <v/>
      </c>
      <c r="T153" s="92" t="str">
        <f aca="false">IF(OR(NOT(ISNUMBER($L153)),NOT(ISNUMBER($H153))),"",$L153-$H153)</f>
        <v/>
      </c>
      <c r="U153" s="79" t="str">
        <f aca="false">IF($T153="","",IF($X153="","Short Term",IF($T153&gt;$X153,"Long Term","Short Term")))</f>
        <v/>
      </c>
      <c r="V153" s="92" t="str">
        <f aca="false">IF(OR(NOT(ISNUMBER($H153)),N($P153)&lt;=0),"",ValDate-$H153)</f>
        <v/>
      </c>
      <c r="W153" s="79" t="str">
        <f aca="false">IF($V153="","",IF($X153="","Short Term",IF($V153&gt;$X153,"Long Term","Short Term")))</f>
        <v/>
      </c>
      <c r="X153" s="92" t="str">
        <f aca="true">IF($G153="","",IF(ISNA(MATCH($G153,L_Category,0)),"",IF(INDEX(L_CatLT,MATCH($G153,L_Category,0))="","",INDEX(L_CatLT,MATCH($G153,L_Category,0)))))</f>
        <v/>
      </c>
      <c r="Y153" s="83" t="str">
        <f aca="false">IF($AO153="","",IF(INDEX(Securities!$Q$6:$Q$105,$AO153)="","",INDEX(Securities!$Q$6:$Q$105,$AO153)))</f>
        <v/>
      </c>
      <c r="Z153" s="79" t="str">
        <f aca="false">IF($C153="","",IF(OR(NOT(ISNUMBER($H153)),$Y153=""),"No",IF($H153&lt;=GFDate,"Yes","No")))</f>
        <v/>
      </c>
      <c r="AA153" s="85" t="str">
        <f aca="false">IF(OR($M153="",$N153="",$J153=""),"",$M153*($N153-$J153))</f>
        <v/>
      </c>
      <c r="AB153" s="85" t="str">
        <f aca="false">IF(OR(N($P153)&lt;=0,$R153="",$J153=""),"",$P153*($R153-$J153))</f>
        <v/>
      </c>
      <c r="AC153" s="83" t="str">
        <f aca="false">IF(OR($M153="",$N153="",$J153=""),"",IF($Z153="Yes",MAX($J153,MIN($Y153,$N153)),$J153))</f>
        <v/>
      </c>
      <c r="AD153" s="85" t="str">
        <f aca="false">IF($AC153="","",$M153*($N153-$AC153))</f>
        <v/>
      </c>
      <c r="AE153" s="83" t="str">
        <f aca="false">IF(OR(N($P153)&lt;=0,$R153="",$J153=""),"",IF($Z153="Yes",MAX($J153,MIN($Y153,$R153)),$J153))</f>
        <v/>
      </c>
      <c r="AF153" s="85" t="str">
        <f aca="false">IF($AE153="","",$P153*($R153-$AE153))</f>
        <v/>
      </c>
      <c r="AG153" s="92" t="str">
        <f aca="false">IF(OR($V153="",$X153=""),"",MAX(0,$X153+1-$V153))</f>
        <v/>
      </c>
      <c r="AH153" s="93" t="str">
        <f aca="false">IF(OR($X153="",NOT(ISNUMBER($H153)),N($P153)&lt;=0),"",$H153+$X153+1)</f>
        <v/>
      </c>
      <c r="AI153" s="91"/>
      <c r="AJ153" s="85" t="str">
        <f aca="false">IF(OR($AI153="",N($P153)&lt;=0),"",$AI153*$P153)</f>
        <v/>
      </c>
      <c r="AK153" s="79" t="str">
        <f aca="false">IF(NOT(ISNUMBER($L153)),"",IF(MONTH($L153)&gt;=4,YEAR($L153)&amp;"-"&amp;RIGHT(YEAR($L153)+1,2),(YEAR($L153)-1)&amp;"-"&amp;RIGHT(YEAR($L153),2)))</f>
        <v/>
      </c>
      <c r="AL153" s="78"/>
      <c r="AM153" s="79" t="str">
        <f aca="false">IF($A153&amp;$B153&amp;$C153="","",IF($A153="","Missing ID",IF(COUNTIF($A$6:$A$205,$A153)&gt;1,"Duplicate ID",IF($AN153="","Unknown account",IF($AO153="","Unknown security",IF(COUNTIFS(Holdings!$B$6:$B$205,$B153,Holdings!$C$6:$C$205,$C153)=0,"No holding row for this lot",IF(OR($I153="",$J153=""),"Missing purchase quantity or rate",IF(NOT(ISNUMBER($H153)),"Missing purchase date",IF(N($H153)&gt;ValDate,"Purchase after valuation date",IF(N($M153)&gt;N($I153),"Sale quantity exceeds purchase",IF(AND(N($M153)&gt;0,OR(NOT(ISNUMBER($L153)),$N153="")),"Sale date or rate missing",IF(AND(ISNUMBER($L153),N($M153)=0),"Sale date with no quantity",IF(AND(ISNUMBER($L153),N($L153)&lt;N($H153)),"Sale before purchase",IF(N($L153)&gt;ValDate,"Sale after valuation date","OK"))))))))))))))</f>
        <v/>
      </c>
      <c r="AN153" s="89" t="str">
        <f aca="false">IF($B153="","",IFERROR(MATCH($B153,Accounts!$A$6:$A$55,0),""))</f>
        <v/>
      </c>
      <c r="AO153" s="89" t="str">
        <f aca="false">IF($C153="","",IFERROR(MATCH($C153,Securities!$A$6:$A$105,0),""))</f>
        <v/>
      </c>
      <c r="AP153" s="89" t="str">
        <f aca="false">IF($AN153="","",INDEX(Accounts!$B$6:$B$55,$AN153)&amp;"")</f>
        <v/>
      </c>
      <c r="AQ153" s="89" t="str">
        <f aca="false">IF(AND(ISNUMBER($AG153),N($P153)&gt;0),IF(AND(N($AG153)&gt;0,N($AG153)&lt;=SoonDays),1,""),"")</f>
        <v/>
      </c>
      <c r="AR153" s="89" t="str">
        <f aca="false">IF($AQ153&lt;&gt;1,"",SUMPRODUCT(($AQ$6:$AQ$205=1)*ISNUMBER($AG$6:$AG$205)*($AG$6:$AG$205&lt;$AG153))+SUMPRODUCT(($AQ$6:$AQ153=1)*ISNUMBER($AG$6:$AG153)*($AG$6:$AG153=$AG153)))</f>
        <v/>
      </c>
    </row>
    <row r="154" customFormat="false" ht="15" hidden="false" customHeight="false" outlineLevel="0" collapsed="false">
      <c r="A154" s="77"/>
      <c r="B154" s="78"/>
      <c r="C154" s="78"/>
      <c r="D154" s="79" t="str">
        <f aca="false">IF($AN154="","",INDEX(Accounts!$C$6:$C$55,$AN154)&amp;"")</f>
        <v/>
      </c>
      <c r="E154" s="79" t="str">
        <f aca="false">IF($AO154="","",INDEX(Securities!$B$6:$B$105,$AO154)&amp;"")</f>
        <v/>
      </c>
      <c r="F154" s="79" t="str">
        <f aca="false">IF($AO154="","",INDEX(Securities!$C$6:$C$105,$AO154)&amp;"")</f>
        <v/>
      </c>
      <c r="G154" s="79" t="str">
        <f aca="false">IF($AO154="","",INDEX(Securities!$E$6:$E$105,$AO154)&amp;"")</f>
        <v/>
      </c>
      <c r="H154" s="80"/>
      <c r="I154" s="81"/>
      <c r="J154" s="91"/>
      <c r="K154" s="85" t="str">
        <f aca="false">IF(OR($I154="",$J154=""),"",$I154*$J154)</f>
        <v/>
      </c>
      <c r="L154" s="80"/>
      <c r="M154" s="81"/>
      <c r="N154" s="91"/>
      <c r="O154" s="85" t="str">
        <f aca="false">IF(OR($M154="",$N154=""),"",$M154*$N154)</f>
        <v/>
      </c>
      <c r="P154" s="88" t="str">
        <f aca="false">IF($C154="","",N($I154)-N($M154))</f>
        <v/>
      </c>
      <c r="Q154" s="85" t="str">
        <f aca="false">IF(OR($P154="",$J154=""),"",$P154*$J154)</f>
        <v/>
      </c>
      <c r="R154" s="83" t="str">
        <f aca="false">IF($AO154="","",IF(INDEX(Securities!$N$6:$N$105,$AO154)="At cost",IF($J154="","",$J154),IF(INDEX(Securities!$O$6:$O$105,$AO154)="","",INDEX(Securities!$O$6:$O$105,$AO154))))</f>
        <v/>
      </c>
      <c r="S154" s="85" t="str">
        <f aca="false">IF(OR($P154="",$R154=""),"",$P154*$R154)</f>
        <v/>
      </c>
      <c r="T154" s="92" t="str">
        <f aca="false">IF(OR(NOT(ISNUMBER($L154)),NOT(ISNUMBER($H154))),"",$L154-$H154)</f>
        <v/>
      </c>
      <c r="U154" s="79" t="str">
        <f aca="false">IF($T154="","",IF($X154="","Short Term",IF($T154&gt;$X154,"Long Term","Short Term")))</f>
        <v/>
      </c>
      <c r="V154" s="92" t="str">
        <f aca="false">IF(OR(NOT(ISNUMBER($H154)),N($P154)&lt;=0),"",ValDate-$H154)</f>
        <v/>
      </c>
      <c r="W154" s="79" t="str">
        <f aca="false">IF($V154="","",IF($X154="","Short Term",IF($V154&gt;$X154,"Long Term","Short Term")))</f>
        <v/>
      </c>
      <c r="X154" s="92" t="str">
        <f aca="true">IF($G154="","",IF(ISNA(MATCH($G154,L_Category,0)),"",IF(INDEX(L_CatLT,MATCH($G154,L_Category,0))="","",INDEX(L_CatLT,MATCH($G154,L_Category,0)))))</f>
        <v/>
      </c>
      <c r="Y154" s="83" t="str">
        <f aca="false">IF($AO154="","",IF(INDEX(Securities!$Q$6:$Q$105,$AO154)="","",INDEX(Securities!$Q$6:$Q$105,$AO154)))</f>
        <v/>
      </c>
      <c r="Z154" s="79" t="str">
        <f aca="false">IF($C154="","",IF(OR(NOT(ISNUMBER($H154)),$Y154=""),"No",IF($H154&lt;=GFDate,"Yes","No")))</f>
        <v/>
      </c>
      <c r="AA154" s="85" t="str">
        <f aca="false">IF(OR($M154="",$N154="",$J154=""),"",$M154*($N154-$J154))</f>
        <v/>
      </c>
      <c r="AB154" s="85" t="str">
        <f aca="false">IF(OR(N($P154)&lt;=0,$R154="",$J154=""),"",$P154*($R154-$J154))</f>
        <v/>
      </c>
      <c r="AC154" s="83" t="str">
        <f aca="false">IF(OR($M154="",$N154="",$J154=""),"",IF($Z154="Yes",MAX($J154,MIN($Y154,$N154)),$J154))</f>
        <v/>
      </c>
      <c r="AD154" s="85" t="str">
        <f aca="false">IF($AC154="","",$M154*($N154-$AC154))</f>
        <v/>
      </c>
      <c r="AE154" s="83" t="str">
        <f aca="false">IF(OR(N($P154)&lt;=0,$R154="",$J154=""),"",IF($Z154="Yes",MAX($J154,MIN($Y154,$R154)),$J154))</f>
        <v/>
      </c>
      <c r="AF154" s="85" t="str">
        <f aca="false">IF($AE154="","",$P154*($R154-$AE154))</f>
        <v/>
      </c>
      <c r="AG154" s="92" t="str">
        <f aca="false">IF(OR($V154="",$X154=""),"",MAX(0,$X154+1-$V154))</f>
        <v/>
      </c>
      <c r="AH154" s="93" t="str">
        <f aca="false">IF(OR($X154="",NOT(ISNUMBER($H154)),N($P154)&lt;=0),"",$H154+$X154+1)</f>
        <v/>
      </c>
      <c r="AI154" s="91"/>
      <c r="AJ154" s="85" t="str">
        <f aca="false">IF(OR($AI154="",N($P154)&lt;=0),"",$AI154*$P154)</f>
        <v/>
      </c>
      <c r="AK154" s="79" t="str">
        <f aca="false">IF(NOT(ISNUMBER($L154)),"",IF(MONTH($L154)&gt;=4,YEAR($L154)&amp;"-"&amp;RIGHT(YEAR($L154)+1,2),(YEAR($L154)-1)&amp;"-"&amp;RIGHT(YEAR($L154),2)))</f>
        <v/>
      </c>
      <c r="AL154" s="78"/>
      <c r="AM154" s="79" t="str">
        <f aca="false">IF($A154&amp;$B154&amp;$C154="","",IF($A154="","Missing ID",IF(COUNTIF($A$6:$A$205,$A154)&gt;1,"Duplicate ID",IF($AN154="","Unknown account",IF($AO154="","Unknown security",IF(COUNTIFS(Holdings!$B$6:$B$205,$B154,Holdings!$C$6:$C$205,$C154)=0,"No holding row for this lot",IF(OR($I154="",$J154=""),"Missing purchase quantity or rate",IF(NOT(ISNUMBER($H154)),"Missing purchase date",IF(N($H154)&gt;ValDate,"Purchase after valuation date",IF(N($M154)&gt;N($I154),"Sale quantity exceeds purchase",IF(AND(N($M154)&gt;0,OR(NOT(ISNUMBER($L154)),$N154="")),"Sale date or rate missing",IF(AND(ISNUMBER($L154),N($M154)=0),"Sale date with no quantity",IF(AND(ISNUMBER($L154),N($L154)&lt;N($H154)),"Sale before purchase",IF(N($L154)&gt;ValDate,"Sale after valuation date","OK"))))))))))))))</f>
        <v/>
      </c>
      <c r="AN154" s="89" t="str">
        <f aca="false">IF($B154="","",IFERROR(MATCH($B154,Accounts!$A$6:$A$55,0),""))</f>
        <v/>
      </c>
      <c r="AO154" s="89" t="str">
        <f aca="false">IF($C154="","",IFERROR(MATCH($C154,Securities!$A$6:$A$105,0),""))</f>
        <v/>
      </c>
      <c r="AP154" s="89" t="str">
        <f aca="false">IF($AN154="","",INDEX(Accounts!$B$6:$B$55,$AN154)&amp;"")</f>
        <v/>
      </c>
      <c r="AQ154" s="89" t="str">
        <f aca="false">IF(AND(ISNUMBER($AG154),N($P154)&gt;0),IF(AND(N($AG154)&gt;0,N($AG154)&lt;=SoonDays),1,""),"")</f>
        <v/>
      </c>
      <c r="AR154" s="89" t="str">
        <f aca="false">IF($AQ154&lt;&gt;1,"",SUMPRODUCT(($AQ$6:$AQ$205=1)*ISNUMBER($AG$6:$AG$205)*($AG$6:$AG$205&lt;$AG154))+SUMPRODUCT(($AQ$6:$AQ154=1)*ISNUMBER($AG$6:$AG154)*($AG$6:$AG154=$AG154)))</f>
        <v/>
      </c>
    </row>
    <row r="155" customFormat="false" ht="15" hidden="false" customHeight="false" outlineLevel="0" collapsed="false">
      <c r="A155" s="77"/>
      <c r="B155" s="78"/>
      <c r="C155" s="78"/>
      <c r="D155" s="79" t="str">
        <f aca="false">IF($AN155="","",INDEX(Accounts!$C$6:$C$55,$AN155)&amp;"")</f>
        <v/>
      </c>
      <c r="E155" s="79" t="str">
        <f aca="false">IF($AO155="","",INDEX(Securities!$B$6:$B$105,$AO155)&amp;"")</f>
        <v/>
      </c>
      <c r="F155" s="79" t="str">
        <f aca="false">IF($AO155="","",INDEX(Securities!$C$6:$C$105,$AO155)&amp;"")</f>
        <v/>
      </c>
      <c r="G155" s="79" t="str">
        <f aca="false">IF($AO155="","",INDEX(Securities!$E$6:$E$105,$AO155)&amp;"")</f>
        <v/>
      </c>
      <c r="H155" s="80"/>
      <c r="I155" s="81"/>
      <c r="J155" s="91"/>
      <c r="K155" s="85" t="str">
        <f aca="false">IF(OR($I155="",$J155=""),"",$I155*$J155)</f>
        <v/>
      </c>
      <c r="L155" s="80"/>
      <c r="M155" s="81"/>
      <c r="N155" s="91"/>
      <c r="O155" s="85" t="str">
        <f aca="false">IF(OR($M155="",$N155=""),"",$M155*$N155)</f>
        <v/>
      </c>
      <c r="P155" s="88" t="str">
        <f aca="false">IF($C155="","",N($I155)-N($M155))</f>
        <v/>
      </c>
      <c r="Q155" s="85" t="str">
        <f aca="false">IF(OR($P155="",$J155=""),"",$P155*$J155)</f>
        <v/>
      </c>
      <c r="R155" s="83" t="str">
        <f aca="false">IF($AO155="","",IF(INDEX(Securities!$N$6:$N$105,$AO155)="At cost",IF($J155="","",$J155),IF(INDEX(Securities!$O$6:$O$105,$AO155)="","",INDEX(Securities!$O$6:$O$105,$AO155))))</f>
        <v/>
      </c>
      <c r="S155" s="85" t="str">
        <f aca="false">IF(OR($P155="",$R155=""),"",$P155*$R155)</f>
        <v/>
      </c>
      <c r="T155" s="92" t="str">
        <f aca="false">IF(OR(NOT(ISNUMBER($L155)),NOT(ISNUMBER($H155))),"",$L155-$H155)</f>
        <v/>
      </c>
      <c r="U155" s="79" t="str">
        <f aca="false">IF($T155="","",IF($X155="","Short Term",IF($T155&gt;$X155,"Long Term","Short Term")))</f>
        <v/>
      </c>
      <c r="V155" s="92" t="str">
        <f aca="false">IF(OR(NOT(ISNUMBER($H155)),N($P155)&lt;=0),"",ValDate-$H155)</f>
        <v/>
      </c>
      <c r="W155" s="79" t="str">
        <f aca="false">IF($V155="","",IF($X155="","Short Term",IF($V155&gt;$X155,"Long Term","Short Term")))</f>
        <v/>
      </c>
      <c r="X155" s="92" t="str">
        <f aca="true">IF($G155="","",IF(ISNA(MATCH($G155,L_Category,0)),"",IF(INDEX(L_CatLT,MATCH($G155,L_Category,0))="","",INDEX(L_CatLT,MATCH($G155,L_Category,0)))))</f>
        <v/>
      </c>
      <c r="Y155" s="83" t="str">
        <f aca="false">IF($AO155="","",IF(INDEX(Securities!$Q$6:$Q$105,$AO155)="","",INDEX(Securities!$Q$6:$Q$105,$AO155)))</f>
        <v/>
      </c>
      <c r="Z155" s="79" t="str">
        <f aca="false">IF($C155="","",IF(OR(NOT(ISNUMBER($H155)),$Y155=""),"No",IF($H155&lt;=GFDate,"Yes","No")))</f>
        <v/>
      </c>
      <c r="AA155" s="85" t="str">
        <f aca="false">IF(OR($M155="",$N155="",$J155=""),"",$M155*($N155-$J155))</f>
        <v/>
      </c>
      <c r="AB155" s="85" t="str">
        <f aca="false">IF(OR(N($P155)&lt;=0,$R155="",$J155=""),"",$P155*($R155-$J155))</f>
        <v/>
      </c>
      <c r="AC155" s="83" t="str">
        <f aca="false">IF(OR($M155="",$N155="",$J155=""),"",IF($Z155="Yes",MAX($J155,MIN($Y155,$N155)),$J155))</f>
        <v/>
      </c>
      <c r="AD155" s="85" t="str">
        <f aca="false">IF($AC155="","",$M155*($N155-$AC155))</f>
        <v/>
      </c>
      <c r="AE155" s="83" t="str">
        <f aca="false">IF(OR(N($P155)&lt;=0,$R155="",$J155=""),"",IF($Z155="Yes",MAX($J155,MIN($Y155,$R155)),$J155))</f>
        <v/>
      </c>
      <c r="AF155" s="85" t="str">
        <f aca="false">IF($AE155="","",$P155*($R155-$AE155))</f>
        <v/>
      </c>
      <c r="AG155" s="92" t="str">
        <f aca="false">IF(OR($V155="",$X155=""),"",MAX(0,$X155+1-$V155))</f>
        <v/>
      </c>
      <c r="AH155" s="93" t="str">
        <f aca="false">IF(OR($X155="",NOT(ISNUMBER($H155)),N($P155)&lt;=0),"",$H155+$X155+1)</f>
        <v/>
      </c>
      <c r="AI155" s="91"/>
      <c r="AJ155" s="85" t="str">
        <f aca="false">IF(OR($AI155="",N($P155)&lt;=0),"",$AI155*$P155)</f>
        <v/>
      </c>
      <c r="AK155" s="79" t="str">
        <f aca="false">IF(NOT(ISNUMBER($L155)),"",IF(MONTH($L155)&gt;=4,YEAR($L155)&amp;"-"&amp;RIGHT(YEAR($L155)+1,2),(YEAR($L155)-1)&amp;"-"&amp;RIGHT(YEAR($L155),2)))</f>
        <v/>
      </c>
      <c r="AL155" s="78"/>
      <c r="AM155" s="79" t="str">
        <f aca="false">IF($A155&amp;$B155&amp;$C155="","",IF($A155="","Missing ID",IF(COUNTIF($A$6:$A$205,$A155)&gt;1,"Duplicate ID",IF($AN155="","Unknown account",IF($AO155="","Unknown security",IF(COUNTIFS(Holdings!$B$6:$B$205,$B155,Holdings!$C$6:$C$205,$C155)=0,"No holding row for this lot",IF(OR($I155="",$J155=""),"Missing purchase quantity or rate",IF(NOT(ISNUMBER($H155)),"Missing purchase date",IF(N($H155)&gt;ValDate,"Purchase after valuation date",IF(N($M155)&gt;N($I155),"Sale quantity exceeds purchase",IF(AND(N($M155)&gt;0,OR(NOT(ISNUMBER($L155)),$N155="")),"Sale date or rate missing",IF(AND(ISNUMBER($L155),N($M155)=0),"Sale date with no quantity",IF(AND(ISNUMBER($L155),N($L155)&lt;N($H155)),"Sale before purchase",IF(N($L155)&gt;ValDate,"Sale after valuation date","OK"))))))))))))))</f>
        <v/>
      </c>
      <c r="AN155" s="89" t="str">
        <f aca="false">IF($B155="","",IFERROR(MATCH($B155,Accounts!$A$6:$A$55,0),""))</f>
        <v/>
      </c>
      <c r="AO155" s="89" t="str">
        <f aca="false">IF($C155="","",IFERROR(MATCH($C155,Securities!$A$6:$A$105,0),""))</f>
        <v/>
      </c>
      <c r="AP155" s="89" t="str">
        <f aca="false">IF($AN155="","",INDEX(Accounts!$B$6:$B$55,$AN155)&amp;"")</f>
        <v/>
      </c>
      <c r="AQ155" s="89" t="str">
        <f aca="false">IF(AND(ISNUMBER($AG155),N($P155)&gt;0),IF(AND(N($AG155)&gt;0,N($AG155)&lt;=SoonDays),1,""),"")</f>
        <v/>
      </c>
      <c r="AR155" s="89" t="str">
        <f aca="false">IF($AQ155&lt;&gt;1,"",SUMPRODUCT(($AQ$6:$AQ$205=1)*ISNUMBER($AG$6:$AG$205)*($AG$6:$AG$205&lt;$AG155))+SUMPRODUCT(($AQ$6:$AQ155=1)*ISNUMBER($AG$6:$AG155)*($AG$6:$AG155=$AG155)))</f>
        <v/>
      </c>
    </row>
    <row r="156" customFormat="false" ht="15" hidden="false" customHeight="false" outlineLevel="0" collapsed="false">
      <c r="A156" s="77"/>
      <c r="B156" s="78"/>
      <c r="C156" s="78"/>
      <c r="D156" s="79" t="str">
        <f aca="false">IF($AN156="","",INDEX(Accounts!$C$6:$C$55,$AN156)&amp;"")</f>
        <v/>
      </c>
      <c r="E156" s="79" t="str">
        <f aca="false">IF($AO156="","",INDEX(Securities!$B$6:$B$105,$AO156)&amp;"")</f>
        <v/>
      </c>
      <c r="F156" s="79" t="str">
        <f aca="false">IF($AO156="","",INDEX(Securities!$C$6:$C$105,$AO156)&amp;"")</f>
        <v/>
      </c>
      <c r="G156" s="79" t="str">
        <f aca="false">IF($AO156="","",INDEX(Securities!$E$6:$E$105,$AO156)&amp;"")</f>
        <v/>
      </c>
      <c r="H156" s="80"/>
      <c r="I156" s="81"/>
      <c r="J156" s="91"/>
      <c r="K156" s="85" t="str">
        <f aca="false">IF(OR($I156="",$J156=""),"",$I156*$J156)</f>
        <v/>
      </c>
      <c r="L156" s="80"/>
      <c r="M156" s="81"/>
      <c r="N156" s="91"/>
      <c r="O156" s="85" t="str">
        <f aca="false">IF(OR($M156="",$N156=""),"",$M156*$N156)</f>
        <v/>
      </c>
      <c r="P156" s="88" t="str">
        <f aca="false">IF($C156="","",N($I156)-N($M156))</f>
        <v/>
      </c>
      <c r="Q156" s="85" t="str">
        <f aca="false">IF(OR($P156="",$J156=""),"",$P156*$J156)</f>
        <v/>
      </c>
      <c r="R156" s="83" t="str">
        <f aca="false">IF($AO156="","",IF(INDEX(Securities!$N$6:$N$105,$AO156)="At cost",IF($J156="","",$J156),IF(INDEX(Securities!$O$6:$O$105,$AO156)="","",INDEX(Securities!$O$6:$O$105,$AO156))))</f>
        <v/>
      </c>
      <c r="S156" s="85" t="str">
        <f aca="false">IF(OR($P156="",$R156=""),"",$P156*$R156)</f>
        <v/>
      </c>
      <c r="T156" s="92" t="str">
        <f aca="false">IF(OR(NOT(ISNUMBER($L156)),NOT(ISNUMBER($H156))),"",$L156-$H156)</f>
        <v/>
      </c>
      <c r="U156" s="79" t="str">
        <f aca="false">IF($T156="","",IF($X156="","Short Term",IF($T156&gt;$X156,"Long Term","Short Term")))</f>
        <v/>
      </c>
      <c r="V156" s="92" t="str">
        <f aca="false">IF(OR(NOT(ISNUMBER($H156)),N($P156)&lt;=0),"",ValDate-$H156)</f>
        <v/>
      </c>
      <c r="W156" s="79" t="str">
        <f aca="false">IF($V156="","",IF($X156="","Short Term",IF($V156&gt;$X156,"Long Term","Short Term")))</f>
        <v/>
      </c>
      <c r="X156" s="92" t="str">
        <f aca="true">IF($G156="","",IF(ISNA(MATCH($G156,L_Category,0)),"",IF(INDEX(L_CatLT,MATCH($G156,L_Category,0))="","",INDEX(L_CatLT,MATCH($G156,L_Category,0)))))</f>
        <v/>
      </c>
      <c r="Y156" s="83" t="str">
        <f aca="false">IF($AO156="","",IF(INDEX(Securities!$Q$6:$Q$105,$AO156)="","",INDEX(Securities!$Q$6:$Q$105,$AO156)))</f>
        <v/>
      </c>
      <c r="Z156" s="79" t="str">
        <f aca="false">IF($C156="","",IF(OR(NOT(ISNUMBER($H156)),$Y156=""),"No",IF($H156&lt;=GFDate,"Yes","No")))</f>
        <v/>
      </c>
      <c r="AA156" s="85" t="str">
        <f aca="false">IF(OR($M156="",$N156="",$J156=""),"",$M156*($N156-$J156))</f>
        <v/>
      </c>
      <c r="AB156" s="85" t="str">
        <f aca="false">IF(OR(N($P156)&lt;=0,$R156="",$J156=""),"",$P156*($R156-$J156))</f>
        <v/>
      </c>
      <c r="AC156" s="83" t="str">
        <f aca="false">IF(OR($M156="",$N156="",$J156=""),"",IF($Z156="Yes",MAX($J156,MIN($Y156,$N156)),$J156))</f>
        <v/>
      </c>
      <c r="AD156" s="85" t="str">
        <f aca="false">IF($AC156="","",$M156*($N156-$AC156))</f>
        <v/>
      </c>
      <c r="AE156" s="83" t="str">
        <f aca="false">IF(OR(N($P156)&lt;=0,$R156="",$J156=""),"",IF($Z156="Yes",MAX($J156,MIN($Y156,$R156)),$J156))</f>
        <v/>
      </c>
      <c r="AF156" s="85" t="str">
        <f aca="false">IF($AE156="","",$P156*($R156-$AE156))</f>
        <v/>
      </c>
      <c r="AG156" s="92" t="str">
        <f aca="false">IF(OR($V156="",$X156=""),"",MAX(0,$X156+1-$V156))</f>
        <v/>
      </c>
      <c r="AH156" s="93" t="str">
        <f aca="false">IF(OR($X156="",NOT(ISNUMBER($H156)),N($P156)&lt;=0),"",$H156+$X156+1)</f>
        <v/>
      </c>
      <c r="AI156" s="91"/>
      <c r="AJ156" s="85" t="str">
        <f aca="false">IF(OR($AI156="",N($P156)&lt;=0),"",$AI156*$P156)</f>
        <v/>
      </c>
      <c r="AK156" s="79" t="str">
        <f aca="false">IF(NOT(ISNUMBER($L156)),"",IF(MONTH($L156)&gt;=4,YEAR($L156)&amp;"-"&amp;RIGHT(YEAR($L156)+1,2),(YEAR($L156)-1)&amp;"-"&amp;RIGHT(YEAR($L156),2)))</f>
        <v/>
      </c>
      <c r="AL156" s="78"/>
      <c r="AM156" s="79" t="str">
        <f aca="false">IF($A156&amp;$B156&amp;$C156="","",IF($A156="","Missing ID",IF(COUNTIF($A$6:$A$205,$A156)&gt;1,"Duplicate ID",IF($AN156="","Unknown account",IF($AO156="","Unknown security",IF(COUNTIFS(Holdings!$B$6:$B$205,$B156,Holdings!$C$6:$C$205,$C156)=0,"No holding row for this lot",IF(OR($I156="",$J156=""),"Missing purchase quantity or rate",IF(NOT(ISNUMBER($H156)),"Missing purchase date",IF(N($H156)&gt;ValDate,"Purchase after valuation date",IF(N($M156)&gt;N($I156),"Sale quantity exceeds purchase",IF(AND(N($M156)&gt;0,OR(NOT(ISNUMBER($L156)),$N156="")),"Sale date or rate missing",IF(AND(ISNUMBER($L156),N($M156)=0),"Sale date with no quantity",IF(AND(ISNUMBER($L156),N($L156)&lt;N($H156)),"Sale before purchase",IF(N($L156)&gt;ValDate,"Sale after valuation date","OK"))))))))))))))</f>
        <v/>
      </c>
      <c r="AN156" s="89" t="str">
        <f aca="false">IF($B156="","",IFERROR(MATCH($B156,Accounts!$A$6:$A$55,0),""))</f>
        <v/>
      </c>
      <c r="AO156" s="89" t="str">
        <f aca="false">IF($C156="","",IFERROR(MATCH($C156,Securities!$A$6:$A$105,0),""))</f>
        <v/>
      </c>
      <c r="AP156" s="89" t="str">
        <f aca="false">IF($AN156="","",INDEX(Accounts!$B$6:$B$55,$AN156)&amp;"")</f>
        <v/>
      </c>
      <c r="AQ156" s="89" t="str">
        <f aca="false">IF(AND(ISNUMBER($AG156),N($P156)&gt;0),IF(AND(N($AG156)&gt;0,N($AG156)&lt;=SoonDays),1,""),"")</f>
        <v/>
      </c>
      <c r="AR156" s="89" t="str">
        <f aca="false">IF($AQ156&lt;&gt;1,"",SUMPRODUCT(($AQ$6:$AQ$205=1)*ISNUMBER($AG$6:$AG$205)*($AG$6:$AG$205&lt;$AG156))+SUMPRODUCT(($AQ$6:$AQ156=1)*ISNUMBER($AG$6:$AG156)*($AG$6:$AG156=$AG156)))</f>
        <v/>
      </c>
    </row>
    <row r="157" customFormat="false" ht="15" hidden="false" customHeight="false" outlineLevel="0" collapsed="false">
      <c r="A157" s="77"/>
      <c r="B157" s="78"/>
      <c r="C157" s="78"/>
      <c r="D157" s="79" t="str">
        <f aca="false">IF($AN157="","",INDEX(Accounts!$C$6:$C$55,$AN157)&amp;"")</f>
        <v/>
      </c>
      <c r="E157" s="79" t="str">
        <f aca="false">IF($AO157="","",INDEX(Securities!$B$6:$B$105,$AO157)&amp;"")</f>
        <v/>
      </c>
      <c r="F157" s="79" t="str">
        <f aca="false">IF($AO157="","",INDEX(Securities!$C$6:$C$105,$AO157)&amp;"")</f>
        <v/>
      </c>
      <c r="G157" s="79" t="str">
        <f aca="false">IF($AO157="","",INDEX(Securities!$E$6:$E$105,$AO157)&amp;"")</f>
        <v/>
      </c>
      <c r="H157" s="80"/>
      <c r="I157" s="81"/>
      <c r="J157" s="91"/>
      <c r="K157" s="85" t="str">
        <f aca="false">IF(OR($I157="",$J157=""),"",$I157*$J157)</f>
        <v/>
      </c>
      <c r="L157" s="80"/>
      <c r="M157" s="81"/>
      <c r="N157" s="91"/>
      <c r="O157" s="85" t="str">
        <f aca="false">IF(OR($M157="",$N157=""),"",$M157*$N157)</f>
        <v/>
      </c>
      <c r="P157" s="88" t="str">
        <f aca="false">IF($C157="","",N($I157)-N($M157))</f>
        <v/>
      </c>
      <c r="Q157" s="85" t="str">
        <f aca="false">IF(OR($P157="",$J157=""),"",$P157*$J157)</f>
        <v/>
      </c>
      <c r="R157" s="83" t="str">
        <f aca="false">IF($AO157="","",IF(INDEX(Securities!$N$6:$N$105,$AO157)="At cost",IF($J157="","",$J157),IF(INDEX(Securities!$O$6:$O$105,$AO157)="","",INDEX(Securities!$O$6:$O$105,$AO157))))</f>
        <v/>
      </c>
      <c r="S157" s="85" t="str">
        <f aca="false">IF(OR($P157="",$R157=""),"",$P157*$R157)</f>
        <v/>
      </c>
      <c r="T157" s="92" t="str">
        <f aca="false">IF(OR(NOT(ISNUMBER($L157)),NOT(ISNUMBER($H157))),"",$L157-$H157)</f>
        <v/>
      </c>
      <c r="U157" s="79" t="str">
        <f aca="false">IF($T157="","",IF($X157="","Short Term",IF($T157&gt;$X157,"Long Term","Short Term")))</f>
        <v/>
      </c>
      <c r="V157" s="92" t="str">
        <f aca="false">IF(OR(NOT(ISNUMBER($H157)),N($P157)&lt;=0),"",ValDate-$H157)</f>
        <v/>
      </c>
      <c r="W157" s="79" t="str">
        <f aca="false">IF($V157="","",IF($X157="","Short Term",IF($V157&gt;$X157,"Long Term","Short Term")))</f>
        <v/>
      </c>
      <c r="X157" s="92" t="str">
        <f aca="true">IF($G157="","",IF(ISNA(MATCH($G157,L_Category,0)),"",IF(INDEX(L_CatLT,MATCH($G157,L_Category,0))="","",INDEX(L_CatLT,MATCH($G157,L_Category,0)))))</f>
        <v/>
      </c>
      <c r="Y157" s="83" t="str">
        <f aca="false">IF($AO157="","",IF(INDEX(Securities!$Q$6:$Q$105,$AO157)="","",INDEX(Securities!$Q$6:$Q$105,$AO157)))</f>
        <v/>
      </c>
      <c r="Z157" s="79" t="str">
        <f aca="false">IF($C157="","",IF(OR(NOT(ISNUMBER($H157)),$Y157=""),"No",IF($H157&lt;=GFDate,"Yes","No")))</f>
        <v/>
      </c>
      <c r="AA157" s="85" t="str">
        <f aca="false">IF(OR($M157="",$N157="",$J157=""),"",$M157*($N157-$J157))</f>
        <v/>
      </c>
      <c r="AB157" s="85" t="str">
        <f aca="false">IF(OR(N($P157)&lt;=0,$R157="",$J157=""),"",$P157*($R157-$J157))</f>
        <v/>
      </c>
      <c r="AC157" s="83" t="str">
        <f aca="false">IF(OR($M157="",$N157="",$J157=""),"",IF($Z157="Yes",MAX($J157,MIN($Y157,$N157)),$J157))</f>
        <v/>
      </c>
      <c r="AD157" s="85" t="str">
        <f aca="false">IF($AC157="","",$M157*($N157-$AC157))</f>
        <v/>
      </c>
      <c r="AE157" s="83" t="str">
        <f aca="false">IF(OR(N($P157)&lt;=0,$R157="",$J157=""),"",IF($Z157="Yes",MAX($J157,MIN($Y157,$R157)),$J157))</f>
        <v/>
      </c>
      <c r="AF157" s="85" t="str">
        <f aca="false">IF($AE157="","",$P157*($R157-$AE157))</f>
        <v/>
      </c>
      <c r="AG157" s="92" t="str">
        <f aca="false">IF(OR($V157="",$X157=""),"",MAX(0,$X157+1-$V157))</f>
        <v/>
      </c>
      <c r="AH157" s="93" t="str">
        <f aca="false">IF(OR($X157="",NOT(ISNUMBER($H157)),N($P157)&lt;=0),"",$H157+$X157+1)</f>
        <v/>
      </c>
      <c r="AI157" s="91"/>
      <c r="AJ157" s="85" t="str">
        <f aca="false">IF(OR($AI157="",N($P157)&lt;=0),"",$AI157*$P157)</f>
        <v/>
      </c>
      <c r="AK157" s="79" t="str">
        <f aca="false">IF(NOT(ISNUMBER($L157)),"",IF(MONTH($L157)&gt;=4,YEAR($L157)&amp;"-"&amp;RIGHT(YEAR($L157)+1,2),(YEAR($L157)-1)&amp;"-"&amp;RIGHT(YEAR($L157),2)))</f>
        <v/>
      </c>
      <c r="AL157" s="78"/>
      <c r="AM157" s="79" t="str">
        <f aca="false">IF($A157&amp;$B157&amp;$C157="","",IF($A157="","Missing ID",IF(COUNTIF($A$6:$A$205,$A157)&gt;1,"Duplicate ID",IF($AN157="","Unknown account",IF($AO157="","Unknown security",IF(COUNTIFS(Holdings!$B$6:$B$205,$B157,Holdings!$C$6:$C$205,$C157)=0,"No holding row for this lot",IF(OR($I157="",$J157=""),"Missing purchase quantity or rate",IF(NOT(ISNUMBER($H157)),"Missing purchase date",IF(N($H157)&gt;ValDate,"Purchase after valuation date",IF(N($M157)&gt;N($I157),"Sale quantity exceeds purchase",IF(AND(N($M157)&gt;0,OR(NOT(ISNUMBER($L157)),$N157="")),"Sale date or rate missing",IF(AND(ISNUMBER($L157),N($M157)=0),"Sale date with no quantity",IF(AND(ISNUMBER($L157),N($L157)&lt;N($H157)),"Sale before purchase",IF(N($L157)&gt;ValDate,"Sale after valuation date","OK"))))))))))))))</f>
        <v/>
      </c>
      <c r="AN157" s="89" t="str">
        <f aca="false">IF($B157="","",IFERROR(MATCH($B157,Accounts!$A$6:$A$55,0),""))</f>
        <v/>
      </c>
      <c r="AO157" s="89" t="str">
        <f aca="false">IF($C157="","",IFERROR(MATCH($C157,Securities!$A$6:$A$105,0),""))</f>
        <v/>
      </c>
      <c r="AP157" s="89" t="str">
        <f aca="false">IF($AN157="","",INDEX(Accounts!$B$6:$B$55,$AN157)&amp;"")</f>
        <v/>
      </c>
      <c r="AQ157" s="89" t="str">
        <f aca="false">IF(AND(ISNUMBER($AG157),N($P157)&gt;0),IF(AND(N($AG157)&gt;0,N($AG157)&lt;=SoonDays),1,""),"")</f>
        <v/>
      </c>
      <c r="AR157" s="89" t="str">
        <f aca="false">IF($AQ157&lt;&gt;1,"",SUMPRODUCT(($AQ$6:$AQ$205=1)*ISNUMBER($AG$6:$AG$205)*($AG$6:$AG$205&lt;$AG157))+SUMPRODUCT(($AQ$6:$AQ157=1)*ISNUMBER($AG$6:$AG157)*($AG$6:$AG157=$AG157)))</f>
        <v/>
      </c>
    </row>
    <row r="158" customFormat="false" ht="15" hidden="false" customHeight="false" outlineLevel="0" collapsed="false">
      <c r="A158" s="77"/>
      <c r="B158" s="78"/>
      <c r="C158" s="78"/>
      <c r="D158" s="79" t="str">
        <f aca="false">IF($AN158="","",INDEX(Accounts!$C$6:$C$55,$AN158)&amp;"")</f>
        <v/>
      </c>
      <c r="E158" s="79" t="str">
        <f aca="false">IF($AO158="","",INDEX(Securities!$B$6:$B$105,$AO158)&amp;"")</f>
        <v/>
      </c>
      <c r="F158" s="79" t="str">
        <f aca="false">IF($AO158="","",INDEX(Securities!$C$6:$C$105,$AO158)&amp;"")</f>
        <v/>
      </c>
      <c r="G158" s="79" t="str">
        <f aca="false">IF($AO158="","",INDEX(Securities!$E$6:$E$105,$AO158)&amp;"")</f>
        <v/>
      </c>
      <c r="H158" s="80"/>
      <c r="I158" s="81"/>
      <c r="J158" s="91"/>
      <c r="K158" s="85" t="str">
        <f aca="false">IF(OR($I158="",$J158=""),"",$I158*$J158)</f>
        <v/>
      </c>
      <c r="L158" s="80"/>
      <c r="M158" s="81"/>
      <c r="N158" s="91"/>
      <c r="O158" s="85" t="str">
        <f aca="false">IF(OR($M158="",$N158=""),"",$M158*$N158)</f>
        <v/>
      </c>
      <c r="P158" s="88" t="str">
        <f aca="false">IF($C158="","",N($I158)-N($M158))</f>
        <v/>
      </c>
      <c r="Q158" s="85" t="str">
        <f aca="false">IF(OR($P158="",$J158=""),"",$P158*$J158)</f>
        <v/>
      </c>
      <c r="R158" s="83" t="str">
        <f aca="false">IF($AO158="","",IF(INDEX(Securities!$N$6:$N$105,$AO158)="At cost",IF($J158="","",$J158),IF(INDEX(Securities!$O$6:$O$105,$AO158)="","",INDEX(Securities!$O$6:$O$105,$AO158))))</f>
        <v/>
      </c>
      <c r="S158" s="85" t="str">
        <f aca="false">IF(OR($P158="",$R158=""),"",$P158*$R158)</f>
        <v/>
      </c>
      <c r="T158" s="92" t="str">
        <f aca="false">IF(OR(NOT(ISNUMBER($L158)),NOT(ISNUMBER($H158))),"",$L158-$H158)</f>
        <v/>
      </c>
      <c r="U158" s="79" t="str">
        <f aca="false">IF($T158="","",IF($X158="","Short Term",IF($T158&gt;$X158,"Long Term","Short Term")))</f>
        <v/>
      </c>
      <c r="V158" s="92" t="str">
        <f aca="false">IF(OR(NOT(ISNUMBER($H158)),N($P158)&lt;=0),"",ValDate-$H158)</f>
        <v/>
      </c>
      <c r="W158" s="79" t="str">
        <f aca="false">IF($V158="","",IF($X158="","Short Term",IF($V158&gt;$X158,"Long Term","Short Term")))</f>
        <v/>
      </c>
      <c r="X158" s="92" t="str">
        <f aca="true">IF($G158="","",IF(ISNA(MATCH($G158,L_Category,0)),"",IF(INDEX(L_CatLT,MATCH($G158,L_Category,0))="","",INDEX(L_CatLT,MATCH($G158,L_Category,0)))))</f>
        <v/>
      </c>
      <c r="Y158" s="83" t="str">
        <f aca="false">IF($AO158="","",IF(INDEX(Securities!$Q$6:$Q$105,$AO158)="","",INDEX(Securities!$Q$6:$Q$105,$AO158)))</f>
        <v/>
      </c>
      <c r="Z158" s="79" t="str">
        <f aca="false">IF($C158="","",IF(OR(NOT(ISNUMBER($H158)),$Y158=""),"No",IF($H158&lt;=GFDate,"Yes","No")))</f>
        <v/>
      </c>
      <c r="AA158" s="85" t="str">
        <f aca="false">IF(OR($M158="",$N158="",$J158=""),"",$M158*($N158-$J158))</f>
        <v/>
      </c>
      <c r="AB158" s="85" t="str">
        <f aca="false">IF(OR(N($P158)&lt;=0,$R158="",$J158=""),"",$P158*($R158-$J158))</f>
        <v/>
      </c>
      <c r="AC158" s="83" t="str">
        <f aca="false">IF(OR($M158="",$N158="",$J158=""),"",IF($Z158="Yes",MAX($J158,MIN($Y158,$N158)),$J158))</f>
        <v/>
      </c>
      <c r="AD158" s="85" t="str">
        <f aca="false">IF($AC158="","",$M158*($N158-$AC158))</f>
        <v/>
      </c>
      <c r="AE158" s="83" t="str">
        <f aca="false">IF(OR(N($P158)&lt;=0,$R158="",$J158=""),"",IF($Z158="Yes",MAX($J158,MIN($Y158,$R158)),$J158))</f>
        <v/>
      </c>
      <c r="AF158" s="85" t="str">
        <f aca="false">IF($AE158="","",$P158*($R158-$AE158))</f>
        <v/>
      </c>
      <c r="AG158" s="92" t="str">
        <f aca="false">IF(OR($V158="",$X158=""),"",MAX(0,$X158+1-$V158))</f>
        <v/>
      </c>
      <c r="AH158" s="93" t="str">
        <f aca="false">IF(OR($X158="",NOT(ISNUMBER($H158)),N($P158)&lt;=0),"",$H158+$X158+1)</f>
        <v/>
      </c>
      <c r="AI158" s="91"/>
      <c r="AJ158" s="85" t="str">
        <f aca="false">IF(OR($AI158="",N($P158)&lt;=0),"",$AI158*$P158)</f>
        <v/>
      </c>
      <c r="AK158" s="79" t="str">
        <f aca="false">IF(NOT(ISNUMBER($L158)),"",IF(MONTH($L158)&gt;=4,YEAR($L158)&amp;"-"&amp;RIGHT(YEAR($L158)+1,2),(YEAR($L158)-1)&amp;"-"&amp;RIGHT(YEAR($L158),2)))</f>
        <v/>
      </c>
      <c r="AL158" s="78"/>
      <c r="AM158" s="79" t="str">
        <f aca="false">IF($A158&amp;$B158&amp;$C158="","",IF($A158="","Missing ID",IF(COUNTIF($A$6:$A$205,$A158)&gt;1,"Duplicate ID",IF($AN158="","Unknown account",IF($AO158="","Unknown security",IF(COUNTIFS(Holdings!$B$6:$B$205,$B158,Holdings!$C$6:$C$205,$C158)=0,"No holding row for this lot",IF(OR($I158="",$J158=""),"Missing purchase quantity or rate",IF(NOT(ISNUMBER($H158)),"Missing purchase date",IF(N($H158)&gt;ValDate,"Purchase after valuation date",IF(N($M158)&gt;N($I158),"Sale quantity exceeds purchase",IF(AND(N($M158)&gt;0,OR(NOT(ISNUMBER($L158)),$N158="")),"Sale date or rate missing",IF(AND(ISNUMBER($L158),N($M158)=0),"Sale date with no quantity",IF(AND(ISNUMBER($L158),N($L158)&lt;N($H158)),"Sale before purchase",IF(N($L158)&gt;ValDate,"Sale after valuation date","OK"))))))))))))))</f>
        <v/>
      </c>
      <c r="AN158" s="89" t="str">
        <f aca="false">IF($B158="","",IFERROR(MATCH($B158,Accounts!$A$6:$A$55,0),""))</f>
        <v/>
      </c>
      <c r="AO158" s="89" t="str">
        <f aca="false">IF($C158="","",IFERROR(MATCH($C158,Securities!$A$6:$A$105,0),""))</f>
        <v/>
      </c>
      <c r="AP158" s="89" t="str">
        <f aca="false">IF($AN158="","",INDEX(Accounts!$B$6:$B$55,$AN158)&amp;"")</f>
        <v/>
      </c>
      <c r="AQ158" s="89" t="str">
        <f aca="false">IF(AND(ISNUMBER($AG158),N($P158)&gt;0),IF(AND(N($AG158)&gt;0,N($AG158)&lt;=SoonDays),1,""),"")</f>
        <v/>
      </c>
      <c r="AR158" s="89" t="str">
        <f aca="false">IF($AQ158&lt;&gt;1,"",SUMPRODUCT(($AQ$6:$AQ$205=1)*ISNUMBER($AG$6:$AG$205)*($AG$6:$AG$205&lt;$AG158))+SUMPRODUCT(($AQ$6:$AQ158=1)*ISNUMBER($AG$6:$AG158)*($AG$6:$AG158=$AG158)))</f>
        <v/>
      </c>
    </row>
    <row r="159" customFormat="false" ht="15" hidden="false" customHeight="false" outlineLevel="0" collapsed="false">
      <c r="A159" s="77"/>
      <c r="B159" s="78"/>
      <c r="C159" s="78"/>
      <c r="D159" s="79" t="str">
        <f aca="false">IF($AN159="","",INDEX(Accounts!$C$6:$C$55,$AN159)&amp;"")</f>
        <v/>
      </c>
      <c r="E159" s="79" t="str">
        <f aca="false">IF($AO159="","",INDEX(Securities!$B$6:$B$105,$AO159)&amp;"")</f>
        <v/>
      </c>
      <c r="F159" s="79" t="str">
        <f aca="false">IF($AO159="","",INDEX(Securities!$C$6:$C$105,$AO159)&amp;"")</f>
        <v/>
      </c>
      <c r="G159" s="79" t="str">
        <f aca="false">IF($AO159="","",INDEX(Securities!$E$6:$E$105,$AO159)&amp;"")</f>
        <v/>
      </c>
      <c r="H159" s="80"/>
      <c r="I159" s="81"/>
      <c r="J159" s="91"/>
      <c r="K159" s="85" t="str">
        <f aca="false">IF(OR($I159="",$J159=""),"",$I159*$J159)</f>
        <v/>
      </c>
      <c r="L159" s="80"/>
      <c r="M159" s="81"/>
      <c r="N159" s="91"/>
      <c r="O159" s="85" t="str">
        <f aca="false">IF(OR($M159="",$N159=""),"",$M159*$N159)</f>
        <v/>
      </c>
      <c r="P159" s="88" t="str">
        <f aca="false">IF($C159="","",N($I159)-N($M159))</f>
        <v/>
      </c>
      <c r="Q159" s="85" t="str">
        <f aca="false">IF(OR($P159="",$J159=""),"",$P159*$J159)</f>
        <v/>
      </c>
      <c r="R159" s="83" t="str">
        <f aca="false">IF($AO159="","",IF(INDEX(Securities!$N$6:$N$105,$AO159)="At cost",IF($J159="","",$J159),IF(INDEX(Securities!$O$6:$O$105,$AO159)="","",INDEX(Securities!$O$6:$O$105,$AO159))))</f>
        <v/>
      </c>
      <c r="S159" s="85" t="str">
        <f aca="false">IF(OR($P159="",$R159=""),"",$P159*$R159)</f>
        <v/>
      </c>
      <c r="T159" s="92" t="str">
        <f aca="false">IF(OR(NOT(ISNUMBER($L159)),NOT(ISNUMBER($H159))),"",$L159-$H159)</f>
        <v/>
      </c>
      <c r="U159" s="79" t="str">
        <f aca="false">IF($T159="","",IF($X159="","Short Term",IF($T159&gt;$X159,"Long Term","Short Term")))</f>
        <v/>
      </c>
      <c r="V159" s="92" t="str">
        <f aca="false">IF(OR(NOT(ISNUMBER($H159)),N($P159)&lt;=0),"",ValDate-$H159)</f>
        <v/>
      </c>
      <c r="W159" s="79" t="str">
        <f aca="false">IF($V159="","",IF($X159="","Short Term",IF($V159&gt;$X159,"Long Term","Short Term")))</f>
        <v/>
      </c>
      <c r="X159" s="92" t="str">
        <f aca="true">IF($G159="","",IF(ISNA(MATCH($G159,L_Category,0)),"",IF(INDEX(L_CatLT,MATCH($G159,L_Category,0))="","",INDEX(L_CatLT,MATCH($G159,L_Category,0)))))</f>
        <v/>
      </c>
      <c r="Y159" s="83" t="str">
        <f aca="false">IF($AO159="","",IF(INDEX(Securities!$Q$6:$Q$105,$AO159)="","",INDEX(Securities!$Q$6:$Q$105,$AO159)))</f>
        <v/>
      </c>
      <c r="Z159" s="79" t="str">
        <f aca="false">IF($C159="","",IF(OR(NOT(ISNUMBER($H159)),$Y159=""),"No",IF($H159&lt;=GFDate,"Yes","No")))</f>
        <v/>
      </c>
      <c r="AA159" s="85" t="str">
        <f aca="false">IF(OR($M159="",$N159="",$J159=""),"",$M159*($N159-$J159))</f>
        <v/>
      </c>
      <c r="AB159" s="85" t="str">
        <f aca="false">IF(OR(N($P159)&lt;=0,$R159="",$J159=""),"",$P159*($R159-$J159))</f>
        <v/>
      </c>
      <c r="AC159" s="83" t="str">
        <f aca="false">IF(OR($M159="",$N159="",$J159=""),"",IF($Z159="Yes",MAX($J159,MIN($Y159,$N159)),$J159))</f>
        <v/>
      </c>
      <c r="AD159" s="85" t="str">
        <f aca="false">IF($AC159="","",$M159*($N159-$AC159))</f>
        <v/>
      </c>
      <c r="AE159" s="83" t="str">
        <f aca="false">IF(OR(N($P159)&lt;=0,$R159="",$J159=""),"",IF($Z159="Yes",MAX($J159,MIN($Y159,$R159)),$J159))</f>
        <v/>
      </c>
      <c r="AF159" s="85" t="str">
        <f aca="false">IF($AE159="","",$P159*($R159-$AE159))</f>
        <v/>
      </c>
      <c r="AG159" s="92" t="str">
        <f aca="false">IF(OR($V159="",$X159=""),"",MAX(0,$X159+1-$V159))</f>
        <v/>
      </c>
      <c r="AH159" s="93" t="str">
        <f aca="false">IF(OR($X159="",NOT(ISNUMBER($H159)),N($P159)&lt;=0),"",$H159+$X159+1)</f>
        <v/>
      </c>
      <c r="AI159" s="91"/>
      <c r="AJ159" s="85" t="str">
        <f aca="false">IF(OR($AI159="",N($P159)&lt;=0),"",$AI159*$P159)</f>
        <v/>
      </c>
      <c r="AK159" s="79" t="str">
        <f aca="false">IF(NOT(ISNUMBER($L159)),"",IF(MONTH($L159)&gt;=4,YEAR($L159)&amp;"-"&amp;RIGHT(YEAR($L159)+1,2),(YEAR($L159)-1)&amp;"-"&amp;RIGHT(YEAR($L159),2)))</f>
        <v/>
      </c>
      <c r="AL159" s="78"/>
      <c r="AM159" s="79" t="str">
        <f aca="false">IF($A159&amp;$B159&amp;$C159="","",IF($A159="","Missing ID",IF(COUNTIF($A$6:$A$205,$A159)&gt;1,"Duplicate ID",IF($AN159="","Unknown account",IF($AO159="","Unknown security",IF(COUNTIFS(Holdings!$B$6:$B$205,$B159,Holdings!$C$6:$C$205,$C159)=0,"No holding row for this lot",IF(OR($I159="",$J159=""),"Missing purchase quantity or rate",IF(NOT(ISNUMBER($H159)),"Missing purchase date",IF(N($H159)&gt;ValDate,"Purchase after valuation date",IF(N($M159)&gt;N($I159),"Sale quantity exceeds purchase",IF(AND(N($M159)&gt;0,OR(NOT(ISNUMBER($L159)),$N159="")),"Sale date or rate missing",IF(AND(ISNUMBER($L159),N($M159)=0),"Sale date with no quantity",IF(AND(ISNUMBER($L159),N($L159)&lt;N($H159)),"Sale before purchase",IF(N($L159)&gt;ValDate,"Sale after valuation date","OK"))))))))))))))</f>
        <v/>
      </c>
      <c r="AN159" s="89" t="str">
        <f aca="false">IF($B159="","",IFERROR(MATCH($B159,Accounts!$A$6:$A$55,0),""))</f>
        <v/>
      </c>
      <c r="AO159" s="89" t="str">
        <f aca="false">IF($C159="","",IFERROR(MATCH($C159,Securities!$A$6:$A$105,0),""))</f>
        <v/>
      </c>
      <c r="AP159" s="89" t="str">
        <f aca="false">IF($AN159="","",INDEX(Accounts!$B$6:$B$55,$AN159)&amp;"")</f>
        <v/>
      </c>
      <c r="AQ159" s="89" t="str">
        <f aca="false">IF(AND(ISNUMBER($AG159),N($P159)&gt;0),IF(AND(N($AG159)&gt;0,N($AG159)&lt;=SoonDays),1,""),"")</f>
        <v/>
      </c>
      <c r="AR159" s="89" t="str">
        <f aca="false">IF($AQ159&lt;&gt;1,"",SUMPRODUCT(($AQ$6:$AQ$205=1)*ISNUMBER($AG$6:$AG$205)*($AG$6:$AG$205&lt;$AG159))+SUMPRODUCT(($AQ$6:$AQ159=1)*ISNUMBER($AG$6:$AG159)*($AG$6:$AG159=$AG159)))</f>
        <v/>
      </c>
    </row>
    <row r="160" customFormat="false" ht="15" hidden="false" customHeight="false" outlineLevel="0" collapsed="false">
      <c r="A160" s="77"/>
      <c r="B160" s="78"/>
      <c r="C160" s="78"/>
      <c r="D160" s="79" t="str">
        <f aca="false">IF($AN160="","",INDEX(Accounts!$C$6:$C$55,$AN160)&amp;"")</f>
        <v/>
      </c>
      <c r="E160" s="79" t="str">
        <f aca="false">IF($AO160="","",INDEX(Securities!$B$6:$B$105,$AO160)&amp;"")</f>
        <v/>
      </c>
      <c r="F160" s="79" t="str">
        <f aca="false">IF($AO160="","",INDEX(Securities!$C$6:$C$105,$AO160)&amp;"")</f>
        <v/>
      </c>
      <c r="G160" s="79" t="str">
        <f aca="false">IF($AO160="","",INDEX(Securities!$E$6:$E$105,$AO160)&amp;"")</f>
        <v/>
      </c>
      <c r="H160" s="80"/>
      <c r="I160" s="81"/>
      <c r="J160" s="91"/>
      <c r="K160" s="85" t="str">
        <f aca="false">IF(OR($I160="",$J160=""),"",$I160*$J160)</f>
        <v/>
      </c>
      <c r="L160" s="80"/>
      <c r="M160" s="81"/>
      <c r="N160" s="91"/>
      <c r="O160" s="85" t="str">
        <f aca="false">IF(OR($M160="",$N160=""),"",$M160*$N160)</f>
        <v/>
      </c>
      <c r="P160" s="88" t="str">
        <f aca="false">IF($C160="","",N($I160)-N($M160))</f>
        <v/>
      </c>
      <c r="Q160" s="85" t="str">
        <f aca="false">IF(OR($P160="",$J160=""),"",$P160*$J160)</f>
        <v/>
      </c>
      <c r="R160" s="83" t="str">
        <f aca="false">IF($AO160="","",IF(INDEX(Securities!$N$6:$N$105,$AO160)="At cost",IF($J160="","",$J160),IF(INDEX(Securities!$O$6:$O$105,$AO160)="","",INDEX(Securities!$O$6:$O$105,$AO160))))</f>
        <v/>
      </c>
      <c r="S160" s="85" t="str">
        <f aca="false">IF(OR($P160="",$R160=""),"",$P160*$R160)</f>
        <v/>
      </c>
      <c r="T160" s="92" t="str">
        <f aca="false">IF(OR(NOT(ISNUMBER($L160)),NOT(ISNUMBER($H160))),"",$L160-$H160)</f>
        <v/>
      </c>
      <c r="U160" s="79" t="str">
        <f aca="false">IF($T160="","",IF($X160="","Short Term",IF($T160&gt;$X160,"Long Term","Short Term")))</f>
        <v/>
      </c>
      <c r="V160" s="92" t="str">
        <f aca="false">IF(OR(NOT(ISNUMBER($H160)),N($P160)&lt;=0),"",ValDate-$H160)</f>
        <v/>
      </c>
      <c r="W160" s="79" t="str">
        <f aca="false">IF($V160="","",IF($X160="","Short Term",IF($V160&gt;$X160,"Long Term","Short Term")))</f>
        <v/>
      </c>
      <c r="X160" s="92" t="str">
        <f aca="true">IF($G160="","",IF(ISNA(MATCH($G160,L_Category,0)),"",IF(INDEX(L_CatLT,MATCH($G160,L_Category,0))="","",INDEX(L_CatLT,MATCH($G160,L_Category,0)))))</f>
        <v/>
      </c>
      <c r="Y160" s="83" t="str">
        <f aca="false">IF($AO160="","",IF(INDEX(Securities!$Q$6:$Q$105,$AO160)="","",INDEX(Securities!$Q$6:$Q$105,$AO160)))</f>
        <v/>
      </c>
      <c r="Z160" s="79" t="str">
        <f aca="false">IF($C160="","",IF(OR(NOT(ISNUMBER($H160)),$Y160=""),"No",IF($H160&lt;=GFDate,"Yes","No")))</f>
        <v/>
      </c>
      <c r="AA160" s="85" t="str">
        <f aca="false">IF(OR($M160="",$N160="",$J160=""),"",$M160*($N160-$J160))</f>
        <v/>
      </c>
      <c r="AB160" s="85" t="str">
        <f aca="false">IF(OR(N($P160)&lt;=0,$R160="",$J160=""),"",$P160*($R160-$J160))</f>
        <v/>
      </c>
      <c r="AC160" s="83" t="str">
        <f aca="false">IF(OR($M160="",$N160="",$J160=""),"",IF($Z160="Yes",MAX($J160,MIN($Y160,$N160)),$J160))</f>
        <v/>
      </c>
      <c r="AD160" s="85" t="str">
        <f aca="false">IF($AC160="","",$M160*($N160-$AC160))</f>
        <v/>
      </c>
      <c r="AE160" s="83" t="str">
        <f aca="false">IF(OR(N($P160)&lt;=0,$R160="",$J160=""),"",IF($Z160="Yes",MAX($J160,MIN($Y160,$R160)),$J160))</f>
        <v/>
      </c>
      <c r="AF160" s="85" t="str">
        <f aca="false">IF($AE160="","",$P160*($R160-$AE160))</f>
        <v/>
      </c>
      <c r="AG160" s="92" t="str">
        <f aca="false">IF(OR($V160="",$X160=""),"",MAX(0,$X160+1-$V160))</f>
        <v/>
      </c>
      <c r="AH160" s="93" t="str">
        <f aca="false">IF(OR($X160="",NOT(ISNUMBER($H160)),N($P160)&lt;=0),"",$H160+$X160+1)</f>
        <v/>
      </c>
      <c r="AI160" s="91"/>
      <c r="AJ160" s="85" t="str">
        <f aca="false">IF(OR($AI160="",N($P160)&lt;=0),"",$AI160*$P160)</f>
        <v/>
      </c>
      <c r="AK160" s="79" t="str">
        <f aca="false">IF(NOT(ISNUMBER($L160)),"",IF(MONTH($L160)&gt;=4,YEAR($L160)&amp;"-"&amp;RIGHT(YEAR($L160)+1,2),(YEAR($L160)-1)&amp;"-"&amp;RIGHT(YEAR($L160),2)))</f>
        <v/>
      </c>
      <c r="AL160" s="78"/>
      <c r="AM160" s="79" t="str">
        <f aca="false">IF($A160&amp;$B160&amp;$C160="","",IF($A160="","Missing ID",IF(COUNTIF($A$6:$A$205,$A160)&gt;1,"Duplicate ID",IF($AN160="","Unknown account",IF($AO160="","Unknown security",IF(COUNTIFS(Holdings!$B$6:$B$205,$B160,Holdings!$C$6:$C$205,$C160)=0,"No holding row for this lot",IF(OR($I160="",$J160=""),"Missing purchase quantity or rate",IF(NOT(ISNUMBER($H160)),"Missing purchase date",IF(N($H160)&gt;ValDate,"Purchase after valuation date",IF(N($M160)&gt;N($I160),"Sale quantity exceeds purchase",IF(AND(N($M160)&gt;0,OR(NOT(ISNUMBER($L160)),$N160="")),"Sale date or rate missing",IF(AND(ISNUMBER($L160),N($M160)=0),"Sale date with no quantity",IF(AND(ISNUMBER($L160),N($L160)&lt;N($H160)),"Sale before purchase",IF(N($L160)&gt;ValDate,"Sale after valuation date","OK"))))))))))))))</f>
        <v/>
      </c>
      <c r="AN160" s="89" t="str">
        <f aca="false">IF($B160="","",IFERROR(MATCH($B160,Accounts!$A$6:$A$55,0),""))</f>
        <v/>
      </c>
      <c r="AO160" s="89" t="str">
        <f aca="false">IF($C160="","",IFERROR(MATCH($C160,Securities!$A$6:$A$105,0),""))</f>
        <v/>
      </c>
      <c r="AP160" s="89" t="str">
        <f aca="false">IF($AN160="","",INDEX(Accounts!$B$6:$B$55,$AN160)&amp;"")</f>
        <v/>
      </c>
      <c r="AQ160" s="89" t="str">
        <f aca="false">IF(AND(ISNUMBER($AG160),N($P160)&gt;0),IF(AND(N($AG160)&gt;0,N($AG160)&lt;=SoonDays),1,""),"")</f>
        <v/>
      </c>
      <c r="AR160" s="89" t="str">
        <f aca="false">IF($AQ160&lt;&gt;1,"",SUMPRODUCT(($AQ$6:$AQ$205=1)*ISNUMBER($AG$6:$AG$205)*($AG$6:$AG$205&lt;$AG160))+SUMPRODUCT(($AQ$6:$AQ160=1)*ISNUMBER($AG$6:$AG160)*($AG$6:$AG160=$AG160)))</f>
        <v/>
      </c>
    </row>
    <row r="161" customFormat="false" ht="15" hidden="false" customHeight="false" outlineLevel="0" collapsed="false">
      <c r="A161" s="77"/>
      <c r="B161" s="78"/>
      <c r="C161" s="78"/>
      <c r="D161" s="79" t="str">
        <f aca="false">IF($AN161="","",INDEX(Accounts!$C$6:$C$55,$AN161)&amp;"")</f>
        <v/>
      </c>
      <c r="E161" s="79" t="str">
        <f aca="false">IF($AO161="","",INDEX(Securities!$B$6:$B$105,$AO161)&amp;"")</f>
        <v/>
      </c>
      <c r="F161" s="79" t="str">
        <f aca="false">IF($AO161="","",INDEX(Securities!$C$6:$C$105,$AO161)&amp;"")</f>
        <v/>
      </c>
      <c r="G161" s="79" t="str">
        <f aca="false">IF($AO161="","",INDEX(Securities!$E$6:$E$105,$AO161)&amp;"")</f>
        <v/>
      </c>
      <c r="H161" s="80"/>
      <c r="I161" s="81"/>
      <c r="J161" s="91"/>
      <c r="K161" s="85" t="str">
        <f aca="false">IF(OR($I161="",$J161=""),"",$I161*$J161)</f>
        <v/>
      </c>
      <c r="L161" s="80"/>
      <c r="M161" s="81"/>
      <c r="N161" s="91"/>
      <c r="O161" s="85" t="str">
        <f aca="false">IF(OR($M161="",$N161=""),"",$M161*$N161)</f>
        <v/>
      </c>
      <c r="P161" s="88" t="str">
        <f aca="false">IF($C161="","",N($I161)-N($M161))</f>
        <v/>
      </c>
      <c r="Q161" s="85" t="str">
        <f aca="false">IF(OR($P161="",$J161=""),"",$P161*$J161)</f>
        <v/>
      </c>
      <c r="R161" s="83" t="str">
        <f aca="false">IF($AO161="","",IF(INDEX(Securities!$N$6:$N$105,$AO161)="At cost",IF($J161="","",$J161),IF(INDEX(Securities!$O$6:$O$105,$AO161)="","",INDEX(Securities!$O$6:$O$105,$AO161))))</f>
        <v/>
      </c>
      <c r="S161" s="85" t="str">
        <f aca="false">IF(OR($P161="",$R161=""),"",$P161*$R161)</f>
        <v/>
      </c>
      <c r="T161" s="92" t="str">
        <f aca="false">IF(OR(NOT(ISNUMBER($L161)),NOT(ISNUMBER($H161))),"",$L161-$H161)</f>
        <v/>
      </c>
      <c r="U161" s="79" t="str">
        <f aca="false">IF($T161="","",IF($X161="","Short Term",IF($T161&gt;$X161,"Long Term","Short Term")))</f>
        <v/>
      </c>
      <c r="V161" s="92" t="str">
        <f aca="false">IF(OR(NOT(ISNUMBER($H161)),N($P161)&lt;=0),"",ValDate-$H161)</f>
        <v/>
      </c>
      <c r="W161" s="79" t="str">
        <f aca="false">IF($V161="","",IF($X161="","Short Term",IF($V161&gt;$X161,"Long Term","Short Term")))</f>
        <v/>
      </c>
      <c r="X161" s="92" t="str">
        <f aca="true">IF($G161="","",IF(ISNA(MATCH($G161,L_Category,0)),"",IF(INDEX(L_CatLT,MATCH($G161,L_Category,0))="","",INDEX(L_CatLT,MATCH($G161,L_Category,0)))))</f>
        <v/>
      </c>
      <c r="Y161" s="83" t="str">
        <f aca="false">IF($AO161="","",IF(INDEX(Securities!$Q$6:$Q$105,$AO161)="","",INDEX(Securities!$Q$6:$Q$105,$AO161)))</f>
        <v/>
      </c>
      <c r="Z161" s="79" t="str">
        <f aca="false">IF($C161="","",IF(OR(NOT(ISNUMBER($H161)),$Y161=""),"No",IF($H161&lt;=GFDate,"Yes","No")))</f>
        <v/>
      </c>
      <c r="AA161" s="85" t="str">
        <f aca="false">IF(OR($M161="",$N161="",$J161=""),"",$M161*($N161-$J161))</f>
        <v/>
      </c>
      <c r="AB161" s="85" t="str">
        <f aca="false">IF(OR(N($P161)&lt;=0,$R161="",$J161=""),"",$P161*($R161-$J161))</f>
        <v/>
      </c>
      <c r="AC161" s="83" t="str">
        <f aca="false">IF(OR($M161="",$N161="",$J161=""),"",IF($Z161="Yes",MAX($J161,MIN($Y161,$N161)),$J161))</f>
        <v/>
      </c>
      <c r="AD161" s="85" t="str">
        <f aca="false">IF($AC161="","",$M161*($N161-$AC161))</f>
        <v/>
      </c>
      <c r="AE161" s="83" t="str">
        <f aca="false">IF(OR(N($P161)&lt;=0,$R161="",$J161=""),"",IF($Z161="Yes",MAX($J161,MIN($Y161,$R161)),$J161))</f>
        <v/>
      </c>
      <c r="AF161" s="85" t="str">
        <f aca="false">IF($AE161="","",$P161*($R161-$AE161))</f>
        <v/>
      </c>
      <c r="AG161" s="92" t="str">
        <f aca="false">IF(OR($V161="",$X161=""),"",MAX(0,$X161+1-$V161))</f>
        <v/>
      </c>
      <c r="AH161" s="93" t="str">
        <f aca="false">IF(OR($X161="",NOT(ISNUMBER($H161)),N($P161)&lt;=0),"",$H161+$X161+1)</f>
        <v/>
      </c>
      <c r="AI161" s="91"/>
      <c r="AJ161" s="85" t="str">
        <f aca="false">IF(OR($AI161="",N($P161)&lt;=0),"",$AI161*$P161)</f>
        <v/>
      </c>
      <c r="AK161" s="79" t="str">
        <f aca="false">IF(NOT(ISNUMBER($L161)),"",IF(MONTH($L161)&gt;=4,YEAR($L161)&amp;"-"&amp;RIGHT(YEAR($L161)+1,2),(YEAR($L161)-1)&amp;"-"&amp;RIGHT(YEAR($L161),2)))</f>
        <v/>
      </c>
      <c r="AL161" s="78"/>
      <c r="AM161" s="79" t="str">
        <f aca="false">IF($A161&amp;$B161&amp;$C161="","",IF($A161="","Missing ID",IF(COUNTIF($A$6:$A$205,$A161)&gt;1,"Duplicate ID",IF($AN161="","Unknown account",IF($AO161="","Unknown security",IF(COUNTIFS(Holdings!$B$6:$B$205,$B161,Holdings!$C$6:$C$205,$C161)=0,"No holding row for this lot",IF(OR($I161="",$J161=""),"Missing purchase quantity or rate",IF(NOT(ISNUMBER($H161)),"Missing purchase date",IF(N($H161)&gt;ValDate,"Purchase after valuation date",IF(N($M161)&gt;N($I161),"Sale quantity exceeds purchase",IF(AND(N($M161)&gt;0,OR(NOT(ISNUMBER($L161)),$N161="")),"Sale date or rate missing",IF(AND(ISNUMBER($L161),N($M161)=0),"Sale date with no quantity",IF(AND(ISNUMBER($L161),N($L161)&lt;N($H161)),"Sale before purchase",IF(N($L161)&gt;ValDate,"Sale after valuation date","OK"))))))))))))))</f>
        <v/>
      </c>
      <c r="AN161" s="89" t="str">
        <f aca="false">IF($B161="","",IFERROR(MATCH($B161,Accounts!$A$6:$A$55,0),""))</f>
        <v/>
      </c>
      <c r="AO161" s="89" t="str">
        <f aca="false">IF($C161="","",IFERROR(MATCH($C161,Securities!$A$6:$A$105,0),""))</f>
        <v/>
      </c>
      <c r="AP161" s="89" t="str">
        <f aca="false">IF($AN161="","",INDEX(Accounts!$B$6:$B$55,$AN161)&amp;"")</f>
        <v/>
      </c>
      <c r="AQ161" s="89" t="str">
        <f aca="false">IF(AND(ISNUMBER($AG161),N($P161)&gt;0),IF(AND(N($AG161)&gt;0,N($AG161)&lt;=SoonDays),1,""),"")</f>
        <v/>
      </c>
      <c r="AR161" s="89" t="str">
        <f aca="false">IF($AQ161&lt;&gt;1,"",SUMPRODUCT(($AQ$6:$AQ$205=1)*ISNUMBER($AG$6:$AG$205)*($AG$6:$AG$205&lt;$AG161))+SUMPRODUCT(($AQ$6:$AQ161=1)*ISNUMBER($AG$6:$AG161)*($AG$6:$AG161=$AG161)))</f>
        <v/>
      </c>
    </row>
    <row r="162" customFormat="false" ht="15" hidden="false" customHeight="false" outlineLevel="0" collapsed="false">
      <c r="A162" s="77"/>
      <c r="B162" s="78"/>
      <c r="C162" s="78"/>
      <c r="D162" s="79" t="str">
        <f aca="false">IF($AN162="","",INDEX(Accounts!$C$6:$C$55,$AN162)&amp;"")</f>
        <v/>
      </c>
      <c r="E162" s="79" t="str">
        <f aca="false">IF($AO162="","",INDEX(Securities!$B$6:$B$105,$AO162)&amp;"")</f>
        <v/>
      </c>
      <c r="F162" s="79" t="str">
        <f aca="false">IF($AO162="","",INDEX(Securities!$C$6:$C$105,$AO162)&amp;"")</f>
        <v/>
      </c>
      <c r="G162" s="79" t="str">
        <f aca="false">IF($AO162="","",INDEX(Securities!$E$6:$E$105,$AO162)&amp;"")</f>
        <v/>
      </c>
      <c r="H162" s="80"/>
      <c r="I162" s="81"/>
      <c r="J162" s="91"/>
      <c r="K162" s="85" t="str">
        <f aca="false">IF(OR($I162="",$J162=""),"",$I162*$J162)</f>
        <v/>
      </c>
      <c r="L162" s="80"/>
      <c r="M162" s="81"/>
      <c r="N162" s="91"/>
      <c r="O162" s="85" t="str">
        <f aca="false">IF(OR($M162="",$N162=""),"",$M162*$N162)</f>
        <v/>
      </c>
      <c r="P162" s="88" t="str">
        <f aca="false">IF($C162="","",N($I162)-N($M162))</f>
        <v/>
      </c>
      <c r="Q162" s="85" t="str">
        <f aca="false">IF(OR($P162="",$J162=""),"",$P162*$J162)</f>
        <v/>
      </c>
      <c r="R162" s="83" t="str">
        <f aca="false">IF($AO162="","",IF(INDEX(Securities!$N$6:$N$105,$AO162)="At cost",IF($J162="","",$J162),IF(INDEX(Securities!$O$6:$O$105,$AO162)="","",INDEX(Securities!$O$6:$O$105,$AO162))))</f>
        <v/>
      </c>
      <c r="S162" s="85" t="str">
        <f aca="false">IF(OR($P162="",$R162=""),"",$P162*$R162)</f>
        <v/>
      </c>
      <c r="T162" s="92" t="str">
        <f aca="false">IF(OR(NOT(ISNUMBER($L162)),NOT(ISNUMBER($H162))),"",$L162-$H162)</f>
        <v/>
      </c>
      <c r="U162" s="79" t="str">
        <f aca="false">IF($T162="","",IF($X162="","Short Term",IF($T162&gt;$X162,"Long Term","Short Term")))</f>
        <v/>
      </c>
      <c r="V162" s="92" t="str">
        <f aca="false">IF(OR(NOT(ISNUMBER($H162)),N($P162)&lt;=0),"",ValDate-$H162)</f>
        <v/>
      </c>
      <c r="W162" s="79" t="str">
        <f aca="false">IF($V162="","",IF($X162="","Short Term",IF($V162&gt;$X162,"Long Term","Short Term")))</f>
        <v/>
      </c>
      <c r="X162" s="92" t="str">
        <f aca="true">IF($G162="","",IF(ISNA(MATCH($G162,L_Category,0)),"",IF(INDEX(L_CatLT,MATCH($G162,L_Category,0))="","",INDEX(L_CatLT,MATCH($G162,L_Category,0)))))</f>
        <v/>
      </c>
      <c r="Y162" s="83" t="str">
        <f aca="false">IF($AO162="","",IF(INDEX(Securities!$Q$6:$Q$105,$AO162)="","",INDEX(Securities!$Q$6:$Q$105,$AO162)))</f>
        <v/>
      </c>
      <c r="Z162" s="79" t="str">
        <f aca="false">IF($C162="","",IF(OR(NOT(ISNUMBER($H162)),$Y162=""),"No",IF($H162&lt;=GFDate,"Yes","No")))</f>
        <v/>
      </c>
      <c r="AA162" s="85" t="str">
        <f aca="false">IF(OR($M162="",$N162="",$J162=""),"",$M162*($N162-$J162))</f>
        <v/>
      </c>
      <c r="AB162" s="85" t="str">
        <f aca="false">IF(OR(N($P162)&lt;=0,$R162="",$J162=""),"",$P162*($R162-$J162))</f>
        <v/>
      </c>
      <c r="AC162" s="83" t="str">
        <f aca="false">IF(OR($M162="",$N162="",$J162=""),"",IF($Z162="Yes",MAX($J162,MIN($Y162,$N162)),$J162))</f>
        <v/>
      </c>
      <c r="AD162" s="85" t="str">
        <f aca="false">IF($AC162="","",$M162*($N162-$AC162))</f>
        <v/>
      </c>
      <c r="AE162" s="83" t="str">
        <f aca="false">IF(OR(N($P162)&lt;=0,$R162="",$J162=""),"",IF($Z162="Yes",MAX($J162,MIN($Y162,$R162)),$J162))</f>
        <v/>
      </c>
      <c r="AF162" s="85" t="str">
        <f aca="false">IF($AE162="","",$P162*($R162-$AE162))</f>
        <v/>
      </c>
      <c r="AG162" s="92" t="str">
        <f aca="false">IF(OR($V162="",$X162=""),"",MAX(0,$X162+1-$V162))</f>
        <v/>
      </c>
      <c r="AH162" s="93" t="str">
        <f aca="false">IF(OR($X162="",NOT(ISNUMBER($H162)),N($P162)&lt;=0),"",$H162+$X162+1)</f>
        <v/>
      </c>
      <c r="AI162" s="91"/>
      <c r="AJ162" s="85" t="str">
        <f aca="false">IF(OR($AI162="",N($P162)&lt;=0),"",$AI162*$P162)</f>
        <v/>
      </c>
      <c r="AK162" s="79" t="str">
        <f aca="false">IF(NOT(ISNUMBER($L162)),"",IF(MONTH($L162)&gt;=4,YEAR($L162)&amp;"-"&amp;RIGHT(YEAR($L162)+1,2),(YEAR($L162)-1)&amp;"-"&amp;RIGHT(YEAR($L162),2)))</f>
        <v/>
      </c>
      <c r="AL162" s="78"/>
      <c r="AM162" s="79" t="str">
        <f aca="false">IF($A162&amp;$B162&amp;$C162="","",IF($A162="","Missing ID",IF(COUNTIF($A$6:$A$205,$A162)&gt;1,"Duplicate ID",IF($AN162="","Unknown account",IF($AO162="","Unknown security",IF(COUNTIFS(Holdings!$B$6:$B$205,$B162,Holdings!$C$6:$C$205,$C162)=0,"No holding row for this lot",IF(OR($I162="",$J162=""),"Missing purchase quantity or rate",IF(NOT(ISNUMBER($H162)),"Missing purchase date",IF(N($H162)&gt;ValDate,"Purchase after valuation date",IF(N($M162)&gt;N($I162),"Sale quantity exceeds purchase",IF(AND(N($M162)&gt;0,OR(NOT(ISNUMBER($L162)),$N162="")),"Sale date or rate missing",IF(AND(ISNUMBER($L162),N($M162)=0),"Sale date with no quantity",IF(AND(ISNUMBER($L162),N($L162)&lt;N($H162)),"Sale before purchase",IF(N($L162)&gt;ValDate,"Sale after valuation date","OK"))))))))))))))</f>
        <v/>
      </c>
      <c r="AN162" s="89" t="str">
        <f aca="false">IF($B162="","",IFERROR(MATCH($B162,Accounts!$A$6:$A$55,0),""))</f>
        <v/>
      </c>
      <c r="AO162" s="89" t="str">
        <f aca="false">IF($C162="","",IFERROR(MATCH($C162,Securities!$A$6:$A$105,0),""))</f>
        <v/>
      </c>
      <c r="AP162" s="89" t="str">
        <f aca="false">IF($AN162="","",INDEX(Accounts!$B$6:$B$55,$AN162)&amp;"")</f>
        <v/>
      </c>
      <c r="AQ162" s="89" t="str">
        <f aca="false">IF(AND(ISNUMBER($AG162),N($P162)&gt;0),IF(AND(N($AG162)&gt;0,N($AG162)&lt;=SoonDays),1,""),"")</f>
        <v/>
      </c>
      <c r="AR162" s="89" t="str">
        <f aca="false">IF($AQ162&lt;&gt;1,"",SUMPRODUCT(($AQ$6:$AQ$205=1)*ISNUMBER($AG$6:$AG$205)*($AG$6:$AG$205&lt;$AG162))+SUMPRODUCT(($AQ$6:$AQ162=1)*ISNUMBER($AG$6:$AG162)*($AG$6:$AG162=$AG162)))</f>
        <v/>
      </c>
    </row>
    <row r="163" customFormat="false" ht="15" hidden="false" customHeight="false" outlineLevel="0" collapsed="false">
      <c r="A163" s="77"/>
      <c r="B163" s="78"/>
      <c r="C163" s="78"/>
      <c r="D163" s="79" t="str">
        <f aca="false">IF($AN163="","",INDEX(Accounts!$C$6:$C$55,$AN163)&amp;"")</f>
        <v/>
      </c>
      <c r="E163" s="79" t="str">
        <f aca="false">IF($AO163="","",INDEX(Securities!$B$6:$B$105,$AO163)&amp;"")</f>
        <v/>
      </c>
      <c r="F163" s="79" t="str">
        <f aca="false">IF($AO163="","",INDEX(Securities!$C$6:$C$105,$AO163)&amp;"")</f>
        <v/>
      </c>
      <c r="G163" s="79" t="str">
        <f aca="false">IF($AO163="","",INDEX(Securities!$E$6:$E$105,$AO163)&amp;"")</f>
        <v/>
      </c>
      <c r="H163" s="80"/>
      <c r="I163" s="81"/>
      <c r="J163" s="91"/>
      <c r="K163" s="85" t="str">
        <f aca="false">IF(OR($I163="",$J163=""),"",$I163*$J163)</f>
        <v/>
      </c>
      <c r="L163" s="80"/>
      <c r="M163" s="81"/>
      <c r="N163" s="91"/>
      <c r="O163" s="85" t="str">
        <f aca="false">IF(OR($M163="",$N163=""),"",$M163*$N163)</f>
        <v/>
      </c>
      <c r="P163" s="88" t="str">
        <f aca="false">IF($C163="","",N($I163)-N($M163))</f>
        <v/>
      </c>
      <c r="Q163" s="85" t="str">
        <f aca="false">IF(OR($P163="",$J163=""),"",$P163*$J163)</f>
        <v/>
      </c>
      <c r="R163" s="83" t="str">
        <f aca="false">IF($AO163="","",IF(INDEX(Securities!$N$6:$N$105,$AO163)="At cost",IF($J163="","",$J163),IF(INDEX(Securities!$O$6:$O$105,$AO163)="","",INDEX(Securities!$O$6:$O$105,$AO163))))</f>
        <v/>
      </c>
      <c r="S163" s="85" t="str">
        <f aca="false">IF(OR($P163="",$R163=""),"",$P163*$R163)</f>
        <v/>
      </c>
      <c r="T163" s="92" t="str">
        <f aca="false">IF(OR(NOT(ISNUMBER($L163)),NOT(ISNUMBER($H163))),"",$L163-$H163)</f>
        <v/>
      </c>
      <c r="U163" s="79" t="str">
        <f aca="false">IF($T163="","",IF($X163="","Short Term",IF($T163&gt;$X163,"Long Term","Short Term")))</f>
        <v/>
      </c>
      <c r="V163" s="92" t="str">
        <f aca="false">IF(OR(NOT(ISNUMBER($H163)),N($P163)&lt;=0),"",ValDate-$H163)</f>
        <v/>
      </c>
      <c r="W163" s="79" t="str">
        <f aca="false">IF($V163="","",IF($X163="","Short Term",IF($V163&gt;$X163,"Long Term","Short Term")))</f>
        <v/>
      </c>
      <c r="X163" s="92" t="str">
        <f aca="true">IF($G163="","",IF(ISNA(MATCH($G163,L_Category,0)),"",IF(INDEX(L_CatLT,MATCH($G163,L_Category,0))="","",INDEX(L_CatLT,MATCH($G163,L_Category,0)))))</f>
        <v/>
      </c>
      <c r="Y163" s="83" t="str">
        <f aca="false">IF($AO163="","",IF(INDEX(Securities!$Q$6:$Q$105,$AO163)="","",INDEX(Securities!$Q$6:$Q$105,$AO163)))</f>
        <v/>
      </c>
      <c r="Z163" s="79" t="str">
        <f aca="false">IF($C163="","",IF(OR(NOT(ISNUMBER($H163)),$Y163=""),"No",IF($H163&lt;=GFDate,"Yes","No")))</f>
        <v/>
      </c>
      <c r="AA163" s="85" t="str">
        <f aca="false">IF(OR($M163="",$N163="",$J163=""),"",$M163*($N163-$J163))</f>
        <v/>
      </c>
      <c r="AB163" s="85" t="str">
        <f aca="false">IF(OR(N($P163)&lt;=0,$R163="",$J163=""),"",$P163*($R163-$J163))</f>
        <v/>
      </c>
      <c r="AC163" s="83" t="str">
        <f aca="false">IF(OR($M163="",$N163="",$J163=""),"",IF($Z163="Yes",MAX($J163,MIN($Y163,$N163)),$J163))</f>
        <v/>
      </c>
      <c r="AD163" s="85" t="str">
        <f aca="false">IF($AC163="","",$M163*($N163-$AC163))</f>
        <v/>
      </c>
      <c r="AE163" s="83" t="str">
        <f aca="false">IF(OR(N($P163)&lt;=0,$R163="",$J163=""),"",IF($Z163="Yes",MAX($J163,MIN($Y163,$R163)),$J163))</f>
        <v/>
      </c>
      <c r="AF163" s="85" t="str">
        <f aca="false">IF($AE163="","",$P163*($R163-$AE163))</f>
        <v/>
      </c>
      <c r="AG163" s="92" t="str">
        <f aca="false">IF(OR($V163="",$X163=""),"",MAX(0,$X163+1-$V163))</f>
        <v/>
      </c>
      <c r="AH163" s="93" t="str">
        <f aca="false">IF(OR($X163="",NOT(ISNUMBER($H163)),N($P163)&lt;=0),"",$H163+$X163+1)</f>
        <v/>
      </c>
      <c r="AI163" s="91"/>
      <c r="AJ163" s="85" t="str">
        <f aca="false">IF(OR($AI163="",N($P163)&lt;=0),"",$AI163*$P163)</f>
        <v/>
      </c>
      <c r="AK163" s="79" t="str">
        <f aca="false">IF(NOT(ISNUMBER($L163)),"",IF(MONTH($L163)&gt;=4,YEAR($L163)&amp;"-"&amp;RIGHT(YEAR($L163)+1,2),(YEAR($L163)-1)&amp;"-"&amp;RIGHT(YEAR($L163),2)))</f>
        <v/>
      </c>
      <c r="AL163" s="78"/>
      <c r="AM163" s="79" t="str">
        <f aca="false">IF($A163&amp;$B163&amp;$C163="","",IF($A163="","Missing ID",IF(COUNTIF($A$6:$A$205,$A163)&gt;1,"Duplicate ID",IF($AN163="","Unknown account",IF($AO163="","Unknown security",IF(COUNTIFS(Holdings!$B$6:$B$205,$B163,Holdings!$C$6:$C$205,$C163)=0,"No holding row for this lot",IF(OR($I163="",$J163=""),"Missing purchase quantity or rate",IF(NOT(ISNUMBER($H163)),"Missing purchase date",IF(N($H163)&gt;ValDate,"Purchase after valuation date",IF(N($M163)&gt;N($I163),"Sale quantity exceeds purchase",IF(AND(N($M163)&gt;0,OR(NOT(ISNUMBER($L163)),$N163="")),"Sale date or rate missing",IF(AND(ISNUMBER($L163),N($M163)=0),"Sale date with no quantity",IF(AND(ISNUMBER($L163),N($L163)&lt;N($H163)),"Sale before purchase",IF(N($L163)&gt;ValDate,"Sale after valuation date","OK"))))))))))))))</f>
        <v/>
      </c>
      <c r="AN163" s="89" t="str">
        <f aca="false">IF($B163="","",IFERROR(MATCH($B163,Accounts!$A$6:$A$55,0),""))</f>
        <v/>
      </c>
      <c r="AO163" s="89" t="str">
        <f aca="false">IF($C163="","",IFERROR(MATCH($C163,Securities!$A$6:$A$105,0),""))</f>
        <v/>
      </c>
      <c r="AP163" s="89" t="str">
        <f aca="false">IF($AN163="","",INDEX(Accounts!$B$6:$B$55,$AN163)&amp;"")</f>
        <v/>
      </c>
      <c r="AQ163" s="89" t="str">
        <f aca="false">IF(AND(ISNUMBER($AG163),N($P163)&gt;0),IF(AND(N($AG163)&gt;0,N($AG163)&lt;=SoonDays),1,""),"")</f>
        <v/>
      </c>
      <c r="AR163" s="89" t="str">
        <f aca="false">IF($AQ163&lt;&gt;1,"",SUMPRODUCT(($AQ$6:$AQ$205=1)*ISNUMBER($AG$6:$AG$205)*($AG$6:$AG$205&lt;$AG163))+SUMPRODUCT(($AQ$6:$AQ163=1)*ISNUMBER($AG$6:$AG163)*($AG$6:$AG163=$AG163)))</f>
        <v/>
      </c>
    </row>
    <row r="164" customFormat="false" ht="15" hidden="false" customHeight="false" outlineLevel="0" collapsed="false">
      <c r="A164" s="77"/>
      <c r="B164" s="78"/>
      <c r="C164" s="78"/>
      <c r="D164" s="79" t="str">
        <f aca="false">IF($AN164="","",INDEX(Accounts!$C$6:$C$55,$AN164)&amp;"")</f>
        <v/>
      </c>
      <c r="E164" s="79" t="str">
        <f aca="false">IF($AO164="","",INDEX(Securities!$B$6:$B$105,$AO164)&amp;"")</f>
        <v/>
      </c>
      <c r="F164" s="79" t="str">
        <f aca="false">IF($AO164="","",INDEX(Securities!$C$6:$C$105,$AO164)&amp;"")</f>
        <v/>
      </c>
      <c r="G164" s="79" t="str">
        <f aca="false">IF($AO164="","",INDEX(Securities!$E$6:$E$105,$AO164)&amp;"")</f>
        <v/>
      </c>
      <c r="H164" s="80"/>
      <c r="I164" s="81"/>
      <c r="J164" s="91"/>
      <c r="K164" s="85" t="str">
        <f aca="false">IF(OR($I164="",$J164=""),"",$I164*$J164)</f>
        <v/>
      </c>
      <c r="L164" s="80"/>
      <c r="M164" s="81"/>
      <c r="N164" s="91"/>
      <c r="O164" s="85" t="str">
        <f aca="false">IF(OR($M164="",$N164=""),"",$M164*$N164)</f>
        <v/>
      </c>
      <c r="P164" s="88" t="str">
        <f aca="false">IF($C164="","",N($I164)-N($M164))</f>
        <v/>
      </c>
      <c r="Q164" s="85" t="str">
        <f aca="false">IF(OR($P164="",$J164=""),"",$P164*$J164)</f>
        <v/>
      </c>
      <c r="R164" s="83" t="str">
        <f aca="false">IF($AO164="","",IF(INDEX(Securities!$N$6:$N$105,$AO164)="At cost",IF($J164="","",$J164),IF(INDEX(Securities!$O$6:$O$105,$AO164)="","",INDEX(Securities!$O$6:$O$105,$AO164))))</f>
        <v/>
      </c>
      <c r="S164" s="85" t="str">
        <f aca="false">IF(OR($P164="",$R164=""),"",$P164*$R164)</f>
        <v/>
      </c>
      <c r="T164" s="92" t="str">
        <f aca="false">IF(OR(NOT(ISNUMBER($L164)),NOT(ISNUMBER($H164))),"",$L164-$H164)</f>
        <v/>
      </c>
      <c r="U164" s="79" t="str">
        <f aca="false">IF($T164="","",IF($X164="","Short Term",IF($T164&gt;$X164,"Long Term","Short Term")))</f>
        <v/>
      </c>
      <c r="V164" s="92" t="str">
        <f aca="false">IF(OR(NOT(ISNUMBER($H164)),N($P164)&lt;=0),"",ValDate-$H164)</f>
        <v/>
      </c>
      <c r="W164" s="79" t="str">
        <f aca="false">IF($V164="","",IF($X164="","Short Term",IF($V164&gt;$X164,"Long Term","Short Term")))</f>
        <v/>
      </c>
      <c r="X164" s="92" t="str">
        <f aca="true">IF($G164="","",IF(ISNA(MATCH($G164,L_Category,0)),"",IF(INDEX(L_CatLT,MATCH($G164,L_Category,0))="","",INDEX(L_CatLT,MATCH($G164,L_Category,0)))))</f>
        <v/>
      </c>
      <c r="Y164" s="83" t="str">
        <f aca="false">IF($AO164="","",IF(INDEX(Securities!$Q$6:$Q$105,$AO164)="","",INDEX(Securities!$Q$6:$Q$105,$AO164)))</f>
        <v/>
      </c>
      <c r="Z164" s="79" t="str">
        <f aca="false">IF($C164="","",IF(OR(NOT(ISNUMBER($H164)),$Y164=""),"No",IF($H164&lt;=GFDate,"Yes","No")))</f>
        <v/>
      </c>
      <c r="AA164" s="85" t="str">
        <f aca="false">IF(OR($M164="",$N164="",$J164=""),"",$M164*($N164-$J164))</f>
        <v/>
      </c>
      <c r="AB164" s="85" t="str">
        <f aca="false">IF(OR(N($P164)&lt;=0,$R164="",$J164=""),"",$P164*($R164-$J164))</f>
        <v/>
      </c>
      <c r="AC164" s="83" t="str">
        <f aca="false">IF(OR($M164="",$N164="",$J164=""),"",IF($Z164="Yes",MAX($J164,MIN($Y164,$N164)),$J164))</f>
        <v/>
      </c>
      <c r="AD164" s="85" t="str">
        <f aca="false">IF($AC164="","",$M164*($N164-$AC164))</f>
        <v/>
      </c>
      <c r="AE164" s="83" t="str">
        <f aca="false">IF(OR(N($P164)&lt;=0,$R164="",$J164=""),"",IF($Z164="Yes",MAX($J164,MIN($Y164,$R164)),$J164))</f>
        <v/>
      </c>
      <c r="AF164" s="85" t="str">
        <f aca="false">IF($AE164="","",$P164*($R164-$AE164))</f>
        <v/>
      </c>
      <c r="AG164" s="92" t="str">
        <f aca="false">IF(OR($V164="",$X164=""),"",MAX(0,$X164+1-$V164))</f>
        <v/>
      </c>
      <c r="AH164" s="93" t="str">
        <f aca="false">IF(OR($X164="",NOT(ISNUMBER($H164)),N($P164)&lt;=0),"",$H164+$X164+1)</f>
        <v/>
      </c>
      <c r="AI164" s="91"/>
      <c r="AJ164" s="85" t="str">
        <f aca="false">IF(OR($AI164="",N($P164)&lt;=0),"",$AI164*$P164)</f>
        <v/>
      </c>
      <c r="AK164" s="79" t="str">
        <f aca="false">IF(NOT(ISNUMBER($L164)),"",IF(MONTH($L164)&gt;=4,YEAR($L164)&amp;"-"&amp;RIGHT(YEAR($L164)+1,2),(YEAR($L164)-1)&amp;"-"&amp;RIGHT(YEAR($L164),2)))</f>
        <v/>
      </c>
      <c r="AL164" s="78"/>
      <c r="AM164" s="79" t="str">
        <f aca="false">IF($A164&amp;$B164&amp;$C164="","",IF($A164="","Missing ID",IF(COUNTIF($A$6:$A$205,$A164)&gt;1,"Duplicate ID",IF($AN164="","Unknown account",IF($AO164="","Unknown security",IF(COUNTIFS(Holdings!$B$6:$B$205,$B164,Holdings!$C$6:$C$205,$C164)=0,"No holding row for this lot",IF(OR($I164="",$J164=""),"Missing purchase quantity or rate",IF(NOT(ISNUMBER($H164)),"Missing purchase date",IF(N($H164)&gt;ValDate,"Purchase after valuation date",IF(N($M164)&gt;N($I164),"Sale quantity exceeds purchase",IF(AND(N($M164)&gt;0,OR(NOT(ISNUMBER($L164)),$N164="")),"Sale date or rate missing",IF(AND(ISNUMBER($L164),N($M164)=0),"Sale date with no quantity",IF(AND(ISNUMBER($L164),N($L164)&lt;N($H164)),"Sale before purchase",IF(N($L164)&gt;ValDate,"Sale after valuation date","OK"))))))))))))))</f>
        <v/>
      </c>
      <c r="AN164" s="89" t="str">
        <f aca="false">IF($B164="","",IFERROR(MATCH($B164,Accounts!$A$6:$A$55,0),""))</f>
        <v/>
      </c>
      <c r="AO164" s="89" t="str">
        <f aca="false">IF($C164="","",IFERROR(MATCH($C164,Securities!$A$6:$A$105,0),""))</f>
        <v/>
      </c>
      <c r="AP164" s="89" t="str">
        <f aca="false">IF($AN164="","",INDEX(Accounts!$B$6:$B$55,$AN164)&amp;"")</f>
        <v/>
      </c>
      <c r="AQ164" s="89" t="str">
        <f aca="false">IF(AND(ISNUMBER($AG164),N($P164)&gt;0),IF(AND(N($AG164)&gt;0,N($AG164)&lt;=SoonDays),1,""),"")</f>
        <v/>
      </c>
      <c r="AR164" s="89" t="str">
        <f aca="false">IF($AQ164&lt;&gt;1,"",SUMPRODUCT(($AQ$6:$AQ$205=1)*ISNUMBER($AG$6:$AG$205)*($AG$6:$AG$205&lt;$AG164))+SUMPRODUCT(($AQ$6:$AQ164=1)*ISNUMBER($AG$6:$AG164)*($AG$6:$AG164=$AG164)))</f>
        <v/>
      </c>
    </row>
    <row r="165" customFormat="false" ht="15" hidden="false" customHeight="false" outlineLevel="0" collapsed="false">
      <c r="A165" s="77"/>
      <c r="B165" s="78"/>
      <c r="C165" s="78"/>
      <c r="D165" s="79" t="str">
        <f aca="false">IF($AN165="","",INDEX(Accounts!$C$6:$C$55,$AN165)&amp;"")</f>
        <v/>
      </c>
      <c r="E165" s="79" t="str">
        <f aca="false">IF($AO165="","",INDEX(Securities!$B$6:$B$105,$AO165)&amp;"")</f>
        <v/>
      </c>
      <c r="F165" s="79" t="str">
        <f aca="false">IF($AO165="","",INDEX(Securities!$C$6:$C$105,$AO165)&amp;"")</f>
        <v/>
      </c>
      <c r="G165" s="79" t="str">
        <f aca="false">IF($AO165="","",INDEX(Securities!$E$6:$E$105,$AO165)&amp;"")</f>
        <v/>
      </c>
      <c r="H165" s="80"/>
      <c r="I165" s="81"/>
      <c r="J165" s="91"/>
      <c r="K165" s="85" t="str">
        <f aca="false">IF(OR($I165="",$J165=""),"",$I165*$J165)</f>
        <v/>
      </c>
      <c r="L165" s="80"/>
      <c r="M165" s="81"/>
      <c r="N165" s="91"/>
      <c r="O165" s="85" t="str">
        <f aca="false">IF(OR($M165="",$N165=""),"",$M165*$N165)</f>
        <v/>
      </c>
      <c r="P165" s="88" t="str">
        <f aca="false">IF($C165="","",N($I165)-N($M165))</f>
        <v/>
      </c>
      <c r="Q165" s="85" t="str">
        <f aca="false">IF(OR($P165="",$J165=""),"",$P165*$J165)</f>
        <v/>
      </c>
      <c r="R165" s="83" t="str">
        <f aca="false">IF($AO165="","",IF(INDEX(Securities!$N$6:$N$105,$AO165)="At cost",IF($J165="","",$J165),IF(INDEX(Securities!$O$6:$O$105,$AO165)="","",INDEX(Securities!$O$6:$O$105,$AO165))))</f>
        <v/>
      </c>
      <c r="S165" s="85" t="str">
        <f aca="false">IF(OR($P165="",$R165=""),"",$P165*$R165)</f>
        <v/>
      </c>
      <c r="T165" s="92" t="str">
        <f aca="false">IF(OR(NOT(ISNUMBER($L165)),NOT(ISNUMBER($H165))),"",$L165-$H165)</f>
        <v/>
      </c>
      <c r="U165" s="79" t="str">
        <f aca="false">IF($T165="","",IF($X165="","Short Term",IF($T165&gt;$X165,"Long Term","Short Term")))</f>
        <v/>
      </c>
      <c r="V165" s="92" t="str">
        <f aca="false">IF(OR(NOT(ISNUMBER($H165)),N($P165)&lt;=0),"",ValDate-$H165)</f>
        <v/>
      </c>
      <c r="W165" s="79" t="str">
        <f aca="false">IF($V165="","",IF($X165="","Short Term",IF($V165&gt;$X165,"Long Term","Short Term")))</f>
        <v/>
      </c>
      <c r="X165" s="92" t="str">
        <f aca="true">IF($G165="","",IF(ISNA(MATCH($G165,L_Category,0)),"",IF(INDEX(L_CatLT,MATCH($G165,L_Category,0))="","",INDEX(L_CatLT,MATCH($G165,L_Category,0)))))</f>
        <v/>
      </c>
      <c r="Y165" s="83" t="str">
        <f aca="false">IF($AO165="","",IF(INDEX(Securities!$Q$6:$Q$105,$AO165)="","",INDEX(Securities!$Q$6:$Q$105,$AO165)))</f>
        <v/>
      </c>
      <c r="Z165" s="79" t="str">
        <f aca="false">IF($C165="","",IF(OR(NOT(ISNUMBER($H165)),$Y165=""),"No",IF($H165&lt;=GFDate,"Yes","No")))</f>
        <v/>
      </c>
      <c r="AA165" s="85" t="str">
        <f aca="false">IF(OR($M165="",$N165="",$J165=""),"",$M165*($N165-$J165))</f>
        <v/>
      </c>
      <c r="AB165" s="85" t="str">
        <f aca="false">IF(OR(N($P165)&lt;=0,$R165="",$J165=""),"",$P165*($R165-$J165))</f>
        <v/>
      </c>
      <c r="AC165" s="83" t="str">
        <f aca="false">IF(OR($M165="",$N165="",$J165=""),"",IF($Z165="Yes",MAX($J165,MIN($Y165,$N165)),$J165))</f>
        <v/>
      </c>
      <c r="AD165" s="85" t="str">
        <f aca="false">IF($AC165="","",$M165*($N165-$AC165))</f>
        <v/>
      </c>
      <c r="AE165" s="83" t="str">
        <f aca="false">IF(OR(N($P165)&lt;=0,$R165="",$J165=""),"",IF($Z165="Yes",MAX($J165,MIN($Y165,$R165)),$J165))</f>
        <v/>
      </c>
      <c r="AF165" s="85" t="str">
        <f aca="false">IF($AE165="","",$P165*($R165-$AE165))</f>
        <v/>
      </c>
      <c r="AG165" s="92" t="str">
        <f aca="false">IF(OR($V165="",$X165=""),"",MAX(0,$X165+1-$V165))</f>
        <v/>
      </c>
      <c r="AH165" s="93" t="str">
        <f aca="false">IF(OR($X165="",NOT(ISNUMBER($H165)),N($P165)&lt;=0),"",$H165+$X165+1)</f>
        <v/>
      </c>
      <c r="AI165" s="91"/>
      <c r="AJ165" s="85" t="str">
        <f aca="false">IF(OR($AI165="",N($P165)&lt;=0),"",$AI165*$P165)</f>
        <v/>
      </c>
      <c r="AK165" s="79" t="str">
        <f aca="false">IF(NOT(ISNUMBER($L165)),"",IF(MONTH($L165)&gt;=4,YEAR($L165)&amp;"-"&amp;RIGHT(YEAR($L165)+1,2),(YEAR($L165)-1)&amp;"-"&amp;RIGHT(YEAR($L165),2)))</f>
        <v/>
      </c>
      <c r="AL165" s="78"/>
      <c r="AM165" s="79" t="str">
        <f aca="false">IF($A165&amp;$B165&amp;$C165="","",IF($A165="","Missing ID",IF(COUNTIF($A$6:$A$205,$A165)&gt;1,"Duplicate ID",IF($AN165="","Unknown account",IF($AO165="","Unknown security",IF(COUNTIFS(Holdings!$B$6:$B$205,$B165,Holdings!$C$6:$C$205,$C165)=0,"No holding row for this lot",IF(OR($I165="",$J165=""),"Missing purchase quantity or rate",IF(NOT(ISNUMBER($H165)),"Missing purchase date",IF(N($H165)&gt;ValDate,"Purchase after valuation date",IF(N($M165)&gt;N($I165),"Sale quantity exceeds purchase",IF(AND(N($M165)&gt;0,OR(NOT(ISNUMBER($L165)),$N165="")),"Sale date or rate missing",IF(AND(ISNUMBER($L165),N($M165)=0),"Sale date with no quantity",IF(AND(ISNUMBER($L165),N($L165)&lt;N($H165)),"Sale before purchase",IF(N($L165)&gt;ValDate,"Sale after valuation date","OK"))))))))))))))</f>
        <v/>
      </c>
      <c r="AN165" s="89" t="str">
        <f aca="false">IF($B165="","",IFERROR(MATCH($B165,Accounts!$A$6:$A$55,0),""))</f>
        <v/>
      </c>
      <c r="AO165" s="89" t="str">
        <f aca="false">IF($C165="","",IFERROR(MATCH($C165,Securities!$A$6:$A$105,0),""))</f>
        <v/>
      </c>
      <c r="AP165" s="89" t="str">
        <f aca="false">IF($AN165="","",INDEX(Accounts!$B$6:$B$55,$AN165)&amp;"")</f>
        <v/>
      </c>
      <c r="AQ165" s="89" t="str">
        <f aca="false">IF(AND(ISNUMBER($AG165),N($P165)&gt;0),IF(AND(N($AG165)&gt;0,N($AG165)&lt;=SoonDays),1,""),"")</f>
        <v/>
      </c>
      <c r="AR165" s="89" t="str">
        <f aca="false">IF($AQ165&lt;&gt;1,"",SUMPRODUCT(($AQ$6:$AQ$205=1)*ISNUMBER($AG$6:$AG$205)*($AG$6:$AG$205&lt;$AG165))+SUMPRODUCT(($AQ$6:$AQ165=1)*ISNUMBER($AG$6:$AG165)*($AG$6:$AG165=$AG165)))</f>
        <v/>
      </c>
    </row>
    <row r="166" customFormat="false" ht="15" hidden="false" customHeight="false" outlineLevel="0" collapsed="false">
      <c r="A166" s="77"/>
      <c r="B166" s="78"/>
      <c r="C166" s="78"/>
      <c r="D166" s="79" t="str">
        <f aca="false">IF($AN166="","",INDEX(Accounts!$C$6:$C$55,$AN166)&amp;"")</f>
        <v/>
      </c>
      <c r="E166" s="79" t="str">
        <f aca="false">IF($AO166="","",INDEX(Securities!$B$6:$B$105,$AO166)&amp;"")</f>
        <v/>
      </c>
      <c r="F166" s="79" t="str">
        <f aca="false">IF($AO166="","",INDEX(Securities!$C$6:$C$105,$AO166)&amp;"")</f>
        <v/>
      </c>
      <c r="G166" s="79" t="str">
        <f aca="false">IF($AO166="","",INDEX(Securities!$E$6:$E$105,$AO166)&amp;"")</f>
        <v/>
      </c>
      <c r="H166" s="80"/>
      <c r="I166" s="81"/>
      <c r="J166" s="91"/>
      <c r="K166" s="85" t="str">
        <f aca="false">IF(OR($I166="",$J166=""),"",$I166*$J166)</f>
        <v/>
      </c>
      <c r="L166" s="80"/>
      <c r="M166" s="81"/>
      <c r="N166" s="91"/>
      <c r="O166" s="85" t="str">
        <f aca="false">IF(OR($M166="",$N166=""),"",$M166*$N166)</f>
        <v/>
      </c>
      <c r="P166" s="88" t="str">
        <f aca="false">IF($C166="","",N($I166)-N($M166))</f>
        <v/>
      </c>
      <c r="Q166" s="85" t="str">
        <f aca="false">IF(OR($P166="",$J166=""),"",$P166*$J166)</f>
        <v/>
      </c>
      <c r="R166" s="83" t="str">
        <f aca="false">IF($AO166="","",IF(INDEX(Securities!$N$6:$N$105,$AO166)="At cost",IF($J166="","",$J166),IF(INDEX(Securities!$O$6:$O$105,$AO166)="","",INDEX(Securities!$O$6:$O$105,$AO166))))</f>
        <v/>
      </c>
      <c r="S166" s="85" t="str">
        <f aca="false">IF(OR($P166="",$R166=""),"",$P166*$R166)</f>
        <v/>
      </c>
      <c r="T166" s="92" t="str">
        <f aca="false">IF(OR(NOT(ISNUMBER($L166)),NOT(ISNUMBER($H166))),"",$L166-$H166)</f>
        <v/>
      </c>
      <c r="U166" s="79" t="str">
        <f aca="false">IF($T166="","",IF($X166="","Short Term",IF($T166&gt;$X166,"Long Term","Short Term")))</f>
        <v/>
      </c>
      <c r="V166" s="92" t="str">
        <f aca="false">IF(OR(NOT(ISNUMBER($H166)),N($P166)&lt;=0),"",ValDate-$H166)</f>
        <v/>
      </c>
      <c r="W166" s="79" t="str">
        <f aca="false">IF($V166="","",IF($X166="","Short Term",IF($V166&gt;$X166,"Long Term","Short Term")))</f>
        <v/>
      </c>
      <c r="X166" s="92" t="str">
        <f aca="true">IF($G166="","",IF(ISNA(MATCH($G166,L_Category,0)),"",IF(INDEX(L_CatLT,MATCH($G166,L_Category,0))="","",INDEX(L_CatLT,MATCH($G166,L_Category,0)))))</f>
        <v/>
      </c>
      <c r="Y166" s="83" t="str">
        <f aca="false">IF($AO166="","",IF(INDEX(Securities!$Q$6:$Q$105,$AO166)="","",INDEX(Securities!$Q$6:$Q$105,$AO166)))</f>
        <v/>
      </c>
      <c r="Z166" s="79" t="str">
        <f aca="false">IF($C166="","",IF(OR(NOT(ISNUMBER($H166)),$Y166=""),"No",IF($H166&lt;=GFDate,"Yes","No")))</f>
        <v/>
      </c>
      <c r="AA166" s="85" t="str">
        <f aca="false">IF(OR($M166="",$N166="",$J166=""),"",$M166*($N166-$J166))</f>
        <v/>
      </c>
      <c r="AB166" s="85" t="str">
        <f aca="false">IF(OR(N($P166)&lt;=0,$R166="",$J166=""),"",$P166*($R166-$J166))</f>
        <v/>
      </c>
      <c r="AC166" s="83" t="str">
        <f aca="false">IF(OR($M166="",$N166="",$J166=""),"",IF($Z166="Yes",MAX($J166,MIN($Y166,$N166)),$J166))</f>
        <v/>
      </c>
      <c r="AD166" s="85" t="str">
        <f aca="false">IF($AC166="","",$M166*($N166-$AC166))</f>
        <v/>
      </c>
      <c r="AE166" s="83" t="str">
        <f aca="false">IF(OR(N($P166)&lt;=0,$R166="",$J166=""),"",IF($Z166="Yes",MAX($J166,MIN($Y166,$R166)),$J166))</f>
        <v/>
      </c>
      <c r="AF166" s="85" t="str">
        <f aca="false">IF($AE166="","",$P166*($R166-$AE166))</f>
        <v/>
      </c>
      <c r="AG166" s="92" t="str">
        <f aca="false">IF(OR($V166="",$X166=""),"",MAX(0,$X166+1-$V166))</f>
        <v/>
      </c>
      <c r="AH166" s="93" t="str">
        <f aca="false">IF(OR($X166="",NOT(ISNUMBER($H166)),N($P166)&lt;=0),"",$H166+$X166+1)</f>
        <v/>
      </c>
      <c r="AI166" s="91"/>
      <c r="AJ166" s="85" t="str">
        <f aca="false">IF(OR($AI166="",N($P166)&lt;=0),"",$AI166*$P166)</f>
        <v/>
      </c>
      <c r="AK166" s="79" t="str">
        <f aca="false">IF(NOT(ISNUMBER($L166)),"",IF(MONTH($L166)&gt;=4,YEAR($L166)&amp;"-"&amp;RIGHT(YEAR($L166)+1,2),(YEAR($L166)-1)&amp;"-"&amp;RIGHT(YEAR($L166),2)))</f>
        <v/>
      </c>
      <c r="AL166" s="78"/>
      <c r="AM166" s="79" t="str">
        <f aca="false">IF($A166&amp;$B166&amp;$C166="","",IF($A166="","Missing ID",IF(COUNTIF($A$6:$A$205,$A166)&gt;1,"Duplicate ID",IF($AN166="","Unknown account",IF($AO166="","Unknown security",IF(COUNTIFS(Holdings!$B$6:$B$205,$B166,Holdings!$C$6:$C$205,$C166)=0,"No holding row for this lot",IF(OR($I166="",$J166=""),"Missing purchase quantity or rate",IF(NOT(ISNUMBER($H166)),"Missing purchase date",IF(N($H166)&gt;ValDate,"Purchase after valuation date",IF(N($M166)&gt;N($I166),"Sale quantity exceeds purchase",IF(AND(N($M166)&gt;0,OR(NOT(ISNUMBER($L166)),$N166="")),"Sale date or rate missing",IF(AND(ISNUMBER($L166),N($M166)=0),"Sale date with no quantity",IF(AND(ISNUMBER($L166),N($L166)&lt;N($H166)),"Sale before purchase",IF(N($L166)&gt;ValDate,"Sale after valuation date","OK"))))))))))))))</f>
        <v/>
      </c>
      <c r="AN166" s="89" t="str">
        <f aca="false">IF($B166="","",IFERROR(MATCH($B166,Accounts!$A$6:$A$55,0),""))</f>
        <v/>
      </c>
      <c r="AO166" s="89" t="str">
        <f aca="false">IF($C166="","",IFERROR(MATCH($C166,Securities!$A$6:$A$105,0),""))</f>
        <v/>
      </c>
      <c r="AP166" s="89" t="str">
        <f aca="false">IF($AN166="","",INDEX(Accounts!$B$6:$B$55,$AN166)&amp;"")</f>
        <v/>
      </c>
      <c r="AQ166" s="89" t="str">
        <f aca="false">IF(AND(ISNUMBER($AG166),N($P166)&gt;0),IF(AND(N($AG166)&gt;0,N($AG166)&lt;=SoonDays),1,""),"")</f>
        <v/>
      </c>
      <c r="AR166" s="89" t="str">
        <f aca="false">IF($AQ166&lt;&gt;1,"",SUMPRODUCT(($AQ$6:$AQ$205=1)*ISNUMBER($AG$6:$AG$205)*($AG$6:$AG$205&lt;$AG166))+SUMPRODUCT(($AQ$6:$AQ166=1)*ISNUMBER($AG$6:$AG166)*($AG$6:$AG166=$AG166)))</f>
        <v/>
      </c>
    </row>
    <row r="167" customFormat="false" ht="15" hidden="false" customHeight="false" outlineLevel="0" collapsed="false">
      <c r="A167" s="77"/>
      <c r="B167" s="78"/>
      <c r="C167" s="78"/>
      <c r="D167" s="79" t="str">
        <f aca="false">IF($AN167="","",INDEX(Accounts!$C$6:$C$55,$AN167)&amp;"")</f>
        <v/>
      </c>
      <c r="E167" s="79" t="str">
        <f aca="false">IF($AO167="","",INDEX(Securities!$B$6:$B$105,$AO167)&amp;"")</f>
        <v/>
      </c>
      <c r="F167" s="79" t="str">
        <f aca="false">IF($AO167="","",INDEX(Securities!$C$6:$C$105,$AO167)&amp;"")</f>
        <v/>
      </c>
      <c r="G167" s="79" t="str">
        <f aca="false">IF($AO167="","",INDEX(Securities!$E$6:$E$105,$AO167)&amp;"")</f>
        <v/>
      </c>
      <c r="H167" s="80"/>
      <c r="I167" s="81"/>
      <c r="J167" s="91"/>
      <c r="K167" s="85" t="str">
        <f aca="false">IF(OR($I167="",$J167=""),"",$I167*$J167)</f>
        <v/>
      </c>
      <c r="L167" s="80"/>
      <c r="M167" s="81"/>
      <c r="N167" s="91"/>
      <c r="O167" s="85" t="str">
        <f aca="false">IF(OR($M167="",$N167=""),"",$M167*$N167)</f>
        <v/>
      </c>
      <c r="P167" s="88" t="str">
        <f aca="false">IF($C167="","",N($I167)-N($M167))</f>
        <v/>
      </c>
      <c r="Q167" s="85" t="str">
        <f aca="false">IF(OR($P167="",$J167=""),"",$P167*$J167)</f>
        <v/>
      </c>
      <c r="R167" s="83" t="str">
        <f aca="false">IF($AO167="","",IF(INDEX(Securities!$N$6:$N$105,$AO167)="At cost",IF($J167="","",$J167),IF(INDEX(Securities!$O$6:$O$105,$AO167)="","",INDEX(Securities!$O$6:$O$105,$AO167))))</f>
        <v/>
      </c>
      <c r="S167" s="85" t="str">
        <f aca="false">IF(OR($P167="",$R167=""),"",$P167*$R167)</f>
        <v/>
      </c>
      <c r="T167" s="92" t="str">
        <f aca="false">IF(OR(NOT(ISNUMBER($L167)),NOT(ISNUMBER($H167))),"",$L167-$H167)</f>
        <v/>
      </c>
      <c r="U167" s="79" t="str">
        <f aca="false">IF($T167="","",IF($X167="","Short Term",IF($T167&gt;$X167,"Long Term","Short Term")))</f>
        <v/>
      </c>
      <c r="V167" s="92" t="str">
        <f aca="false">IF(OR(NOT(ISNUMBER($H167)),N($P167)&lt;=0),"",ValDate-$H167)</f>
        <v/>
      </c>
      <c r="W167" s="79" t="str">
        <f aca="false">IF($V167="","",IF($X167="","Short Term",IF($V167&gt;$X167,"Long Term","Short Term")))</f>
        <v/>
      </c>
      <c r="X167" s="92" t="str">
        <f aca="true">IF($G167="","",IF(ISNA(MATCH($G167,L_Category,0)),"",IF(INDEX(L_CatLT,MATCH($G167,L_Category,0))="","",INDEX(L_CatLT,MATCH($G167,L_Category,0)))))</f>
        <v/>
      </c>
      <c r="Y167" s="83" t="str">
        <f aca="false">IF($AO167="","",IF(INDEX(Securities!$Q$6:$Q$105,$AO167)="","",INDEX(Securities!$Q$6:$Q$105,$AO167)))</f>
        <v/>
      </c>
      <c r="Z167" s="79" t="str">
        <f aca="false">IF($C167="","",IF(OR(NOT(ISNUMBER($H167)),$Y167=""),"No",IF($H167&lt;=GFDate,"Yes","No")))</f>
        <v/>
      </c>
      <c r="AA167" s="85" t="str">
        <f aca="false">IF(OR($M167="",$N167="",$J167=""),"",$M167*($N167-$J167))</f>
        <v/>
      </c>
      <c r="AB167" s="85" t="str">
        <f aca="false">IF(OR(N($P167)&lt;=0,$R167="",$J167=""),"",$P167*($R167-$J167))</f>
        <v/>
      </c>
      <c r="AC167" s="83" t="str">
        <f aca="false">IF(OR($M167="",$N167="",$J167=""),"",IF($Z167="Yes",MAX($J167,MIN($Y167,$N167)),$J167))</f>
        <v/>
      </c>
      <c r="AD167" s="85" t="str">
        <f aca="false">IF($AC167="","",$M167*($N167-$AC167))</f>
        <v/>
      </c>
      <c r="AE167" s="83" t="str">
        <f aca="false">IF(OR(N($P167)&lt;=0,$R167="",$J167=""),"",IF($Z167="Yes",MAX($J167,MIN($Y167,$R167)),$J167))</f>
        <v/>
      </c>
      <c r="AF167" s="85" t="str">
        <f aca="false">IF($AE167="","",$P167*($R167-$AE167))</f>
        <v/>
      </c>
      <c r="AG167" s="92" t="str">
        <f aca="false">IF(OR($V167="",$X167=""),"",MAX(0,$X167+1-$V167))</f>
        <v/>
      </c>
      <c r="AH167" s="93" t="str">
        <f aca="false">IF(OR($X167="",NOT(ISNUMBER($H167)),N($P167)&lt;=0),"",$H167+$X167+1)</f>
        <v/>
      </c>
      <c r="AI167" s="91"/>
      <c r="AJ167" s="85" t="str">
        <f aca="false">IF(OR($AI167="",N($P167)&lt;=0),"",$AI167*$P167)</f>
        <v/>
      </c>
      <c r="AK167" s="79" t="str">
        <f aca="false">IF(NOT(ISNUMBER($L167)),"",IF(MONTH($L167)&gt;=4,YEAR($L167)&amp;"-"&amp;RIGHT(YEAR($L167)+1,2),(YEAR($L167)-1)&amp;"-"&amp;RIGHT(YEAR($L167),2)))</f>
        <v/>
      </c>
      <c r="AL167" s="78"/>
      <c r="AM167" s="79" t="str">
        <f aca="false">IF($A167&amp;$B167&amp;$C167="","",IF($A167="","Missing ID",IF(COUNTIF($A$6:$A$205,$A167)&gt;1,"Duplicate ID",IF($AN167="","Unknown account",IF($AO167="","Unknown security",IF(COUNTIFS(Holdings!$B$6:$B$205,$B167,Holdings!$C$6:$C$205,$C167)=0,"No holding row for this lot",IF(OR($I167="",$J167=""),"Missing purchase quantity or rate",IF(NOT(ISNUMBER($H167)),"Missing purchase date",IF(N($H167)&gt;ValDate,"Purchase after valuation date",IF(N($M167)&gt;N($I167),"Sale quantity exceeds purchase",IF(AND(N($M167)&gt;0,OR(NOT(ISNUMBER($L167)),$N167="")),"Sale date or rate missing",IF(AND(ISNUMBER($L167),N($M167)=0),"Sale date with no quantity",IF(AND(ISNUMBER($L167),N($L167)&lt;N($H167)),"Sale before purchase",IF(N($L167)&gt;ValDate,"Sale after valuation date","OK"))))))))))))))</f>
        <v/>
      </c>
      <c r="AN167" s="89" t="str">
        <f aca="false">IF($B167="","",IFERROR(MATCH($B167,Accounts!$A$6:$A$55,0),""))</f>
        <v/>
      </c>
      <c r="AO167" s="89" t="str">
        <f aca="false">IF($C167="","",IFERROR(MATCH($C167,Securities!$A$6:$A$105,0),""))</f>
        <v/>
      </c>
      <c r="AP167" s="89" t="str">
        <f aca="false">IF($AN167="","",INDEX(Accounts!$B$6:$B$55,$AN167)&amp;"")</f>
        <v/>
      </c>
      <c r="AQ167" s="89" t="str">
        <f aca="false">IF(AND(ISNUMBER($AG167),N($P167)&gt;0),IF(AND(N($AG167)&gt;0,N($AG167)&lt;=SoonDays),1,""),"")</f>
        <v/>
      </c>
      <c r="AR167" s="89" t="str">
        <f aca="false">IF($AQ167&lt;&gt;1,"",SUMPRODUCT(($AQ$6:$AQ$205=1)*ISNUMBER($AG$6:$AG$205)*($AG$6:$AG$205&lt;$AG167))+SUMPRODUCT(($AQ$6:$AQ167=1)*ISNUMBER($AG$6:$AG167)*($AG$6:$AG167=$AG167)))</f>
        <v/>
      </c>
    </row>
    <row r="168" customFormat="false" ht="15" hidden="false" customHeight="false" outlineLevel="0" collapsed="false">
      <c r="A168" s="77"/>
      <c r="B168" s="78"/>
      <c r="C168" s="78"/>
      <c r="D168" s="79" t="str">
        <f aca="false">IF($AN168="","",INDEX(Accounts!$C$6:$C$55,$AN168)&amp;"")</f>
        <v/>
      </c>
      <c r="E168" s="79" t="str">
        <f aca="false">IF($AO168="","",INDEX(Securities!$B$6:$B$105,$AO168)&amp;"")</f>
        <v/>
      </c>
      <c r="F168" s="79" t="str">
        <f aca="false">IF($AO168="","",INDEX(Securities!$C$6:$C$105,$AO168)&amp;"")</f>
        <v/>
      </c>
      <c r="G168" s="79" t="str">
        <f aca="false">IF($AO168="","",INDEX(Securities!$E$6:$E$105,$AO168)&amp;"")</f>
        <v/>
      </c>
      <c r="H168" s="80"/>
      <c r="I168" s="81"/>
      <c r="J168" s="91"/>
      <c r="K168" s="85" t="str">
        <f aca="false">IF(OR($I168="",$J168=""),"",$I168*$J168)</f>
        <v/>
      </c>
      <c r="L168" s="80"/>
      <c r="M168" s="81"/>
      <c r="N168" s="91"/>
      <c r="O168" s="85" t="str">
        <f aca="false">IF(OR($M168="",$N168=""),"",$M168*$N168)</f>
        <v/>
      </c>
      <c r="P168" s="88" t="str">
        <f aca="false">IF($C168="","",N($I168)-N($M168))</f>
        <v/>
      </c>
      <c r="Q168" s="85" t="str">
        <f aca="false">IF(OR($P168="",$J168=""),"",$P168*$J168)</f>
        <v/>
      </c>
      <c r="R168" s="83" t="str">
        <f aca="false">IF($AO168="","",IF(INDEX(Securities!$N$6:$N$105,$AO168)="At cost",IF($J168="","",$J168),IF(INDEX(Securities!$O$6:$O$105,$AO168)="","",INDEX(Securities!$O$6:$O$105,$AO168))))</f>
        <v/>
      </c>
      <c r="S168" s="85" t="str">
        <f aca="false">IF(OR($P168="",$R168=""),"",$P168*$R168)</f>
        <v/>
      </c>
      <c r="T168" s="92" t="str">
        <f aca="false">IF(OR(NOT(ISNUMBER($L168)),NOT(ISNUMBER($H168))),"",$L168-$H168)</f>
        <v/>
      </c>
      <c r="U168" s="79" t="str">
        <f aca="false">IF($T168="","",IF($X168="","Short Term",IF($T168&gt;$X168,"Long Term","Short Term")))</f>
        <v/>
      </c>
      <c r="V168" s="92" t="str">
        <f aca="false">IF(OR(NOT(ISNUMBER($H168)),N($P168)&lt;=0),"",ValDate-$H168)</f>
        <v/>
      </c>
      <c r="W168" s="79" t="str">
        <f aca="false">IF($V168="","",IF($X168="","Short Term",IF($V168&gt;$X168,"Long Term","Short Term")))</f>
        <v/>
      </c>
      <c r="X168" s="92" t="str">
        <f aca="true">IF($G168="","",IF(ISNA(MATCH($G168,L_Category,0)),"",IF(INDEX(L_CatLT,MATCH($G168,L_Category,0))="","",INDEX(L_CatLT,MATCH($G168,L_Category,0)))))</f>
        <v/>
      </c>
      <c r="Y168" s="83" t="str">
        <f aca="false">IF($AO168="","",IF(INDEX(Securities!$Q$6:$Q$105,$AO168)="","",INDEX(Securities!$Q$6:$Q$105,$AO168)))</f>
        <v/>
      </c>
      <c r="Z168" s="79" t="str">
        <f aca="false">IF($C168="","",IF(OR(NOT(ISNUMBER($H168)),$Y168=""),"No",IF($H168&lt;=GFDate,"Yes","No")))</f>
        <v/>
      </c>
      <c r="AA168" s="85" t="str">
        <f aca="false">IF(OR($M168="",$N168="",$J168=""),"",$M168*($N168-$J168))</f>
        <v/>
      </c>
      <c r="AB168" s="85" t="str">
        <f aca="false">IF(OR(N($P168)&lt;=0,$R168="",$J168=""),"",$P168*($R168-$J168))</f>
        <v/>
      </c>
      <c r="AC168" s="83" t="str">
        <f aca="false">IF(OR($M168="",$N168="",$J168=""),"",IF($Z168="Yes",MAX($J168,MIN($Y168,$N168)),$J168))</f>
        <v/>
      </c>
      <c r="AD168" s="85" t="str">
        <f aca="false">IF($AC168="","",$M168*($N168-$AC168))</f>
        <v/>
      </c>
      <c r="AE168" s="83" t="str">
        <f aca="false">IF(OR(N($P168)&lt;=0,$R168="",$J168=""),"",IF($Z168="Yes",MAX($J168,MIN($Y168,$R168)),$J168))</f>
        <v/>
      </c>
      <c r="AF168" s="85" t="str">
        <f aca="false">IF($AE168="","",$P168*($R168-$AE168))</f>
        <v/>
      </c>
      <c r="AG168" s="92" t="str">
        <f aca="false">IF(OR($V168="",$X168=""),"",MAX(0,$X168+1-$V168))</f>
        <v/>
      </c>
      <c r="AH168" s="93" t="str">
        <f aca="false">IF(OR($X168="",NOT(ISNUMBER($H168)),N($P168)&lt;=0),"",$H168+$X168+1)</f>
        <v/>
      </c>
      <c r="AI168" s="91"/>
      <c r="AJ168" s="85" t="str">
        <f aca="false">IF(OR($AI168="",N($P168)&lt;=0),"",$AI168*$P168)</f>
        <v/>
      </c>
      <c r="AK168" s="79" t="str">
        <f aca="false">IF(NOT(ISNUMBER($L168)),"",IF(MONTH($L168)&gt;=4,YEAR($L168)&amp;"-"&amp;RIGHT(YEAR($L168)+1,2),(YEAR($L168)-1)&amp;"-"&amp;RIGHT(YEAR($L168),2)))</f>
        <v/>
      </c>
      <c r="AL168" s="78"/>
      <c r="AM168" s="79" t="str">
        <f aca="false">IF($A168&amp;$B168&amp;$C168="","",IF($A168="","Missing ID",IF(COUNTIF($A$6:$A$205,$A168)&gt;1,"Duplicate ID",IF($AN168="","Unknown account",IF($AO168="","Unknown security",IF(COUNTIFS(Holdings!$B$6:$B$205,$B168,Holdings!$C$6:$C$205,$C168)=0,"No holding row for this lot",IF(OR($I168="",$J168=""),"Missing purchase quantity or rate",IF(NOT(ISNUMBER($H168)),"Missing purchase date",IF(N($H168)&gt;ValDate,"Purchase after valuation date",IF(N($M168)&gt;N($I168),"Sale quantity exceeds purchase",IF(AND(N($M168)&gt;0,OR(NOT(ISNUMBER($L168)),$N168="")),"Sale date or rate missing",IF(AND(ISNUMBER($L168),N($M168)=0),"Sale date with no quantity",IF(AND(ISNUMBER($L168),N($L168)&lt;N($H168)),"Sale before purchase",IF(N($L168)&gt;ValDate,"Sale after valuation date","OK"))))))))))))))</f>
        <v/>
      </c>
      <c r="AN168" s="89" t="str">
        <f aca="false">IF($B168="","",IFERROR(MATCH($B168,Accounts!$A$6:$A$55,0),""))</f>
        <v/>
      </c>
      <c r="AO168" s="89" t="str">
        <f aca="false">IF($C168="","",IFERROR(MATCH($C168,Securities!$A$6:$A$105,0),""))</f>
        <v/>
      </c>
      <c r="AP168" s="89" t="str">
        <f aca="false">IF($AN168="","",INDEX(Accounts!$B$6:$B$55,$AN168)&amp;"")</f>
        <v/>
      </c>
      <c r="AQ168" s="89" t="str">
        <f aca="false">IF(AND(ISNUMBER($AG168),N($P168)&gt;0),IF(AND(N($AG168)&gt;0,N($AG168)&lt;=SoonDays),1,""),"")</f>
        <v/>
      </c>
      <c r="AR168" s="89" t="str">
        <f aca="false">IF($AQ168&lt;&gt;1,"",SUMPRODUCT(($AQ$6:$AQ$205=1)*ISNUMBER($AG$6:$AG$205)*($AG$6:$AG$205&lt;$AG168))+SUMPRODUCT(($AQ$6:$AQ168=1)*ISNUMBER($AG$6:$AG168)*($AG$6:$AG168=$AG168)))</f>
        <v/>
      </c>
    </row>
    <row r="169" customFormat="false" ht="15" hidden="false" customHeight="false" outlineLevel="0" collapsed="false">
      <c r="A169" s="77"/>
      <c r="B169" s="78"/>
      <c r="C169" s="78"/>
      <c r="D169" s="79" t="str">
        <f aca="false">IF($AN169="","",INDEX(Accounts!$C$6:$C$55,$AN169)&amp;"")</f>
        <v/>
      </c>
      <c r="E169" s="79" t="str">
        <f aca="false">IF($AO169="","",INDEX(Securities!$B$6:$B$105,$AO169)&amp;"")</f>
        <v/>
      </c>
      <c r="F169" s="79" t="str">
        <f aca="false">IF($AO169="","",INDEX(Securities!$C$6:$C$105,$AO169)&amp;"")</f>
        <v/>
      </c>
      <c r="G169" s="79" t="str">
        <f aca="false">IF($AO169="","",INDEX(Securities!$E$6:$E$105,$AO169)&amp;"")</f>
        <v/>
      </c>
      <c r="H169" s="80"/>
      <c r="I169" s="81"/>
      <c r="J169" s="91"/>
      <c r="K169" s="85" t="str">
        <f aca="false">IF(OR($I169="",$J169=""),"",$I169*$J169)</f>
        <v/>
      </c>
      <c r="L169" s="80"/>
      <c r="M169" s="81"/>
      <c r="N169" s="91"/>
      <c r="O169" s="85" t="str">
        <f aca="false">IF(OR($M169="",$N169=""),"",$M169*$N169)</f>
        <v/>
      </c>
      <c r="P169" s="88" t="str">
        <f aca="false">IF($C169="","",N($I169)-N($M169))</f>
        <v/>
      </c>
      <c r="Q169" s="85" t="str">
        <f aca="false">IF(OR($P169="",$J169=""),"",$P169*$J169)</f>
        <v/>
      </c>
      <c r="R169" s="83" t="str">
        <f aca="false">IF($AO169="","",IF(INDEX(Securities!$N$6:$N$105,$AO169)="At cost",IF($J169="","",$J169),IF(INDEX(Securities!$O$6:$O$105,$AO169)="","",INDEX(Securities!$O$6:$O$105,$AO169))))</f>
        <v/>
      </c>
      <c r="S169" s="85" t="str">
        <f aca="false">IF(OR($P169="",$R169=""),"",$P169*$R169)</f>
        <v/>
      </c>
      <c r="T169" s="92" t="str">
        <f aca="false">IF(OR(NOT(ISNUMBER($L169)),NOT(ISNUMBER($H169))),"",$L169-$H169)</f>
        <v/>
      </c>
      <c r="U169" s="79" t="str">
        <f aca="false">IF($T169="","",IF($X169="","Short Term",IF($T169&gt;$X169,"Long Term","Short Term")))</f>
        <v/>
      </c>
      <c r="V169" s="92" t="str">
        <f aca="false">IF(OR(NOT(ISNUMBER($H169)),N($P169)&lt;=0),"",ValDate-$H169)</f>
        <v/>
      </c>
      <c r="W169" s="79" t="str">
        <f aca="false">IF($V169="","",IF($X169="","Short Term",IF($V169&gt;$X169,"Long Term","Short Term")))</f>
        <v/>
      </c>
      <c r="X169" s="92" t="str">
        <f aca="true">IF($G169="","",IF(ISNA(MATCH($G169,L_Category,0)),"",IF(INDEX(L_CatLT,MATCH($G169,L_Category,0))="","",INDEX(L_CatLT,MATCH($G169,L_Category,0)))))</f>
        <v/>
      </c>
      <c r="Y169" s="83" t="str">
        <f aca="false">IF($AO169="","",IF(INDEX(Securities!$Q$6:$Q$105,$AO169)="","",INDEX(Securities!$Q$6:$Q$105,$AO169)))</f>
        <v/>
      </c>
      <c r="Z169" s="79" t="str">
        <f aca="false">IF($C169="","",IF(OR(NOT(ISNUMBER($H169)),$Y169=""),"No",IF($H169&lt;=GFDate,"Yes","No")))</f>
        <v/>
      </c>
      <c r="AA169" s="85" t="str">
        <f aca="false">IF(OR($M169="",$N169="",$J169=""),"",$M169*($N169-$J169))</f>
        <v/>
      </c>
      <c r="AB169" s="85" t="str">
        <f aca="false">IF(OR(N($P169)&lt;=0,$R169="",$J169=""),"",$P169*($R169-$J169))</f>
        <v/>
      </c>
      <c r="AC169" s="83" t="str">
        <f aca="false">IF(OR($M169="",$N169="",$J169=""),"",IF($Z169="Yes",MAX($J169,MIN($Y169,$N169)),$J169))</f>
        <v/>
      </c>
      <c r="AD169" s="85" t="str">
        <f aca="false">IF($AC169="","",$M169*($N169-$AC169))</f>
        <v/>
      </c>
      <c r="AE169" s="83" t="str">
        <f aca="false">IF(OR(N($P169)&lt;=0,$R169="",$J169=""),"",IF($Z169="Yes",MAX($J169,MIN($Y169,$R169)),$J169))</f>
        <v/>
      </c>
      <c r="AF169" s="85" t="str">
        <f aca="false">IF($AE169="","",$P169*($R169-$AE169))</f>
        <v/>
      </c>
      <c r="AG169" s="92" t="str">
        <f aca="false">IF(OR($V169="",$X169=""),"",MAX(0,$X169+1-$V169))</f>
        <v/>
      </c>
      <c r="AH169" s="93" t="str">
        <f aca="false">IF(OR($X169="",NOT(ISNUMBER($H169)),N($P169)&lt;=0),"",$H169+$X169+1)</f>
        <v/>
      </c>
      <c r="AI169" s="91"/>
      <c r="AJ169" s="85" t="str">
        <f aca="false">IF(OR($AI169="",N($P169)&lt;=0),"",$AI169*$P169)</f>
        <v/>
      </c>
      <c r="AK169" s="79" t="str">
        <f aca="false">IF(NOT(ISNUMBER($L169)),"",IF(MONTH($L169)&gt;=4,YEAR($L169)&amp;"-"&amp;RIGHT(YEAR($L169)+1,2),(YEAR($L169)-1)&amp;"-"&amp;RIGHT(YEAR($L169),2)))</f>
        <v/>
      </c>
      <c r="AL169" s="78"/>
      <c r="AM169" s="79" t="str">
        <f aca="false">IF($A169&amp;$B169&amp;$C169="","",IF($A169="","Missing ID",IF(COUNTIF($A$6:$A$205,$A169)&gt;1,"Duplicate ID",IF($AN169="","Unknown account",IF($AO169="","Unknown security",IF(COUNTIFS(Holdings!$B$6:$B$205,$B169,Holdings!$C$6:$C$205,$C169)=0,"No holding row for this lot",IF(OR($I169="",$J169=""),"Missing purchase quantity or rate",IF(NOT(ISNUMBER($H169)),"Missing purchase date",IF(N($H169)&gt;ValDate,"Purchase after valuation date",IF(N($M169)&gt;N($I169),"Sale quantity exceeds purchase",IF(AND(N($M169)&gt;0,OR(NOT(ISNUMBER($L169)),$N169="")),"Sale date or rate missing",IF(AND(ISNUMBER($L169),N($M169)=0),"Sale date with no quantity",IF(AND(ISNUMBER($L169),N($L169)&lt;N($H169)),"Sale before purchase",IF(N($L169)&gt;ValDate,"Sale after valuation date","OK"))))))))))))))</f>
        <v/>
      </c>
      <c r="AN169" s="89" t="str">
        <f aca="false">IF($B169="","",IFERROR(MATCH($B169,Accounts!$A$6:$A$55,0),""))</f>
        <v/>
      </c>
      <c r="AO169" s="89" t="str">
        <f aca="false">IF($C169="","",IFERROR(MATCH($C169,Securities!$A$6:$A$105,0),""))</f>
        <v/>
      </c>
      <c r="AP169" s="89" t="str">
        <f aca="false">IF($AN169="","",INDEX(Accounts!$B$6:$B$55,$AN169)&amp;"")</f>
        <v/>
      </c>
      <c r="AQ169" s="89" t="str">
        <f aca="false">IF(AND(ISNUMBER($AG169),N($P169)&gt;0),IF(AND(N($AG169)&gt;0,N($AG169)&lt;=SoonDays),1,""),"")</f>
        <v/>
      </c>
      <c r="AR169" s="89" t="str">
        <f aca="false">IF($AQ169&lt;&gt;1,"",SUMPRODUCT(($AQ$6:$AQ$205=1)*ISNUMBER($AG$6:$AG$205)*($AG$6:$AG$205&lt;$AG169))+SUMPRODUCT(($AQ$6:$AQ169=1)*ISNUMBER($AG$6:$AG169)*($AG$6:$AG169=$AG169)))</f>
        <v/>
      </c>
    </row>
    <row r="170" customFormat="false" ht="15" hidden="false" customHeight="false" outlineLevel="0" collapsed="false">
      <c r="A170" s="77"/>
      <c r="B170" s="78"/>
      <c r="C170" s="78"/>
      <c r="D170" s="79" t="str">
        <f aca="false">IF($AN170="","",INDEX(Accounts!$C$6:$C$55,$AN170)&amp;"")</f>
        <v/>
      </c>
      <c r="E170" s="79" t="str">
        <f aca="false">IF($AO170="","",INDEX(Securities!$B$6:$B$105,$AO170)&amp;"")</f>
        <v/>
      </c>
      <c r="F170" s="79" t="str">
        <f aca="false">IF($AO170="","",INDEX(Securities!$C$6:$C$105,$AO170)&amp;"")</f>
        <v/>
      </c>
      <c r="G170" s="79" t="str">
        <f aca="false">IF($AO170="","",INDEX(Securities!$E$6:$E$105,$AO170)&amp;"")</f>
        <v/>
      </c>
      <c r="H170" s="80"/>
      <c r="I170" s="81"/>
      <c r="J170" s="91"/>
      <c r="K170" s="85" t="str">
        <f aca="false">IF(OR($I170="",$J170=""),"",$I170*$J170)</f>
        <v/>
      </c>
      <c r="L170" s="80"/>
      <c r="M170" s="81"/>
      <c r="N170" s="91"/>
      <c r="O170" s="85" t="str">
        <f aca="false">IF(OR($M170="",$N170=""),"",$M170*$N170)</f>
        <v/>
      </c>
      <c r="P170" s="88" t="str">
        <f aca="false">IF($C170="","",N($I170)-N($M170))</f>
        <v/>
      </c>
      <c r="Q170" s="85" t="str">
        <f aca="false">IF(OR($P170="",$J170=""),"",$P170*$J170)</f>
        <v/>
      </c>
      <c r="R170" s="83" t="str">
        <f aca="false">IF($AO170="","",IF(INDEX(Securities!$N$6:$N$105,$AO170)="At cost",IF($J170="","",$J170),IF(INDEX(Securities!$O$6:$O$105,$AO170)="","",INDEX(Securities!$O$6:$O$105,$AO170))))</f>
        <v/>
      </c>
      <c r="S170" s="85" t="str">
        <f aca="false">IF(OR($P170="",$R170=""),"",$P170*$R170)</f>
        <v/>
      </c>
      <c r="T170" s="92" t="str">
        <f aca="false">IF(OR(NOT(ISNUMBER($L170)),NOT(ISNUMBER($H170))),"",$L170-$H170)</f>
        <v/>
      </c>
      <c r="U170" s="79" t="str">
        <f aca="false">IF($T170="","",IF($X170="","Short Term",IF($T170&gt;$X170,"Long Term","Short Term")))</f>
        <v/>
      </c>
      <c r="V170" s="92" t="str">
        <f aca="false">IF(OR(NOT(ISNUMBER($H170)),N($P170)&lt;=0),"",ValDate-$H170)</f>
        <v/>
      </c>
      <c r="W170" s="79" t="str">
        <f aca="false">IF($V170="","",IF($X170="","Short Term",IF($V170&gt;$X170,"Long Term","Short Term")))</f>
        <v/>
      </c>
      <c r="X170" s="92" t="str">
        <f aca="true">IF($G170="","",IF(ISNA(MATCH($G170,L_Category,0)),"",IF(INDEX(L_CatLT,MATCH($G170,L_Category,0))="","",INDEX(L_CatLT,MATCH($G170,L_Category,0)))))</f>
        <v/>
      </c>
      <c r="Y170" s="83" t="str">
        <f aca="false">IF($AO170="","",IF(INDEX(Securities!$Q$6:$Q$105,$AO170)="","",INDEX(Securities!$Q$6:$Q$105,$AO170)))</f>
        <v/>
      </c>
      <c r="Z170" s="79" t="str">
        <f aca="false">IF($C170="","",IF(OR(NOT(ISNUMBER($H170)),$Y170=""),"No",IF($H170&lt;=GFDate,"Yes","No")))</f>
        <v/>
      </c>
      <c r="AA170" s="85" t="str">
        <f aca="false">IF(OR($M170="",$N170="",$J170=""),"",$M170*($N170-$J170))</f>
        <v/>
      </c>
      <c r="AB170" s="85" t="str">
        <f aca="false">IF(OR(N($P170)&lt;=0,$R170="",$J170=""),"",$P170*($R170-$J170))</f>
        <v/>
      </c>
      <c r="AC170" s="83" t="str">
        <f aca="false">IF(OR($M170="",$N170="",$J170=""),"",IF($Z170="Yes",MAX($J170,MIN($Y170,$N170)),$J170))</f>
        <v/>
      </c>
      <c r="AD170" s="85" t="str">
        <f aca="false">IF($AC170="","",$M170*($N170-$AC170))</f>
        <v/>
      </c>
      <c r="AE170" s="83" t="str">
        <f aca="false">IF(OR(N($P170)&lt;=0,$R170="",$J170=""),"",IF($Z170="Yes",MAX($J170,MIN($Y170,$R170)),$J170))</f>
        <v/>
      </c>
      <c r="AF170" s="85" t="str">
        <f aca="false">IF($AE170="","",$P170*($R170-$AE170))</f>
        <v/>
      </c>
      <c r="AG170" s="92" t="str">
        <f aca="false">IF(OR($V170="",$X170=""),"",MAX(0,$X170+1-$V170))</f>
        <v/>
      </c>
      <c r="AH170" s="93" t="str">
        <f aca="false">IF(OR($X170="",NOT(ISNUMBER($H170)),N($P170)&lt;=0),"",$H170+$X170+1)</f>
        <v/>
      </c>
      <c r="AI170" s="91"/>
      <c r="AJ170" s="85" t="str">
        <f aca="false">IF(OR($AI170="",N($P170)&lt;=0),"",$AI170*$P170)</f>
        <v/>
      </c>
      <c r="AK170" s="79" t="str">
        <f aca="false">IF(NOT(ISNUMBER($L170)),"",IF(MONTH($L170)&gt;=4,YEAR($L170)&amp;"-"&amp;RIGHT(YEAR($L170)+1,2),(YEAR($L170)-1)&amp;"-"&amp;RIGHT(YEAR($L170),2)))</f>
        <v/>
      </c>
      <c r="AL170" s="78"/>
      <c r="AM170" s="79" t="str">
        <f aca="false">IF($A170&amp;$B170&amp;$C170="","",IF($A170="","Missing ID",IF(COUNTIF($A$6:$A$205,$A170)&gt;1,"Duplicate ID",IF($AN170="","Unknown account",IF($AO170="","Unknown security",IF(COUNTIFS(Holdings!$B$6:$B$205,$B170,Holdings!$C$6:$C$205,$C170)=0,"No holding row for this lot",IF(OR($I170="",$J170=""),"Missing purchase quantity or rate",IF(NOT(ISNUMBER($H170)),"Missing purchase date",IF(N($H170)&gt;ValDate,"Purchase after valuation date",IF(N($M170)&gt;N($I170),"Sale quantity exceeds purchase",IF(AND(N($M170)&gt;0,OR(NOT(ISNUMBER($L170)),$N170="")),"Sale date or rate missing",IF(AND(ISNUMBER($L170),N($M170)=0),"Sale date with no quantity",IF(AND(ISNUMBER($L170),N($L170)&lt;N($H170)),"Sale before purchase",IF(N($L170)&gt;ValDate,"Sale after valuation date","OK"))))))))))))))</f>
        <v/>
      </c>
      <c r="AN170" s="89" t="str">
        <f aca="false">IF($B170="","",IFERROR(MATCH($B170,Accounts!$A$6:$A$55,0),""))</f>
        <v/>
      </c>
      <c r="AO170" s="89" t="str">
        <f aca="false">IF($C170="","",IFERROR(MATCH($C170,Securities!$A$6:$A$105,0),""))</f>
        <v/>
      </c>
      <c r="AP170" s="89" t="str">
        <f aca="false">IF($AN170="","",INDEX(Accounts!$B$6:$B$55,$AN170)&amp;"")</f>
        <v/>
      </c>
      <c r="AQ170" s="89" t="str">
        <f aca="false">IF(AND(ISNUMBER($AG170),N($P170)&gt;0),IF(AND(N($AG170)&gt;0,N($AG170)&lt;=SoonDays),1,""),"")</f>
        <v/>
      </c>
      <c r="AR170" s="89" t="str">
        <f aca="false">IF($AQ170&lt;&gt;1,"",SUMPRODUCT(($AQ$6:$AQ$205=1)*ISNUMBER($AG$6:$AG$205)*($AG$6:$AG$205&lt;$AG170))+SUMPRODUCT(($AQ$6:$AQ170=1)*ISNUMBER($AG$6:$AG170)*($AG$6:$AG170=$AG170)))</f>
        <v/>
      </c>
    </row>
    <row r="171" customFormat="false" ht="15" hidden="false" customHeight="false" outlineLevel="0" collapsed="false">
      <c r="A171" s="77"/>
      <c r="B171" s="78"/>
      <c r="C171" s="78"/>
      <c r="D171" s="79" t="str">
        <f aca="false">IF($AN171="","",INDEX(Accounts!$C$6:$C$55,$AN171)&amp;"")</f>
        <v/>
      </c>
      <c r="E171" s="79" t="str">
        <f aca="false">IF($AO171="","",INDEX(Securities!$B$6:$B$105,$AO171)&amp;"")</f>
        <v/>
      </c>
      <c r="F171" s="79" t="str">
        <f aca="false">IF($AO171="","",INDEX(Securities!$C$6:$C$105,$AO171)&amp;"")</f>
        <v/>
      </c>
      <c r="G171" s="79" t="str">
        <f aca="false">IF($AO171="","",INDEX(Securities!$E$6:$E$105,$AO171)&amp;"")</f>
        <v/>
      </c>
      <c r="H171" s="80"/>
      <c r="I171" s="81"/>
      <c r="J171" s="91"/>
      <c r="K171" s="85" t="str">
        <f aca="false">IF(OR($I171="",$J171=""),"",$I171*$J171)</f>
        <v/>
      </c>
      <c r="L171" s="80"/>
      <c r="M171" s="81"/>
      <c r="N171" s="91"/>
      <c r="O171" s="85" t="str">
        <f aca="false">IF(OR($M171="",$N171=""),"",$M171*$N171)</f>
        <v/>
      </c>
      <c r="P171" s="88" t="str">
        <f aca="false">IF($C171="","",N($I171)-N($M171))</f>
        <v/>
      </c>
      <c r="Q171" s="85" t="str">
        <f aca="false">IF(OR($P171="",$J171=""),"",$P171*$J171)</f>
        <v/>
      </c>
      <c r="R171" s="83" t="str">
        <f aca="false">IF($AO171="","",IF(INDEX(Securities!$N$6:$N$105,$AO171)="At cost",IF($J171="","",$J171),IF(INDEX(Securities!$O$6:$O$105,$AO171)="","",INDEX(Securities!$O$6:$O$105,$AO171))))</f>
        <v/>
      </c>
      <c r="S171" s="85" t="str">
        <f aca="false">IF(OR($P171="",$R171=""),"",$P171*$R171)</f>
        <v/>
      </c>
      <c r="T171" s="92" t="str">
        <f aca="false">IF(OR(NOT(ISNUMBER($L171)),NOT(ISNUMBER($H171))),"",$L171-$H171)</f>
        <v/>
      </c>
      <c r="U171" s="79" t="str">
        <f aca="false">IF($T171="","",IF($X171="","Short Term",IF($T171&gt;$X171,"Long Term","Short Term")))</f>
        <v/>
      </c>
      <c r="V171" s="92" t="str">
        <f aca="false">IF(OR(NOT(ISNUMBER($H171)),N($P171)&lt;=0),"",ValDate-$H171)</f>
        <v/>
      </c>
      <c r="W171" s="79" t="str">
        <f aca="false">IF($V171="","",IF($X171="","Short Term",IF($V171&gt;$X171,"Long Term","Short Term")))</f>
        <v/>
      </c>
      <c r="X171" s="92" t="str">
        <f aca="true">IF($G171="","",IF(ISNA(MATCH($G171,L_Category,0)),"",IF(INDEX(L_CatLT,MATCH($G171,L_Category,0))="","",INDEX(L_CatLT,MATCH($G171,L_Category,0)))))</f>
        <v/>
      </c>
      <c r="Y171" s="83" t="str">
        <f aca="false">IF($AO171="","",IF(INDEX(Securities!$Q$6:$Q$105,$AO171)="","",INDEX(Securities!$Q$6:$Q$105,$AO171)))</f>
        <v/>
      </c>
      <c r="Z171" s="79" t="str">
        <f aca="false">IF($C171="","",IF(OR(NOT(ISNUMBER($H171)),$Y171=""),"No",IF($H171&lt;=GFDate,"Yes","No")))</f>
        <v/>
      </c>
      <c r="AA171" s="85" t="str">
        <f aca="false">IF(OR($M171="",$N171="",$J171=""),"",$M171*($N171-$J171))</f>
        <v/>
      </c>
      <c r="AB171" s="85" t="str">
        <f aca="false">IF(OR(N($P171)&lt;=0,$R171="",$J171=""),"",$P171*($R171-$J171))</f>
        <v/>
      </c>
      <c r="AC171" s="83" t="str">
        <f aca="false">IF(OR($M171="",$N171="",$J171=""),"",IF($Z171="Yes",MAX($J171,MIN($Y171,$N171)),$J171))</f>
        <v/>
      </c>
      <c r="AD171" s="85" t="str">
        <f aca="false">IF($AC171="","",$M171*($N171-$AC171))</f>
        <v/>
      </c>
      <c r="AE171" s="83" t="str">
        <f aca="false">IF(OR(N($P171)&lt;=0,$R171="",$J171=""),"",IF($Z171="Yes",MAX($J171,MIN($Y171,$R171)),$J171))</f>
        <v/>
      </c>
      <c r="AF171" s="85" t="str">
        <f aca="false">IF($AE171="","",$P171*($R171-$AE171))</f>
        <v/>
      </c>
      <c r="AG171" s="92" t="str">
        <f aca="false">IF(OR($V171="",$X171=""),"",MAX(0,$X171+1-$V171))</f>
        <v/>
      </c>
      <c r="AH171" s="93" t="str">
        <f aca="false">IF(OR($X171="",NOT(ISNUMBER($H171)),N($P171)&lt;=0),"",$H171+$X171+1)</f>
        <v/>
      </c>
      <c r="AI171" s="91"/>
      <c r="AJ171" s="85" t="str">
        <f aca="false">IF(OR($AI171="",N($P171)&lt;=0),"",$AI171*$P171)</f>
        <v/>
      </c>
      <c r="AK171" s="79" t="str">
        <f aca="false">IF(NOT(ISNUMBER($L171)),"",IF(MONTH($L171)&gt;=4,YEAR($L171)&amp;"-"&amp;RIGHT(YEAR($L171)+1,2),(YEAR($L171)-1)&amp;"-"&amp;RIGHT(YEAR($L171),2)))</f>
        <v/>
      </c>
      <c r="AL171" s="78"/>
      <c r="AM171" s="79" t="str">
        <f aca="false">IF($A171&amp;$B171&amp;$C171="","",IF($A171="","Missing ID",IF(COUNTIF($A$6:$A$205,$A171)&gt;1,"Duplicate ID",IF($AN171="","Unknown account",IF($AO171="","Unknown security",IF(COUNTIFS(Holdings!$B$6:$B$205,$B171,Holdings!$C$6:$C$205,$C171)=0,"No holding row for this lot",IF(OR($I171="",$J171=""),"Missing purchase quantity or rate",IF(NOT(ISNUMBER($H171)),"Missing purchase date",IF(N($H171)&gt;ValDate,"Purchase after valuation date",IF(N($M171)&gt;N($I171),"Sale quantity exceeds purchase",IF(AND(N($M171)&gt;0,OR(NOT(ISNUMBER($L171)),$N171="")),"Sale date or rate missing",IF(AND(ISNUMBER($L171),N($M171)=0),"Sale date with no quantity",IF(AND(ISNUMBER($L171),N($L171)&lt;N($H171)),"Sale before purchase",IF(N($L171)&gt;ValDate,"Sale after valuation date","OK"))))))))))))))</f>
        <v/>
      </c>
      <c r="AN171" s="89" t="str">
        <f aca="false">IF($B171="","",IFERROR(MATCH($B171,Accounts!$A$6:$A$55,0),""))</f>
        <v/>
      </c>
      <c r="AO171" s="89" t="str">
        <f aca="false">IF($C171="","",IFERROR(MATCH($C171,Securities!$A$6:$A$105,0),""))</f>
        <v/>
      </c>
      <c r="AP171" s="89" t="str">
        <f aca="false">IF($AN171="","",INDEX(Accounts!$B$6:$B$55,$AN171)&amp;"")</f>
        <v/>
      </c>
      <c r="AQ171" s="89" t="str">
        <f aca="false">IF(AND(ISNUMBER($AG171),N($P171)&gt;0),IF(AND(N($AG171)&gt;0,N($AG171)&lt;=SoonDays),1,""),"")</f>
        <v/>
      </c>
      <c r="AR171" s="89" t="str">
        <f aca="false">IF($AQ171&lt;&gt;1,"",SUMPRODUCT(($AQ$6:$AQ$205=1)*ISNUMBER($AG$6:$AG$205)*($AG$6:$AG$205&lt;$AG171))+SUMPRODUCT(($AQ$6:$AQ171=1)*ISNUMBER($AG$6:$AG171)*($AG$6:$AG171=$AG171)))</f>
        <v/>
      </c>
    </row>
    <row r="172" customFormat="false" ht="15" hidden="false" customHeight="false" outlineLevel="0" collapsed="false">
      <c r="A172" s="77"/>
      <c r="B172" s="78"/>
      <c r="C172" s="78"/>
      <c r="D172" s="79" t="str">
        <f aca="false">IF($AN172="","",INDEX(Accounts!$C$6:$C$55,$AN172)&amp;"")</f>
        <v/>
      </c>
      <c r="E172" s="79" t="str">
        <f aca="false">IF($AO172="","",INDEX(Securities!$B$6:$B$105,$AO172)&amp;"")</f>
        <v/>
      </c>
      <c r="F172" s="79" t="str">
        <f aca="false">IF($AO172="","",INDEX(Securities!$C$6:$C$105,$AO172)&amp;"")</f>
        <v/>
      </c>
      <c r="G172" s="79" t="str">
        <f aca="false">IF($AO172="","",INDEX(Securities!$E$6:$E$105,$AO172)&amp;"")</f>
        <v/>
      </c>
      <c r="H172" s="80"/>
      <c r="I172" s="81"/>
      <c r="J172" s="91"/>
      <c r="K172" s="85" t="str">
        <f aca="false">IF(OR($I172="",$J172=""),"",$I172*$J172)</f>
        <v/>
      </c>
      <c r="L172" s="80"/>
      <c r="M172" s="81"/>
      <c r="N172" s="91"/>
      <c r="O172" s="85" t="str">
        <f aca="false">IF(OR($M172="",$N172=""),"",$M172*$N172)</f>
        <v/>
      </c>
      <c r="P172" s="88" t="str">
        <f aca="false">IF($C172="","",N($I172)-N($M172))</f>
        <v/>
      </c>
      <c r="Q172" s="85" t="str">
        <f aca="false">IF(OR($P172="",$J172=""),"",$P172*$J172)</f>
        <v/>
      </c>
      <c r="R172" s="83" t="str">
        <f aca="false">IF($AO172="","",IF(INDEX(Securities!$N$6:$N$105,$AO172)="At cost",IF($J172="","",$J172),IF(INDEX(Securities!$O$6:$O$105,$AO172)="","",INDEX(Securities!$O$6:$O$105,$AO172))))</f>
        <v/>
      </c>
      <c r="S172" s="85" t="str">
        <f aca="false">IF(OR($P172="",$R172=""),"",$P172*$R172)</f>
        <v/>
      </c>
      <c r="T172" s="92" t="str">
        <f aca="false">IF(OR(NOT(ISNUMBER($L172)),NOT(ISNUMBER($H172))),"",$L172-$H172)</f>
        <v/>
      </c>
      <c r="U172" s="79" t="str">
        <f aca="false">IF($T172="","",IF($X172="","Short Term",IF($T172&gt;$X172,"Long Term","Short Term")))</f>
        <v/>
      </c>
      <c r="V172" s="92" t="str">
        <f aca="false">IF(OR(NOT(ISNUMBER($H172)),N($P172)&lt;=0),"",ValDate-$H172)</f>
        <v/>
      </c>
      <c r="W172" s="79" t="str">
        <f aca="false">IF($V172="","",IF($X172="","Short Term",IF($V172&gt;$X172,"Long Term","Short Term")))</f>
        <v/>
      </c>
      <c r="X172" s="92" t="str">
        <f aca="true">IF($G172="","",IF(ISNA(MATCH($G172,L_Category,0)),"",IF(INDEX(L_CatLT,MATCH($G172,L_Category,0))="","",INDEX(L_CatLT,MATCH($G172,L_Category,0)))))</f>
        <v/>
      </c>
      <c r="Y172" s="83" t="str">
        <f aca="false">IF($AO172="","",IF(INDEX(Securities!$Q$6:$Q$105,$AO172)="","",INDEX(Securities!$Q$6:$Q$105,$AO172)))</f>
        <v/>
      </c>
      <c r="Z172" s="79" t="str">
        <f aca="false">IF($C172="","",IF(OR(NOT(ISNUMBER($H172)),$Y172=""),"No",IF($H172&lt;=GFDate,"Yes","No")))</f>
        <v/>
      </c>
      <c r="AA172" s="85" t="str">
        <f aca="false">IF(OR($M172="",$N172="",$J172=""),"",$M172*($N172-$J172))</f>
        <v/>
      </c>
      <c r="AB172" s="85" t="str">
        <f aca="false">IF(OR(N($P172)&lt;=0,$R172="",$J172=""),"",$P172*($R172-$J172))</f>
        <v/>
      </c>
      <c r="AC172" s="83" t="str">
        <f aca="false">IF(OR($M172="",$N172="",$J172=""),"",IF($Z172="Yes",MAX($J172,MIN($Y172,$N172)),$J172))</f>
        <v/>
      </c>
      <c r="AD172" s="85" t="str">
        <f aca="false">IF($AC172="","",$M172*($N172-$AC172))</f>
        <v/>
      </c>
      <c r="AE172" s="83" t="str">
        <f aca="false">IF(OR(N($P172)&lt;=0,$R172="",$J172=""),"",IF($Z172="Yes",MAX($J172,MIN($Y172,$R172)),$J172))</f>
        <v/>
      </c>
      <c r="AF172" s="85" t="str">
        <f aca="false">IF($AE172="","",$P172*($R172-$AE172))</f>
        <v/>
      </c>
      <c r="AG172" s="92" t="str">
        <f aca="false">IF(OR($V172="",$X172=""),"",MAX(0,$X172+1-$V172))</f>
        <v/>
      </c>
      <c r="AH172" s="93" t="str">
        <f aca="false">IF(OR($X172="",NOT(ISNUMBER($H172)),N($P172)&lt;=0),"",$H172+$X172+1)</f>
        <v/>
      </c>
      <c r="AI172" s="91"/>
      <c r="AJ172" s="85" t="str">
        <f aca="false">IF(OR($AI172="",N($P172)&lt;=0),"",$AI172*$P172)</f>
        <v/>
      </c>
      <c r="AK172" s="79" t="str">
        <f aca="false">IF(NOT(ISNUMBER($L172)),"",IF(MONTH($L172)&gt;=4,YEAR($L172)&amp;"-"&amp;RIGHT(YEAR($L172)+1,2),(YEAR($L172)-1)&amp;"-"&amp;RIGHT(YEAR($L172),2)))</f>
        <v/>
      </c>
      <c r="AL172" s="78"/>
      <c r="AM172" s="79" t="str">
        <f aca="false">IF($A172&amp;$B172&amp;$C172="","",IF($A172="","Missing ID",IF(COUNTIF($A$6:$A$205,$A172)&gt;1,"Duplicate ID",IF($AN172="","Unknown account",IF($AO172="","Unknown security",IF(COUNTIFS(Holdings!$B$6:$B$205,$B172,Holdings!$C$6:$C$205,$C172)=0,"No holding row for this lot",IF(OR($I172="",$J172=""),"Missing purchase quantity or rate",IF(NOT(ISNUMBER($H172)),"Missing purchase date",IF(N($H172)&gt;ValDate,"Purchase after valuation date",IF(N($M172)&gt;N($I172),"Sale quantity exceeds purchase",IF(AND(N($M172)&gt;0,OR(NOT(ISNUMBER($L172)),$N172="")),"Sale date or rate missing",IF(AND(ISNUMBER($L172),N($M172)=0),"Sale date with no quantity",IF(AND(ISNUMBER($L172),N($L172)&lt;N($H172)),"Sale before purchase",IF(N($L172)&gt;ValDate,"Sale after valuation date","OK"))))))))))))))</f>
        <v/>
      </c>
      <c r="AN172" s="89" t="str">
        <f aca="false">IF($B172="","",IFERROR(MATCH($B172,Accounts!$A$6:$A$55,0),""))</f>
        <v/>
      </c>
      <c r="AO172" s="89" t="str">
        <f aca="false">IF($C172="","",IFERROR(MATCH($C172,Securities!$A$6:$A$105,0),""))</f>
        <v/>
      </c>
      <c r="AP172" s="89" t="str">
        <f aca="false">IF($AN172="","",INDEX(Accounts!$B$6:$B$55,$AN172)&amp;"")</f>
        <v/>
      </c>
      <c r="AQ172" s="89" t="str">
        <f aca="false">IF(AND(ISNUMBER($AG172),N($P172)&gt;0),IF(AND(N($AG172)&gt;0,N($AG172)&lt;=SoonDays),1,""),"")</f>
        <v/>
      </c>
      <c r="AR172" s="89" t="str">
        <f aca="false">IF($AQ172&lt;&gt;1,"",SUMPRODUCT(($AQ$6:$AQ$205=1)*ISNUMBER($AG$6:$AG$205)*($AG$6:$AG$205&lt;$AG172))+SUMPRODUCT(($AQ$6:$AQ172=1)*ISNUMBER($AG$6:$AG172)*($AG$6:$AG172=$AG172)))</f>
        <v/>
      </c>
    </row>
    <row r="173" customFormat="false" ht="15" hidden="false" customHeight="false" outlineLevel="0" collapsed="false">
      <c r="A173" s="77"/>
      <c r="B173" s="78"/>
      <c r="C173" s="78"/>
      <c r="D173" s="79" t="str">
        <f aca="false">IF($AN173="","",INDEX(Accounts!$C$6:$C$55,$AN173)&amp;"")</f>
        <v/>
      </c>
      <c r="E173" s="79" t="str">
        <f aca="false">IF($AO173="","",INDEX(Securities!$B$6:$B$105,$AO173)&amp;"")</f>
        <v/>
      </c>
      <c r="F173" s="79" t="str">
        <f aca="false">IF($AO173="","",INDEX(Securities!$C$6:$C$105,$AO173)&amp;"")</f>
        <v/>
      </c>
      <c r="G173" s="79" t="str">
        <f aca="false">IF($AO173="","",INDEX(Securities!$E$6:$E$105,$AO173)&amp;"")</f>
        <v/>
      </c>
      <c r="H173" s="80"/>
      <c r="I173" s="81"/>
      <c r="J173" s="91"/>
      <c r="K173" s="85" t="str">
        <f aca="false">IF(OR($I173="",$J173=""),"",$I173*$J173)</f>
        <v/>
      </c>
      <c r="L173" s="80"/>
      <c r="M173" s="81"/>
      <c r="N173" s="91"/>
      <c r="O173" s="85" t="str">
        <f aca="false">IF(OR($M173="",$N173=""),"",$M173*$N173)</f>
        <v/>
      </c>
      <c r="P173" s="88" t="str">
        <f aca="false">IF($C173="","",N($I173)-N($M173))</f>
        <v/>
      </c>
      <c r="Q173" s="85" t="str">
        <f aca="false">IF(OR($P173="",$J173=""),"",$P173*$J173)</f>
        <v/>
      </c>
      <c r="R173" s="83" t="str">
        <f aca="false">IF($AO173="","",IF(INDEX(Securities!$N$6:$N$105,$AO173)="At cost",IF($J173="","",$J173),IF(INDEX(Securities!$O$6:$O$105,$AO173)="","",INDEX(Securities!$O$6:$O$105,$AO173))))</f>
        <v/>
      </c>
      <c r="S173" s="85" t="str">
        <f aca="false">IF(OR($P173="",$R173=""),"",$P173*$R173)</f>
        <v/>
      </c>
      <c r="T173" s="92" t="str">
        <f aca="false">IF(OR(NOT(ISNUMBER($L173)),NOT(ISNUMBER($H173))),"",$L173-$H173)</f>
        <v/>
      </c>
      <c r="U173" s="79" t="str">
        <f aca="false">IF($T173="","",IF($X173="","Short Term",IF($T173&gt;$X173,"Long Term","Short Term")))</f>
        <v/>
      </c>
      <c r="V173" s="92" t="str">
        <f aca="false">IF(OR(NOT(ISNUMBER($H173)),N($P173)&lt;=0),"",ValDate-$H173)</f>
        <v/>
      </c>
      <c r="W173" s="79" t="str">
        <f aca="false">IF($V173="","",IF($X173="","Short Term",IF($V173&gt;$X173,"Long Term","Short Term")))</f>
        <v/>
      </c>
      <c r="X173" s="92" t="str">
        <f aca="true">IF($G173="","",IF(ISNA(MATCH($G173,L_Category,0)),"",IF(INDEX(L_CatLT,MATCH($G173,L_Category,0))="","",INDEX(L_CatLT,MATCH($G173,L_Category,0)))))</f>
        <v/>
      </c>
      <c r="Y173" s="83" t="str">
        <f aca="false">IF($AO173="","",IF(INDEX(Securities!$Q$6:$Q$105,$AO173)="","",INDEX(Securities!$Q$6:$Q$105,$AO173)))</f>
        <v/>
      </c>
      <c r="Z173" s="79" t="str">
        <f aca="false">IF($C173="","",IF(OR(NOT(ISNUMBER($H173)),$Y173=""),"No",IF($H173&lt;=GFDate,"Yes","No")))</f>
        <v/>
      </c>
      <c r="AA173" s="85" t="str">
        <f aca="false">IF(OR($M173="",$N173="",$J173=""),"",$M173*($N173-$J173))</f>
        <v/>
      </c>
      <c r="AB173" s="85" t="str">
        <f aca="false">IF(OR(N($P173)&lt;=0,$R173="",$J173=""),"",$P173*($R173-$J173))</f>
        <v/>
      </c>
      <c r="AC173" s="83" t="str">
        <f aca="false">IF(OR($M173="",$N173="",$J173=""),"",IF($Z173="Yes",MAX($J173,MIN($Y173,$N173)),$J173))</f>
        <v/>
      </c>
      <c r="AD173" s="85" t="str">
        <f aca="false">IF($AC173="","",$M173*($N173-$AC173))</f>
        <v/>
      </c>
      <c r="AE173" s="83" t="str">
        <f aca="false">IF(OR(N($P173)&lt;=0,$R173="",$J173=""),"",IF($Z173="Yes",MAX($J173,MIN($Y173,$R173)),$J173))</f>
        <v/>
      </c>
      <c r="AF173" s="85" t="str">
        <f aca="false">IF($AE173="","",$P173*($R173-$AE173))</f>
        <v/>
      </c>
      <c r="AG173" s="92" t="str">
        <f aca="false">IF(OR($V173="",$X173=""),"",MAX(0,$X173+1-$V173))</f>
        <v/>
      </c>
      <c r="AH173" s="93" t="str">
        <f aca="false">IF(OR($X173="",NOT(ISNUMBER($H173)),N($P173)&lt;=0),"",$H173+$X173+1)</f>
        <v/>
      </c>
      <c r="AI173" s="91"/>
      <c r="AJ173" s="85" t="str">
        <f aca="false">IF(OR($AI173="",N($P173)&lt;=0),"",$AI173*$P173)</f>
        <v/>
      </c>
      <c r="AK173" s="79" t="str">
        <f aca="false">IF(NOT(ISNUMBER($L173)),"",IF(MONTH($L173)&gt;=4,YEAR($L173)&amp;"-"&amp;RIGHT(YEAR($L173)+1,2),(YEAR($L173)-1)&amp;"-"&amp;RIGHT(YEAR($L173),2)))</f>
        <v/>
      </c>
      <c r="AL173" s="78"/>
      <c r="AM173" s="79" t="str">
        <f aca="false">IF($A173&amp;$B173&amp;$C173="","",IF($A173="","Missing ID",IF(COUNTIF($A$6:$A$205,$A173)&gt;1,"Duplicate ID",IF($AN173="","Unknown account",IF($AO173="","Unknown security",IF(COUNTIFS(Holdings!$B$6:$B$205,$B173,Holdings!$C$6:$C$205,$C173)=0,"No holding row for this lot",IF(OR($I173="",$J173=""),"Missing purchase quantity or rate",IF(NOT(ISNUMBER($H173)),"Missing purchase date",IF(N($H173)&gt;ValDate,"Purchase after valuation date",IF(N($M173)&gt;N($I173),"Sale quantity exceeds purchase",IF(AND(N($M173)&gt;0,OR(NOT(ISNUMBER($L173)),$N173="")),"Sale date or rate missing",IF(AND(ISNUMBER($L173),N($M173)=0),"Sale date with no quantity",IF(AND(ISNUMBER($L173),N($L173)&lt;N($H173)),"Sale before purchase",IF(N($L173)&gt;ValDate,"Sale after valuation date","OK"))))))))))))))</f>
        <v/>
      </c>
      <c r="AN173" s="89" t="str">
        <f aca="false">IF($B173="","",IFERROR(MATCH($B173,Accounts!$A$6:$A$55,0),""))</f>
        <v/>
      </c>
      <c r="AO173" s="89" t="str">
        <f aca="false">IF($C173="","",IFERROR(MATCH($C173,Securities!$A$6:$A$105,0),""))</f>
        <v/>
      </c>
      <c r="AP173" s="89" t="str">
        <f aca="false">IF($AN173="","",INDEX(Accounts!$B$6:$B$55,$AN173)&amp;"")</f>
        <v/>
      </c>
      <c r="AQ173" s="89" t="str">
        <f aca="false">IF(AND(ISNUMBER($AG173),N($P173)&gt;0),IF(AND(N($AG173)&gt;0,N($AG173)&lt;=SoonDays),1,""),"")</f>
        <v/>
      </c>
      <c r="AR173" s="89" t="str">
        <f aca="false">IF($AQ173&lt;&gt;1,"",SUMPRODUCT(($AQ$6:$AQ$205=1)*ISNUMBER($AG$6:$AG$205)*($AG$6:$AG$205&lt;$AG173))+SUMPRODUCT(($AQ$6:$AQ173=1)*ISNUMBER($AG$6:$AG173)*($AG$6:$AG173=$AG173)))</f>
        <v/>
      </c>
    </row>
    <row r="174" customFormat="false" ht="15" hidden="false" customHeight="false" outlineLevel="0" collapsed="false">
      <c r="A174" s="77"/>
      <c r="B174" s="78"/>
      <c r="C174" s="78"/>
      <c r="D174" s="79" t="str">
        <f aca="false">IF($AN174="","",INDEX(Accounts!$C$6:$C$55,$AN174)&amp;"")</f>
        <v/>
      </c>
      <c r="E174" s="79" t="str">
        <f aca="false">IF($AO174="","",INDEX(Securities!$B$6:$B$105,$AO174)&amp;"")</f>
        <v/>
      </c>
      <c r="F174" s="79" t="str">
        <f aca="false">IF($AO174="","",INDEX(Securities!$C$6:$C$105,$AO174)&amp;"")</f>
        <v/>
      </c>
      <c r="G174" s="79" t="str">
        <f aca="false">IF($AO174="","",INDEX(Securities!$E$6:$E$105,$AO174)&amp;"")</f>
        <v/>
      </c>
      <c r="H174" s="80"/>
      <c r="I174" s="81"/>
      <c r="J174" s="91"/>
      <c r="K174" s="85" t="str">
        <f aca="false">IF(OR($I174="",$J174=""),"",$I174*$J174)</f>
        <v/>
      </c>
      <c r="L174" s="80"/>
      <c r="M174" s="81"/>
      <c r="N174" s="91"/>
      <c r="O174" s="85" t="str">
        <f aca="false">IF(OR($M174="",$N174=""),"",$M174*$N174)</f>
        <v/>
      </c>
      <c r="P174" s="88" t="str">
        <f aca="false">IF($C174="","",N($I174)-N($M174))</f>
        <v/>
      </c>
      <c r="Q174" s="85" t="str">
        <f aca="false">IF(OR($P174="",$J174=""),"",$P174*$J174)</f>
        <v/>
      </c>
      <c r="R174" s="83" t="str">
        <f aca="false">IF($AO174="","",IF(INDEX(Securities!$N$6:$N$105,$AO174)="At cost",IF($J174="","",$J174),IF(INDEX(Securities!$O$6:$O$105,$AO174)="","",INDEX(Securities!$O$6:$O$105,$AO174))))</f>
        <v/>
      </c>
      <c r="S174" s="85" t="str">
        <f aca="false">IF(OR($P174="",$R174=""),"",$P174*$R174)</f>
        <v/>
      </c>
      <c r="T174" s="92" t="str">
        <f aca="false">IF(OR(NOT(ISNUMBER($L174)),NOT(ISNUMBER($H174))),"",$L174-$H174)</f>
        <v/>
      </c>
      <c r="U174" s="79" t="str">
        <f aca="false">IF($T174="","",IF($X174="","Short Term",IF($T174&gt;$X174,"Long Term","Short Term")))</f>
        <v/>
      </c>
      <c r="V174" s="92" t="str">
        <f aca="false">IF(OR(NOT(ISNUMBER($H174)),N($P174)&lt;=0),"",ValDate-$H174)</f>
        <v/>
      </c>
      <c r="W174" s="79" t="str">
        <f aca="false">IF($V174="","",IF($X174="","Short Term",IF($V174&gt;$X174,"Long Term","Short Term")))</f>
        <v/>
      </c>
      <c r="X174" s="92" t="str">
        <f aca="true">IF($G174="","",IF(ISNA(MATCH($G174,L_Category,0)),"",IF(INDEX(L_CatLT,MATCH($G174,L_Category,0))="","",INDEX(L_CatLT,MATCH($G174,L_Category,0)))))</f>
        <v/>
      </c>
      <c r="Y174" s="83" t="str">
        <f aca="false">IF($AO174="","",IF(INDEX(Securities!$Q$6:$Q$105,$AO174)="","",INDEX(Securities!$Q$6:$Q$105,$AO174)))</f>
        <v/>
      </c>
      <c r="Z174" s="79" t="str">
        <f aca="false">IF($C174="","",IF(OR(NOT(ISNUMBER($H174)),$Y174=""),"No",IF($H174&lt;=GFDate,"Yes","No")))</f>
        <v/>
      </c>
      <c r="AA174" s="85" t="str">
        <f aca="false">IF(OR($M174="",$N174="",$J174=""),"",$M174*($N174-$J174))</f>
        <v/>
      </c>
      <c r="AB174" s="85" t="str">
        <f aca="false">IF(OR(N($P174)&lt;=0,$R174="",$J174=""),"",$P174*($R174-$J174))</f>
        <v/>
      </c>
      <c r="AC174" s="83" t="str">
        <f aca="false">IF(OR($M174="",$N174="",$J174=""),"",IF($Z174="Yes",MAX($J174,MIN($Y174,$N174)),$J174))</f>
        <v/>
      </c>
      <c r="AD174" s="85" t="str">
        <f aca="false">IF($AC174="","",$M174*($N174-$AC174))</f>
        <v/>
      </c>
      <c r="AE174" s="83" t="str">
        <f aca="false">IF(OR(N($P174)&lt;=0,$R174="",$J174=""),"",IF($Z174="Yes",MAX($J174,MIN($Y174,$R174)),$J174))</f>
        <v/>
      </c>
      <c r="AF174" s="85" t="str">
        <f aca="false">IF($AE174="","",$P174*($R174-$AE174))</f>
        <v/>
      </c>
      <c r="AG174" s="92" t="str">
        <f aca="false">IF(OR($V174="",$X174=""),"",MAX(0,$X174+1-$V174))</f>
        <v/>
      </c>
      <c r="AH174" s="93" t="str">
        <f aca="false">IF(OR($X174="",NOT(ISNUMBER($H174)),N($P174)&lt;=0),"",$H174+$X174+1)</f>
        <v/>
      </c>
      <c r="AI174" s="91"/>
      <c r="AJ174" s="85" t="str">
        <f aca="false">IF(OR($AI174="",N($P174)&lt;=0),"",$AI174*$P174)</f>
        <v/>
      </c>
      <c r="AK174" s="79" t="str">
        <f aca="false">IF(NOT(ISNUMBER($L174)),"",IF(MONTH($L174)&gt;=4,YEAR($L174)&amp;"-"&amp;RIGHT(YEAR($L174)+1,2),(YEAR($L174)-1)&amp;"-"&amp;RIGHT(YEAR($L174),2)))</f>
        <v/>
      </c>
      <c r="AL174" s="78"/>
      <c r="AM174" s="79" t="str">
        <f aca="false">IF($A174&amp;$B174&amp;$C174="","",IF($A174="","Missing ID",IF(COUNTIF($A$6:$A$205,$A174)&gt;1,"Duplicate ID",IF($AN174="","Unknown account",IF($AO174="","Unknown security",IF(COUNTIFS(Holdings!$B$6:$B$205,$B174,Holdings!$C$6:$C$205,$C174)=0,"No holding row for this lot",IF(OR($I174="",$J174=""),"Missing purchase quantity or rate",IF(NOT(ISNUMBER($H174)),"Missing purchase date",IF(N($H174)&gt;ValDate,"Purchase after valuation date",IF(N($M174)&gt;N($I174),"Sale quantity exceeds purchase",IF(AND(N($M174)&gt;0,OR(NOT(ISNUMBER($L174)),$N174="")),"Sale date or rate missing",IF(AND(ISNUMBER($L174),N($M174)=0),"Sale date with no quantity",IF(AND(ISNUMBER($L174),N($L174)&lt;N($H174)),"Sale before purchase",IF(N($L174)&gt;ValDate,"Sale after valuation date","OK"))))))))))))))</f>
        <v/>
      </c>
      <c r="AN174" s="89" t="str">
        <f aca="false">IF($B174="","",IFERROR(MATCH($B174,Accounts!$A$6:$A$55,0),""))</f>
        <v/>
      </c>
      <c r="AO174" s="89" t="str">
        <f aca="false">IF($C174="","",IFERROR(MATCH($C174,Securities!$A$6:$A$105,0),""))</f>
        <v/>
      </c>
      <c r="AP174" s="89" t="str">
        <f aca="false">IF($AN174="","",INDEX(Accounts!$B$6:$B$55,$AN174)&amp;"")</f>
        <v/>
      </c>
      <c r="AQ174" s="89" t="str">
        <f aca="false">IF(AND(ISNUMBER($AG174),N($P174)&gt;0),IF(AND(N($AG174)&gt;0,N($AG174)&lt;=SoonDays),1,""),"")</f>
        <v/>
      </c>
      <c r="AR174" s="89" t="str">
        <f aca="false">IF($AQ174&lt;&gt;1,"",SUMPRODUCT(($AQ$6:$AQ$205=1)*ISNUMBER($AG$6:$AG$205)*($AG$6:$AG$205&lt;$AG174))+SUMPRODUCT(($AQ$6:$AQ174=1)*ISNUMBER($AG$6:$AG174)*($AG$6:$AG174=$AG174)))</f>
        <v/>
      </c>
    </row>
    <row r="175" customFormat="false" ht="15" hidden="false" customHeight="false" outlineLevel="0" collapsed="false">
      <c r="A175" s="77"/>
      <c r="B175" s="78"/>
      <c r="C175" s="78"/>
      <c r="D175" s="79" t="str">
        <f aca="false">IF($AN175="","",INDEX(Accounts!$C$6:$C$55,$AN175)&amp;"")</f>
        <v/>
      </c>
      <c r="E175" s="79" t="str">
        <f aca="false">IF($AO175="","",INDEX(Securities!$B$6:$B$105,$AO175)&amp;"")</f>
        <v/>
      </c>
      <c r="F175" s="79" t="str">
        <f aca="false">IF($AO175="","",INDEX(Securities!$C$6:$C$105,$AO175)&amp;"")</f>
        <v/>
      </c>
      <c r="G175" s="79" t="str">
        <f aca="false">IF($AO175="","",INDEX(Securities!$E$6:$E$105,$AO175)&amp;"")</f>
        <v/>
      </c>
      <c r="H175" s="80"/>
      <c r="I175" s="81"/>
      <c r="J175" s="91"/>
      <c r="K175" s="85" t="str">
        <f aca="false">IF(OR($I175="",$J175=""),"",$I175*$J175)</f>
        <v/>
      </c>
      <c r="L175" s="80"/>
      <c r="M175" s="81"/>
      <c r="N175" s="91"/>
      <c r="O175" s="85" t="str">
        <f aca="false">IF(OR($M175="",$N175=""),"",$M175*$N175)</f>
        <v/>
      </c>
      <c r="P175" s="88" t="str">
        <f aca="false">IF($C175="","",N($I175)-N($M175))</f>
        <v/>
      </c>
      <c r="Q175" s="85" t="str">
        <f aca="false">IF(OR($P175="",$J175=""),"",$P175*$J175)</f>
        <v/>
      </c>
      <c r="R175" s="83" t="str">
        <f aca="false">IF($AO175="","",IF(INDEX(Securities!$N$6:$N$105,$AO175)="At cost",IF($J175="","",$J175),IF(INDEX(Securities!$O$6:$O$105,$AO175)="","",INDEX(Securities!$O$6:$O$105,$AO175))))</f>
        <v/>
      </c>
      <c r="S175" s="85" t="str">
        <f aca="false">IF(OR($P175="",$R175=""),"",$P175*$R175)</f>
        <v/>
      </c>
      <c r="T175" s="92" t="str">
        <f aca="false">IF(OR(NOT(ISNUMBER($L175)),NOT(ISNUMBER($H175))),"",$L175-$H175)</f>
        <v/>
      </c>
      <c r="U175" s="79" t="str">
        <f aca="false">IF($T175="","",IF($X175="","Short Term",IF($T175&gt;$X175,"Long Term","Short Term")))</f>
        <v/>
      </c>
      <c r="V175" s="92" t="str">
        <f aca="false">IF(OR(NOT(ISNUMBER($H175)),N($P175)&lt;=0),"",ValDate-$H175)</f>
        <v/>
      </c>
      <c r="W175" s="79" t="str">
        <f aca="false">IF($V175="","",IF($X175="","Short Term",IF($V175&gt;$X175,"Long Term","Short Term")))</f>
        <v/>
      </c>
      <c r="X175" s="92" t="str">
        <f aca="true">IF($G175="","",IF(ISNA(MATCH($G175,L_Category,0)),"",IF(INDEX(L_CatLT,MATCH($G175,L_Category,0))="","",INDEX(L_CatLT,MATCH($G175,L_Category,0)))))</f>
        <v/>
      </c>
      <c r="Y175" s="83" t="str">
        <f aca="false">IF($AO175="","",IF(INDEX(Securities!$Q$6:$Q$105,$AO175)="","",INDEX(Securities!$Q$6:$Q$105,$AO175)))</f>
        <v/>
      </c>
      <c r="Z175" s="79" t="str">
        <f aca="false">IF($C175="","",IF(OR(NOT(ISNUMBER($H175)),$Y175=""),"No",IF($H175&lt;=GFDate,"Yes","No")))</f>
        <v/>
      </c>
      <c r="AA175" s="85" t="str">
        <f aca="false">IF(OR($M175="",$N175="",$J175=""),"",$M175*($N175-$J175))</f>
        <v/>
      </c>
      <c r="AB175" s="85" t="str">
        <f aca="false">IF(OR(N($P175)&lt;=0,$R175="",$J175=""),"",$P175*($R175-$J175))</f>
        <v/>
      </c>
      <c r="AC175" s="83" t="str">
        <f aca="false">IF(OR($M175="",$N175="",$J175=""),"",IF($Z175="Yes",MAX($J175,MIN($Y175,$N175)),$J175))</f>
        <v/>
      </c>
      <c r="AD175" s="85" t="str">
        <f aca="false">IF($AC175="","",$M175*($N175-$AC175))</f>
        <v/>
      </c>
      <c r="AE175" s="83" t="str">
        <f aca="false">IF(OR(N($P175)&lt;=0,$R175="",$J175=""),"",IF($Z175="Yes",MAX($J175,MIN($Y175,$R175)),$J175))</f>
        <v/>
      </c>
      <c r="AF175" s="85" t="str">
        <f aca="false">IF($AE175="","",$P175*($R175-$AE175))</f>
        <v/>
      </c>
      <c r="AG175" s="92" t="str">
        <f aca="false">IF(OR($V175="",$X175=""),"",MAX(0,$X175+1-$V175))</f>
        <v/>
      </c>
      <c r="AH175" s="93" t="str">
        <f aca="false">IF(OR($X175="",NOT(ISNUMBER($H175)),N($P175)&lt;=0),"",$H175+$X175+1)</f>
        <v/>
      </c>
      <c r="AI175" s="91"/>
      <c r="AJ175" s="85" t="str">
        <f aca="false">IF(OR($AI175="",N($P175)&lt;=0),"",$AI175*$P175)</f>
        <v/>
      </c>
      <c r="AK175" s="79" t="str">
        <f aca="false">IF(NOT(ISNUMBER($L175)),"",IF(MONTH($L175)&gt;=4,YEAR($L175)&amp;"-"&amp;RIGHT(YEAR($L175)+1,2),(YEAR($L175)-1)&amp;"-"&amp;RIGHT(YEAR($L175),2)))</f>
        <v/>
      </c>
      <c r="AL175" s="78"/>
      <c r="AM175" s="79" t="str">
        <f aca="false">IF($A175&amp;$B175&amp;$C175="","",IF($A175="","Missing ID",IF(COUNTIF($A$6:$A$205,$A175)&gt;1,"Duplicate ID",IF($AN175="","Unknown account",IF($AO175="","Unknown security",IF(COUNTIFS(Holdings!$B$6:$B$205,$B175,Holdings!$C$6:$C$205,$C175)=0,"No holding row for this lot",IF(OR($I175="",$J175=""),"Missing purchase quantity or rate",IF(NOT(ISNUMBER($H175)),"Missing purchase date",IF(N($H175)&gt;ValDate,"Purchase after valuation date",IF(N($M175)&gt;N($I175),"Sale quantity exceeds purchase",IF(AND(N($M175)&gt;0,OR(NOT(ISNUMBER($L175)),$N175="")),"Sale date or rate missing",IF(AND(ISNUMBER($L175),N($M175)=0),"Sale date with no quantity",IF(AND(ISNUMBER($L175),N($L175)&lt;N($H175)),"Sale before purchase",IF(N($L175)&gt;ValDate,"Sale after valuation date","OK"))))))))))))))</f>
        <v/>
      </c>
      <c r="AN175" s="89" t="str">
        <f aca="false">IF($B175="","",IFERROR(MATCH($B175,Accounts!$A$6:$A$55,0),""))</f>
        <v/>
      </c>
      <c r="AO175" s="89" t="str">
        <f aca="false">IF($C175="","",IFERROR(MATCH($C175,Securities!$A$6:$A$105,0),""))</f>
        <v/>
      </c>
      <c r="AP175" s="89" t="str">
        <f aca="false">IF($AN175="","",INDEX(Accounts!$B$6:$B$55,$AN175)&amp;"")</f>
        <v/>
      </c>
      <c r="AQ175" s="89" t="str">
        <f aca="false">IF(AND(ISNUMBER($AG175),N($P175)&gt;0),IF(AND(N($AG175)&gt;0,N($AG175)&lt;=SoonDays),1,""),"")</f>
        <v/>
      </c>
      <c r="AR175" s="89" t="str">
        <f aca="false">IF($AQ175&lt;&gt;1,"",SUMPRODUCT(($AQ$6:$AQ$205=1)*ISNUMBER($AG$6:$AG$205)*($AG$6:$AG$205&lt;$AG175))+SUMPRODUCT(($AQ$6:$AQ175=1)*ISNUMBER($AG$6:$AG175)*($AG$6:$AG175=$AG175)))</f>
        <v/>
      </c>
    </row>
    <row r="176" customFormat="false" ht="15" hidden="false" customHeight="false" outlineLevel="0" collapsed="false">
      <c r="A176" s="77"/>
      <c r="B176" s="78"/>
      <c r="C176" s="78"/>
      <c r="D176" s="79" t="str">
        <f aca="false">IF($AN176="","",INDEX(Accounts!$C$6:$C$55,$AN176)&amp;"")</f>
        <v/>
      </c>
      <c r="E176" s="79" t="str">
        <f aca="false">IF($AO176="","",INDEX(Securities!$B$6:$B$105,$AO176)&amp;"")</f>
        <v/>
      </c>
      <c r="F176" s="79" t="str">
        <f aca="false">IF($AO176="","",INDEX(Securities!$C$6:$C$105,$AO176)&amp;"")</f>
        <v/>
      </c>
      <c r="G176" s="79" t="str">
        <f aca="false">IF($AO176="","",INDEX(Securities!$E$6:$E$105,$AO176)&amp;"")</f>
        <v/>
      </c>
      <c r="H176" s="80"/>
      <c r="I176" s="81"/>
      <c r="J176" s="91"/>
      <c r="K176" s="85" t="str">
        <f aca="false">IF(OR($I176="",$J176=""),"",$I176*$J176)</f>
        <v/>
      </c>
      <c r="L176" s="80"/>
      <c r="M176" s="81"/>
      <c r="N176" s="91"/>
      <c r="O176" s="85" t="str">
        <f aca="false">IF(OR($M176="",$N176=""),"",$M176*$N176)</f>
        <v/>
      </c>
      <c r="P176" s="88" t="str">
        <f aca="false">IF($C176="","",N($I176)-N($M176))</f>
        <v/>
      </c>
      <c r="Q176" s="85" t="str">
        <f aca="false">IF(OR($P176="",$J176=""),"",$P176*$J176)</f>
        <v/>
      </c>
      <c r="R176" s="83" t="str">
        <f aca="false">IF($AO176="","",IF(INDEX(Securities!$N$6:$N$105,$AO176)="At cost",IF($J176="","",$J176),IF(INDEX(Securities!$O$6:$O$105,$AO176)="","",INDEX(Securities!$O$6:$O$105,$AO176))))</f>
        <v/>
      </c>
      <c r="S176" s="85" t="str">
        <f aca="false">IF(OR($P176="",$R176=""),"",$P176*$R176)</f>
        <v/>
      </c>
      <c r="T176" s="92" t="str">
        <f aca="false">IF(OR(NOT(ISNUMBER($L176)),NOT(ISNUMBER($H176))),"",$L176-$H176)</f>
        <v/>
      </c>
      <c r="U176" s="79" t="str">
        <f aca="false">IF($T176="","",IF($X176="","Short Term",IF($T176&gt;$X176,"Long Term","Short Term")))</f>
        <v/>
      </c>
      <c r="V176" s="92" t="str">
        <f aca="false">IF(OR(NOT(ISNUMBER($H176)),N($P176)&lt;=0),"",ValDate-$H176)</f>
        <v/>
      </c>
      <c r="W176" s="79" t="str">
        <f aca="false">IF($V176="","",IF($X176="","Short Term",IF($V176&gt;$X176,"Long Term","Short Term")))</f>
        <v/>
      </c>
      <c r="X176" s="92" t="str">
        <f aca="true">IF($G176="","",IF(ISNA(MATCH($G176,L_Category,0)),"",IF(INDEX(L_CatLT,MATCH($G176,L_Category,0))="","",INDEX(L_CatLT,MATCH($G176,L_Category,0)))))</f>
        <v/>
      </c>
      <c r="Y176" s="83" t="str">
        <f aca="false">IF($AO176="","",IF(INDEX(Securities!$Q$6:$Q$105,$AO176)="","",INDEX(Securities!$Q$6:$Q$105,$AO176)))</f>
        <v/>
      </c>
      <c r="Z176" s="79" t="str">
        <f aca="false">IF($C176="","",IF(OR(NOT(ISNUMBER($H176)),$Y176=""),"No",IF($H176&lt;=GFDate,"Yes","No")))</f>
        <v/>
      </c>
      <c r="AA176" s="85" t="str">
        <f aca="false">IF(OR($M176="",$N176="",$J176=""),"",$M176*($N176-$J176))</f>
        <v/>
      </c>
      <c r="AB176" s="85" t="str">
        <f aca="false">IF(OR(N($P176)&lt;=0,$R176="",$J176=""),"",$P176*($R176-$J176))</f>
        <v/>
      </c>
      <c r="AC176" s="83" t="str">
        <f aca="false">IF(OR($M176="",$N176="",$J176=""),"",IF($Z176="Yes",MAX($J176,MIN($Y176,$N176)),$J176))</f>
        <v/>
      </c>
      <c r="AD176" s="85" t="str">
        <f aca="false">IF($AC176="","",$M176*($N176-$AC176))</f>
        <v/>
      </c>
      <c r="AE176" s="83" t="str">
        <f aca="false">IF(OR(N($P176)&lt;=0,$R176="",$J176=""),"",IF($Z176="Yes",MAX($J176,MIN($Y176,$R176)),$J176))</f>
        <v/>
      </c>
      <c r="AF176" s="85" t="str">
        <f aca="false">IF($AE176="","",$P176*($R176-$AE176))</f>
        <v/>
      </c>
      <c r="AG176" s="92" t="str">
        <f aca="false">IF(OR($V176="",$X176=""),"",MAX(0,$X176+1-$V176))</f>
        <v/>
      </c>
      <c r="AH176" s="93" t="str">
        <f aca="false">IF(OR($X176="",NOT(ISNUMBER($H176)),N($P176)&lt;=0),"",$H176+$X176+1)</f>
        <v/>
      </c>
      <c r="AI176" s="91"/>
      <c r="AJ176" s="85" t="str">
        <f aca="false">IF(OR($AI176="",N($P176)&lt;=0),"",$AI176*$P176)</f>
        <v/>
      </c>
      <c r="AK176" s="79" t="str">
        <f aca="false">IF(NOT(ISNUMBER($L176)),"",IF(MONTH($L176)&gt;=4,YEAR($L176)&amp;"-"&amp;RIGHT(YEAR($L176)+1,2),(YEAR($L176)-1)&amp;"-"&amp;RIGHT(YEAR($L176),2)))</f>
        <v/>
      </c>
      <c r="AL176" s="78"/>
      <c r="AM176" s="79" t="str">
        <f aca="false">IF($A176&amp;$B176&amp;$C176="","",IF($A176="","Missing ID",IF(COUNTIF($A$6:$A$205,$A176)&gt;1,"Duplicate ID",IF($AN176="","Unknown account",IF($AO176="","Unknown security",IF(COUNTIFS(Holdings!$B$6:$B$205,$B176,Holdings!$C$6:$C$205,$C176)=0,"No holding row for this lot",IF(OR($I176="",$J176=""),"Missing purchase quantity or rate",IF(NOT(ISNUMBER($H176)),"Missing purchase date",IF(N($H176)&gt;ValDate,"Purchase after valuation date",IF(N($M176)&gt;N($I176),"Sale quantity exceeds purchase",IF(AND(N($M176)&gt;0,OR(NOT(ISNUMBER($L176)),$N176="")),"Sale date or rate missing",IF(AND(ISNUMBER($L176),N($M176)=0),"Sale date with no quantity",IF(AND(ISNUMBER($L176),N($L176)&lt;N($H176)),"Sale before purchase",IF(N($L176)&gt;ValDate,"Sale after valuation date","OK"))))))))))))))</f>
        <v/>
      </c>
      <c r="AN176" s="89" t="str">
        <f aca="false">IF($B176="","",IFERROR(MATCH($B176,Accounts!$A$6:$A$55,0),""))</f>
        <v/>
      </c>
      <c r="AO176" s="89" t="str">
        <f aca="false">IF($C176="","",IFERROR(MATCH($C176,Securities!$A$6:$A$105,0),""))</f>
        <v/>
      </c>
      <c r="AP176" s="89" t="str">
        <f aca="false">IF($AN176="","",INDEX(Accounts!$B$6:$B$55,$AN176)&amp;"")</f>
        <v/>
      </c>
      <c r="AQ176" s="89" t="str">
        <f aca="false">IF(AND(ISNUMBER($AG176),N($P176)&gt;0),IF(AND(N($AG176)&gt;0,N($AG176)&lt;=SoonDays),1,""),"")</f>
        <v/>
      </c>
      <c r="AR176" s="89" t="str">
        <f aca="false">IF($AQ176&lt;&gt;1,"",SUMPRODUCT(($AQ$6:$AQ$205=1)*ISNUMBER($AG$6:$AG$205)*($AG$6:$AG$205&lt;$AG176))+SUMPRODUCT(($AQ$6:$AQ176=1)*ISNUMBER($AG$6:$AG176)*($AG$6:$AG176=$AG176)))</f>
        <v/>
      </c>
    </row>
    <row r="177" customFormat="false" ht="15" hidden="false" customHeight="false" outlineLevel="0" collapsed="false">
      <c r="A177" s="77"/>
      <c r="B177" s="78"/>
      <c r="C177" s="78"/>
      <c r="D177" s="79" t="str">
        <f aca="false">IF($AN177="","",INDEX(Accounts!$C$6:$C$55,$AN177)&amp;"")</f>
        <v/>
      </c>
      <c r="E177" s="79" t="str">
        <f aca="false">IF($AO177="","",INDEX(Securities!$B$6:$B$105,$AO177)&amp;"")</f>
        <v/>
      </c>
      <c r="F177" s="79" t="str">
        <f aca="false">IF($AO177="","",INDEX(Securities!$C$6:$C$105,$AO177)&amp;"")</f>
        <v/>
      </c>
      <c r="G177" s="79" t="str">
        <f aca="false">IF($AO177="","",INDEX(Securities!$E$6:$E$105,$AO177)&amp;"")</f>
        <v/>
      </c>
      <c r="H177" s="80"/>
      <c r="I177" s="81"/>
      <c r="J177" s="91"/>
      <c r="K177" s="85" t="str">
        <f aca="false">IF(OR($I177="",$J177=""),"",$I177*$J177)</f>
        <v/>
      </c>
      <c r="L177" s="80"/>
      <c r="M177" s="81"/>
      <c r="N177" s="91"/>
      <c r="O177" s="85" t="str">
        <f aca="false">IF(OR($M177="",$N177=""),"",$M177*$N177)</f>
        <v/>
      </c>
      <c r="P177" s="88" t="str">
        <f aca="false">IF($C177="","",N($I177)-N($M177))</f>
        <v/>
      </c>
      <c r="Q177" s="85" t="str">
        <f aca="false">IF(OR($P177="",$J177=""),"",$P177*$J177)</f>
        <v/>
      </c>
      <c r="R177" s="83" t="str">
        <f aca="false">IF($AO177="","",IF(INDEX(Securities!$N$6:$N$105,$AO177)="At cost",IF($J177="","",$J177),IF(INDEX(Securities!$O$6:$O$105,$AO177)="","",INDEX(Securities!$O$6:$O$105,$AO177))))</f>
        <v/>
      </c>
      <c r="S177" s="85" t="str">
        <f aca="false">IF(OR($P177="",$R177=""),"",$P177*$R177)</f>
        <v/>
      </c>
      <c r="T177" s="92" t="str">
        <f aca="false">IF(OR(NOT(ISNUMBER($L177)),NOT(ISNUMBER($H177))),"",$L177-$H177)</f>
        <v/>
      </c>
      <c r="U177" s="79" t="str">
        <f aca="false">IF($T177="","",IF($X177="","Short Term",IF($T177&gt;$X177,"Long Term","Short Term")))</f>
        <v/>
      </c>
      <c r="V177" s="92" t="str">
        <f aca="false">IF(OR(NOT(ISNUMBER($H177)),N($P177)&lt;=0),"",ValDate-$H177)</f>
        <v/>
      </c>
      <c r="W177" s="79" t="str">
        <f aca="false">IF($V177="","",IF($X177="","Short Term",IF($V177&gt;$X177,"Long Term","Short Term")))</f>
        <v/>
      </c>
      <c r="X177" s="92" t="str">
        <f aca="true">IF($G177="","",IF(ISNA(MATCH($G177,L_Category,0)),"",IF(INDEX(L_CatLT,MATCH($G177,L_Category,0))="","",INDEX(L_CatLT,MATCH($G177,L_Category,0)))))</f>
        <v/>
      </c>
      <c r="Y177" s="83" t="str">
        <f aca="false">IF($AO177="","",IF(INDEX(Securities!$Q$6:$Q$105,$AO177)="","",INDEX(Securities!$Q$6:$Q$105,$AO177)))</f>
        <v/>
      </c>
      <c r="Z177" s="79" t="str">
        <f aca="false">IF($C177="","",IF(OR(NOT(ISNUMBER($H177)),$Y177=""),"No",IF($H177&lt;=GFDate,"Yes","No")))</f>
        <v/>
      </c>
      <c r="AA177" s="85" t="str">
        <f aca="false">IF(OR($M177="",$N177="",$J177=""),"",$M177*($N177-$J177))</f>
        <v/>
      </c>
      <c r="AB177" s="85" t="str">
        <f aca="false">IF(OR(N($P177)&lt;=0,$R177="",$J177=""),"",$P177*($R177-$J177))</f>
        <v/>
      </c>
      <c r="AC177" s="83" t="str">
        <f aca="false">IF(OR($M177="",$N177="",$J177=""),"",IF($Z177="Yes",MAX($J177,MIN($Y177,$N177)),$J177))</f>
        <v/>
      </c>
      <c r="AD177" s="85" t="str">
        <f aca="false">IF($AC177="","",$M177*($N177-$AC177))</f>
        <v/>
      </c>
      <c r="AE177" s="83" t="str">
        <f aca="false">IF(OR(N($P177)&lt;=0,$R177="",$J177=""),"",IF($Z177="Yes",MAX($J177,MIN($Y177,$R177)),$J177))</f>
        <v/>
      </c>
      <c r="AF177" s="85" t="str">
        <f aca="false">IF($AE177="","",$P177*($R177-$AE177))</f>
        <v/>
      </c>
      <c r="AG177" s="92" t="str">
        <f aca="false">IF(OR($V177="",$X177=""),"",MAX(0,$X177+1-$V177))</f>
        <v/>
      </c>
      <c r="AH177" s="93" t="str">
        <f aca="false">IF(OR($X177="",NOT(ISNUMBER($H177)),N($P177)&lt;=0),"",$H177+$X177+1)</f>
        <v/>
      </c>
      <c r="AI177" s="91"/>
      <c r="AJ177" s="85" t="str">
        <f aca="false">IF(OR($AI177="",N($P177)&lt;=0),"",$AI177*$P177)</f>
        <v/>
      </c>
      <c r="AK177" s="79" t="str">
        <f aca="false">IF(NOT(ISNUMBER($L177)),"",IF(MONTH($L177)&gt;=4,YEAR($L177)&amp;"-"&amp;RIGHT(YEAR($L177)+1,2),(YEAR($L177)-1)&amp;"-"&amp;RIGHT(YEAR($L177),2)))</f>
        <v/>
      </c>
      <c r="AL177" s="78"/>
      <c r="AM177" s="79" t="str">
        <f aca="false">IF($A177&amp;$B177&amp;$C177="","",IF($A177="","Missing ID",IF(COUNTIF($A$6:$A$205,$A177)&gt;1,"Duplicate ID",IF($AN177="","Unknown account",IF($AO177="","Unknown security",IF(COUNTIFS(Holdings!$B$6:$B$205,$B177,Holdings!$C$6:$C$205,$C177)=0,"No holding row for this lot",IF(OR($I177="",$J177=""),"Missing purchase quantity or rate",IF(NOT(ISNUMBER($H177)),"Missing purchase date",IF(N($H177)&gt;ValDate,"Purchase after valuation date",IF(N($M177)&gt;N($I177),"Sale quantity exceeds purchase",IF(AND(N($M177)&gt;0,OR(NOT(ISNUMBER($L177)),$N177="")),"Sale date or rate missing",IF(AND(ISNUMBER($L177),N($M177)=0),"Sale date with no quantity",IF(AND(ISNUMBER($L177),N($L177)&lt;N($H177)),"Sale before purchase",IF(N($L177)&gt;ValDate,"Sale after valuation date","OK"))))))))))))))</f>
        <v/>
      </c>
      <c r="AN177" s="89" t="str">
        <f aca="false">IF($B177="","",IFERROR(MATCH($B177,Accounts!$A$6:$A$55,0),""))</f>
        <v/>
      </c>
      <c r="AO177" s="89" t="str">
        <f aca="false">IF($C177="","",IFERROR(MATCH($C177,Securities!$A$6:$A$105,0),""))</f>
        <v/>
      </c>
      <c r="AP177" s="89" t="str">
        <f aca="false">IF($AN177="","",INDEX(Accounts!$B$6:$B$55,$AN177)&amp;"")</f>
        <v/>
      </c>
      <c r="AQ177" s="89" t="str">
        <f aca="false">IF(AND(ISNUMBER($AG177),N($P177)&gt;0),IF(AND(N($AG177)&gt;0,N($AG177)&lt;=SoonDays),1,""),"")</f>
        <v/>
      </c>
      <c r="AR177" s="89" t="str">
        <f aca="false">IF($AQ177&lt;&gt;1,"",SUMPRODUCT(($AQ$6:$AQ$205=1)*ISNUMBER($AG$6:$AG$205)*($AG$6:$AG$205&lt;$AG177))+SUMPRODUCT(($AQ$6:$AQ177=1)*ISNUMBER($AG$6:$AG177)*($AG$6:$AG177=$AG177)))</f>
        <v/>
      </c>
    </row>
    <row r="178" customFormat="false" ht="15" hidden="false" customHeight="false" outlineLevel="0" collapsed="false">
      <c r="A178" s="77"/>
      <c r="B178" s="78"/>
      <c r="C178" s="78"/>
      <c r="D178" s="79" t="str">
        <f aca="false">IF($AN178="","",INDEX(Accounts!$C$6:$C$55,$AN178)&amp;"")</f>
        <v/>
      </c>
      <c r="E178" s="79" t="str">
        <f aca="false">IF($AO178="","",INDEX(Securities!$B$6:$B$105,$AO178)&amp;"")</f>
        <v/>
      </c>
      <c r="F178" s="79" t="str">
        <f aca="false">IF($AO178="","",INDEX(Securities!$C$6:$C$105,$AO178)&amp;"")</f>
        <v/>
      </c>
      <c r="G178" s="79" t="str">
        <f aca="false">IF($AO178="","",INDEX(Securities!$E$6:$E$105,$AO178)&amp;"")</f>
        <v/>
      </c>
      <c r="H178" s="80"/>
      <c r="I178" s="81"/>
      <c r="J178" s="91"/>
      <c r="K178" s="85" t="str">
        <f aca="false">IF(OR($I178="",$J178=""),"",$I178*$J178)</f>
        <v/>
      </c>
      <c r="L178" s="80"/>
      <c r="M178" s="81"/>
      <c r="N178" s="91"/>
      <c r="O178" s="85" t="str">
        <f aca="false">IF(OR($M178="",$N178=""),"",$M178*$N178)</f>
        <v/>
      </c>
      <c r="P178" s="88" t="str">
        <f aca="false">IF($C178="","",N($I178)-N($M178))</f>
        <v/>
      </c>
      <c r="Q178" s="85" t="str">
        <f aca="false">IF(OR($P178="",$J178=""),"",$P178*$J178)</f>
        <v/>
      </c>
      <c r="R178" s="83" t="str">
        <f aca="false">IF($AO178="","",IF(INDEX(Securities!$N$6:$N$105,$AO178)="At cost",IF($J178="","",$J178),IF(INDEX(Securities!$O$6:$O$105,$AO178)="","",INDEX(Securities!$O$6:$O$105,$AO178))))</f>
        <v/>
      </c>
      <c r="S178" s="85" t="str">
        <f aca="false">IF(OR($P178="",$R178=""),"",$P178*$R178)</f>
        <v/>
      </c>
      <c r="T178" s="92" t="str">
        <f aca="false">IF(OR(NOT(ISNUMBER($L178)),NOT(ISNUMBER($H178))),"",$L178-$H178)</f>
        <v/>
      </c>
      <c r="U178" s="79" t="str">
        <f aca="false">IF($T178="","",IF($X178="","Short Term",IF($T178&gt;$X178,"Long Term","Short Term")))</f>
        <v/>
      </c>
      <c r="V178" s="92" t="str">
        <f aca="false">IF(OR(NOT(ISNUMBER($H178)),N($P178)&lt;=0),"",ValDate-$H178)</f>
        <v/>
      </c>
      <c r="W178" s="79" t="str">
        <f aca="false">IF($V178="","",IF($X178="","Short Term",IF($V178&gt;$X178,"Long Term","Short Term")))</f>
        <v/>
      </c>
      <c r="X178" s="92" t="str">
        <f aca="true">IF($G178="","",IF(ISNA(MATCH($G178,L_Category,0)),"",IF(INDEX(L_CatLT,MATCH($G178,L_Category,0))="","",INDEX(L_CatLT,MATCH($G178,L_Category,0)))))</f>
        <v/>
      </c>
      <c r="Y178" s="83" t="str">
        <f aca="false">IF($AO178="","",IF(INDEX(Securities!$Q$6:$Q$105,$AO178)="","",INDEX(Securities!$Q$6:$Q$105,$AO178)))</f>
        <v/>
      </c>
      <c r="Z178" s="79" t="str">
        <f aca="false">IF($C178="","",IF(OR(NOT(ISNUMBER($H178)),$Y178=""),"No",IF($H178&lt;=GFDate,"Yes","No")))</f>
        <v/>
      </c>
      <c r="AA178" s="85" t="str">
        <f aca="false">IF(OR($M178="",$N178="",$J178=""),"",$M178*($N178-$J178))</f>
        <v/>
      </c>
      <c r="AB178" s="85" t="str">
        <f aca="false">IF(OR(N($P178)&lt;=0,$R178="",$J178=""),"",$P178*($R178-$J178))</f>
        <v/>
      </c>
      <c r="AC178" s="83" t="str">
        <f aca="false">IF(OR($M178="",$N178="",$J178=""),"",IF($Z178="Yes",MAX($J178,MIN($Y178,$N178)),$J178))</f>
        <v/>
      </c>
      <c r="AD178" s="85" t="str">
        <f aca="false">IF($AC178="","",$M178*($N178-$AC178))</f>
        <v/>
      </c>
      <c r="AE178" s="83" t="str">
        <f aca="false">IF(OR(N($P178)&lt;=0,$R178="",$J178=""),"",IF($Z178="Yes",MAX($J178,MIN($Y178,$R178)),$J178))</f>
        <v/>
      </c>
      <c r="AF178" s="85" t="str">
        <f aca="false">IF($AE178="","",$P178*($R178-$AE178))</f>
        <v/>
      </c>
      <c r="AG178" s="92" t="str">
        <f aca="false">IF(OR($V178="",$X178=""),"",MAX(0,$X178+1-$V178))</f>
        <v/>
      </c>
      <c r="AH178" s="93" t="str">
        <f aca="false">IF(OR($X178="",NOT(ISNUMBER($H178)),N($P178)&lt;=0),"",$H178+$X178+1)</f>
        <v/>
      </c>
      <c r="AI178" s="91"/>
      <c r="AJ178" s="85" t="str">
        <f aca="false">IF(OR($AI178="",N($P178)&lt;=0),"",$AI178*$P178)</f>
        <v/>
      </c>
      <c r="AK178" s="79" t="str">
        <f aca="false">IF(NOT(ISNUMBER($L178)),"",IF(MONTH($L178)&gt;=4,YEAR($L178)&amp;"-"&amp;RIGHT(YEAR($L178)+1,2),(YEAR($L178)-1)&amp;"-"&amp;RIGHT(YEAR($L178),2)))</f>
        <v/>
      </c>
      <c r="AL178" s="78"/>
      <c r="AM178" s="79" t="str">
        <f aca="false">IF($A178&amp;$B178&amp;$C178="","",IF($A178="","Missing ID",IF(COUNTIF($A$6:$A$205,$A178)&gt;1,"Duplicate ID",IF($AN178="","Unknown account",IF($AO178="","Unknown security",IF(COUNTIFS(Holdings!$B$6:$B$205,$B178,Holdings!$C$6:$C$205,$C178)=0,"No holding row for this lot",IF(OR($I178="",$J178=""),"Missing purchase quantity or rate",IF(NOT(ISNUMBER($H178)),"Missing purchase date",IF(N($H178)&gt;ValDate,"Purchase after valuation date",IF(N($M178)&gt;N($I178),"Sale quantity exceeds purchase",IF(AND(N($M178)&gt;0,OR(NOT(ISNUMBER($L178)),$N178="")),"Sale date or rate missing",IF(AND(ISNUMBER($L178),N($M178)=0),"Sale date with no quantity",IF(AND(ISNUMBER($L178),N($L178)&lt;N($H178)),"Sale before purchase",IF(N($L178)&gt;ValDate,"Sale after valuation date","OK"))))))))))))))</f>
        <v/>
      </c>
      <c r="AN178" s="89" t="str">
        <f aca="false">IF($B178="","",IFERROR(MATCH($B178,Accounts!$A$6:$A$55,0),""))</f>
        <v/>
      </c>
      <c r="AO178" s="89" t="str">
        <f aca="false">IF($C178="","",IFERROR(MATCH($C178,Securities!$A$6:$A$105,0),""))</f>
        <v/>
      </c>
      <c r="AP178" s="89" t="str">
        <f aca="false">IF($AN178="","",INDEX(Accounts!$B$6:$B$55,$AN178)&amp;"")</f>
        <v/>
      </c>
      <c r="AQ178" s="89" t="str">
        <f aca="false">IF(AND(ISNUMBER($AG178),N($P178)&gt;0),IF(AND(N($AG178)&gt;0,N($AG178)&lt;=SoonDays),1,""),"")</f>
        <v/>
      </c>
      <c r="AR178" s="89" t="str">
        <f aca="false">IF($AQ178&lt;&gt;1,"",SUMPRODUCT(($AQ$6:$AQ$205=1)*ISNUMBER($AG$6:$AG$205)*($AG$6:$AG$205&lt;$AG178))+SUMPRODUCT(($AQ$6:$AQ178=1)*ISNUMBER($AG$6:$AG178)*($AG$6:$AG178=$AG178)))</f>
        <v/>
      </c>
    </row>
    <row r="179" customFormat="false" ht="15" hidden="false" customHeight="false" outlineLevel="0" collapsed="false">
      <c r="A179" s="77"/>
      <c r="B179" s="78"/>
      <c r="C179" s="78"/>
      <c r="D179" s="79" t="str">
        <f aca="false">IF($AN179="","",INDEX(Accounts!$C$6:$C$55,$AN179)&amp;"")</f>
        <v/>
      </c>
      <c r="E179" s="79" t="str">
        <f aca="false">IF($AO179="","",INDEX(Securities!$B$6:$B$105,$AO179)&amp;"")</f>
        <v/>
      </c>
      <c r="F179" s="79" t="str">
        <f aca="false">IF($AO179="","",INDEX(Securities!$C$6:$C$105,$AO179)&amp;"")</f>
        <v/>
      </c>
      <c r="G179" s="79" t="str">
        <f aca="false">IF($AO179="","",INDEX(Securities!$E$6:$E$105,$AO179)&amp;"")</f>
        <v/>
      </c>
      <c r="H179" s="80"/>
      <c r="I179" s="81"/>
      <c r="J179" s="91"/>
      <c r="K179" s="85" t="str">
        <f aca="false">IF(OR($I179="",$J179=""),"",$I179*$J179)</f>
        <v/>
      </c>
      <c r="L179" s="80"/>
      <c r="M179" s="81"/>
      <c r="N179" s="91"/>
      <c r="O179" s="85" t="str">
        <f aca="false">IF(OR($M179="",$N179=""),"",$M179*$N179)</f>
        <v/>
      </c>
      <c r="P179" s="88" t="str">
        <f aca="false">IF($C179="","",N($I179)-N($M179))</f>
        <v/>
      </c>
      <c r="Q179" s="85" t="str">
        <f aca="false">IF(OR($P179="",$J179=""),"",$P179*$J179)</f>
        <v/>
      </c>
      <c r="R179" s="83" t="str">
        <f aca="false">IF($AO179="","",IF(INDEX(Securities!$N$6:$N$105,$AO179)="At cost",IF($J179="","",$J179),IF(INDEX(Securities!$O$6:$O$105,$AO179)="","",INDEX(Securities!$O$6:$O$105,$AO179))))</f>
        <v/>
      </c>
      <c r="S179" s="85" t="str">
        <f aca="false">IF(OR($P179="",$R179=""),"",$P179*$R179)</f>
        <v/>
      </c>
      <c r="T179" s="92" t="str">
        <f aca="false">IF(OR(NOT(ISNUMBER($L179)),NOT(ISNUMBER($H179))),"",$L179-$H179)</f>
        <v/>
      </c>
      <c r="U179" s="79" t="str">
        <f aca="false">IF($T179="","",IF($X179="","Short Term",IF($T179&gt;$X179,"Long Term","Short Term")))</f>
        <v/>
      </c>
      <c r="V179" s="92" t="str">
        <f aca="false">IF(OR(NOT(ISNUMBER($H179)),N($P179)&lt;=0),"",ValDate-$H179)</f>
        <v/>
      </c>
      <c r="W179" s="79" t="str">
        <f aca="false">IF($V179="","",IF($X179="","Short Term",IF($V179&gt;$X179,"Long Term","Short Term")))</f>
        <v/>
      </c>
      <c r="X179" s="92" t="str">
        <f aca="true">IF($G179="","",IF(ISNA(MATCH($G179,L_Category,0)),"",IF(INDEX(L_CatLT,MATCH($G179,L_Category,0))="","",INDEX(L_CatLT,MATCH($G179,L_Category,0)))))</f>
        <v/>
      </c>
      <c r="Y179" s="83" t="str">
        <f aca="false">IF($AO179="","",IF(INDEX(Securities!$Q$6:$Q$105,$AO179)="","",INDEX(Securities!$Q$6:$Q$105,$AO179)))</f>
        <v/>
      </c>
      <c r="Z179" s="79" t="str">
        <f aca="false">IF($C179="","",IF(OR(NOT(ISNUMBER($H179)),$Y179=""),"No",IF($H179&lt;=GFDate,"Yes","No")))</f>
        <v/>
      </c>
      <c r="AA179" s="85" t="str">
        <f aca="false">IF(OR($M179="",$N179="",$J179=""),"",$M179*($N179-$J179))</f>
        <v/>
      </c>
      <c r="AB179" s="85" t="str">
        <f aca="false">IF(OR(N($P179)&lt;=0,$R179="",$J179=""),"",$P179*($R179-$J179))</f>
        <v/>
      </c>
      <c r="AC179" s="83" t="str">
        <f aca="false">IF(OR($M179="",$N179="",$J179=""),"",IF($Z179="Yes",MAX($J179,MIN($Y179,$N179)),$J179))</f>
        <v/>
      </c>
      <c r="AD179" s="85" t="str">
        <f aca="false">IF($AC179="","",$M179*($N179-$AC179))</f>
        <v/>
      </c>
      <c r="AE179" s="83" t="str">
        <f aca="false">IF(OR(N($P179)&lt;=0,$R179="",$J179=""),"",IF($Z179="Yes",MAX($J179,MIN($Y179,$R179)),$J179))</f>
        <v/>
      </c>
      <c r="AF179" s="85" t="str">
        <f aca="false">IF($AE179="","",$P179*($R179-$AE179))</f>
        <v/>
      </c>
      <c r="AG179" s="92" t="str">
        <f aca="false">IF(OR($V179="",$X179=""),"",MAX(0,$X179+1-$V179))</f>
        <v/>
      </c>
      <c r="AH179" s="93" t="str">
        <f aca="false">IF(OR($X179="",NOT(ISNUMBER($H179)),N($P179)&lt;=0),"",$H179+$X179+1)</f>
        <v/>
      </c>
      <c r="AI179" s="91"/>
      <c r="AJ179" s="85" t="str">
        <f aca="false">IF(OR($AI179="",N($P179)&lt;=0),"",$AI179*$P179)</f>
        <v/>
      </c>
      <c r="AK179" s="79" t="str">
        <f aca="false">IF(NOT(ISNUMBER($L179)),"",IF(MONTH($L179)&gt;=4,YEAR($L179)&amp;"-"&amp;RIGHT(YEAR($L179)+1,2),(YEAR($L179)-1)&amp;"-"&amp;RIGHT(YEAR($L179),2)))</f>
        <v/>
      </c>
      <c r="AL179" s="78"/>
      <c r="AM179" s="79" t="str">
        <f aca="false">IF($A179&amp;$B179&amp;$C179="","",IF($A179="","Missing ID",IF(COUNTIF($A$6:$A$205,$A179)&gt;1,"Duplicate ID",IF($AN179="","Unknown account",IF($AO179="","Unknown security",IF(COUNTIFS(Holdings!$B$6:$B$205,$B179,Holdings!$C$6:$C$205,$C179)=0,"No holding row for this lot",IF(OR($I179="",$J179=""),"Missing purchase quantity or rate",IF(NOT(ISNUMBER($H179)),"Missing purchase date",IF(N($H179)&gt;ValDate,"Purchase after valuation date",IF(N($M179)&gt;N($I179),"Sale quantity exceeds purchase",IF(AND(N($M179)&gt;0,OR(NOT(ISNUMBER($L179)),$N179="")),"Sale date or rate missing",IF(AND(ISNUMBER($L179),N($M179)=0),"Sale date with no quantity",IF(AND(ISNUMBER($L179),N($L179)&lt;N($H179)),"Sale before purchase",IF(N($L179)&gt;ValDate,"Sale after valuation date","OK"))))))))))))))</f>
        <v/>
      </c>
      <c r="AN179" s="89" t="str">
        <f aca="false">IF($B179="","",IFERROR(MATCH($B179,Accounts!$A$6:$A$55,0),""))</f>
        <v/>
      </c>
      <c r="AO179" s="89" t="str">
        <f aca="false">IF($C179="","",IFERROR(MATCH($C179,Securities!$A$6:$A$105,0),""))</f>
        <v/>
      </c>
      <c r="AP179" s="89" t="str">
        <f aca="false">IF($AN179="","",INDEX(Accounts!$B$6:$B$55,$AN179)&amp;"")</f>
        <v/>
      </c>
      <c r="AQ179" s="89" t="str">
        <f aca="false">IF(AND(ISNUMBER($AG179),N($P179)&gt;0),IF(AND(N($AG179)&gt;0,N($AG179)&lt;=SoonDays),1,""),"")</f>
        <v/>
      </c>
      <c r="AR179" s="89" t="str">
        <f aca="false">IF($AQ179&lt;&gt;1,"",SUMPRODUCT(($AQ$6:$AQ$205=1)*ISNUMBER($AG$6:$AG$205)*($AG$6:$AG$205&lt;$AG179))+SUMPRODUCT(($AQ$6:$AQ179=1)*ISNUMBER($AG$6:$AG179)*($AG$6:$AG179=$AG179)))</f>
        <v/>
      </c>
    </row>
    <row r="180" customFormat="false" ht="15" hidden="false" customHeight="false" outlineLevel="0" collapsed="false">
      <c r="A180" s="77"/>
      <c r="B180" s="78"/>
      <c r="C180" s="78"/>
      <c r="D180" s="79" t="str">
        <f aca="false">IF($AN180="","",INDEX(Accounts!$C$6:$C$55,$AN180)&amp;"")</f>
        <v/>
      </c>
      <c r="E180" s="79" t="str">
        <f aca="false">IF($AO180="","",INDEX(Securities!$B$6:$B$105,$AO180)&amp;"")</f>
        <v/>
      </c>
      <c r="F180" s="79" t="str">
        <f aca="false">IF($AO180="","",INDEX(Securities!$C$6:$C$105,$AO180)&amp;"")</f>
        <v/>
      </c>
      <c r="G180" s="79" t="str">
        <f aca="false">IF($AO180="","",INDEX(Securities!$E$6:$E$105,$AO180)&amp;"")</f>
        <v/>
      </c>
      <c r="H180" s="80"/>
      <c r="I180" s="81"/>
      <c r="J180" s="91"/>
      <c r="K180" s="85" t="str">
        <f aca="false">IF(OR($I180="",$J180=""),"",$I180*$J180)</f>
        <v/>
      </c>
      <c r="L180" s="80"/>
      <c r="M180" s="81"/>
      <c r="N180" s="91"/>
      <c r="O180" s="85" t="str">
        <f aca="false">IF(OR($M180="",$N180=""),"",$M180*$N180)</f>
        <v/>
      </c>
      <c r="P180" s="88" t="str">
        <f aca="false">IF($C180="","",N($I180)-N($M180))</f>
        <v/>
      </c>
      <c r="Q180" s="85" t="str">
        <f aca="false">IF(OR($P180="",$J180=""),"",$P180*$J180)</f>
        <v/>
      </c>
      <c r="R180" s="83" t="str">
        <f aca="false">IF($AO180="","",IF(INDEX(Securities!$N$6:$N$105,$AO180)="At cost",IF($J180="","",$J180),IF(INDEX(Securities!$O$6:$O$105,$AO180)="","",INDEX(Securities!$O$6:$O$105,$AO180))))</f>
        <v/>
      </c>
      <c r="S180" s="85" t="str">
        <f aca="false">IF(OR($P180="",$R180=""),"",$P180*$R180)</f>
        <v/>
      </c>
      <c r="T180" s="92" t="str">
        <f aca="false">IF(OR(NOT(ISNUMBER($L180)),NOT(ISNUMBER($H180))),"",$L180-$H180)</f>
        <v/>
      </c>
      <c r="U180" s="79" t="str">
        <f aca="false">IF($T180="","",IF($X180="","Short Term",IF($T180&gt;$X180,"Long Term","Short Term")))</f>
        <v/>
      </c>
      <c r="V180" s="92" t="str">
        <f aca="false">IF(OR(NOT(ISNUMBER($H180)),N($P180)&lt;=0),"",ValDate-$H180)</f>
        <v/>
      </c>
      <c r="W180" s="79" t="str">
        <f aca="false">IF($V180="","",IF($X180="","Short Term",IF($V180&gt;$X180,"Long Term","Short Term")))</f>
        <v/>
      </c>
      <c r="X180" s="92" t="str">
        <f aca="true">IF($G180="","",IF(ISNA(MATCH($G180,L_Category,0)),"",IF(INDEX(L_CatLT,MATCH($G180,L_Category,0))="","",INDEX(L_CatLT,MATCH($G180,L_Category,0)))))</f>
        <v/>
      </c>
      <c r="Y180" s="83" t="str">
        <f aca="false">IF($AO180="","",IF(INDEX(Securities!$Q$6:$Q$105,$AO180)="","",INDEX(Securities!$Q$6:$Q$105,$AO180)))</f>
        <v/>
      </c>
      <c r="Z180" s="79" t="str">
        <f aca="false">IF($C180="","",IF(OR(NOT(ISNUMBER($H180)),$Y180=""),"No",IF($H180&lt;=GFDate,"Yes","No")))</f>
        <v/>
      </c>
      <c r="AA180" s="85" t="str">
        <f aca="false">IF(OR($M180="",$N180="",$J180=""),"",$M180*($N180-$J180))</f>
        <v/>
      </c>
      <c r="AB180" s="85" t="str">
        <f aca="false">IF(OR(N($P180)&lt;=0,$R180="",$J180=""),"",$P180*($R180-$J180))</f>
        <v/>
      </c>
      <c r="AC180" s="83" t="str">
        <f aca="false">IF(OR($M180="",$N180="",$J180=""),"",IF($Z180="Yes",MAX($J180,MIN($Y180,$N180)),$J180))</f>
        <v/>
      </c>
      <c r="AD180" s="85" t="str">
        <f aca="false">IF($AC180="","",$M180*($N180-$AC180))</f>
        <v/>
      </c>
      <c r="AE180" s="83" t="str">
        <f aca="false">IF(OR(N($P180)&lt;=0,$R180="",$J180=""),"",IF($Z180="Yes",MAX($J180,MIN($Y180,$R180)),$J180))</f>
        <v/>
      </c>
      <c r="AF180" s="85" t="str">
        <f aca="false">IF($AE180="","",$P180*($R180-$AE180))</f>
        <v/>
      </c>
      <c r="AG180" s="92" t="str">
        <f aca="false">IF(OR($V180="",$X180=""),"",MAX(0,$X180+1-$V180))</f>
        <v/>
      </c>
      <c r="AH180" s="93" t="str">
        <f aca="false">IF(OR($X180="",NOT(ISNUMBER($H180)),N($P180)&lt;=0),"",$H180+$X180+1)</f>
        <v/>
      </c>
      <c r="AI180" s="91"/>
      <c r="AJ180" s="85" t="str">
        <f aca="false">IF(OR($AI180="",N($P180)&lt;=0),"",$AI180*$P180)</f>
        <v/>
      </c>
      <c r="AK180" s="79" t="str">
        <f aca="false">IF(NOT(ISNUMBER($L180)),"",IF(MONTH($L180)&gt;=4,YEAR($L180)&amp;"-"&amp;RIGHT(YEAR($L180)+1,2),(YEAR($L180)-1)&amp;"-"&amp;RIGHT(YEAR($L180),2)))</f>
        <v/>
      </c>
      <c r="AL180" s="78"/>
      <c r="AM180" s="79" t="str">
        <f aca="false">IF($A180&amp;$B180&amp;$C180="","",IF($A180="","Missing ID",IF(COUNTIF($A$6:$A$205,$A180)&gt;1,"Duplicate ID",IF($AN180="","Unknown account",IF($AO180="","Unknown security",IF(COUNTIFS(Holdings!$B$6:$B$205,$B180,Holdings!$C$6:$C$205,$C180)=0,"No holding row for this lot",IF(OR($I180="",$J180=""),"Missing purchase quantity or rate",IF(NOT(ISNUMBER($H180)),"Missing purchase date",IF(N($H180)&gt;ValDate,"Purchase after valuation date",IF(N($M180)&gt;N($I180),"Sale quantity exceeds purchase",IF(AND(N($M180)&gt;0,OR(NOT(ISNUMBER($L180)),$N180="")),"Sale date or rate missing",IF(AND(ISNUMBER($L180),N($M180)=0),"Sale date with no quantity",IF(AND(ISNUMBER($L180),N($L180)&lt;N($H180)),"Sale before purchase",IF(N($L180)&gt;ValDate,"Sale after valuation date","OK"))))))))))))))</f>
        <v/>
      </c>
      <c r="AN180" s="89" t="str">
        <f aca="false">IF($B180="","",IFERROR(MATCH($B180,Accounts!$A$6:$A$55,0),""))</f>
        <v/>
      </c>
      <c r="AO180" s="89" t="str">
        <f aca="false">IF($C180="","",IFERROR(MATCH($C180,Securities!$A$6:$A$105,0),""))</f>
        <v/>
      </c>
      <c r="AP180" s="89" t="str">
        <f aca="false">IF($AN180="","",INDEX(Accounts!$B$6:$B$55,$AN180)&amp;"")</f>
        <v/>
      </c>
      <c r="AQ180" s="89" t="str">
        <f aca="false">IF(AND(ISNUMBER($AG180),N($P180)&gt;0),IF(AND(N($AG180)&gt;0,N($AG180)&lt;=SoonDays),1,""),"")</f>
        <v/>
      </c>
      <c r="AR180" s="89" t="str">
        <f aca="false">IF($AQ180&lt;&gt;1,"",SUMPRODUCT(($AQ$6:$AQ$205=1)*ISNUMBER($AG$6:$AG$205)*($AG$6:$AG$205&lt;$AG180))+SUMPRODUCT(($AQ$6:$AQ180=1)*ISNUMBER($AG$6:$AG180)*($AG$6:$AG180=$AG180)))</f>
        <v/>
      </c>
    </row>
    <row r="181" customFormat="false" ht="15" hidden="false" customHeight="false" outlineLevel="0" collapsed="false">
      <c r="A181" s="77"/>
      <c r="B181" s="78"/>
      <c r="C181" s="78"/>
      <c r="D181" s="79" t="str">
        <f aca="false">IF($AN181="","",INDEX(Accounts!$C$6:$C$55,$AN181)&amp;"")</f>
        <v/>
      </c>
      <c r="E181" s="79" t="str">
        <f aca="false">IF($AO181="","",INDEX(Securities!$B$6:$B$105,$AO181)&amp;"")</f>
        <v/>
      </c>
      <c r="F181" s="79" t="str">
        <f aca="false">IF($AO181="","",INDEX(Securities!$C$6:$C$105,$AO181)&amp;"")</f>
        <v/>
      </c>
      <c r="G181" s="79" t="str">
        <f aca="false">IF($AO181="","",INDEX(Securities!$E$6:$E$105,$AO181)&amp;"")</f>
        <v/>
      </c>
      <c r="H181" s="80"/>
      <c r="I181" s="81"/>
      <c r="J181" s="91"/>
      <c r="K181" s="85" t="str">
        <f aca="false">IF(OR($I181="",$J181=""),"",$I181*$J181)</f>
        <v/>
      </c>
      <c r="L181" s="80"/>
      <c r="M181" s="81"/>
      <c r="N181" s="91"/>
      <c r="O181" s="85" t="str">
        <f aca="false">IF(OR($M181="",$N181=""),"",$M181*$N181)</f>
        <v/>
      </c>
      <c r="P181" s="88" t="str">
        <f aca="false">IF($C181="","",N($I181)-N($M181))</f>
        <v/>
      </c>
      <c r="Q181" s="85" t="str">
        <f aca="false">IF(OR($P181="",$J181=""),"",$P181*$J181)</f>
        <v/>
      </c>
      <c r="R181" s="83" t="str">
        <f aca="false">IF($AO181="","",IF(INDEX(Securities!$N$6:$N$105,$AO181)="At cost",IF($J181="","",$J181),IF(INDEX(Securities!$O$6:$O$105,$AO181)="","",INDEX(Securities!$O$6:$O$105,$AO181))))</f>
        <v/>
      </c>
      <c r="S181" s="85" t="str">
        <f aca="false">IF(OR($P181="",$R181=""),"",$P181*$R181)</f>
        <v/>
      </c>
      <c r="T181" s="92" t="str">
        <f aca="false">IF(OR(NOT(ISNUMBER($L181)),NOT(ISNUMBER($H181))),"",$L181-$H181)</f>
        <v/>
      </c>
      <c r="U181" s="79" t="str">
        <f aca="false">IF($T181="","",IF($X181="","Short Term",IF($T181&gt;$X181,"Long Term","Short Term")))</f>
        <v/>
      </c>
      <c r="V181" s="92" t="str">
        <f aca="false">IF(OR(NOT(ISNUMBER($H181)),N($P181)&lt;=0),"",ValDate-$H181)</f>
        <v/>
      </c>
      <c r="W181" s="79" t="str">
        <f aca="false">IF($V181="","",IF($X181="","Short Term",IF($V181&gt;$X181,"Long Term","Short Term")))</f>
        <v/>
      </c>
      <c r="X181" s="92" t="str">
        <f aca="true">IF($G181="","",IF(ISNA(MATCH($G181,L_Category,0)),"",IF(INDEX(L_CatLT,MATCH($G181,L_Category,0))="","",INDEX(L_CatLT,MATCH($G181,L_Category,0)))))</f>
        <v/>
      </c>
      <c r="Y181" s="83" t="str">
        <f aca="false">IF($AO181="","",IF(INDEX(Securities!$Q$6:$Q$105,$AO181)="","",INDEX(Securities!$Q$6:$Q$105,$AO181)))</f>
        <v/>
      </c>
      <c r="Z181" s="79" t="str">
        <f aca="false">IF($C181="","",IF(OR(NOT(ISNUMBER($H181)),$Y181=""),"No",IF($H181&lt;=GFDate,"Yes","No")))</f>
        <v/>
      </c>
      <c r="AA181" s="85" t="str">
        <f aca="false">IF(OR($M181="",$N181="",$J181=""),"",$M181*($N181-$J181))</f>
        <v/>
      </c>
      <c r="AB181" s="85" t="str">
        <f aca="false">IF(OR(N($P181)&lt;=0,$R181="",$J181=""),"",$P181*($R181-$J181))</f>
        <v/>
      </c>
      <c r="AC181" s="83" t="str">
        <f aca="false">IF(OR($M181="",$N181="",$J181=""),"",IF($Z181="Yes",MAX($J181,MIN($Y181,$N181)),$J181))</f>
        <v/>
      </c>
      <c r="AD181" s="85" t="str">
        <f aca="false">IF($AC181="","",$M181*($N181-$AC181))</f>
        <v/>
      </c>
      <c r="AE181" s="83" t="str">
        <f aca="false">IF(OR(N($P181)&lt;=0,$R181="",$J181=""),"",IF($Z181="Yes",MAX($J181,MIN($Y181,$R181)),$J181))</f>
        <v/>
      </c>
      <c r="AF181" s="85" t="str">
        <f aca="false">IF($AE181="","",$P181*($R181-$AE181))</f>
        <v/>
      </c>
      <c r="AG181" s="92" t="str">
        <f aca="false">IF(OR($V181="",$X181=""),"",MAX(0,$X181+1-$V181))</f>
        <v/>
      </c>
      <c r="AH181" s="93" t="str">
        <f aca="false">IF(OR($X181="",NOT(ISNUMBER($H181)),N($P181)&lt;=0),"",$H181+$X181+1)</f>
        <v/>
      </c>
      <c r="AI181" s="91"/>
      <c r="AJ181" s="85" t="str">
        <f aca="false">IF(OR($AI181="",N($P181)&lt;=0),"",$AI181*$P181)</f>
        <v/>
      </c>
      <c r="AK181" s="79" t="str">
        <f aca="false">IF(NOT(ISNUMBER($L181)),"",IF(MONTH($L181)&gt;=4,YEAR($L181)&amp;"-"&amp;RIGHT(YEAR($L181)+1,2),(YEAR($L181)-1)&amp;"-"&amp;RIGHT(YEAR($L181),2)))</f>
        <v/>
      </c>
      <c r="AL181" s="78"/>
      <c r="AM181" s="79" t="str">
        <f aca="false">IF($A181&amp;$B181&amp;$C181="","",IF($A181="","Missing ID",IF(COUNTIF($A$6:$A$205,$A181)&gt;1,"Duplicate ID",IF($AN181="","Unknown account",IF($AO181="","Unknown security",IF(COUNTIFS(Holdings!$B$6:$B$205,$B181,Holdings!$C$6:$C$205,$C181)=0,"No holding row for this lot",IF(OR($I181="",$J181=""),"Missing purchase quantity or rate",IF(NOT(ISNUMBER($H181)),"Missing purchase date",IF(N($H181)&gt;ValDate,"Purchase after valuation date",IF(N($M181)&gt;N($I181),"Sale quantity exceeds purchase",IF(AND(N($M181)&gt;0,OR(NOT(ISNUMBER($L181)),$N181="")),"Sale date or rate missing",IF(AND(ISNUMBER($L181),N($M181)=0),"Sale date with no quantity",IF(AND(ISNUMBER($L181),N($L181)&lt;N($H181)),"Sale before purchase",IF(N($L181)&gt;ValDate,"Sale after valuation date","OK"))))))))))))))</f>
        <v/>
      </c>
      <c r="AN181" s="89" t="str">
        <f aca="false">IF($B181="","",IFERROR(MATCH($B181,Accounts!$A$6:$A$55,0),""))</f>
        <v/>
      </c>
      <c r="AO181" s="89" t="str">
        <f aca="false">IF($C181="","",IFERROR(MATCH($C181,Securities!$A$6:$A$105,0),""))</f>
        <v/>
      </c>
      <c r="AP181" s="89" t="str">
        <f aca="false">IF($AN181="","",INDEX(Accounts!$B$6:$B$55,$AN181)&amp;"")</f>
        <v/>
      </c>
      <c r="AQ181" s="89" t="str">
        <f aca="false">IF(AND(ISNUMBER($AG181),N($P181)&gt;0),IF(AND(N($AG181)&gt;0,N($AG181)&lt;=SoonDays),1,""),"")</f>
        <v/>
      </c>
      <c r="AR181" s="89" t="str">
        <f aca="false">IF($AQ181&lt;&gt;1,"",SUMPRODUCT(($AQ$6:$AQ$205=1)*ISNUMBER($AG$6:$AG$205)*($AG$6:$AG$205&lt;$AG181))+SUMPRODUCT(($AQ$6:$AQ181=1)*ISNUMBER($AG$6:$AG181)*($AG$6:$AG181=$AG181)))</f>
        <v/>
      </c>
    </row>
    <row r="182" customFormat="false" ht="15" hidden="false" customHeight="false" outlineLevel="0" collapsed="false">
      <c r="A182" s="77"/>
      <c r="B182" s="78"/>
      <c r="C182" s="78"/>
      <c r="D182" s="79" t="str">
        <f aca="false">IF($AN182="","",INDEX(Accounts!$C$6:$C$55,$AN182)&amp;"")</f>
        <v/>
      </c>
      <c r="E182" s="79" t="str">
        <f aca="false">IF($AO182="","",INDEX(Securities!$B$6:$B$105,$AO182)&amp;"")</f>
        <v/>
      </c>
      <c r="F182" s="79" t="str">
        <f aca="false">IF($AO182="","",INDEX(Securities!$C$6:$C$105,$AO182)&amp;"")</f>
        <v/>
      </c>
      <c r="G182" s="79" t="str">
        <f aca="false">IF($AO182="","",INDEX(Securities!$E$6:$E$105,$AO182)&amp;"")</f>
        <v/>
      </c>
      <c r="H182" s="80"/>
      <c r="I182" s="81"/>
      <c r="J182" s="91"/>
      <c r="K182" s="85" t="str">
        <f aca="false">IF(OR($I182="",$J182=""),"",$I182*$J182)</f>
        <v/>
      </c>
      <c r="L182" s="80"/>
      <c r="M182" s="81"/>
      <c r="N182" s="91"/>
      <c r="O182" s="85" t="str">
        <f aca="false">IF(OR($M182="",$N182=""),"",$M182*$N182)</f>
        <v/>
      </c>
      <c r="P182" s="88" t="str">
        <f aca="false">IF($C182="","",N($I182)-N($M182))</f>
        <v/>
      </c>
      <c r="Q182" s="85" t="str">
        <f aca="false">IF(OR($P182="",$J182=""),"",$P182*$J182)</f>
        <v/>
      </c>
      <c r="R182" s="83" t="str">
        <f aca="false">IF($AO182="","",IF(INDEX(Securities!$N$6:$N$105,$AO182)="At cost",IF($J182="","",$J182),IF(INDEX(Securities!$O$6:$O$105,$AO182)="","",INDEX(Securities!$O$6:$O$105,$AO182))))</f>
        <v/>
      </c>
      <c r="S182" s="85" t="str">
        <f aca="false">IF(OR($P182="",$R182=""),"",$P182*$R182)</f>
        <v/>
      </c>
      <c r="T182" s="92" t="str">
        <f aca="false">IF(OR(NOT(ISNUMBER($L182)),NOT(ISNUMBER($H182))),"",$L182-$H182)</f>
        <v/>
      </c>
      <c r="U182" s="79" t="str">
        <f aca="false">IF($T182="","",IF($X182="","Short Term",IF($T182&gt;$X182,"Long Term","Short Term")))</f>
        <v/>
      </c>
      <c r="V182" s="92" t="str">
        <f aca="false">IF(OR(NOT(ISNUMBER($H182)),N($P182)&lt;=0),"",ValDate-$H182)</f>
        <v/>
      </c>
      <c r="W182" s="79" t="str">
        <f aca="false">IF($V182="","",IF($X182="","Short Term",IF($V182&gt;$X182,"Long Term","Short Term")))</f>
        <v/>
      </c>
      <c r="X182" s="92" t="str">
        <f aca="true">IF($G182="","",IF(ISNA(MATCH($G182,L_Category,0)),"",IF(INDEX(L_CatLT,MATCH($G182,L_Category,0))="","",INDEX(L_CatLT,MATCH($G182,L_Category,0)))))</f>
        <v/>
      </c>
      <c r="Y182" s="83" t="str">
        <f aca="false">IF($AO182="","",IF(INDEX(Securities!$Q$6:$Q$105,$AO182)="","",INDEX(Securities!$Q$6:$Q$105,$AO182)))</f>
        <v/>
      </c>
      <c r="Z182" s="79" t="str">
        <f aca="false">IF($C182="","",IF(OR(NOT(ISNUMBER($H182)),$Y182=""),"No",IF($H182&lt;=GFDate,"Yes","No")))</f>
        <v/>
      </c>
      <c r="AA182" s="85" t="str">
        <f aca="false">IF(OR($M182="",$N182="",$J182=""),"",$M182*($N182-$J182))</f>
        <v/>
      </c>
      <c r="AB182" s="85" t="str">
        <f aca="false">IF(OR(N($P182)&lt;=0,$R182="",$J182=""),"",$P182*($R182-$J182))</f>
        <v/>
      </c>
      <c r="AC182" s="83" t="str">
        <f aca="false">IF(OR($M182="",$N182="",$J182=""),"",IF($Z182="Yes",MAX($J182,MIN($Y182,$N182)),$J182))</f>
        <v/>
      </c>
      <c r="AD182" s="85" t="str">
        <f aca="false">IF($AC182="","",$M182*($N182-$AC182))</f>
        <v/>
      </c>
      <c r="AE182" s="83" t="str">
        <f aca="false">IF(OR(N($P182)&lt;=0,$R182="",$J182=""),"",IF($Z182="Yes",MAX($J182,MIN($Y182,$R182)),$J182))</f>
        <v/>
      </c>
      <c r="AF182" s="85" t="str">
        <f aca="false">IF($AE182="","",$P182*($R182-$AE182))</f>
        <v/>
      </c>
      <c r="AG182" s="92" t="str">
        <f aca="false">IF(OR($V182="",$X182=""),"",MAX(0,$X182+1-$V182))</f>
        <v/>
      </c>
      <c r="AH182" s="93" t="str">
        <f aca="false">IF(OR($X182="",NOT(ISNUMBER($H182)),N($P182)&lt;=0),"",$H182+$X182+1)</f>
        <v/>
      </c>
      <c r="AI182" s="91"/>
      <c r="AJ182" s="85" t="str">
        <f aca="false">IF(OR($AI182="",N($P182)&lt;=0),"",$AI182*$P182)</f>
        <v/>
      </c>
      <c r="AK182" s="79" t="str">
        <f aca="false">IF(NOT(ISNUMBER($L182)),"",IF(MONTH($L182)&gt;=4,YEAR($L182)&amp;"-"&amp;RIGHT(YEAR($L182)+1,2),(YEAR($L182)-1)&amp;"-"&amp;RIGHT(YEAR($L182),2)))</f>
        <v/>
      </c>
      <c r="AL182" s="78"/>
      <c r="AM182" s="79" t="str">
        <f aca="false">IF($A182&amp;$B182&amp;$C182="","",IF($A182="","Missing ID",IF(COUNTIF($A$6:$A$205,$A182)&gt;1,"Duplicate ID",IF($AN182="","Unknown account",IF($AO182="","Unknown security",IF(COUNTIFS(Holdings!$B$6:$B$205,$B182,Holdings!$C$6:$C$205,$C182)=0,"No holding row for this lot",IF(OR($I182="",$J182=""),"Missing purchase quantity or rate",IF(NOT(ISNUMBER($H182)),"Missing purchase date",IF(N($H182)&gt;ValDate,"Purchase after valuation date",IF(N($M182)&gt;N($I182),"Sale quantity exceeds purchase",IF(AND(N($M182)&gt;0,OR(NOT(ISNUMBER($L182)),$N182="")),"Sale date or rate missing",IF(AND(ISNUMBER($L182),N($M182)=0),"Sale date with no quantity",IF(AND(ISNUMBER($L182),N($L182)&lt;N($H182)),"Sale before purchase",IF(N($L182)&gt;ValDate,"Sale after valuation date","OK"))))))))))))))</f>
        <v/>
      </c>
      <c r="AN182" s="89" t="str">
        <f aca="false">IF($B182="","",IFERROR(MATCH($B182,Accounts!$A$6:$A$55,0),""))</f>
        <v/>
      </c>
      <c r="AO182" s="89" t="str">
        <f aca="false">IF($C182="","",IFERROR(MATCH($C182,Securities!$A$6:$A$105,0),""))</f>
        <v/>
      </c>
      <c r="AP182" s="89" t="str">
        <f aca="false">IF($AN182="","",INDEX(Accounts!$B$6:$B$55,$AN182)&amp;"")</f>
        <v/>
      </c>
      <c r="AQ182" s="89" t="str">
        <f aca="false">IF(AND(ISNUMBER($AG182),N($P182)&gt;0),IF(AND(N($AG182)&gt;0,N($AG182)&lt;=SoonDays),1,""),"")</f>
        <v/>
      </c>
      <c r="AR182" s="89" t="str">
        <f aca="false">IF($AQ182&lt;&gt;1,"",SUMPRODUCT(($AQ$6:$AQ$205=1)*ISNUMBER($AG$6:$AG$205)*($AG$6:$AG$205&lt;$AG182))+SUMPRODUCT(($AQ$6:$AQ182=1)*ISNUMBER($AG$6:$AG182)*($AG$6:$AG182=$AG182)))</f>
        <v/>
      </c>
    </row>
    <row r="183" customFormat="false" ht="15" hidden="false" customHeight="false" outlineLevel="0" collapsed="false">
      <c r="A183" s="77"/>
      <c r="B183" s="78"/>
      <c r="C183" s="78"/>
      <c r="D183" s="79" t="str">
        <f aca="false">IF($AN183="","",INDEX(Accounts!$C$6:$C$55,$AN183)&amp;"")</f>
        <v/>
      </c>
      <c r="E183" s="79" t="str">
        <f aca="false">IF($AO183="","",INDEX(Securities!$B$6:$B$105,$AO183)&amp;"")</f>
        <v/>
      </c>
      <c r="F183" s="79" t="str">
        <f aca="false">IF($AO183="","",INDEX(Securities!$C$6:$C$105,$AO183)&amp;"")</f>
        <v/>
      </c>
      <c r="G183" s="79" t="str">
        <f aca="false">IF($AO183="","",INDEX(Securities!$E$6:$E$105,$AO183)&amp;"")</f>
        <v/>
      </c>
      <c r="H183" s="80"/>
      <c r="I183" s="81"/>
      <c r="J183" s="91"/>
      <c r="K183" s="85" t="str">
        <f aca="false">IF(OR($I183="",$J183=""),"",$I183*$J183)</f>
        <v/>
      </c>
      <c r="L183" s="80"/>
      <c r="M183" s="81"/>
      <c r="N183" s="91"/>
      <c r="O183" s="85" t="str">
        <f aca="false">IF(OR($M183="",$N183=""),"",$M183*$N183)</f>
        <v/>
      </c>
      <c r="P183" s="88" t="str">
        <f aca="false">IF($C183="","",N($I183)-N($M183))</f>
        <v/>
      </c>
      <c r="Q183" s="85" t="str">
        <f aca="false">IF(OR($P183="",$J183=""),"",$P183*$J183)</f>
        <v/>
      </c>
      <c r="R183" s="83" t="str">
        <f aca="false">IF($AO183="","",IF(INDEX(Securities!$N$6:$N$105,$AO183)="At cost",IF($J183="","",$J183),IF(INDEX(Securities!$O$6:$O$105,$AO183)="","",INDEX(Securities!$O$6:$O$105,$AO183))))</f>
        <v/>
      </c>
      <c r="S183" s="85" t="str">
        <f aca="false">IF(OR($P183="",$R183=""),"",$P183*$R183)</f>
        <v/>
      </c>
      <c r="T183" s="92" t="str">
        <f aca="false">IF(OR(NOT(ISNUMBER($L183)),NOT(ISNUMBER($H183))),"",$L183-$H183)</f>
        <v/>
      </c>
      <c r="U183" s="79" t="str">
        <f aca="false">IF($T183="","",IF($X183="","Short Term",IF($T183&gt;$X183,"Long Term","Short Term")))</f>
        <v/>
      </c>
      <c r="V183" s="92" t="str">
        <f aca="false">IF(OR(NOT(ISNUMBER($H183)),N($P183)&lt;=0),"",ValDate-$H183)</f>
        <v/>
      </c>
      <c r="W183" s="79" t="str">
        <f aca="false">IF($V183="","",IF($X183="","Short Term",IF($V183&gt;$X183,"Long Term","Short Term")))</f>
        <v/>
      </c>
      <c r="X183" s="92" t="str">
        <f aca="true">IF($G183="","",IF(ISNA(MATCH($G183,L_Category,0)),"",IF(INDEX(L_CatLT,MATCH($G183,L_Category,0))="","",INDEX(L_CatLT,MATCH($G183,L_Category,0)))))</f>
        <v/>
      </c>
      <c r="Y183" s="83" t="str">
        <f aca="false">IF($AO183="","",IF(INDEX(Securities!$Q$6:$Q$105,$AO183)="","",INDEX(Securities!$Q$6:$Q$105,$AO183)))</f>
        <v/>
      </c>
      <c r="Z183" s="79" t="str">
        <f aca="false">IF($C183="","",IF(OR(NOT(ISNUMBER($H183)),$Y183=""),"No",IF($H183&lt;=GFDate,"Yes","No")))</f>
        <v/>
      </c>
      <c r="AA183" s="85" t="str">
        <f aca="false">IF(OR($M183="",$N183="",$J183=""),"",$M183*($N183-$J183))</f>
        <v/>
      </c>
      <c r="AB183" s="85" t="str">
        <f aca="false">IF(OR(N($P183)&lt;=0,$R183="",$J183=""),"",$P183*($R183-$J183))</f>
        <v/>
      </c>
      <c r="AC183" s="83" t="str">
        <f aca="false">IF(OR($M183="",$N183="",$J183=""),"",IF($Z183="Yes",MAX($J183,MIN($Y183,$N183)),$J183))</f>
        <v/>
      </c>
      <c r="AD183" s="85" t="str">
        <f aca="false">IF($AC183="","",$M183*($N183-$AC183))</f>
        <v/>
      </c>
      <c r="AE183" s="83" t="str">
        <f aca="false">IF(OR(N($P183)&lt;=0,$R183="",$J183=""),"",IF($Z183="Yes",MAX($J183,MIN($Y183,$R183)),$J183))</f>
        <v/>
      </c>
      <c r="AF183" s="85" t="str">
        <f aca="false">IF($AE183="","",$P183*($R183-$AE183))</f>
        <v/>
      </c>
      <c r="AG183" s="92" t="str">
        <f aca="false">IF(OR($V183="",$X183=""),"",MAX(0,$X183+1-$V183))</f>
        <v/>
      </c>
      <c r="AH183" s="93" t="str">
        <f aca="false">IF(OR($X183="",NOT(ISNUMBER($H183)),N($P183)&lt;=0),"",$H183+$X183+1)</f>
        <v/>
      </c>
      <c r="AI183" s="91"/>
      <c r="AJ183" s="85" t="str">
        <f aca="false">IF(OR($AI183="",N($P183)&lt;=0),"",$AI183*$P183)</f>
        <v/>
      </c>
      <c r="AK183" s="79" t="str">
        <f aca="false">IF(NOT(ISNUMBER($L183)),"",IF(MONTH($L183)&gt;=4,YEAR($L183)&amp;"-"&amp;RIGHT(YEAR($L183)+1,2),(YEAR($L183)-1)&amp;"-"&amp;RIGHT(YEAR($L183),2)))</f>
        <v/>
      </c>
      <c r="AL183" s="78"/>
      <c r="AM183" s="79" t="str">
        <f aca="false">IF($A183&amp;$B183&amp;$C183="","",IF($A183="","Missing ID",IF(COUNTIF($A$6:$A$205,$A183)&gt;1,"Duplicate ID",IF($AN183="","Unknown account",IF($AO183="","Unknown security",IF(COUNTIFS(Holdings!$B$6:$B$205,$B183,Holdings!$C$6:$C$205,$C183)=0,"No holding row for this lot",IF(OR($I183="",$J183=""),"Missing purchase quantity or rate",IF(NOT(ISNUMBER($H183)),"Missing purchase date",IF(N($H183)&gt;ValDate,"Purchase after valuation date",IF(N($M183)&gt;N($I183),"Sale quantity exceeds purchase",IF(AND(N($M183)&gt;0,OR(NOT(ISNUMBER($L183)),$N183="")),"Sale date or rate missing",IF(AND(ISNUMBER($L183),N($M183)=0),"Sale date with no quantity",IF(AND(ISNUMBER($L183),N($L183)&lt;N($H183)),"Sale before purchase",IF(N($L183)&gt;ValDate,"Sale after valuation date","OK"))))))))))))))</f>
        <v/>
      </c>
      <c r="AN183" s="89" t="str">
        <f aca="false">IF($B183="","",IFERROR(MATCH($B183,Accounts!$A$6:$A$55,0),""))</f>
        <v/>
      </c>
      <c r="AO183" s="89" t="str">
        <f aca="false">IF($C183="","",IFERROR(MATCH($C183,Securities!$A$6:$A$105,0),""))</f>
        <v/>
      </c>
      <c r="AP183" s="89" t="str">
        <f aca="false">IF($AN183="","",INDEX(Accounts!$B$6:$B$55,$AN183)&amp;"")</f>
        <v/>
      </c>
      <c r="AQ183" s="89" t="str">
        <f aca="false">IF(AND(ISNUMBER($AG183),N($P183)&gt;0),IF(AND(N($AG183)&gt;0,N($AG183)&lt;=SoonDays),1,""),"")</f>
        <v/>
      </c>
      <c r="AR183" s="89" t="str">
        <f aca="false">IF($AQ183&lt;&gt;1,"",SUMPRODUCT(($AQ$6:$AQ$205=1)*ISNUMBER($AG$6:$AG$205)*($AG$6:$AG$205&lt;$AG183))+SUMPRODUCT(($AQ$6:$AQ183=1)*ISNUMBER($AG$6:$AG183)*($AG$6:$AG183=$AG183)))</f>
        <v/>
      </c>
    </row>
    <row r="184" customFormat="false" ht="15" hidden="false" customHeight="false" outlineLevel="0" collapsed="false">
      <c r="A184" s="77"/>
      <c r="B184" s="78"/>
      <c r="C184" s="78"/>
      <c r="D184" s="79" t="str">
        <f aca="false">IF($AN184="","",INDEX(Accounts!$C$6:$C$55,$AN184)&amp;"")</f>
        <v/>
      </c>
      <c r="E184" s="79" t="str">
        <f aca="false">IF($AO184="","",INDEX(Securities!$B$6:$B$105,$AO184)&amp;"")</f>
        <v/>
      </c>
      <c r="F184" s="79" t="str">
        <f aca="false">IF($AO184="","",INDEX(Securities!$C$6:$C$105,$AO184)&amp;"")</f>
        <v/>
      </c>
      <c r="G184" s="79" t="str">
        <f aca="false">IF($AO184="","",INDEX(Securities!$E$6:$E$105,$AO184)&amp;"")</f>
        <v/>
      </c>
      <c r="H184" s="80"/>
      <c r="I184" s="81"/>
      <c r="J184" s="91"/>
      <c r="K184" s="85" t="str">
        <f aca="false">IF(OR($I184="",$J184=""),"",$I184*$J184)</f>
        <v/>
      </c>
      <c r="L184" s="80"/>
      <c r="M184" s="81"/>
      <c r="N184" s="91"/>
      <c r="O184" s="85" t="str">
        <f aca="false">IF(OR($M184="",$N184=""),"",$M184*$N184)</f>
        <v/>
      </c>
      <c r="P184" s="88" t="str">
        <f aca="false">IF($C184="","",N($I184)-N($M184))</f>
        <v/>
      </c>
      <c r="Q184" s="85" t="str">
        <f aca="false">IF(OR($P184="",$J184=""),"",$P184*$J184)</f>
        <v/>
      </c>
      <c r="R184" s="83" t="str">
        <f aca="false">IF($AO184="","",IF(INDEX(Securities!$N$6:$N$105,$AO184)="At cost",IF($J184="","",$J184),IF(INDEX(Securities!$O$6:$O$105,$AO184)="","",INDEX(Securities!$O$6:$O$105,$AO184))))</f>
        <v/>
      </c>
      <c r="S184" s="85" t="str">
        <f aca="false">IF(OR($P184="",$R184=""),"",$P184*$R184)</f>
        <v/>
      </c>
      <c r="T184" s="92" t="str">
        <f aca="false">IF(OR(NOT(ISNUMBER($L184)),NOT(ISNUMBER($H184))),"",$L184-$H184)</f>
        <v/>
      </c>
      <c r="U184" s="79" t="str">
        <f aca="false">IF($T184="","",IF($X184="","Short Term",IF($T184&gt;$X184,"Long Term","Short Term")))</f>
        <v/>
      </c>
      <c r="V184" s="92" t="str">
        <f aca="false">IF(OR(NOT(ISNUMBER($H184)),N($P184)&lt;=0),"",ValDate-$H184)</f>
        <v/>
      </c>
      <c r="W184" s="79" t="str">
        <f aca="false">IF($V184="","",IF($X184="","Short Term",IF($V184&gt;$X184,"Long Term","Short Term")))</f>
        <v/>
      </c>
      <c r="X184" s="92" t="str">
        <f aca="true">IF($G184="","",IF(ISNA(MATCH($G184,L_Category,0)),"",IF(INDEX(L_CatLT,MATCH($G184,L_Category,0))="","",INDEX(L_CatLT,MATCH($G184,L_Category,0)))))</f>
        <v/>
      </c>
      <c r="Y184" s="83" t="str">
        <f aca="false">IF($AO184="","",IF(INDEX(Securities!$Q$6:$Q$105,$AO184)="","",INDEX(Securities!$Q$6:$Q$105,$AO184)))</f>
        <v/>
      </c>
      <c r="Z184" s="79" t="str">
        <f aca="false">IF($C184="","",IF(OR(NOT(ISNUMBER($H184)),$Y184=""),"No",IF($H184&lt;=GFDate,"Yes","No")))</f>
        <v/>
      </c>
      <c r="AA184" s="85" t="str">
        <f aca="false">IF(OR($M184="",$N184="",$J184=""),"",$M184*($N184-$J184))</f>
        <v/>
      </c>
      <c r="AB184" s="85" t="str">
        <f aca="false">IF(OR(N($P184)&lt;=0,$R184="",$J184=""),"",$P184*($R184-$J184))</f>
        <v/>
      </c>
      <c r="AC184" s="83" t="str">
        <f aca="false">IF(OR($M184="",$N184="",$J184=""),"",IF($Z184="Yes",MAX($J184,MIN($Y184,$N184)),$J184))</f>
        <v/>
      </c>
      <c r="AD184" s="85" t="str">
        <f aca="false">IF($AC184="","",$M184*($N184-$AC184))</f>
        <v/>
      </c>
      <c r="AE184" s="83" t="str">
        <f aca="false">IF(OR(N($P184)&lt;=0,$R184="",$J184=""),"",IF($Z184="Yes",MAX($J184,MIN($Y184,$R184)),$J184))</f>
        <v/>
      </c>
      <c r="AF184" s="85" t="str">
        <f aca="false">IF($AE184="","",$P184*($R184-$AE184))</f>
        <v/>
      </c>
      <c r="AG184" s="92" t="str">
        <f aca="false">IF(OR($V184="",$X184=""),"",MAX(0,$X184+1-$V184))</f>
        <v/>
      </c>
      <c r="AH184" s="93" t="str">
        <f aca="false">IF(OR($X184="",NOT(ISNUMBER($H184)),N($P184)&lt;=0),"",$H184+$X184+1)</f>
        <v/>
      </c>
      <c r="AI184" s="91"/>
      <c r="AJ184" s="85" t="str">
        <f aca="false">IF(OR($AI184="",N($P184)&lt;=0),"",$AI184*$P184)</f>
        <v/>
      </c>
      <c r="AK184" s="79" t="str">
        <f aca="false">IF(NOT(ISNUMBER($L184)),"",IF(MONTH($L184)&gt;=4,YEAR($L184)&amp;"-"&amp;RIGHT(YEAR($L184)+1,2),(YEAR($L184)-1)&amp;"-"&amp;RIGHT(YEAR($L184),2)))</f>
        <v/>
      </c>
      <c r="AL184" s="78"/>
      <c r="AM184" s="79" t="str">
        <f aca="false">IF($A184&amp;$B184&amp;$C184="","",IF($A184="","Missing ID",IF(COUNTIF($A$6:$A$205,$A184)&gt;1,"Duplicate ID",IF($AN184="","Unknown account",IF($AO184="","Unknown security",IF(COUNTIFS(Holdings!$B$6:$B$205,$B184,Holdings!$C$6:$C$205,$C184)=0,"No holding row for this lot",IF(OR($I184="",$J184=""),"Missing purchase quantity or rate",IF(NOT(ISNUMBER($H184)),"Missing purchase date",IF(N($H184)&gt;ValDate,"Purchase after valuation date",IF(N($M184)&gt;N($I184),"Sale quantity exceeds purchase",IF(AND(N($M184)&gt;0,OR(NOT(ISNUMBER($L184)),$N184="")),"Sale date or rate missing",IF(AND(ISNUMBER($L184),N($M184)=0),"Sale date with no quantity",IF(AND(ISNUMBER($L184),N($L184)&lt;N($H184)),"Sale before purchase",IF(N($L184)&gt;ValDate,"Sale after valuation date","OK"))))))))))))))</f>
        <v/>
      </c>
      <c r="AN184" s="89" t="str">
        <f aca="false">IF($B184="","",IFERROR(MATCH($B184,Accounts!$A$6:$A$55,0),""))</f>
        <v/>
      </c>
      <c r="AO184" s="89" t="str">
        <f aca="false">IF($C184="","",IFERROR(MATCH($C184,Securities!$A$6:$A$105,0),""))</f>
        <v/>
      </c>
      <c r="AP184" s="89" t="str">
        <f aca="false">IF($AN184="","",INDEX(Accounts!$B$6:$B$55,$AN184)&amp;"")</f>
        <v/>
      </c>
      <c r="AQ184" s="89" t="str">
        <f aca="false">IF(AND(ISNUMBER($AG184),N($P184)&gt;0),IF(AND(N($AG184)&gt;0,N($AG184)&lt;=SoonDays),1,""),"")</f>
        <v/>
      </c>
      <c r="AR184" s="89" t="str">
        <f aca="false">IF($AQ184&lt;&gt;1,"",SUMPRODUCT(($AQ$6:$AQ$205=1)*ISNUMBER($AG$6:$AG$205)*($AG$6:$AG$205&lt;$AG184))+SUMPRODUCT(($AQ$6:$AQ184=1)*ISNUMBER($AG$6:$AG184)*($AG$6:$AG184=$AG184)))</f>
        <v/>
      </c>
    </row>
    <row r="185" customFormat="false" ht="15" hidden="false" customHeight="false" outlineLevel="0" collapsed="false">
      <c r="A185" s="77"/>
      <c r="B185" s="78"/>
      <c r="C185" s="78"/>
      <c r="D185" s="79" t="str">
        <f aca="false">IF($AN185="","",INDEX(Accounts!$C$6:$C$55,$AN185)&amp;"")</f>
        <v/>
      </c>
      <c r="E185" s="79" t="str">
        <f aca="false">IF($AO185="","",INDEX(Securities!$B$6:$B$105,$AO185)&amp;"")</f>
        <v/>
      </c>
      <c r="F185" s="79" t="str">
        <f aca="false">IF($AO185="","",INDEX(Securities!$C$6:$C$105,$AO185)&amp;"")</f>
        <v/>
      </c>
      <c r="G185" s="79" t="str">
        <f aca="false">IF($AO185="","",INDEX(Securities!$E$6:$E$105,$AO185)&amp;"")</f>
        <v/>
      </c>
      <c r="H185" s="80"/>
      <c r="I185" s="81"/>
      <c r="J185" s="91"/>
      <c r="K185" s="85" t="str">
        <f aca="false">IF(OR($I185="",$J185=""),"",$I185*$J185)</f>
        <v/>
      </c>
      <c r="L185" s="80"/>
      <c r="M185" s="81"/>
      <c r="N185" s="91"/>
      <c r="O185" s="85" t="str">
        <f aca="false">IF(OR($M185="",$N185=""),"",$M185*$N185)</f>
        <v/>
      </c>
      <c r="P185" s="88" t="str">
        <f aca="false">IF($C185="","",N($I185)-N($M185))</f>
        <v/>
      </c>
      <c r="Q185" s="85" t="str">
        <f aca="false">IF(OR($P185="",$J185=""),"",$P185*$J185)</f>
        <v/>
      </c>
      <c r="R185" s="83" t="str">
        <f aca="false">IF($AO185="","",IF(INDEX(Securities!$N$6:$N$105,$AO185)="At cost",IF($J185="","",$J185),IF(INDEX(Securities!$O$6:$O$105,$AO185)="","",INDEX(Securities!$O$6:$O$105,$AO185))))</f>
        <v/>
      </c>
      <c r="S185" s="85" t="str">
        <f aca="false">IF(OR($P185="",$R185=""),"",$P185*$R185)</f>
        <v/>
      </c>
      <c r="T185" s="92" t="str">
        <f aca="false">IF(OR(NOT(ISNUMBER($L185)),NOT(ISNUMBER($H185))),"",$L185-$H185)</f>
        <v/>
      </c>
      <c r="U185" s="79" t="str">
        <f aca="false">IF($T185="","",IF($X185="","Short Term",IF($T185&gt;$X185,"Long Term","Short Term")))</f>
        <v/>
      </c>
      <c r="V185" s="92" t="str">
        <f aca="false">IF(OR(NOT(ISNUMBER($H185)),N($P185)&lt;=0),"",ValDate-$H185)</f>
        <v/>
      </c>
      <c r="W185" s="79" t="str">
        <f aca="false">IF($V185="","",IF($X185="","Short Term",IF($V185&gt;$X185,"Long Term","Short Term")))</f>
        <v/>
      </c>
      <c r="X185" s="92" t="str">
        <f aca="true">IF($G185="","",IF(ISNA(MATCH($G185,L_Category,0)),"",IF(INDEX(L_CatLT,MATCH($G185,L_Category,0))="","",INDEX(L_CatLT,MATCH($G185,L_Category,0)))))</f>
        <v/>
      </c>
      <c r="Y185" s="83" t="str">
        <f aca="false">IF($AO185="","",IF(INDEX(Securities!$Q$6:$Q$105,$AO185)="","",INDEX(Securities!$Q$6:$Q$105,$AO185)))</f>
        <v/>
      </c>
      <c r="Z185" s="79" t="str">
        <f aca="false">IF($C185="","",IF(OR(NOT(ISNUMBER($H185)),$Y185=""),"No",IF($H185&lt;=GFDate,"Yes","No")))</f>
        <v/>
      </c>
      <c r="AA185" s="85" t="str">
        <f aca="false">IF(OR($M185="",$N185="",$J185=""),"",$M185*($N185-$J185))</f>
        <v/>
      </c>
      <c r="AB185" s="85" t="str">
        <f aca="false">IF(OR(N($P185)&lt;=0,$R185="",$J185=""),"",$P185*($R185-$J185))</f>
        <v/>
      </c>
      <c r="AC185" s="83" t="str">
        <f aca="false">IF(OR($M185="",$N185="",$J185=""),"",IF($Z185="Yes",MAX($J185,MIN($Y185,$N185)),$J185))</f>
        <v/>
      </c>
      <c r="AD185" s="85" t="str">
        <f aca="false">IF($AC185="","",$M185*($N185-$AC185))</f>
        <v/>
      </c>
      <c r="AE185" s="83" t="str">
        <f aca="false">IF(OR(N($P185)&lt;=0,$R185="",$J185=""),"",IF($Z185="Yes",MAX($J185,MIN($Y185,$R185)),$J185))</f>
        <v/>
      </c>
      <c r="AF185" s="85" t="str">
        <f aca="false">IF($AE185="","",$P185*($R185-$AE185))</f>
        <v/>
      </c>
      <c r="AG185" s="92" t="str">
        <f aca="false">IF(OR($V185="",$X185=""),"",MAX(0,$X185+1-$V185))</f>
        <v/>
      </c>
      <c r="AH185" s="93" t="str">
        <f aca="false">IF(OR($X185="",NOT(ISNUMBER($H185)),N($P185)&lt;=0),"",$H185+$X185+1)</f>
        <v/>
      </c>
      <c r="AI185" s="91"/>
      <c r="AJ185" s="85" t="str">
        <f aca="false">IF(OR($AI185="",N($P185)&lt;=0),"",$AI185*$P185)</f>
        <v/>
      </c>
      <c r="AK185" s="79" t="str">
        <f aca="false">IF(NOT(ISNUMBER($L185)),"",IF(MONTH($L185)&gt;=4,YEAR($L185)&amp;"-"&amp;RIGHT(YEAR($L185)+1,2),(YEAR($L185)-1)&amp;"-"&amp;RIGHT(YEAR($L185),2)))</f>
        <v/>
      </c>
      <c r="AL185" s="78"/>
      <c r="AM185" s="79" t="str">
        <f aca="false">IF($A185&amp;$B185&amp;$C185="","",IF($A185="","Missing ID",IF(COUNTIF($A$6:$A$205,$A185)&gt;1,"Duplicate ID",IF($AN185="","Unknown account",IF($AO185="","Unknown security",IF(COUNTIFS(Holdings!$B$6:$B$205,$B185,Holdings!$C$6:$C$205,$C185)=0,"No holding row for this lot",IF(OR($I185="",$J185=""),"Missing purchase quantity or rate",IF(NOT(ISNUMBER($H185)),"Missing purchase date",IF(N($H185)&gt;ValDate,"Purchase after valuation date",IF(N($M185)&gt;N($I185),"Sale quantity exceeds purchase",IF(AND(N($M185)&gt;0,OR(NOT(ISNUMBER($L185)),$N185="")),"Sale date or rate missing",IF(AND(ISNUMBER($L185),N($M185)=0),"Sale date with no quantity",IF(AND(ISNUMBER($L185),N($L185)&lt;N($H185)),"Sale before purchase",IF(N($L185)&gt;ValDate,"Sale after valuation date","OK"))))))))))))))</f>
        <v/>
      </c>
      <c r="AN185" s="89" t="str">
        <f aca="false">IF($B185="","",IFERROR(MATCH($B185,Accounts!$A$6:$A$55,0),""))</f>
        <v/>
      </c>
      <c r="AO185" s="89" t="str">
        <f aca="false">IF($C185="","",IFERROR(MATCH($C185,Securities!$A$6:$A$105,0),""))</f>
        <v/>
      </c>
      <c r="AP185" s="89" t="str">
        <f aca="false">IF($AN185="","",INDEX(Accounts!$B$6:$B$55,$AN185)&amp;"")</f>
        <v/>
      </c>
      <c r="AQ185" s="89" t="str">
        <f aca="false">IF(AND(ISNUMBER($AG185),N($P185)&gt;0),IF(AND(N($AG185)&gt;0,N($AG185)&lt;=SoonDays),1,""),"")</f>
        <v/>
      </c>
      <c r="AR185" s="89" t="str">
        <f aca="false">IF($AQ185&lt;&gt;1,"",SUMPRODUCT(($AQ$6:$AQ$205=1)*ISNUMBER($AG$6:$AG$205)*($AG$6:$AG$205&lt;$AG185))+SUMPRODUCT(($AQ$6:$AQ185=1)*ISNUMBER($AG$6:$AG185)*($AG$6:$AG185=$AG185)))</f>
        <v/>
      </c>
    </row>
    <row r="186" customFormat="false" ht="15" hidden="false" customHeight="false" outlineLevel="0" collapsed="false">
      <c r="A186" s="77"/>
      <c r="B186" s="78"/>
      <c r="C186" s="78"/>
      <c r="D186" s="79" t="str">
        <f aca="false">IF($AN186="","",INDEX(Accounts!$C$6:$C$55,$AN186)&amp;"")</f>
        <v/>
      </c>
      <c r="E186" s="79" t="str">
        <f aca="false">IF($AO186="","",INDEX(Securities!$B$6:$B$105,$AO186)&amp;"")</f>
        <v/>
      </c>
      <c r="F186" s="79" t="str">
        <f aca="false">IF($AO186="","",INDEX(Securities!$C$6:$C$105,$AO186)&amp;"")</f>
        <v/>
      </c>
      <c r="G186" s="79" t="str">
        <f aca="false">IF($AO186="","",INDEX(Securities!$E$6:$E$105,$AO186)&amp;"")</f>
        <v/>
      </c>
      <c r="H186" s="80"/>
      <c r="I186" s="81"/>
      <c r="J186" s="91"/>
      <c r="K186" s="85" t="str">
        <f aca="false">IF(OR($I186="",$J186=""),"",$I186*$J186)</f>
        <v/>
      </c>
      <c r="L186" s="80"/>
      <c r="M186" s="81"/>
      <c r="N186" s="91"/>
      <c r="O186" s="85" t="str">
        <f aca="false">IF(OR($M186="",$N186=""),"",$M186*$N186)</f>
        <v/>
      </c>
      <c r="P186" s="88" t="str">
        <f aca="false">IF($C186="","",N($I186)-N($M186))</f>
        <v/>
      </c>
      <c r="Q186" s="85" t="str">
        <f aca="false">IF(OR($P186="",$J186=""),"",$P186*$J186)</f>
        <v/>
      </c>
      <c r="R186" s="83" t="str">
        <f aca="false">IF($AO186="","",IF(INDEX(Securities!$N$6:$N$105,$AO186)="At cost",IF($J186="","",$J186),IF(INDEX(Securities!$O$6:$O$105,$AO186)="","",INDEX(Securities!$O$6:$O$105,$AO186))))</f>
        <v/>
      </c>
      <c r="S186" s="85" t="str">
        <f aca="false">IF(OR($P186="",$R186=""),"",$P186*$R186)</f>
        <v/>
      </c>
      <c r="T186" s="92" t="str">
        <f aca="false">IF(OR(NOT(ISNUMBER($L186)),NOT(ISNUMBER($H186))),"",$L186-$H186)</f>
        <v/>
      </c>
      <c r="U186" s="79" t="str">
        <f aca="false">IF($T186="","",IF($X186="","Short Term",IF($T186&gt;$X186,"Long Term","Short Term")))</f>
        <v/>
      </c>
      <c r="V186" s="92" t="str">
        <f aca="false">IF(OR(NOT(ISNUMBER($H186)),N($P186)&lt;=0),"",ValDate-$H186)</f>
        <v/>
      </c>
      <c r="W186" s="79" t="str">
        <f aca="false">IF($V186="","",IF($X186="","Short Term",IF($V186&gt;$X186,"Long Term","Short Term")))</f>
        <v/>
      </c>
      <c r="X186" s="92" t="str">
        <f aca="true">IF($G186="","",IF(ISNA(MATCH($G186,L_Category,0)),"",IF(INDEX(L_CatLT,MATCH($G186,L_Category,0))="","",INDEX(L_CatLT,MATCH($G186,L_Category,0)))))</f>
        <v/>
      </c>
      <c r="Y186" s="83" t="str">
        <f aca="false">IF($AO186="","",IF(INDEX(Securities!$Q$6:$Q$105,$AO186)="","",INDEX(Securities!$Q$6:$Q$105,$AO186)))</f>
        <v/>
      </c>
      <c r="Z186" s="79" t="str">
        <f aca="false">IF($C186="","",IF(OR(NOT(ISNUMBER($H186)),$Y186=""),"No",IF($H186&lt;=GFDate,"Yes","No")))</f>
        <v/>
      </c>
      <c r="AA186" s="85" t="str">
        <f aca="false">IF(OR($M186="",$N186="",$J186=""),"",$M186*($N186-$J186))</f>
        <v/>
      </c>
      <c r="AB186" s="85" t="str">
        <f aca="false">IF(OR(N($P186)&lt;=0,$R186="",$J186=""),"",$P186*($R186-$J186))</f>
        <v/>
      </c>
      <c r="AC186" s="83" t="str">
        <f aca="false">IF(OR($M186="",$N186="",$J186=""),"",IF($Z186="Yes",MAX($J186,MIN($Y186,$N186)),$J186))</f>
        <v/>
      </c>
      <c r="AD186" s="85" t="str">
        <f aca="false">IF($AC186="","",$M186*($N186-$AC186))</f>
        <v/>
      </c>
      <c r="AE186" s="83" t="str">
        <f aca="false">IF(OR(N($P186)&lt;=0,$R186="",$J186=""),"",IF($Z186="Yes",MAX($J186,MIN($Y186,$R186)),$J186))</f>
        <v/>
      </c>
      <c r="AF186" s="85" t="str">
        <f aca="false">IF($AE186="","",$P186*($R186-$AE186))</f>
        <v/>
      </c>
      <c r="AG186" s="92" t="str">
        <f aca="false">IF(OR($V186="",$X186=""),"",MAX(0,$X186+1-$V186))</f>
        <v/>
      </c>
      <c r="AH186" s="93" t="str">
        <f aca="false">IF(OR($X186="",NOT(ISNUMBER($H186)),N($P186)&lt;=0),"",$H186+$X186+1)</f>
        <v/>
      </c>
      <c r="AI186" s="91"/>
      <c r="AJ186" s="85" t="str">
        <f aca="false">IF(OR($AI186="",N($P186)&lt;=0),"",$AI186*$P186)</f>
        <v/>
      </c>
      <c r="AK186" s="79" t="str">
        <f aca="false">IF(NOT(ISNUMBER($L186)),"",IF(MONTH($L186)&gt;=4,YEAR($L186)&amp;"-"&amp;RIGHT(YEAR($L186)+1,2),(YEAR($L186)-1)&amp;"-"&amp;RIGHT(YEAR($L186),2)))</f>
        <v/>
      </c>
      <c r="AL186" s="78"/>
      <c r="AM186" s="79" t="str">
        <f aca="false">IF($A186&amp;$B186&amp;$C186="","",IF($A186="","Missing ID",IF(COUNTIF($A$6:$A$205,$A186)&gt;1,"Duplicate ID",IF($AN186="","Unknown account",IF($AO186="","Unknown security",IF(COUNTIFS(Holdings!$B$6:$B$205,$B186,Holdings!$C$6:$C$205,$C186)=0,"No holding row for this lot",IF(OR($I186="",$J186=""),"Missing purchase quantity or rate",IF(NOT(ISNUMBER($H186)),"Missing purchase date",IF(N($H186)&gt;ValDate,"Purchase after valuation date",IF(N($M186)&gt;N($I186),"Sale quantity exceeds purchase",IF(AND(N($M186)&gt;0,OR(NOT(ISNUMBER($L186)),$N186="")),"Sale date or rate missing",IF(AND(ISNUMBER($L186),N($M186)=0),"Sale date with no quantity",IF(AND(ISNUMBER($L186),N($L186)&lt;N($H186)),"Sale before purchase",IF(N($L186)&gt;ValDate,"Sale after valuation date","OK"))))))))))))))</f>
        <v/>
      </c>
      <c r="AN186" s="89" t="str">
        <f aca="false">IF($B186="","",IFERROR(MATCH($B186,Accounts!$A$6:$A$55,0),""))</f>
        <v/>
      </c>
      <c r="AO186" s="89" t="str">
        <f aca="false">IF($C186="","",IFERROR(MATCH($C186,Securities!$A$6:$A$105,0),""))</f>
        <v/>
      </c>
      <c r="AP186" s="89" t="str">
        <f aca="false">IF($AN186="","",INDEX(Accounts!$B$6:$B$55,$AN186)&amp;"")</f>
        <v/>
      </c>
      <c r="AQ186" s="89" t="str">
        <f aca="false">IF(AND(ISNUMBER($AG186),N($P186)&gt;0),IF(AND(N($AG186)&gt;0,N($AG186)&lt;=SoonDays),1,""),"")</f>
        <v/>
      </c>
      <c r="AR186" s="89" t="str">
        <f aca="false">IF($AQ186&lt;&gt;1,"",SUMPRODUCT(($AQ$6:$AQ$205=1)*ISNUMBER($AG$6:$AG$205)*($AG$6:$AG$205&lt;$AG186))+SUMPRODUCT(($AQ$6:$AQ186=1)*ISNUMBER($AG$6:$AG186)*($AG$6:$AG186=$AG186)))</f>
        <v/>
      </c>
    </row>
    <row r="187" customFormat="false" ht="15" hidden="false" customHeight="false" outlineLevel="0" collapsed="false">
      <c r="A187" s="77"/>
      <c r="B187" s="78"/>
      <c r="C187" s="78"/>
      <c r="D187" s="79" t="str">
        <f aca="false">IF($AN187="","",INDEX(Accounts!$C$6:$C$55,$AN187)&amp;"")</f>
        <v/>
      </c>
      <c r="E187" s="79" t="str">
        <f aca="false">IF($AO187="","",INDEX(Securities!$B$6:$B$105,$AO187)&amp;"")</f>
        <v/>
      </c>
      <c r="F187" s="79" t="str">
        <f aca="false">IF($AO187="","",INDEX(Securities!$C$6:$C$105,$AO187)&amp;"")</f>
        <v/>
      </c>
      <c r="G187" s="79" t="str">
        <f aca="false">IF($AO187="","",INDEX(Securities!$E$6:$E$105,$AO187)&amp;"")</f>
        <v/>
      </c>
      <c r="H187" s="80"/>
      <c r="I187" s="81"/>
      <c r="J187" s="91"/>
      <c r="K187" s="85" t="str">
        <f aca="false">IF(OR($I187="",$J187=""),"",$I187*$J187)</f>
        <v/>
      </c>
      <c r="L187" s="80"/>
      <c r="M187" s="81"/>
      <c r="N187" s="91"/>
      <c r="O187" s="85" t="str">
        <f aca="false">IF(OR($M187="",$N187=""),"",$M187*$N187)</f>
        <v/>
      </c>
      <c r="P187" s="88" t="str">
        <f aca="false">IF($C187="","",N($I187)-N($M187))</f>
        <v/>
      </c>
      <c r="Q187" s="85" t="str">
        <f aca="false">IF(OR($P187="",$J187=""),"",$P187*$J187)</f>
        <v/>
      </c>
      <c r="R187" s="83" t="str">
        <f aca="false">IF($AO187="","",IF(INDEX(Securities!$N$6:$N$105,$AO187)="At cost",IF($J187="","",$J187),IF(INDEX(Securities!$O$6:$O$105,$AO187)="","",INDEX(Securities!$O$6:$O$105,$AO187))))</f>
        <v/>
      </c>
      <c r="S187" s="85" t="str">
        <f aca="false">IF(OR($P187="",$R187=""),"",$P187*$R187)</f>
        <v/>
      </c>
      <c r="T187" s="92" t="str">
        <f aca="false">IF(OR(NOT(ISNUMBER($L187)),NOT(ISNUMBER($H187))),"",$L187-$H187)</f>
        <v/>
      </c>
      <c r="U187" s="79" t="str">
        <f aca="false">IF($T187="","",IF($X187="","Short Term",IF($T187&gt;$X187,"Long Term","Short Term")))</f>
        <v/>
      </c>
      <c r="V187" s="92" t="str">
        <f aca="false">IF(OR(NOT(ISNUMBER($H187)),N($P187)&lt;=0),"",ValDate-$H187)</f>
        <v/>
      </c>
      <c r="W187" s="79" t="str">
        <f aca="false">IF($V187="","",IF($X187="","Short Term",IF($V187&gt;$X187,"Long Term","Short Term")))</f>
        <v/>
      </c>
      <c r="X187" s="92" t="str">
        <f aca="true">IF($G187="","",IF(ISNA(MATCH($G187,L_Category,0)),"",IF(INDEX(L_CatLT,MATCH($G187,L_Category,0))="","",INDEX(L_CatLT,MATCH($G187,L_Category,0)))))</f>
        <v/>
      </c>
      <c r="Y187" s="83" t="str">
        <f aca="false">IF($AO187="","",IF(INDEX(Securities!$Q$6:$Q$105,$AO187)="","",INDEX(Securities!$Q$6:$Q$105,$AO187)))</f>
        <v/>
      </c>
      <c r="Z187" s="79" t="str">
        <f aca="false">IF($C187="","",IF(OR(NOT(ISNUMBER($H187)),$Y187=""),"No",IF($H187&lt;=GFDate,"Yes","No")))</f>
        <v/>
      </c>
      <c r="AA187" s="85" t="str">
        <f aca="false">IF(OR($M187="",$N187="",$J187=""),"",$M187*($N187-$J187))</f>
        <v/>
      </c>
      <c r="AB187" s="85" t="str">
        <f aca="false">IF(OR(N($P187)&lt;=0,$R187="",$J187=""),"",$P187*($R187-$J187))</f>
        <v/>
      </c>
      <c r="AC187" s="83" t="str">
        <f aca="false">IF(OR($M187="",$N187="",$J187=""),"",IF($Z187="Yes",MAX($J187,MIN($Y187,$N187)),$J187))</f>
        <v/>
      </c>
      <c r="AD187" s="85" t="str">
        <f aca="false">IF($AC187="","",$M187*($N187-$AC187))</f>
        <v/>
      </c>
      <c r="AE187" s="83" t="str">
        <f aca="false">IF(OR(N($P187)&lt;=0,$R187="",$J187=""),"",IF($Z187="Yes",MAX($J187,MIN($Y187,$R187)),$J187))</f>
        <v/>
      </c>
      <c r="AF187" s="85" t="str">
        <f aca="false">IF($AE187="","",$P187*($R187-$AE187))</f>
        <v/>
      </c>
      <c r="AG187" s="92" t="str">
        <f aca="false">IF(OR($V187="",$X187=""),"",MAX(0,$X187+1-$V187))</f>
        <v/>
      </c>
      <c r="AH187" s="93" t="str">
        <f aca="false">IF(OR($X187="",NOT(ISNUMBER($H187)),N($P187)&lt;=0),"",$H187+$X187+1)</f>
        <v/>
      </c>
      <c r="AI187" s="91"/>
      <c r="AJ187" s="85" t="str">
        <f aca="false">IF(OR($AI187="",N($P187)&lt;=0),"",$AI187*$P187)</f>
        <v/>
      </c>
      <c r="AK187" s="79" t="str">
        <f aca="false">IF(NOT(ISNUMBER($L187)),"",IF(MONTH($L187)&gt;=4,YEAR($L187)&amp;"-"&amp;RIGHT(YEAR($L187)+1,2),(YEAR($L187)-1)&amp;"-"&amp;RIGHT(YEAR($L187),2)))</f>
        <v/>
      </c>
      <c r="AL187" s="78"/>
      <c r="AM187" s="79" t="str">
        <f aca="false">IF($A187&amp;$B187&amp;$C187="","",IF($A187="","Missing ID",IF(COUNTIF($A$6:$A$205,$A187)&gt;1,"Duplicate ID",IF($AN187="","Unknown account",IF($AO187="","Unknown security",IF(COUNTIFS(Holdings!$B$6:$B$205,$B187,Holdings!$C$6:$C$205,$C187)=0,"No holding row for this lot",IF(OR($I187="",$J187=""),"Missing purchase quantity or rate",IF(NOT(ISNUMBER($H187)),"Missing purchase date",IF(N($H187)&gt;ValDate,"Purchase after valuation date",IF(N($M187)&gt;N($I187),"Sale quantity exceeds purchase",IF(AND(N($M187)&gt;0,OR(NOT(ISNUMBER($L187)),$N187="")),"Sale date or rate missing",IF(AND(ISNUMBER($L187),N($M187)=0),"Sale date with no quantity",IF(AND(ISNUMBER($L187),N($L187)&lt;N($H187)),"Sale before purchase",IF(N($L187)&gt;ValDate,"Sale after valuation date","OK"))))))))))))))</f>
        <v/>
      </c>
      <c r="AN187" s="89" t="str">
        <f aca="false">IF($B187="","",IFERROR(MATCH($B187,Accounts!$A$6:$A$55,0),""))</f>
        <v/>
      </c>
      <c r="AO187" s="89" t="str">
        <f aca="false">IF($C187="","",IFERROR(MATCH($C187,Securities!$A$6:$A$105,0),""))</f>
        <v/>
      </c>
      <c r="AP187" s="89" t="str">
        <f aca="false">IF($AN187="","",INDEX(Accounts!$B$6:$B$55,$AN187)&amp;"")</f>
        <v/>
      </c>
      <c r="AQ187" s="89" t="str">
        <f aca="false">IF(AND(ISNUMBER($AG187),N($P187)&gt;0),IF(AND(N($AG187)&gt;0,N($AG187)&lt;=SoonDays),1,""),"")</f>
        <v/>
      </c>
      <c r="AR187" s="89" t="str">
        <f aca="false">IF($AQ187&lt;&gt;1,"",SUMPRODUCT(($AQ$6:$AQ$205=1)*ISNUMBER($AG$6:$AG$205)*($AG$6:$AG$205&lt;$AG187))+SUMPRODUCT(($AQ$6:$AQ187=1)*ISNUMBER($AG$6:$AG187)*($AG$6:$AG187=$AG187)))</f>
        <v/>
      </c>
    </row>
    <row r="188" customFormat="false" ht="15" hidden="false" customHeight="false" outlineLevel="0" collapsed="false">
      <c r="A188" s="77"/>
      <c r="B188" s="78"/>
      <c r="C188" s="78"/>
      <c r="D188" s="79" t="str">
        <f aca="false">IF($AN188="","",INDEX(Accounts!$C$6:$C$55,$AN188)&amp;"")</f>
        <v/>
      </c>
      <c r="E188" s="79" t="str">
        <f aca="false">IF($AO188="","",INDEX(Securities!$B$6:$B$105,$AO188)&amp;"")</f>
        <v/>
      </c>
      <c r="F188" s="79" t="str">
        <f aca="false">IF($AO188="","",INDEX(Securities!$C$6:$C$105,$AO188)&amp;"")</f>
        <v/>
      </c>
      <c r="G188" s="79" t="str">
        <f aca="false">IF($AO188="","",INDEX(Securities!$E$6:$E$105,$AO188)&amp;"")</f>
        <v/>
      </c>
      <c r="H188" s="80"/>
      <c r="I188" s="81"/>
      <c r="J188" s="91"/>
      <c r="K188" s="85" t="str">
        <f aca="false">IF(OR($I188="",$J188=""),"",$I188*$J188)</f>
        <v/>
      </c>
      <c r="L188" s="80"/>
      <c r="M188" s="81"/>
      <c r="N188" s="91"/>
      <c r="O188" s="85" t="str">
        <f aca="false">IF(OR($M188="",$N188=""),"",$M188*$N188)</f>
        <v/>
      </c>
      <c r="P188" s="88" t="str">
        <f aca="false">IF($C188="","",N($I188)-N($M188))</f>
        <v/>
      </c>
      <c r="Q188" s="85" t="str">
        <f aca="false">IF(OR($P188="",$J188=""),"",$P188*$J188)</f>
        <v/>
      </c>
      <c r="R188" s="83" t="str">
        <f aca="false">IF($AO188="","",IF(INDEX(Securities!$N$6:$N$105,$AO188)="At cost",IF($J188="","",$J188),IF(INDEX(Securities!$O$6:$O$105,$AO188)="","",INDEX(Securities!$O$6:$O$105,$AO188))))</f>
        <v/>
      </c>
      <c r="S188" s="85" t="str">
        <f aca="false">IF(OR($P188="",$R188=""),"",$P188*$R188)</f>
        <v/>
      </c>
      <c r="T188" s="92" t="str">
        <f aca="false">IF(OR(NOT(ISNUMBER($L188)),NOT(ISNUMBER($H188))),"",$L188-$H188)</f>
        <v/>
      </c>
      <c r="U188" s="79" t="str">
        <f aca="false">IF($T188="","",IF($X188="","Short Term",IF($T188&gt;$X188,"Long Term","Short Term")))</f>
        <v/>
      </c>
      <c r="V188" s="92" t="str">
        <f aca="false">IF(OR(NOT(ISNUMBER($H188)),N($P188)&lt;=0),"",ValDate-$H188)</f>
        <v/>
      </c>
      <c r="W188" s="79" t="str">
        <f aca="false">IF($V188="","",IF($X188="","Short Term",IF($V188&gt;$X188,"Long Term","Short Term")))</f>
        <v/>
      </c>
      <c r="X188" s="92" t="str">
        <f aca="true">IF($G188="","",IF(ISNA(MATCH($G188,L_Category,0)),"",IF(INDEX(L_CatLT,MATCH($G188,L_Category,0))="","",INDEX(L_CatLT,MATCH($G188,L_Category,0)))))</f>
        <v/>
      </c>
      <c r="Y188" s="83" t="str">
        <f aca="false">IF($AO188="","",IF(INDEX(Securities!$Q$6:$Q$105,$AO188)="","",INDEX(Securities!$Q$6:$Q$105,$AO188)))</f>
        <v/>
      </c>
      <c r="Z188" s="79" t="str">
        <f aca="false">IF($C188="","",IF(OR(NOT(ISNUMBER($H188)),$Y188=""),"No",IF($H188&lt;=GFDate,"Yes","No")))</f>
        <v/>
      </c>
      <c r="AA188" s="85" t="str">
        <f aca="false">IF(OR($M188="",$N188="",$J188=""),"",$M188*($N188-$J188))</f>
        <v/>
      </c>
      <c r="AB188" s="85" t="str">
        <f aca="false">IF(OR(N($P188)&lt;=0,$R188="",$J188=""),"",$P188*($R188-$J188))</f>
        <v/>
      </c>
      <c r="AC188" s="83" t="str">
        <f aca="false">IF(OR($M188="",$N188="",$J188=""),"",IF($Z188="Yes",MAX($J188,MIN($Y188,$N188)),$J188))</f>
        <v/>
      </c>
      <c r="AD188" s="85" t="str">
        <f aca="false">IF($AC188="","",$M188*($N188-$AC188))</f>
        <v/>
      </c>
      <c r="AE188" s="83" t="str">
        <f aca="false">IF(OR(N($P188)&lt;=0,$R188="",$J188=""),"",IF($Z188="Yes",MAX($J188,MIN($Y188,$R188)),$J188))</f>
        <v/>
      </c>
      <c r="AF188" s="85" t="str">
        <f aca="false">IF($AE188="","",$P188*($R188-$AE188))</f>
        <v/>
      </c>
      <c r="AG188" s="92" t="str">
        <f aca="false">IF(OR($V188="",$X188=""),"",MAX(0,$X188+1-$V188))</f>
        <v/>
      </c>
      <c r="AH188" s="93" t="str">
        <f aca="false">IF(OR($X188="",NOT(ISNUMBER($H188)),N($P188)&lt;=0),"",$H188+$X188+1)</f>
        <v/>
      </c>
      <c r="AI188" s="91"/>
      <c r="AJ188" s="85" t="str">
        <f aca="false">IF(OR($AI188="",N($P188)&lt;=0),"",$AI188*$P188)</f>
        <v/>
      </c>
      <c r="AK188" s="79" t="str">
        <f aca="false">IF(NOT(ISNUMBER($L188)),"",IF(MONTH($L188)&gt;=4,YEAR($L188)&amp;"-"&amp;RIGHT(YEAR($L188)+1,2),(YEAR($L188)-1)&amp;"-"&amp;RIGHT(YEAR($L188),2)))</f>
        <v/>
      </c>
      <c r="AL188" s="78"/>
      <c r="AM188" s="79" t="str">
        <f aca="false">IF($A188&amp;$B188&amp;$C188="","",IF($A188="","Missing ID",IF(COUNTIF($A$6:$A$205,$A188)&gt;1,"Duplicate ID",IF($AN188="","Unknown account",IF($AO188="","Unknown security",IF(COUNTIFS(Holdings!$B$6:$B$205,$B188,Holdings!$C$6:$C$205,$C188)=0,"No holding row for this lot",IF(OR($I188="",$J188=""),"Missing purchase quantity or rate",IF(NOT(ISNUMBER($H188)),"Missing purchase date",IF(N($H188)&gt;ValDate,"Purchase after valuation date",IF(N($M188)&gt;N($I188),"Sale quantity exceeds purchase",IF(AND(N($M188)&gt;0,OR(NOT(ISNUMBER($L188)),$N188="")),"Sale date or rate missing",IF(AND(ISNUMBER($L188),N($M188)=0),"Sale date with no quantity",IF(AND(ISNUMBER($L188),N($L188)&lt;N($H188)),"Sale before purchase",IF(N($L188)&gt;ValDate,"Sale after valuation date","OK"))))))))))))))</f>
        <v/>
      </c>
      <c r="AN188" s="89" t="str">
        <f aca="false">IF($B188="","",IFERROR(MATCH($B188,Accounts!$A$6:$A$55,0),""))</f>
        <v/>
      </c>
      <c r="AO188" s="89" t="str">
        <f aca="false">IF($C188="","",IFERROR(MATCH($C188,Securities!$A$6:$A$105,0),""))</f>
        <v/>
      </c>
      <c r="AP188" s="89" t="str">
        <f aca="false">IF($AN188="","",INDEX(Accounts!$B$6:$B$55,$AN188)&amp;"")</f>
        <v/>
      </c>
      <c r="AQ188" s="89" t="str">
        <f aca="false">IF(AND(ISNUMBER($AG188),N($P188)&gt;0),IF(AND(N($AG188)&gt;0,N($AG188)&lt;=SoonDays),1,""),"")</f>
        <v/>
      </c>
      <c r="AR188" s="89" t="str">
        <f aca="false">IF($AQ188&lt;&gt;1,"",SUMPRODUCT(($AQ$6:$AQ$205=1)*ISNUMBER($AG$6:$AG$205)*($AG$6:$AG$205&lt;$AG188))+SUMPRODUCT(($AQ$6:$AQ188=1)*ISNUMBER($AG$6:$AG188)*($AG$6:$AG188=$AG188)))</f>
        <v/>
      </c>
    </row>
    <row r="189" customFormat="false" ht="15" hidden="false" customHeight="false" outlineLevel="0" collapsed="false">
      <c r="A189" s="77"/>
      <c r="B189" s="78"/>
      <c r="C189" s="78"/>
      <c r="D189" s="79" t="str">
        <f aca="false">IF($AN189="","",INDEX(Accounts!$C$6:$C$55,$AN189)&amp;"")</f>
        <v/>
      </c>
      <c r="E189" s="79" t="str">
        <f aca="false">IF($AO189="","",INDEX(Securities!$B$6:$B$105,$AO189)&amp;"")</f>
        <v/>
      </c>
      <c r="F189" s="79" t="str">
        <f aca="false">IF($AO189="","",INDEX(Securities!$C$6:$C$105,$AO189)&amp;"")</f>
        <v/>
      </c>
      <c r="G189" s="79" t="str">
        <f aca="false">IF($AO189="","",INDEX(Securities!$E$6:$E$105,$AO189)&amp;"")</f>
        <v/>
      </c>
      <c r="H189" s="80"/>
      <c r="I189" s="81"/>
      <c r="J189" s="91"/>
      <c r="K189" s="85" t="str">
        <f aca="false">IF(OR($I189="",$J189=""),"",$I189*$J189)</f>
        <v/>
      </c>
      <c r="L189" s="80"/>
      <c r="M189" s="81"/>
      <c r="N189" s="91"/>
      <c r="O189" s="85" t="str">
        <f aca="false">IF(OR($M189="",$N189=""),"",$M189*$N189)</f>
        <v/>
      </c>
      <c r="P189" s="88" t="str">
        <f aca="false">IF($C189="","",N($I189)-N($M189))</f>
        <v/>
      </c>
      <c r="Q189" s="85" t="str">
        <f aca="false">IF(OR($P189="",$J189=""),"",$P189*$J189)</f>
        <v/>
      </c>
      <c r="R189" s="83" t="str">
        <f aca="false">IF($AO189="","",IF(INDEX(Securities!$N$6:$N$105,$AO189)="At cost",IF($J189="","",$J189),IF(INDEX(Securities!$O$6:$O$105,$AO189)="","",INDEX(Securities!$O$6:$O$105,$AO189))))</f>
        <v/>
      </c>
      <c r="S189" s="85" t="str">
        <f aca="false">IF(OR($P189="",$R189=""),"",$P189*$R189)</f>
        <v/>
      </c>
      <c r="T189" s="92" t="str">
        <f aca="false">IF(OR(NOT(ISNUMBER($L189)),NOT(ISNUMBER($H189))),"",$L189-$H189)</f>
        <v/>
      </c>
      <c r="U189" s="79" t="str">
        <f aca="false">IF($T189="","",IF($X189="","Short Term",IF($T189&gt;$X189,"Long Term","Short Term")))</f>
        <v/>
      </c>
      <c r="V189" s="92" t="str">
        <f aca="false">IF(OR(NOT(ISNUMBER($H189)),N($P189)&lt;=0),"",ValDate-$H189)</f>
        <v/>
      </c>
      <c r="W189" s="79" t="str">
        <f aca="false">IF($V189="","",IF($X189="","Short Term",IF($V189&gt;$X189,"Long Term","Short Term")))</f>
        <v/>
      </c>
      <c r="X189" s="92" t="str">
        <f aca="true">IF($G189="","",IF(ISNA(MATCH($G189,L_Category,0)),"",IF(INDEX(L_CatLT,MATCH($G189,L_Category,0))="","",INDEX(L_CatLT,MATCH($G189,L_Category,0)))))</f>
        <v/>
      </c>
      <c r="Y189" s="83" t="str">
        <f aca="false">IF($AO189="","",IF(INDEX(Securities!$Q$6:$Q$105,$AO189)="","",INDEX(Securities!$Q$6:$Q$105,$AO189)))</f>
        <v/>
      </c>
      <c r="Z189" s="79" t="str">
        <f aca="false">IF($C189="","",IF(OR(NOT(ISNUMBER($H189)),$Y189=""),"No",IF($H189&lt;=GFDate,"Yes","No")))</f>
        <v/>
      </c>
      <c r="AA189" s="85" t="str">
        <f aca="false">IF(OR($M189="",$N189="",$J189=""),"",$M189*($N189-$J189))</f>
        <v/>
      </c>
      <c r="AB189" s="85" t="str">
        <f aca="false">IF(OR(N($P189)&lt;=0,$R189="",$J189=""),"",$P189*($R189-$J189))</f>
        <v/>
      </c>
      <c r="AC189" s="83" t="str">
        <f aca="false">IF(OR($M189="",$N189="",$J189=""),"",IF($Z189="Yes",MAX($J189,MIN($Y189,$N189)),$J189))</f>
        <v/>
      </c>
      <c r="AD189" s="85" t="str">
        <f aca="false">IF($AC189="","",$M189*($N189-$AC189))</f>
        <v/>
      </c>
      <c r="AE189" s="83" t="str">
        <f aca="false">IF(OR(N($P189)&lt;=0,$R189="",$J189=""),"",IF($Z189="Yes",MAX($J189,MIN($Y189,$R189)),$J189))</f>
        <v/>
      </c>
      <c r="AF189" s="85" t="str">
        <f aca="false">IF($AE189="","",$P189*($R189-$AE189))</f>
        <v/>
      </c>
      <c r="AG189" s="92" t="str">
        <f aca="false">IF(OR($V189="",$X189=""),"",MAX(0,$X189+1-$V189))</f>
        <v/>
      </c>
      <c r="AH189" s="93" t="str">
        <f aca="false">IF(OR($X189="",NOT(ISNUMBER($H189)),N($P189)&lt;=0),"",$H189+$X189+1)</f>
        <v/>
      </c>
      <c r="AI189" s="91"/>
      <c r="AJ189" s="85" t="str">
        <f aca="false">IF(OR($AI189="",N($P189)&lt;=0),"",$AI189*$P189)</f>
        <v/>
      </c>
      <c r="AK189" s="79" t="str">
        <f aca="false">IF(NOT(ISNUMBER($L189)),"",IF(MONTH($L189)&gt;=4,YEAR($L189)&amp;"-"&amp;RIGHT(YEAR($L189)+1,2),(YEAR($L189)-1)&amp;"-"&amp;RIGHT(YEAR($L189),2)))</f>
        <v/>
      </c>
      <c r="AL189" s="78"/>
      <c r="AM189" s="79" t="str">
        <f aca="false">IF($A189&amp;$B189&amp;$C189="","",IF($A189="","Missing ID",IF(COUNTIF($A$6:$A$205,$A189)&gt;1,"Duplicate ID",IF($AN189="","Unknown account",IF($AO189="","Unknown security",IF(COUNTIFS(Holdings!$B$6:$B$205,$B189,Holdings!$C$6:$C$205,$C189)=0,"No holding row for this lot",IF(OR($I189="",$J189=""),"Missing purchase quantity or rate",IF(NOT(ISNUMBER($H189)),"Missing purchase date",IF(N($H189)&gt;ValDate,"Purchase after valuation date",IF(N($M189)&gt;N($I189),"Sale quantity exceeds purchase",IF(AND(N($M189)&gt;0,OR(NOT(ISNUMBER($L189)),$N189="")),"Sale date or rate missing",IF(AND(ISNUMBER($L189),N($M189)=0),"Sale date with no quantity",IF(AND(ISNUMBER($L189),N($L189)&lt;N($H189)),"Sale before purchase",IF(N($L189)&gt;ValDate,"Sale after valuation date","OK"))))))))))))))</f>
        <v/>
      </c>
      <c r="AN189" s="89" t="str">
        <f aca="false">IF($B189="","",IFERROR(MATCH($B189,Accounts!$A$6:$A$55,0),""))</f>
        <v/>
      </c>
      <c r="AO189" s="89" t="str">
        <f aca="false">IF($C189="","",IFERROR(MATCH($C189,Securities!$A$6:$A$105,0),""))</f>
        <v/>
      </c>
      <c r="AP189" s="89" t="str">
        <f aca="false">IF($AN189="","",INDEX(Accounts!$B$6:$B$55,$AN189)&amp;"")</f>
        <v/>
      </c>
      <c r="AQ189" s="89" t="str">
        <f aca="false">IF(AND(ISNUMBER($AG189),N($P189)&gt;0),IF(AND(N($AG189)&gt;0,N($AG189)&lt;=SoonDays),1,""),"")</f>
        <v/>
      </c>
      <c r="AR189" s="89" t="str">
        <f aca="false">IF($AQ189&lt;&gt;1,"",SUMPRODUCT(($AQ$6:$AQ$205=1)*ISNUMBER($AG$6:$AG$205)*($AG$6:$AG$205&lt;$AG189))+SUMPRODUCT(($AQ$6:$AQ189=1)*ISNUMBER($AG$6:$AG189)*($AG$6:$AG189=$AG189)))</f>
        <v/>
      </c>
    </row>
    <row r="190" customFormat="false" ht="15" hidden="false" customHeight="false" outlineLevel="0" collapsed="false">
      <c r="A190" s="77"/>
      <c r="B190" s="78"/>
      <c r="C190" s="78"/>
      <c r="D190" s="79" t="str">
        <f aca="false">IF($AN190="","",INDEX(Accounts!$C$6:$C$55,$AN190)&amp;"")</f>
        <v/>
      </c>
      <c r="E190" s="79" t="str">
        <f aca="false">IF($AO190="","",INDEX(Securities!$B$6:$B$105,$AO190)&amp;"")</f>
        <v/>
      </c>
      <c r="F190" s="79" t="str">
        <f aca="false">IF($AO190="","",INDEX(Securities!$C$6:$C$105,$AO190)&amp;"")</f>
        <v/>
      </c>
      <c r="G190" s="79" t="str">
        <f aca="false">IF($AO190="","",INDEX(Securities!$E$6:$E$105,$AO190)&amp;"")</f>
        <v/>
      </c>
      <c r="H190" s="80"/>
      <c r="I190" s="81"/>
      <c r="J190" s="91"/>
      <c r="K190" s="85" t="str">
        <f aca="false">IF(OR($I190="",$J190=""),"",$I190*$J190)</f>
        <v/>
      </c>
      <c r="L190" s="80"/>
      <c r="M190" s="81"/>
      <c r="N190" s="91"/>
      <c r="O190" s="85" t="str">
        <f aca="false">IF(OR($M190="",$N190=""),"",$M190*$N190)</f>
        <v/>
      </c>
      <c r="P190" s="88" t="str">
        <f aca="false">IF($C190="","",N($I190)-N($M190))</f>
        <v/>
      </c>
      <c r="Q190" s="85" t="str">
        <f aca="false">IF(OR($P190="",$J190=""),"",$P190*$J190)</f>
        <v/>
      </c>
      <c r="R190" s="83" t="str">
        <f aca="false">IF($AO190="","",IF(INDEX(Securities!$N$6:$N$105,$AO190)="At cost",IF($J190="","",$J190),IF(INDEX(Securities!$O$6:$O$105,$AO190)="","",INDEX(Securities!$O$6:$O$105,$AO190))))</f>
        <v/>
      </c>
      <c r="S190" s="85" t="str">
        <f aca="false">IF(OR($P190="",$R190=""),"",$P190*$R190)</f>
        <v/>
      </c>
      <c r="T190" s="92" t="str">
        <f aca="false">IF(OR(NOT(ISNUMBER($L190)),NOT(ISNUMBER($H190))),"",$L190-$H190)</f>
        <v/>
      </c>
      <c r="U190" s="79" t="str">
        <f aca="false">IF($T190="","",IF($X190="","Short Term",IF($T190&gt;$X190,"Long Term","Short Term")))</f>
        <v/>
      </c>
      <c r="V190" s="92" t="str">
        <f aca="false">IF(OR(NOT(ISNUMBER($H190)),N($P190)&lt;=0),"",ValDate-$H190)</f>
        <v/>
      </c>
      <c r="W190" s="79" t="str">
        <f aca="false">IF($V190="","",IF($X190="","Short Term",IF($V190&gt;$X190,"Long Term","Short Term")))</f>
        <v/>
      </c>
      <c r="X190" s="92" t="str">
        <f aca="true">IF($G190="","",IF(ISNA(MATCH($G190,L_Category,0)),"",IF(INDEX(L_CatLT,MATCH($G190,L_Category,0))="","",INDEX(L_CatLT,MATCH($G190,L_Category,0)))))</f>
        <v/>
      </c>
      <c r="Y190" s="83" t="str">
        <f aca="false">IF($AO190="","",IF(INDEX(Securities!$Q$6:$Q$105,$AO190)="","",INDEX(Securities!$Q$6:$Q$105,$AO190)))</f>
        <v/>
      </c>
      <c r="Z190" s="79" t="str">
        <f aca="false">IF($C190="","",IF(OR(NOT(ISNUMBER($H190)),$Y190=""),"No",IF($H190&lt;=GFDate,"Yes","No")))</f>
        <v/>
      </c>
      <c r="AA190" s="85" t="str">
        <f aca="false">IF(OR($M190="",$N190="",$J190=""),"",$M190*($N190-$J190))</f>
        <v/>
      </c>
      <c r="AB190" s="85" t="str">
        <f aca="false">IF(OR(N($P190)&lt;=0,$R190="",$J190=""),"",$P190*($R190-$J190))</f>
        <v/>
      </c>
      <c r="AC190" s="83" t="str">
        <f aca="false">IF(OR($M190="",$N190="",$J190=""),"",IF($Z190="Yes",MAX($J190,MIN($Y190,$N190)),$J190))</f>
        <v/>
      </c>
      <c r="AD190" s="85" t="str">
        <f aca="false">IF($AC190="","",$M190*($N190-$AC190))</f>
        <v/>
      </c>
      <c r="AE190" s="83" t="str">
        <f aca="false">IF(OR(N($P190)&lt;=0,$R190="",$J190=""),"",IF($Z190="Yes",MAX($J190,MIN($Y190,$R190)),$J190))</f>
        <v/>
      </c>
      <c r="AF190" s="85" t="str">
        <f aca="false">IF($AE190="","",$P190*($R190-$AE190))</f>
        <v/>
      </c>
      <c r="AG190" s="92" t="str">
        <f aca="false">IF(OR($V190="",$X190=""),"",MAX(0,$X190+1-$V190))</f>
        <v/>
      </c>
      <c r="AH190" s="93" t="str">
        <f aca="false">IF(OR($X190="",NOT(ISNUMBER($H190)),N($P190)&lt;=0),"",$H190+$X190+1)</f>
        <v/>
      </c>
      <c r="AI190" s="91"/>
      <c r="AJ190" s="85" t="str">
        <f aca="false">IF(OR($AI190="",N($P190)&lt;=0),"",$AI190*$P190)</f>
        <v/>
      </c>
      <c r="AK190" s="79" t="str">
        <f aca="false">IF(NOT(ISNUMBER($L190)),"",IF(MONTH($L190)&gt;=4,YEAR($L190)&amp;"-"&amp;RIGHT(YEAR($L190)+1,2),(YEAR($L190)-1)&amp;"-"&amp;RIGHT(YEAR($L190),2)))</f>
        <v/>
      </c>
      <c r="AL190" s="78"/>
      <c r="AM190" s="79" t="str">
        <f aca="false">IF($A190&amp;$B190&amp;$C190="","",IF($A190="","Missing ID",IF(COUNTIF($A$6:$A$205,$A190)&gt;1,"Duplicate ID",IF($AN190="","Unknown account",IF($AO190="","Unknown security",IF(COUNTIFS(Holdings!$B$6:$B$205,$B190,Holdings!$C$6:$C$205,$C190)=0,"No holding row for this lot",IF(OR($I190="",$J190=""),"Missing purchase quantity or rate",IF(NOT(ISNUMBER($H190)),"Missing purchase date",IF(N($H190)&gt;ValDate,"Purchase after valuation date",IF(N($M190)&gt;N($I190),"Sale quantity exceeds purchase",IF(AND(N($M190)&gt;0,OR(NOT(ISNUMBER($L190)),$N190="")),"Sale date or rate missing",IF(AND(ISNUMBER($L190),N($M190)=0),"Sale date with no quantity",IF(AND(ISNUMBER($L190),N($L190)&lt;N($H190)),"Sale before purchase",IF(N($L190)&gt;ValDate,"Sale after valuation date","OK"))))))))))))))</f>
        <v/>
      </c>
      <c r="AN190" s="89" t="str">
        <f aca="false">IF($B190="","",IFERROR(MATCH($B190,Accounts!$A$6:$A$55,0),""))</f>
        <v/>
      </c>
      <c r="AO190" s="89" t="str">
        <f aca="false">IF($C190="","",IFERROR(MATCH($C190,Securities!$A$6:$A$105,0),""))</f>
        <v/>
      </c>
      <c r="AP190" s="89" t="str">
        <f aca="false">IF($AN190="","",INDEX(Accounts!$B$6:$B$55,$AN190)&amp;"")</f>
        <v/>
      </c>
      <c r="AQ190" s="89" t="str">
        <f aca="false">IF(AND(ISNUMBER($AG190),N($P190)&gt;0),IF(AND(N($AG190)&gt;0,N($AG190)&lt;=SoonDays),1,""),"")</f>
        <v/>
      </c>
      <c r="AR190" s="89" t="str">
        <f aca="false">IF($AQ190&lt;&gt;1,"",SUMPRODUCT(($AQ$6:$AQ$205=1)*ISNUMBER($AG$6:$AG$205)*($AG$6:$AG$205&lt;$AG190))+SUMPRODUCT(($AQ$6:$AQ190=1)*ISNUMBER($AG$6:$AG190)*($AG$6:$AG190=$AG190)))</f>
        <v/>
      </c>
    </row>
    <row r="191" customFormat="false" ht="15" hidden="false" customHeight="false" outlineLevel="0" collapsed="false">
      <c r="A191" s="77"/>
      <c r="B191" s="78"/>
      <c r="C191" s="78"/>
      <c r="D191" s="79" t="str">
        <f aca="false">IF($AN191="","",INDEX(Accounts!$C$6:$C$55,$AN191)&amp;"")</f>
        <v/>
      </c>
      <c r="E191" s="79" t="str">
        <f aca="false">IF($AO191="","",INDEX(Securities!$B$6:$B$105,$AO191)&amp;"")</f>
        <v/>
      </c>
      <c r="F191" s="79" t="str">
        <f aca="false">IF($AO191="","",INDEX(Securities!$C$6:$C$105,$AO191)&amp;"")</f>
        <v/>
      </c>
      <c r="G191" s="79" t="str">
        <f aca="false">IF($AO191="","",INDEX(Securities!$E$6:$E$105,$AO191)&amp;"")</f>
        <v/>
      </c>
      <c r="H191" s="80"/>
      <c r="I191" s="81"/>
      <c r="J191" s="91"/>
      <c r="K191" s="85" t="str">
        <f aca="false">IF(OR($I191="",$J191=""),"",$I191*$J191)</f>
        <v/>
      </c>
      <c r="L191" s="80"/>
      <c r="M191" s="81"/>
      <c r="N191" s="91"/>
      <c r="O191" s="85" t="str">
        <f aca="false">IF(OR($M191="",$N191=""),"",$M191*$N191)</f>
        <v/>
      </c>
      <c r="P191" s="88" t="str">
        <f aca="false">IF($C191="","",N($I191)-N($M191))</f>
        <v/>
      </c>
      <c r="Q191" s="85" t="str">
        <f aca="false">IF(OR($P191="",$J191=""),"",$P191*$J191)</f>
        <v/>
      </c>
      <c r="R191" s="83" t="str">
        <f aca="false">IF($AO191="","",IF(INDEX(Securities!$N$6:$N$105,$AO191)="At cost",IF($J191="","",$J191),IF(INDEX(Securities!$O$6:$O$105,$AO191)="","",INDEX(Securities!$O$6:$O$105,$AO191))))</f>
        <v/>
      </c>
      <c r="S191" s="85" t="str">
        <f aca="false">IF(OR($P191="",$R191=""),"",$P191*$R191)</f>
        <v/>
      </c>
      <c r="T191" s="92" t="str">
        <f aca="false">IF(OR(NOT(ISNUMBER($L191)),NOT(ISNUMBER($H191))),"",$L191-$H191)</f>
        <v/>
      </c>
      <c r="U191" s="79" t="str">
        <f aca="false">IF($T191="","",IF($X191="","Short Term",IF($T191&gt;$X191,"Long Term","Short Term")))</f>
        <v/>
      </c>
      <c r="V191" s="92" t="str">
        <f aca="false">IF(OR(NOT(ISNUMBER($H191)),N($P191)&lt;=0),"",ValDate-$H191)</f>
        <v/>
      </c>
      <c r="W191" s="79" t="str">
        <f aca="false">IF($V191="","",IF($X191="","Short Term",IF($V191&gt;$X191,"Long Term","Short Term")))</f>
        <v/>
      </c>
      <c r="X191" s="92" t="str">
        <f aca="true">IF($G191="","",IF(ISNA(MATCH($G191,L_Category,0)),"",IF(INDEX(L_CatLT,MATCH($G191,L_Category,0))="","",INDEX(L_CatLT,MATCH($G191,L_Category,0)))))</f>
        <v/>
      </c>
      <c r="Y191" s="83" t="str">
        <f aca="false">IF($AO191="","",IF(INDEX(Securities!$Q$6:$Q$105,$AO191)="","",INDEX(Securities!$Q$6:$Q$105,$AO191)))</f>
        <v/>
      </c>
      <c r="Z191" s="79" t="str">
        <f aca="false">IF($C191="","",IF(OR(NOT(ISNUMBER($H191)),$Y191=""),"No",IF($H191&lt;=GFDate,"Yes","No")))</f>
        <v/>
      </c>
      <c r="AA191" s="85" t="str">
        <f aca="false">IF(OR($M191="",$N191="",$J191=""),"",$M191*($N191-$J191))</f>
        <v/>
      </c>
      <c r="AB191" s="85" t="str">
        <f aca="false">IF(OR(N($P191)&lt;=0,$R191="",$J191=""),"",$P191*($R191-$J191))</f>
        <v/>
      </c>
      <c r="AC191" s="83" t="str">
        <f aca="false">IF(OR($M191="",$N191="",$J191=""),"",IF($Z191="Yes",MAX($J191,MIN($Y191,$N191)),$J191))</f>
        <v/>
      </c>
      <c r="AD191" s="85" t="str">
        <f aca="false">IF($AC191="","",$M191*($N191-$AC191))</f>
        <v/>
      </c>
      <c r="AE191" s="83" t="str">
        <f aca="false">IF(OR(N($P191)&lt;=0,$R191="",$J191=""),"",IF($Z191="Yes",MAX($J191,MIN($Y191,$R191)),$J191))</f>
        <v/>
      </c>
      <c r="AF191" s="85" t="str">
        <f aca="false">IF($AE191="","",$P191*($R191-$AE191))</f>
        <v/>
      </c>
      <c r="AG191" s="92" t="str">
        <f aca="false">IF(OR($V191="",$X191=""),"",MAX(0,$X191+1-$V191))</f>
        <v/>
      </c>
      <c r="AH191" s="93" t="str">
        <f aca="false">IF(OR($X191="",NOT(ISNUMBER($H191)),N($P191)&lt;=0),"",$H191+$X191+1)</f>
        <v/>
      </c>
      <c r="AI191" s="91"/>
      <c r="AJ191" s="85" t="str">
        <f aca="false">IF(OR($AI191="",N($P191)&lt;=0),"",$AI191*$P191)</f>
        <v/>
      </c>
      <c r="AK191" s="79" t="str">
        <f aca="false">IF(NOT(ISNUMBER($L191)),"",IF(MONTH($L191)&gt;=4,YEAR($L191)&amp;"-"&amp;RIGHT(YEAR($L191)+1,2),(YEAR($L191)-1)&amp;"-"&amp;RIGHT(YEAR($L191),2)))</f>
        <v/>
      </c>
      <c r="AL191" s="78"/>
      <c r="AM191" s="79" t="str">
        <f aca="false">IF($A191&amp;$B191&amp;$C191="","",IF($A191="","Missing ID",IF(COUNTIF($A$6:$A$205,$A191)&gt;1,"Duplicate ID",IF($AN191="","Unknown account",IF($AO191="","Unknown security",IF(COUNTIFS(Holdings!$B$6:$B$205,$B191,Holdings!$C$6:$C$205,$C191)=0,"No holding row for this lot",IF(OR($I191="",$J191=""),"Missing purchase quantity or rate",IF(NOT(ISNUMBER($H191)),"Missing purchase date",IF(N($H191)&gt;ValDate,"Purchase after valuation date",IF(N($M191)&gt;N($I191),"Sale quantity exceeds purchase",IF(AND(N($M191)&gt;0,OR(NOT(ISNUMBER($L191)),$N191="")),"Sale date or rate missing",IF(AND(ISNUMBER($L191),N($M191)=0),"Sale date with no quantity",IF(AND(ISNUMBER($L191),N($L191)&lt;N($H191)),"Sale before purchase",IF(N($L191)&gt;ValDate,"Sale after valuation date","OK"))))))))))))))</f>
        <v/>
      </c>
      <c r="AN191" s="89" t="str">
        <f aca="false">IF($B191="","",IFERROR(MATCH($B191,Accounts!$A$6:$A$55,0),""))</f>
        <v/>
      </c>
      <c r="AO191" s="89" t="str">
        <f aca="false">IF($C191="","",IFERROR(MATCH($C191,Securities!$A$6:$A$105,0),""))</f>
        <v/>
      </c>
      <c r="AP191" s="89" t="str">
        <f aca="false">IF($AN191="","",INDEX(Accounts!$B$6:$B$55,$AN191)&amp;"")</f>
        <v/>
      </c>
      <c r="AQ191" s="89" t="str">
        <f aca="false">IF(AND(ISNUMBER($AG191),N($P191)&gt;0),IF(AND(N($AG191)&gt;0,N($AG191)&lt;=SoonDays),1,""),"")</f>
        <v/>
      </c>
      <c r="AR191" s="89" t="str">
        <f aca="false">IF($AQ191&lt;&gt;1,"",SUMPRODUCT(($AQ$6:$AQ$205=1)*ISNUMBER($AG$6:$AG$205)*($AG$6:$AG$205&lt;$AG191))+SUMPRODUCT(($AQ$6:$AQ191=1)*ISNUMBER($AG$6:$AG191)*($AG$6:$AG191=$AG191)))</f>
        <v/>
      </c>
    </row>
    <row r="192" customFormat="false" ht="15" hidden="false" customHeight="false" outlineLevel="0" collapsed="false">
      <c r="A192" s="77"/>
      <c r="B192" s="78"/>
      <c r="C192" s="78"/>
      <c r="D192" s="79" t="str">
        <f aca="false">IF($AN192="","",INDEX(Accounts!$C$6:$C$55,$AN192)&amp;"")</f>
        <v/>
      </c>
      <c r="E192" s="79" t="str">
        <f aca="false">IF($AO192="","",INDEX(Securities!$B$6:$B$105,$AO192)&amp;"")</f>
        <v/>
      </c>
      <c r="F192" s="79" t="str">
        <f aca="false">IF($AO192="","",INDEX(Securities!$C$6:$C$105,$AO192)&amp;"")</f>
        <v/>
      </c>
      <c r="G192" s="79" t="str">
        <f aca="false">IF($AO192="","",INDEX(Securities!$E$6:$E$105,$AO192)&amp;"")</f>
        <v/>
      </c>
      <c r="H192" s="80"/>
      <c r="I192" s="81"/>
      <c r="J192" s="91"/>
      <c r="K192" s="85" t="str">
        <f aca="false">IF(OR($I192="",$J192=""),"",$I192*$J192)</f>
        <v/>
      </c>
      <c r="L192" s="80"/>
      <c r="M192" s="81"/>
      <c r="N192" s="91"/>
      <c r="O192" s="85" t="str">
        <f aca="false">IF(OR($M192="",$N192=""),"",$M192*$N192)</f>
        <v/>
      </c>
      <c r="P192" s="88" t="str">
        <f aca="false">IF($C192="","",N($I192)-N($M192))</f>
        <v/>
      </c>
      <c r="Q192" s="85" t="str">
        <f aca="false">IF(OR($P192="",$J192=""),"",$P192*$J192)</f>
        <v/>
      </c>
      <c r="R192" s="83" t="str">
        <f aca="false">IF($AO192="","",IF(INDEX(Securities!$N$6:$N$105,$AO192)="At cost",IF($J192="","",$J192),IF(INDEX(Securities!$O$6:$O$105,$AO192)="","",INDEX(Securities!$O$6:$O$105,$AO192))))</f>
        <v/>
      </c>
      <c r="S192" s="85" t="str">
        <f aca="false">IF(OR($P192="",$R192=""),"",$P192*$R192)</f>
        <v/>
      </c>
      <c r="T192" s="92" t="str">
        <f aca="false">IF(OR(NOT(ISNUMBER($L192)),NOT(ISNUMBER($H192))),"",$L192-$H192)</f>
        <v/>
      </c>
      <c r="U192" s="79" t="str">
        <f aca="false">IF($T192="","",IF($X192="","Short Term",IF($T192&gt;$X192,"Long Term","Short Term")))</f>
        <v/>
      </c>
      <c r="V192" s="92" t="str">
        <f aca="false">IF(OR(NOT(ISNUMBER($H192)),N($P192)&lt;=0),"",ValDate-$H192)</f>
        <v/>
      </c>
      <c r="W192" s="79" t="str">
        <f aca="false">IF($V192="","",IF($X192="","Short Term",IF($V192&gt;$X192,"Long Term","Short Term")))</f>
        <v/>
      </c>
      <c r="X192" s="92" t="str">
        <f aca="true">IF($G192="","",IF(ISNA(MATCH($G192,L_Category,0)),"",IF(INDEX(L_CatLT,MATCH($G192,L_Category,0))="","",INDEX(L_CatLT,MATCH($G192,L_Category,0)))))</f>
        <v/>
      </c>
      <c r="Y192" s="83" t="str">
        <f aca="false">IF($AO192="","",IF(INDEX(Securities!$Q$6:$Q$105,$AO192)="","",INDEX(Securities!$Q$6:$Q$105,$AO192)))</f>
        <v/>
      </c>
      <c r="Z192" s="79" t="str">
        <f aca="false">IF($C192="","",IF(OR(NOT(ISNUMBER($H192)),$Y192=""),"No",IF($H192&lt;=GFDate,"Yes","No")))</f>
        <v/>
      </c>
      <c r="AA192" s="85" t="str">
        <f aca="false">IF(OR($M192="",$N192="",$J192=""),"",$M192*($N192-$J192))</f>
        <v/>
      </c>
      <c r="AB192" s="85" t="str">
        <f aca="false">IF(OR(N($P192)&lt;=0,$R192="",$J192=""),"",$P192*($R192-$J192))</f>
        <v/>
      </c>
      <c r="AC192" s="83" t="str">
        <f aca="false">IF(OR($M192="",$N192="",$J192=""),"",IF($Z192="Yes",MAX($J192,MIN($Y192,$N192)),$J192))</f>
        <v/>
      </c>
      <c r="AD192" s="85" t="str">
        <f aca="false">IF($AC192="","",$M192*($N192-$AC192))</f>
        <v/>
      </c>
      <c r="AE192" s="83" t="str">
        <f aca="false">IF(OR(N($P192)&lt;=0,$R192="",$J192=""),"",IF($Z192="Yes",MAX($J192,MIN($Y192,$R192)),$J192))</f>
        <v/>
      </c>
      <c r="AF192" s="85" t="str">
        <f aca="false">IF($AE192="","",$P192*($R192-$AE192))</f>
        <v/>
      </c>
      <c r="AG192" s="92" t="str">
        <f aca="false">IF(OR($V192="",$X192=""),"",MAX(0,$X192+1-$V192))</f>
        <v/>
      </c>
      <c r="AH192" s="93" t="str">
        <f aca="false">IF(OR($X192="",NOT(ISNUMBER($H192)),N($P192)&lt;=0),"",$H192+$X192+1)</f>
        <v/>
      </c>
      <c r="AI192" s="91"/>
      <c r="AJ192" s="85" t="str">
        <f aca="false">IF(OR($AI192="",N($P192)&lt;=0),"",$AI192*$P192)</f>
        <v/>
      </c>
      <c r="AK192" s="79" t="str">
        <f aca="false">IF(NOT(ISNUMBER($L192)),"",IF(MONTH($L192)&gt;=4,YEAR($L192)&amp;"-"&amp;RIGHT(YEAR($L192)+1,2),(YEAR($L192)-1)&amp;"-"&amp;RIGHT(YEAR($L192),2)))</f>
        <v/>
      </c>
      <c r="AL192" s="78"/>
      <c r="AM192" s="79" t="str">
        <f aca="false">IF($A192&amp;$B192&amp;$C192="","",IF($A192="","Missing ID",IF(COUNTIF($A$6:$A$205,$A192)&gt;1,"Duplicate ID",IF($AN192="","Unknown account",IF($AO192="","Unknown security",IF(COUNTIFS(Holdings!$B$6:$B$205,$B192,Holdings!$C$6:$C$205,$C192)=0,"No holding row for this lot",IF(OR($I192="",$J192=""),"Missing purchase quantity or rate",IF(NOT(ISNUMBER($H192)),"Missing purchase date",IF(N($H192)&gt;ValDate,"Purchase after valuation date",IF(N($M192)&gt;N($I192),"Sale quantity exceeds purchase",IF(AND(N($M192)&gt;0,OR(NOT(ISNUMBER($L192)),$N192="")),"Sale date or rate missing",IF(AND(ISNUMBER($L192),N($M192)=0),"Sale date with no quantity",IF(AND(ISNUMBER($L192),N($L192)&lt;N($H192)),"Sale before purchase",IF(N($L192)&gt;ValDate,"Sale after valuation date","OK"))))))))))))))</f>
        <v/>
      </c>
      <c r="AN192" s="89" t="str">
        <f aca="false">IF($B192="","",IFERROR(MATCH($B192,Accounts!$A$6:$A$55,0),""))</f>
        <v/>
      </c>
      <c r="AO192" s="89" t="str">
        <f aca="false">IF($C192="","",IFERROR(MATCH($C192,Securities!$A$6:$A$105,0),""))</f>
        <v/>
      </c>
      <c r="AP192" s="89" t="str">
        <f aca="false">IF($AN192="","",INDEX(Accounts!$B$6:$B$55,$AN192)&amp;"")</f>
        <v/>
      </c>
      <c r="AQ192" s="89" t="str">
        <f aca="false">IF(AND(ISNUMBER($AG192),N($P192)&gt;0),IF(AND(N($AG192)&gt;0,N($AG192)&lt;=SoonDays),1,""),"")</f>
        <v/>
      </c>
      <c r="AR192" s="89" t="str">
        <f aca="false">IF($AQ192&lt;&gt;1,"",SUMPRODUCT(($AQ$6:$AQ$205=1)*ISNUMBER($AG$6:$AG$205)*($AG$6:$AG$205&lt;$AG192))+SUMPRODUCT(($AQ$6:$AQ192=1)*ISNUMBER($AG$6:$AG192)*($AG$6:$AG192=$AG192)))</f>
        <v/>
      </c>
    </row>
    <row r="193" customFormat="false" ht="15" hidden="false" customHeight="false" outlineLevel="0" collapsed="false">
      <c r="A193" s="77"/>
      <c r="B193" s="78"/>
      <c r="C193" s="78"/>
      <c r="D193" s="79" t="str">
        <f aca="false">IF($AN193="","",INDEX(Accounts!$C$6:$C$55,$AN193)&amp;"")</f>
        <v/>
      </c>
      <c r="E193" s="79" t="str">
        <f aca="false">IF($AO193="","",INDEX(Securities!$B$6:$B$105,$AO193)&amp;"")</f>
        <v/>
      </c>
      <c r="F193" s="79" t="str">
        <f aca="false">IF($AO193="","",INDEX(Securities!$C$6:$C$105,$AO193)&amp;"")</f>
        <v/>
      </c>
      <c r="G193" s="79" t="str">
        <f aca="false">IF($AO193="","",INDEX(Securities!$E$6:$E$105,$AO193)&amp;"")</f>
        <v/>
      </c>
      <c r="H193" s="80"/>
      <c r="I193" s="81"/>
      <c r="J193" s="91"/>
      <c r="K193" s="85" t="str">
        <f aca="false">IF(OR($I193="",$J193=""),"",$I193*$J193)</f>
        <v/>
      </c>
      <c r="L193" s="80"/>
      <c r="M193" s="81"/>
      <c r="N193" s="91"/>
      <c r="O193" s="85" t="str">
        <f aca="false">IF(OR($M193="",$N193=""),"",$M193*$N193)</f>
        <v/>
      </c>
      <c r="P193" s="88" t="str">
        <f aca="false">IF($C193="","",N($I193)-N($M193))</f>
        <v/>
      </c>
      <c r="Q193" s="85" t="str">
        <f aca="false">IF(OR($P193="",$J193=""),"",$P193*$J193)</f>
        <v/>
      </c>
      <c r="R193" s="83" t="str">
        <f aca="false">IF($AO193="","",IF(INDEX(Securities!$N$6:$N$105,$AO193)="At cost",IF($J193="","",$J193),IF(INDEX(Securities!$O$6:$O$105,$AO193)="","",INDEX(Securities!$O$6:$O$105,$AO193))))</f>
        <v/>
      </c>
      <c r="S193" s="85" t="str">
        <f aca="false">IF(OR($P193="",$R193=""),"",$P193*$R193)</f>
        <v/>
      </c>
      <c r="T193" s="92" t="str">
        <f aca="false">IF(OR(NOT(ISNUMBER($L193)),NOT(ISNUMBER($H193))),"",$L193-$H193)</f>
        <v/>
      </c>
      <c r="U193" s="79" t="str">
        <f aca="false">IF($T193="","",IF($X193="","Short Term",IF($T193&gt;$X193,"Long Term","Short Term")))</f>
        <v/>
      </c>
      <c r="V193" s="92" t="str">
        <f aca="false">IF(OR(NOT(ISNUMBER($H193)),N($P193)&lt;=0),"",ValDate-$H193)</f>
        <v/>
      </c>
      <c r="W193" s="79" t="str">
        <f aca="false">IF($V193="","",IF($X193="","Short Term",IF($V193&gt;$X193,"Long Term","Short Term")))</f>
        <v/>
      </c>
      <c r="X193" s="92" t="str">
        <f aca="true">IF($G193="","",IF(ISNA(MATCH($G193,L_Category,0)),"",IF(INDEX(L_CatLT,MATCH($G193,L_Category,0))="","",INDEX(L_CatLT,MATCH($G193,L_Category,0)))))</f>
        <v/>
      </c>
      <c r="Y193" s="83" t="str">
        <f aca="false">IF($AO193="","",IF(INDEX(Securities!$Q$6:$Q$105,$AO193)="","",INDEX(Securities!$Q$6:$Q$105,$AO193)))</f>
        <v/>
      </c>
      <c r="Z193" s="79" t="str">
        <f aca="false">IF($C193="","",IF(OR(NOT(ISNUMBER($H193)),$Y193=""),"No",IF($H193&lt;=GFDate,"Yes","No")))</f>
        <v/>
      </c>
      <c r="AA193" s="85" t="str">
        <f aca="false">IF(OR($M193="",$N193="",$J193=""),"",$M193*($N193-$J193))</f>
        <v/>
      </c>
      <c r="AB193" s="85" t="str">
        <f aca="false">IF(OR(N($P193)&lt;=0,$R193="",$J193=""),"",$P193*($R193-$J193))</f>
        <v/>
      </c>
      <c r="AC193" s="83" t="str">
        <f aca="false">IF(OR($M193="",$N193="",$J193=""),"",IF($Z193="Yes",MAX($J193,MIN($Y193,$N193)),$J193))</f>
        <v/>
      </c>
      <c r="AD193" s="85" t="str">
        <f aca="false">IF($AC193="","",$M193*($N193-$AC193))</f>
        <v/>
      </c>
      <c r="AE193" s="83" t="str">
        <f aca="false">IF(OR(N($P193)&lt;=0,$R193="",$J193=""),"",IF($Z193="Yes",MAX($J193,MIN($Y193,$R193)),$J193))</f>
        <v/>
      </c>
      <c r="AF193" s="85" t="str">
        <f aca="false">IF($AE193="","",$P193*($R193-$AE193))</f>
        <v/>
      </c>
      <c r="AG193" s="92" t="str">
        <f aca="false">IF(OR($V193="",$X193=""),"",MAX(0,$X193+1-$V193))</f>
        <v/>
      </c>
      <c r="AH193" s="93" t="str">
        <f aca="false">IF(OR($X193="",NOT(ISNUMBER($H193)),N($P193)&lt;=0),"",$H193+$X193+1)</f>
        <v/>
      </c>
      <c r="AI193" s="91"/>
      <c r="AJ193" s="85" t="str">
        <f aca="false">IF(OR($AI193="",N($P193)&lt;=0),"",$AI193*$P193)</f>
        <v/>
      </c>
      <c r="AK193" s="79" t="str">
        <f aca="false">IF(NOT(ISNUMBER($L193)),"",IF(MONTH($L193)&gt;=4,YEAR($L193)&amp;"-"&amp;RIGHT(YEAR($L193)+1,2),(YEAR($L193)-1)&amp;"-"&amp;RIGHT(YEAR($L193),2)))</f>
        <v/>
      </c>
      <c r="AL193" s="78"/>
      <c r="AM193" s="79" t="str">
        <f aca="false">IF($A193&amp;$B193&amp;$C193="","",IF($A193="","Missing ID",IF(COUNTIF($A$6:$A$205,$A193)&gt;1,"Duplicate ID",IF($AN193="","Unknown account",IF($AO193="","Unknown security",IF(COUNTIFS(Holdings!$B$6:$B$205,$B193,Holdings!$C$6:$C$205,$C193)=0,"No holding row for this lot",IF(OR($I193="",$J193=""),"Missing purchase quantity or rate",IF(NOT(ISNUMBER($H193)),"Missing purchase date",IF(N($H193)&gt;ValDate,"Purchase after valuation date",IF(N($M193)&gt;N($I193),"Sale quantity exceeds purchase",IF(AND(N($M193)&gt;0,OR(NOT(ISNUMBER($L193)),$N193="")),"Sale date or rate missing",IF(AND(ISNUMBER($L193),N($M193)=0),"Sale date with no quantity",IF(AND(ISNUMBER($L193),N($L193)&lt;N($H193)),"Sale before purchase",IF(N($L193)&gt;ValDate,"Sale after valuation date","OK"))))))))))))))</f>
        <v/>
      </c>
      <c r="AN193" s="89" t="str">
        <f aca="false">IF($B193="","",IFERROR(MATCH($B193,Accounts!$A$6:$A$55,0),""))</f>
        <v/>
      </c>
      <c r="AO193" s="89" t="str">
        <f aca="false">IF($C193="","",IFERROR(MATCH($C193,Securities!$A$6:$A$105,0),""))</f>
        <v/>
      </c>
      <c r="AP193" s="89" t="str">
        <f aca="false">IF($AN193="","",INDEX(Accounts!$B$6:$B$55,$AN193)&amp;"")</f>
        <v/>
      </c>
      <c r="AQ193" s="89" t="str">
        <f aca="false">IF(AND(ISNUMBER($AG193),N($P193)&gt;0),IF(AND(N($AG193)&gt;0,N($AG193)&lt;=SoonDays),1,""),"")</f>
        <v/>
      </c>
      <c r="AR193" s="89" t="str">
        <f aca="false">IF($AQ193&lt;&gt;1,"",SUMPRODUCT(($AQ$6:$AQ$205=1)*ISNUMBER($AG$6:$AG$205)*($AG$6:$AG$205&lt;$AG193))+SUMPRODUCT(($AQ$6:$AQ193=1)*ISNUMBER($AG$6:$AG193)*($AG$6:$AG193=$AG193)))</f>
        <v/>
      </c>
    </row>
    <row r="194" customFormat="false" ht="15" hidden="false" customHeight="false" outlineLevel="0" collapsed="false">
      <c r="A194" s="77"/>
      <c r="B194" s="78"/>
      <c r="C194" s="78"/>
      <c r="D194" s="79" t="str">
        <f aca="false">IF($AN194="","",INDEX(Accounts!$C$6:$C$55,$AN194)&amp;"")</f>
        <v/>
      </c>
      <c r="E194" s="79" t="str">
        <f aca="false">IF($AO194="","",INDEX(Securities!$B$6:$B$105,$AO194)&amp;"")</f>
        <v/>
      </c>
      <c r="F194" s="79" t="str">
        <f aca="false">IF($AO194="","",INDEX(Securities!$C$6:$C$105,$AO194)&amp;"")</f>
        <v/>
      </c>
      <c r="G194" s="79" t="str">
        <f aca="false">IF($AO194="","",INDEX(Securities!$E$6:$E$105,$AO194)&amp;"")</f>
        <v/>
      </c>
      <c r="H194" s="80"/>
      <c r="I194" s="81"/>
      <c r="J194" s="91"/>
      <c r="K194" s="85" t="str">
        <f aca="false">IF(OR($I194="",$J194=""),"",$I194*$J194)</f>
        <v/>
      </c>
      <c r="L194" s="80"/>
      <c r="M194" s="81"/>
      <c r="N194" s="91"/>
      <c r="O194" s="85" t="str">
        <f aca="false">IF(OR($M194="",$N194=""),"",$M194*$N194)</f>
        <v/>
      </c>
      <c r="P194" s="88" t="str">
        <f aca="false">IF($C194="","",N($I194)-N($M194))</f>
        <v/>
      </c>
      <c r="Q194" s="85" t="str">
        <f aca="false">IF(OR($P194="",$J194=""),"",$P194*$J194)</f>
        <v/>
      </c>
      <c r="R194" s="83" t="str">
        <f aca="false">IF($AO194="","",IF(INDEX(Securities!$N$6:$N$105,$AO194)="At cost",IF($J194="","",$J194),IF(INDEX(Securities!$O$6:$O$105,$AO194)="","",INDEX(Securities!$O$6:$O$105,$AO194))))</f>
        <v/>
      </c>
      <c r="S194" s="85" t="str">
        <f aca="false">IF(OR($P194="",$R194=""),"",$P194*$R194)</f>
        <v/>
      </c>
      <c r="T194" s="92" t="str">
        <f aca="false">IF(OR(NOT(ISNUMBER($L194)),NOT(ISNUMBER($H194))),"",$L194-$H194)</f>
        <v/>
      </c>
      <c r="U194" s="79" t="str">
        <f aca="false">IF($T194="","",IF($X194="","Short Term",IF($T194&gt;$X194,"Long Term","Short Term")))</f>
        <v/>
      </c>
      <c r="V194" s="92" t="str">
        <f aca="false">IF(OR(NOT(ISNUMBER($H194)),N($P194)&lt;=0),"",ValDate-$H194)</f>
        <v/>
      </c>
      <c r="W194" s="79" t="str">
        <f aca="false">IF($V194="","",IF($X194="","Short Term",IF($V194&gt;$X194,"Long Term","Short Term")))</f>
        <v/>
      </c>
      <c r="X194" s="92" t="str">
        <f aca="true">IF($G194="","",IF(ISNA(MATCH($G194,L_Category,0)),"",IF(INDEX(L_CatLT,MATCH($G194,L_Category,0))="","",INDEX(L_CatLT,MATCH($G194,L_Category,0)))))</f>
        <v/>
      </c>
      <c r="Y194" s="83" t="str">
        <f aca="false">IF($AO194="","",IF(INDEX(Securities!$Q$6:$Q$105,$AO194)="","",INDEX(Securities!$Q$6:$Q$105,$AO194)))</f>
        <v/>
      </c>
      <c r="Z194" s="79" t="str">
        <f aca="false">IF($C194="","",IF(OR(NOT(ISNUMBER($H194)),$Y194=""),"No",IF($H194&lt;=GFDate,"Yes","No")))</f>
        <v/>
      </c>
      <c r="AA194" s="85" t="str">
        <f aca="false">IF(OR($M194="",$N194="",$J194=""),"",$M194*($N194-$J194))</f>
        <v/>
      </c>
      <c r="AB194" s="85" t="str">
        <f aca="false">IF(OR(N($P194)&lt;=0,$R194="",$J194=""),"",$P194*($R194-$J194))</f>
        <v/>
      </c>
      <c r="AC194" s="83" t="str">
        <f aca="false">IF(OR($M194="",$N194="",$J194=""),"",IF($Z194="Yes",MAX($J194,MIN($Y194,$N194)),$J194))</f>
        <v/>
      </c>
      <c r="AD194" s="85" t="str">
        <f aca="false">IF($AC194="","",$M194*($N194-$AC194))</f>
        <v/>
      </c>
      <c r="AE194" s="83" t="str">
        <f aca="false">IF(OR(N($P194)&lt;=0,$R194="",$J194=""),"",IF($Z194="Yes",MAX($J194,MIN($Y194,$R194)),$J194))</f>
        <v/>
      </c>
      <c r="AF194" s="85" t="str">
        <f aca="false">IF($AE194="","",$P194*($R194-$AE194))</f>
        <v/>
      </c>
      <c r="AG194" s="92" t="str">
        <f aca="false">IF(OR($V194="",$X194=""),"",MAX(0,$X194+1-$V194))</f>
        <v/>
      </c>
      <c r="AH194" s="93" t="str">
        <f aca="false">IF(OR($X194="",NOT(ISNUMBER($H194)),N($P194)&lt;=0),"",$H194+$X194+1)</f>
        <v/>
      </c>
      <c r="AI194" s="91"/>
      <c r="AJ194" s="85" t="str">
        <f aca="false">IF(OR($AI194="",N($P194)&lt;=0),"",$AI194*$P194)</f>
        <v/>
      </c>
      <c r="AK194" s="79" t="str">
        <f aca="false">IF(NOT(ISNUMBER($L194)),"",IF(MONTH($L194)&gt;=4,YEAR($L194)&amp;"-"&amp;RIGHT(YEAR($L194)+1,2),(YEAR($L194)-1)&amp;"-"&amp;RIGHT(YEAR($L194),2)))</f>
        <v/>
      </c>
      <c r="AL194" s="78"/>
      <c r="AM194" s="79" t="str">
        <f aca="false">IF($A194&amp;$B194&amp;$C194="","",IF($A194="","Missing ID",IF(COUNTIF($A$6:$A$205,$A194)&gt;1,"Duplicate ID",IF($AN194="","Unknown account",IF($AO194="","Unknown security",IF(COUNTIFS(Holdings!$B$6:$B$205,$B194,Holdings!$C$6:$C$205,$C194)=0,"No holding row for this lot",IF(OR($I194="",$J194=""),"Missing purchase quantity or rate",IF(NOT(ISNUMBER($H194)),"Missing purchase date",IF(N($H194)&gt;ValDate,"Purchase after valuation date",IF(N($M194)&gt;N($I194),"Sale quantity exceeds purchase",IF(AND(N($M194)&gt;0,OR(NOT(ISNUMBER($L194)),$N194="")),"Sale date or rate missing",IF(AND(ISNUMBER($L194),N($M194)=0),"Sale date with no quantity",IF(AND(ISNUMBER($L194),N($L194)&lt;N($H194)),"Sale before purchase",IF(N($L194)&gt;ValDate,"Sale after valuation date","OK"))))))))))))))</f>
        <v/>
      </c>
      <c r="AN194" s="89" t="str">
        <f aca="false">IF($B194="","",IFERROR(MATCH($B194,Accounts!$A$6:$A$55,0),""))</f>
        <v/>
      </c>
      <c r="AO194" s="89" t="str">
        <f aca="false">IF($C194="","",IFERROR(MATCH($C194,Securities!$A$6:$A$105,0),""))</f>
        <v/>
      </c>
      <c r="AP194" s="89" t="str">
        <f aca="false">IF($AN194="","",INDEX(Accounts!$B$6:$B$55,$AN194)&amp;"")</f>
        <v/>
      </c>
      <c r="AQ194" s="89" t="str">
        <f aca="false">IF(AND(ISNUMBER($AG194),N($P194)&gt;0),IF(AND(N($AG194)&gt;0,N($AG194)&lt;=SoonDays),1,""),"")</f>
        <v/>
      </c>
      <c r="AR194" s="89" t="str">
        <f aca="false">IF($AQ194&lt;&gt;1,"",SUMPRODUCT(($AQ$6:$AQ$205=1)*ISNUMBER($AG$6:$AG$205)*($AG$6:$AG$205&lt;$AG194))+SUMPRODUCT(($AQ$6:$AQ194=1)*ISNUMBER($AG$6:$AG194)*($AG$6:$AG194=$AG194)))</f>
        <v/>
      </c>
    </row>
    <row r="195" customFormat="false" ht="15" hidden="false" customHeight="false" outlineLevel="0" collapsed="false">
      <c r="A195" s="77"/>
      <c r="B195" s="78"/>
      <c r="C195" s="78"/>
      <c r="D195" s="79" t="str">
        <f aca="false">IF($AN195="","",INDEX(Accounts!$C$6:$C$55,$AN195)&amp;"")</f>
        <v/>
      </c>
      <c r="E195" s="79" t="str">
        <f aca="false">IF($AO195="","",INDEX(Securities!$B$6:$B$105,$AO195)&amp;"")</f>
        <v/>
      </c>
      <c r="F195" s="79" t="str">
        <f aca="false">IF($AO195="","",INDEX(Securities!$C$6:$C$105,$AO195)&amp;"")</f>
        <v/>
      </c>
      <c r="G195" s="79" t="str">
        <f aca="false">IF($AO195="","",INDEX(Securities!$E$6:$E$105,$AO195)&amp;"")</f>
        <v/>
      </c>
      <c r="H195" s="80"/>
      <c r="I195" s="81"/>
      <c r="J195" s="91"/>
      <c r="K195" s="85" t="str">
        <f aca="false">IF(OR($I195="",$J195=""),"",$I195*$J195)</f>
        <v/>
      </c>
      <c r="L195" s="80"/>
      <c r="M195" s="81"/>
      <c r="N195" s="91"/>
      <c r="O195" s="85" t="str">
        <f aca="false">IF(OR($M195="",$N195=""),"",$M195*$N195)</f>
        <v/>
      </c>
      <c r="P195" s="88" t="str">
        <f aca="false">IF($C195="","",N($I195)-N($M195))</f>
        <v/>
      </c>
      <c r="Q195" s="85" t="str">
        <f aca="false">IF(OR($P195="",$J195=""),"",$P195*$J195)</f>
        <v/>
      </c>
      <c r="R195" s="83" t="str">
        <f aca="false">IF($AO195="","",IF(INDEX(Securities!$N$6:$N$105,$AO195)="At cost",IF($J195="","",$J195),IF(INDEX(Securities!$O$6:$O$105,$AO195)="","",INDEX(Securities!$O$6:$O$105,$AO195))))</f>
        <v/>
      </c>
      <c r="S195" s="85" t="str">
        <f aca="false">IF(OR($P195="",$R195=""),"",$P195*$R195)</f>
        <v/>
      </c>
      <c r="T195" s="92" t="str">
        <f aca="false">IF(OR(NOT(ISNUMBER($L195)),NOT(ISNUMBER($H195))),"",$L195-$H195)</f>
        <v/>
      </c>
      <c r="U195" s="79" t="str">
        <f aca="false">IF($T195="","",IF($X195="","Short Term",IF($T195&gt;$X195,"Long Term","Short Term")))</f>
        <v/>
      </c>
      <c r="V195" s="92" t="str">
        <f aca="false">IF(OR(NOT(ISNUMBER($H195)),N($P195)&lt;=0),"",ValDate-$H195)</f>
        <v/>
      </c>
      <c r="W195" s="79" t="str">
        <f aca="false">IF($V195="","",IF($X195="","Short Term",IF($V195&gt;$X195,"Long Term","Short Term")))</f>
        <v/>
      </c>
      <c r="X195" s="92" t="str">
        <f aca="true">IF($G195="","",IF(ISNA(MATCH($G195,L_Category,0)),"",IF(INDEX(L_CatLT,MATCH($G195,L_Category,0))="","",INDEX(L_CatLT,MATCH($G195,L_Category,0)))))</f>
        <v/>
      </c>
      <c r="Y195" s="83" t="str">
        <f aca="false">IF($AO195="","",IF(INDEX(Securities!$Q$6:$Q$105,$AO195)="","",INDEX(Securities!$Q$6:$Q$105,$AO195)))</f>
        <v/>
      </c>
      <c r="Z195" s="79" t="str">
        <f aca="false">IF($C195="","",IF(OR(NOT(ISNUMBER($H195)),$Y195=""),"No",IF($H195&lt;=GFDate,"Yes","No")))</f>
        <v/>
      </c>
      <c r="AA195" s="85" t="str">
        <f aca="false">IF(OR($M195="",$N195="",$J195=""),"",$M195*($N195-$J195))</f>
        <v/>
      </c>
      <c r="AB195" s="85" t="str">
        <f aca="false">IF(OR(N($P195)&lt;=0,$R195="",$J195=""),"",$P195*($R195-$J195))</f>
        <v/>
      </c>
      <c r="AC195" s="83" t="str">
        <f aca="false">IF(OR($M195="",$N195="",$J195=""),"",IF($Z195="Yes",MAX($J195,MIN($Y195,$N195)),$J195))</f>
        <v/>
      </c>
      <c r="AD195" s="85" t="str">
        <f aca="false">IF($AC195="","",$M195*($N195-$AC195))</f>
        <v/>
      </c>
      <c r="AE195" s="83" t="str">
        <f aca="false">IF(OR(N($P195)&lt;=0,$R195="",$J195=""),"",IF($Z195="Yes",MAX($J195,MIN($Y195,$R195)),$J195))</f>
        <v/>
      </c>
      <c r="AF195" s="85" t="str">
        <f aca="false">IF($AE195="","",$P195*($R195-$AE195))</f>
        <v/>
      </c>
      <c r="AG195" s="92" t="str">
        <f aca="false">IF(OR($V195="",$X195=""),"",MAX(0,$X195+1-$V195))</f>
        <v/>
      </c>
      <c r="AH195" s="93" t="str">
        <f aca="false">IF(OR($X195="",NOT(ISNUMBER($H195)),N($P195)&lt;=0),"",$H195+$X195+1)</f>
        <v/>
      </c>
      <c r="AI195" s="91"/>
      <c r="AJ195" s="85" t="str">
        <f aca="false">IF(OR($AI195="",N($P195)&lt;=0),"",$AI195*$P195)</f>
        <v/>
      </c>
      <c r="AK195" s="79" t="str">
        <f aca="false">IF(NOT(ISNUMBER($L195)),"",IF(MONTH($L195)&gt;=4,YEAR($L195)&amp;"-"&amp;RIGHT(YEAR($L195)+1,2),(YEAR($L195)-1)&amp;"-"&amp;RIGHT(YEAR($L195),2)))</f>
        <v/>
      </c>
      <c r="AL195" s="78"/>
      <c r="AM195" s="79" t="str">
        <f aca="false">IF($A195&amp;$B195&amp;$C195="","",IF($A195="","Missing ID",IF(COUNTIF($A$6:$A$205,$A195)&gt;1,"Duplicate ID",IF($AN195="","Unknown account",IF($AO195="","Unknown security",IF(COUNTIFS(Holdings!$B$6:$B$205,$B195,Holdings!$C$6:$C$205,$C195)=0,"No holding row for this lot",IF(OR($I195="",$J195=""),"Missing purchase quantity or rate",IF(NOT(ISNUMBER($H195)),"Missing purchase date",IF(N($H195)&gt;ValDate,"Purchase after valuation date",IF(N($M195)&gt;N($I195),"Sale quantity exceeds purchase",IF(AND(N($M195)&gt;0,OR(NOT(ISNUMBER($L195)),$N195="")),"Sale date or rate missing",IF(AND(ISNUMBER($L195),N($M195)=0),"Sale date with no quantity",IF(AND(ISNUMBER($L195),N($L195)&lt;N($H195)),"Sale before purchase",IF(N($L195)&gt;ValDate,"Sale after valuation date","OK"))))))))))))))</f>
        <v/>
      </c>
      <c r="AN195" s="89" t="str">
        <f aca="false">IF($B195="","",IFERROR(MATCH($B195,Accounts!$A$6:$A$55,0),""))</f>
        <v/>
      </c>
      <c r="AO195" s="89" t="str">
        <f aca="false">IF($C195="","",IFERROR(MATCH($C195,Securities!$A$6:$A$105,0),""))</f>
        <v/>
      </c>
      <c r="AP195" s="89" t="str">
        <f aca="false">IF($AN195="","",INDEX(Accounts!$B$6:$B$55,$AN195)&amp;"")</f>
        <v/>
      </c>
      <c r="AQ195" s="89" t="str">
        <f aca="false">IF(AND(ISNUMBER($AG195),N($P195)&gt;0),IF(AND(N($AG195)&gt;0,N($AG195)&lt;=SoonDays),1,""),"")</f>
        <v/>
      </c>
      <c r="AR195" s="89" t="str">
        <f aca="false">IF($AQ195&lt;&gt;1,"",SUMPRODUCT(($AQ$6:$AQ$205=1)*ISNUMBER($AG$6:$AG$205)*($AG$6:$AG$205&lt;$AG195))+SUMPRODUCT(($AQ$6:$AQ195=1)*ISNUMBER($AG$6:$AG195)*($AG$6:$AG195=$AG195)))</f>
        <v/>
      </c>
    </row>
    <row r="196" customFormat="false" ht="15" hidden="false" customHeight="false" outlineLevel="0" collapsed="false">
      <c r="A196" s="77"/>
      <c r="B196" s="78"/>
      <c r="C196" s="78"/>
      <c r="D196" s="79" t="str">
        <f aca="false">IF($AN196="","",INDEX(Accounts!$C$6:$C$55,$AN196)&amp;"")</f>
        <v/>
      </c>
      <c r="E196" s="79" t="str">
        <f aca="false">IF($AO196="","",INDEX(Securities!$B$6:$B$105,$AO196)&amp;"")</f>
        <v/>
      </c>
      <c r="F196" s="79" t="str">
        <f aca="false">IF($AO196="","",INDEX(Securities!$C$6:$C$105,$AO196)&amp;"")</f>
        <v/>
      </c>
      <c r="G196" s="79" t="str">
        <f aca="false">IF($AO196="","",INDEX(Securities!$E$6:$E$105,$AO196)&amp;"")</f>
        <v/>
      </c>
      <c r="H196" s="80"/>
      <c r="I196" s="81"/>
      <c r="J196" s="91"/>
      <c r="K196" s="85" t="str">
        <f aca="false">IF(OR($I196="",$J196=""),"",$I196*$J196)</f>
        <v/>
      </c>
      <c r="L196" s="80"/>
      <c r="M196" s="81"/>
      <c r="N196" s="91"/>
      <c r="O196" s="85" t="str">
        <f aca="false">IF(OR($M196="",$N196=""),"",$M196*$N196)</f>
        <v/>
      </c>
      <c r="P196" s="88" t="str">
        <f aca="false">IF($C196="","",N($I196)-N($M196))</f>
        <v/>
      </c>
      <c r="Q196" s="85" t="str">
        <f aca="false">IF(OR($P196="",$J196=""),"",$P196*$J196)</f>
        <v/>
      </c>
      <c r="R196" s="83" t="str">
        <f aca="false">IF($AO196="","",IF(INDEX(Securities!$N$6:$N$105,$AO196)="At cost",IF($J196="","",$J196),IF(INDEX(Securities!$O$6:$O$105,$AO196)="","",INDEX(Securities!$O$6:$O$105,$AO196))))</f>
        <v/>
      </c>
      <c r="S196" s="85" t="str">
        <f aca="false">IF(OR($P196="",$R196=""),"",$P196*$R196)</f>
        <v/>
      </c>
      <c r="T196" s="92" t="str">
        <f aca="false">IF(OR(NOT(ISNUMBER($L196)),NOT(ISNUMBER($H196))),"",$L196-$H196)</f>
        <v/>
      </c>
      <c r="U196" s="79" t="str">
        <f aca="false">IF($T196="","",IF($X196="","Short Term",IF($T196&gt;$X196,"Long Term","Short Term")))</f>
        <v/>
      </c>
      <c r="V196" s="92" t="str">
        <f aca="false">IF(OR(NOT(ISNUMBER($H196)),N($P196)&lt;=0),"",ValDate-$H196)</f>
        <v/>
      </c>
      <c r="W196" s="79" t="str">
        <f aca="false">IF($V196="","",IF($X196="","Short Term",IF($V196&gt;$X196,"Long Term","Short Term")))</f>
        <v/>
      </c>
      <c r="X196" s="92" t="str">
        <f aca="true">IF($G196="","",IF(ISNA(MATCH($G196,L_Category,0)),"",IF(INDEX(L_CatLT,MATCH($G196,L_Category,0))="","",INDEX(L_CatLT,MATCH($G196,L_Category,0)))))</f>
        <v/>
      </c>
      <c r="Y196" s="83" t="str">
        <f aca="false">IF($AO196="","",IF(INDEX(Securities!$Q$6:$Q$105,$AO196)="","",INDEX(Securities!$Q$6:$Q$105,$AO196)))</f>
        <v/>
      </c>
      <c r="Z196" s="79" t="str">
        <f aca="false">IF($C196="","",IF(OR(NOT(ISNUMBER($H196)),$Y196=""),"No",IF($H196&lt;=GFDate,"Yes","No")))</f>
        <v/>
      </c>
      <c r="AA196" s="85" t="str">
        <f aca="false">IF(OR($M196="",$N196="",$J196=""),"",$M196*($N196-$J196))</f>
        <v/>
      </c>
      <c r="AB196" s="85" t="str">
        <f aca="false">IF(OR(N($P196)&lt;=0,$R196="",$J196=""),"",$P196*($R196-$J196))</f>
        <v/>
      </c>
      <c r="AC196" s="83" t="str">
        <f aca="false">IF(OR($M196="",$N196="",$J196=""),"",IF($Z196="Yes",MAX($J196,MIN($Y196,$N196)),$J196))</f>
        <v/>
      </c>
      <c r="AD196" s="85" t="str">
        <f aca="false">IF($AC196="","",$M196*($N196-$AC196))</f>
        <v/>
      </c>
      <c r="AE196" s="83" t="str">
        <f aca="false">IF(OR(N($P196)&lt;=0,$R196="",$J196=""),"",IF($Z196="Yes",MAX($J196,MIN($Y196,$R196)),$J196))</f>
        <v/>
      </c>
      <c r="AF196" s="85" t="str">
        <f aca="false">IF($AE196="","",$P196*($R196-$AE196))</f>
        <v/>
      </c>
      <c r="AG196" s="92" t="str">
        <f aca="false">IF(OR($V196="",$X196=""),"",MAX(0,$X196+1-$V196))</f>
        <v/>
      </c>
      <c r="AH196" s="93" t="str">
        <f aca="false">IF(OR($X196="",NOT(ISNUMBER($H196)),N($P196)&lt;=0),"",$H196+$X196+1)</f>
        <v/>
      </c>
      <c r="AI196" s="91"/>
      <c r="AJ196" s="85" t="str">
        <f aca="false">IF(OR($AI196="",N($P196)&lt;=0),"",$AI196*$P196)</f>
        <v/>
      </c>
      <c r="AK196" s="79" t="str">
        <f aca="false">IF(NOT(ISNUMBER($L196)),"",IF(MONTH($L196)&gt;=4,YEAR($L196)&amp;"-"&amp;RIGHT(YEAR($L196)+1,2),(YEAR($L196)-1)&amp;"-"&amp;RIGHT(YEAR($L196),2)))</f>
        <v/>
      </c>
      <c r="AL196" s="78"/>
      <c r="AM196" s="79" t="str">
        <f aca="false">IF($A196&amp;$B196&amp;$C196="","",IF($A196="","Missing ID",IF(COUNTIF($A$6:$A$205,$A196)&gt;1,"Duplicate ID",IF($AN196="","Unknown account",IF($AO196="","Unknown security",IF(COUNTIFS(Holdings!$B$6:$B$205,$B196,Holdings!$C$6:$C$205,$C196)=0,"No holding row for this lot",IF(OR($I196="",$J196=""),"Missing purchase quantity or rate",IF(NOT(ISNUMBER($H196)),"Missing purchase date",IF(N($H196)&gt;ValDate,"Purchase after valuation date",IF(N($M196)&gt;N($I196),"Sale quantity exceeds purchase",IF(AND(N($M196)&gt;0,OR(NOT(ISNUMBER($L196)),$N196="")),"Sale date or rate missing",IF(AND(ISNUMBER($L196),N($M196)=0),"Sale date with no quantity",IF(AND(ISNUMBER($L196),N($L196)&lt;N($H196)),"Sale before purchase",IF(N($L196)&gt;ValDate,"Sale after valuation date","OK"))))))))))))))</f>
        <v/>
      </c>
      <c r="AN196" s="89" t="str">
        <f aca="false">IF($B196="","",IFERROR(MATCH($B196,Accounts!$A$6:$A$55,0),""))</f>
        <v/>
      </c>
      <c r="AO196" s="89" t="str">
        <f aca="false">IF($C196="","",IFERROR(MATCH($C196,Securities!$A$6:$A$105,0),""))</f>
        <v/>
      </c>
      <c r="AP196" s="89" t="str">
        <f aca="false">IF($AN196="","",INDEX(Accounts!$B$6:$B$55,$AN196)&amp;"")</f>
        <v/>
      </c>
      <c r="AQ196" s="89" t="str">
        <f aca="false">IF(AND(ISNUMBER($AG196),N($P196)&gt;0),IF(AND(N($AG196)&gt;0,N($AG196)&lt;=SoonDays),1,""),"")</f>
        <v/>
      </c>
      <c r="AR196" s="89" t="str">
        <f aca="false">IF($AQ196&lt;&gt;1,"",SUMPRODUCT(($AQ$6:$AQ$205=1)*ISNUMBER($AG$6:$AG$205)*($AG$6:$AG$205&lt;$AG196))+SUMPRODUCT(($AQ$6:$AQ196=1)*ISNUMBER($AG$6:$AG196)*($AG$6:$AG196=$AG196)))</f>
        <v/>
      </c>
    </row>
    <row r="197" customFormat="false" ht="15" hidden="false" customHeight="false" outlineLevel="0" collapsed="false">
      <c r="A197" s="77"/>
      <c r="B197" s="78"/>
      <c r="C197" s="78"/>
      <c r="D197" s="79" t="str">
        <f aca="false">IF($AN197="","",INDEX(Accounts!$C$6:$C$55,$AN197)&amp;"")</f>
        <v/>
      </c>
      <c r="E197" s="79" t="str">
        <f aca="false">IF($AO197="","",INDEX(Securities!$B$6:$B$105,$AO197)&amp;"")</f>
        <v/>
      </c>
      <c r="F197" s="79" t="str">
        <f aca="false">IF($AO197="","",INDEX(Securities!$C$6:$C$105,$AO197)&amp;"")</f>
        <v/>
      </c>
      <c r="G197" s="79" t="str">
        <f aca="false">IF($AO197="","",INDEX(Securities!$E$6:$E$105,$AO197)&amp;"")</f>
        <v/>
      </c>
      <c r="H197" s="80"/>
      <c r="I197" s="81"/>
      <c r="J197" s="91"/>
      <c r="K197" s="85" t="str">
        <f aca="false">IF(OR($I197="",$J197=""),"",$I197*$J197)</f>
        <v/>
      </c>
      <c r="L197" s="80"/>
      <c r="M197" s="81"/>
      <c r="N197" s="91"/>
      <c r="O197" s="85" t="str">
        <f aca="false">IF(OR($M197="",$N197=""),"",$M197*$N197)</f>
        <v/>
      </c>
      <c r="P197" s="88" t="str">
        <f aca="false">IF($C197="","",N($I197)-N($M197))</f>
        <v/>
      </c>
      <c r="Q197" s="85" t="str">
        <f aca="false">IF(OR($P197="",$J197=""),"",$P197*$J197)</f>
        <v/>
      </c>
      <c r="R197" s="83" t="str">
        <f aca="false">IF($AO197="","",IF(INDEX(Securities!$N$6:$N$105,$AO197)="At cost",IF($J197="","",$J197),IF(INDEX(Securities!$O$6:$O$105,$AO197)="","",INDEX(Securities!$O$6:$O$105,$AO197))))</f>
        <v/>
      </c>
      <c r="S197" s="85" t="str">
        <f aca="false">IF(OR($P197="",$R197=""),"",$P197*$R197)</f>
        <v/>
      </c>
      <c r="T197" s="92" t="str">
        <f aca="false">IF(OR(NOT(ISNUMBER($L197)),NOT(ISNUMBER($H197))),"",$L197-$H197)</f>
        <v/>
      </c>
      <c r="U197" s="79" t="str">
        <f aca="false">IF($T197="","",IF($X197="","Short Term",IF($T197&gt;$X197,"Long Term","Short Term")))</f>
        <v/>
      </c>
      <c r="V197" s="92" t="str">
        <f aca="false">IF(OR(NOT(ISNUMBER($H197)),N($P197)&lt;=0),"",ValDate-$H197)</f>
        <v/>
      </c>
      <c r="W197" s="79" t="str">
        <f aca="false">IF($V197="","",IF($X197="","Short Term",IF($V197&gt;$X197,"Long Term","Short Term")))</f>
        <v/>
      </c>
      <c r="X197" s="92" t="str">
        <f aca="true">IF($G197="","",IF(ISNA(MATCH($G197,L_Category,0)),"",IF(INDEX(L_CatLT,MATCH($G197,L_Category,0))="","",INDEX(L_CatLT,MATCH($G197,L_Category,0)))))</f>
        <v/>
      </c>
      <c r="Y197" s="83" t="str">
        <f aca="false">IF($AO197="","",IF(INDEX(Securities!$Q$6:$Q$105,$AO197)="","",INDEX(Securities!$Q$6:$Q$105,$AO197)))</f>
        <v/>
      </c>
      <c r="Z197" s="79" t="str">
        <f aca="false">IF($C197="","",IF(OR(NOT(ISNUMBER($H197)),$Y197=""),"No",IF($H197&lt;=GFDate,"Yes","No")))</f>
        <v/>
      </c>
      <c r="AA197" s="85" t="str">
        <f aca="false">IF(OR($M197="",$N197="",$J197=""),"",$M197*($N197-$J197))</f>
        <v/>
      </c>
      <c r="AB197" s="85" t="str">
        <f aca="false">IF(OR(N($P197)&lt;=0,$R197="",$J197=""),"",$P197*($R197-$J197))</f>
        <v/>
      </c>
      <c r="AC197" s="83" t="str">
        <f aca="false">IF(OR($M197="",$N197="",$J197=""),"",IF($Z197="Yes",MAX($J197,MIN($Y197,$N197)),$J197))</f>
        <v/>
      </c>
      <c r="AD197" s="85" t="str">
        <f aca="false">IF($AC197="","",$M197*($N197-$AC197))</f>
        <v/>
      </c>
      <c r="AE197" s="83" t="str">
        <f aca="false">IF(OR(N($P197)&lt;=0,$R197="",$J197=""),"",IF($Z197="Yes",MAX($J197,MIN($Y197,$R197)),$J197))</f>
        <v/>
      </c>
      <c r="AF197" s="85" t="str">
        <f aca="false">IF($AE197="","",$P197*($R197-$AE197))</f>
        <v/>
      </c>
      <c r="AG197" s="92" t="str">
        <f aca="false">IF(OR($V197="",$X197=""),"",MAX(0,$X197+1-$V197))</f>
        <v/>
      </c>
      <c r="AH197" s="93" t="str">
        <f aca="false">IF(OR($X197="",NOT(ISNUMBER($H197)),N($P197)&lt;=0),"",$H197+$X197+1)</f>
        <v/>
      </c>
      <c r="AI197" s="91"/>
      <c r="AJ197" s="85" t="str">
        <f aca="false">IF(OR($AI197="",N($P197)&lt;=0),"",$AI197*$P197)</f>
        <v/>
      </c>
      <c r="AK197" s="79" t="str">
        <f aca="false">IF(NOT(ISNUMBER($L197)),"",IF(MONTH($L197)&gt;=4,YEAR($L197)&amp;"-"&amp;RIGHT(YEAR($L197)+1,2),(YEAR($L197)-1)&amp;"-"&amp;RIGHT(YEAR($L197),2)))</f>
        <v/>
      </c>
      <c r="AL197" s="78"/>
      <c r="AM197" s="79" t="str">
        <f aca="false">IF($A197&amp;$B197&amp;$C197="","",IF($A197="","Missing ID",IF(COUNTIF($A$6:$A$205,$A197)&gt;1,"Duplicate ID",IF($AN197="","Unknown account",IF($AO197="","Unknown security",IF(COUNTIFS(Holdings!$B$6:$B$205,$B197,Holdings!$C$6:$C$205,$C197)=0,"No holding row for this lot",IF(OR($I197="",$J197=""),"Missing purchase quantity or rate",IF(NOT(ISNUMBER($H197)),"Missing purchase date",IF(N($H197)&gt;ValDate,"Purchase after valuation date",IF(N($M197)&gt;N($I197),"Sale quantity exceeds purchase",IF(AND(N($M197)&gt;0,OR(NOT(ISNUMBER($L197)),$N197="")),"Sale date or rate missing",IF(AND(ISNUMBER($L197),N($M197)=0),"Sale date with no quantity",IF(AND(ISNUMBER($L197),N($L197)&lt;N($H197)),"Sale before purchase",IF(N($L197)&gt;ValDate,"Sale after valuation date","OK"))))))))))))))</f>
        <v/>
      </c>
      <c r="AN197" s="89" t="str">
        <f aca="false">IF($B197="","",IFERROR(MATCH($B197,Accounts!$A$6:$A$55,0),""))</f>
        <v/>
      </c>
      <c r="AO197" s="89" t="str">
        <f aca="false">IF($C197="","",IFERROR(MATCH($C197,Securities!$A$6:$A$105,0),""))</f>
        <v/>
      </c>
      <c r="AP197" s="89" t="str">
        <f aca="false">IF($AN197="","",INDEX(Accounts!$B$6:$B$55,$AN197)&amp;"")</f>
        <v/>
      </c>
      <c r="AQ197" s="89" t="str">
        <f aca="false">IF(AND(ISNUMBER($AG197),N($P197)&gt;0),IF(AND(N($AG197)&gt;0,N($AG197)&lt;=SoonDays),1,""),"")</f>
        <v/>
      </c>
      <c r="AR197" s="89" t="str">
        <f aca="false">IF($AQ197&lt;&gt;1,"",SUMPRODUCT(($AQ$6:$AQ$205=1)*ISNUMBER($AG$6:$AG$205)*($AG$6:$AG$205&lt;$AG197))+SUMPRODUCT(($AQ$6:$AQ197=1)*ISNUMBER($AG$6:$AG197)*($AG$6:$AG197=$AG197)))</f>
        <v/>
      </c>
    </row>
    <row r="198" customFormat="false" ht="15" hidden="false" customHeight="false" outlineLevel="0" collapsed="false">
      <c r="A198" s="77"/>
      <c r="B198" s="78"/>
      <c r="C198" s="78"/>
      <c r="D198" s="79" t="str">
        <f aca="false">IF($AN198="","",INDEX(Accounts!$C$6:$C$55,$AN198)&amp;"")</f>
        <v/>
      </c>
      <c r="E198" s="79" t="str">
        <f aca="false">IF($AO198="","",INDEX(Securities!$B$6:$B$105,$AO198)&amp;"")</f>
        <v/>
      </c>
      <c r="F198" s="79" t="str">
        <f aca="false">IF($AO198="","",INDEX(Securities!$C$6:$C$105,$AO198)&amp;"")</f>
        <v/>
      </c>
      <c r="G198" s="79" t="str">
        <f aca="false">IF($AO198="","",INDEX(Securities!$E$6:$E$105,$AO198)&amp;"")</f>
        <v/>
      </c>
      <c r="H198" s="80"/>
      <c r="I198" s="81"/>
      <c r="J198" s="91"/>
      <c r="K198" s="85" t="str">
        <f aca="false">IF(OR($I198="",$J198=""),"",$I198*$J198)</f>
        <v/>
      </c>
      <c r="L198" s="80"/>
      <c r="M198" s="81"/>
      <c r="N198" s="91"/>
      <c r="O198" s="85" t="str">
        <f aca="false">IF(OR($M198="",$N198=""),"",$M198*$N198)</f>
        <v/>
      </c>
      <c r="P198" s="88" t="str">
        <f aca="false">IF($C198="","",N($I198)-N($M198))</f>
        <v/>
      </c>
      <c r="Q198" s="85" t="str">
        <f aca="false">IF(OR($P198="",$J198=""),"",$P198*$J198)</f>
        <v/>
      </c>
      <c r="R198" s="83" t="str">
        <f aca="false">IF($AO198="","",IF(INDEX(Securities!$N$6:$N$105,$AO198)="At cost",IF($J198="","",$J198),IF(INDEX(Securities!$O$6:$O$105,$AO198)="","",INDEX(Securities!$O$6:$O$105,$AO198))))</f>
        <v/>
      </c>
      <c r="S198" s="85" t="str">
        <f aca="false">IF(OR($P198="",$R198=""),"",$P198*$R198)</f>
        <v/>
      </c>
      <c r="T198" s="92" t="str">
        <f aca="false">IF(OR(NOT(ISNUMBER($L198)),NOT(ISNUMBER($H198))),"",$L198-$H198)</f>
        <v/>
      </c>
      <c r="U198" s="79" t="str">
        <f aca="false">IF($T198="","",IF($X198="","Short Term",IF($T198&gt;$X198,"Long Term","Short Term")))</f>
        <v/>
      </c>
      <c r="V198" s="92" t="str">
        <f aca="false">IF(OR(NOT(ISNUMBER($H198)),N($P198)&lt;=0),"",ValDate-$H198)</f>
        <v/>
      </c>
      <c r="W198" s="79" t="str">
        <f aca="false">IF($V198="","",IF($X198="","Short Term",IF($V198&gt;$X198,"Long Term","Short Term")))</f>
        <v/>
      </c>
      <c r="X198" s="92" t="str">
        <f aca="true">IF($G198="","",IF(ISNA(MATCH($G198,L_Category,0)),"",IF(INDEX(L_CatLT,MATCH($G198,L_Category,0))="","",INDEX(L_CatLT,MATCH($G198,L_Category,0)))))</f>
        <v/>
      </c>
      <c r="Y198" s="83" t="str">
        <f aca="false">IF($AO198="","",IF(INDEX(Securities!$Q$6:$Q$105,$AO198)="","",INDEX(Securities!$Q$6:$Q$105,$AO198)))</f>
        <v/>
      </c>
      <c r="Z198" s="79" t="str">
        <f aca="false">IF($C198="","",IF(OR(NOT(ISNUMBER($H198)),$Y198=""),"No",IF($H198&lt;=GFDate,"Yes","No")))</f>
        <v/>
      </c>
      <c r="AA198" s="85" t="str">
        <f aca="false">IF(OR($M198="",$N198="",$J198=""),"",$M198*($N198-$J198))</f>
        <v/>
      </c>
      <c r="AB198" s="85" t="str">
        <f aca="false">IF(OR(N($P198)&lt;=0,$R198="",$J198=""),"",$P198*($R198-$J198))</f>
        <v/>
      </c>
      <c r="AC198" s="83" t="str">
        <f aca="false">IF(OR($M198="",$N198="",$J198=""),"",IF($Z198="Yes",MAX($J198,MIN($Y198,$N198)),$J198))</f>
        <v/>
      </c>
      <c r="AD198" s="85" t="str">
        <f aca="false">IF($AC198="","",$M198*($N198-$AC198))</f>
        <v/>
      </c>
      <c r="AE198" s="83" t="str">
        <f aca="false">IF(OR(N($P198)&lt;=0,$R198="",$J198=""),"",IF($Z198="Yes",MAX($J198,MIN($Y198,$R198)),$J198))</f>
        <v/>
      </c>
      <c r="AF198" s="85" t="str">
        <f aca="false">IF($AE198="","",$P198*($R198-$AE198))</f>
        <v/>
      </c>
      <c r="AG198" s="92" t="str">
        <f aca="false">IF(OR($V198="",$X198=""),"",MAX(0,$X198+1-$V198))</f>
        <v/>
      </c>
      <c r="AH198" s="93" t="str">
        <f aca="false">IF(OR($X198="",NOT(ISNUMBER($H198)),N($P198)&lt;=0),"",$H198+$X198+1)</f>
        <v/>
      </c>
      <c r="AI198" s="91"/>
      <c r="AJ198" s="85" t="str">
        <f aca="false">IF(OR($AI198="",N($P198)&lt;=0),"",$AI198*$P198)</f>
        <v/>
      </c>
      <c r="AK198" s="79" t="str">
        <f aca="false">IF(NOT(ISNUMBER($L198)),"",IF(MONTH($L198)&gt;=4,YEAR($L198)&amp;"-"&amp;RIGHT(YEAR($L198)+1,2),(YEAR($L198)-1)&amp;"-"&amp;RIGHT(YEAR($L198),2)))</f>
        <v/>
      </c>
      <c r="AL198" s="78"/>
      <c r="AM198" s="79" t="str">
        <f aca="false">IF($A198&amp;$B198&amp;$C198="","",IF($A198="","Missing ID",IF(COUNTIF($A$6:$A$205,$A198)&gt;1,"Duplicate ID",IF($AN198="","Unknown account",IF($AO198="","Unknown security",IF(COUNTIFS(Holdings!$B$6:$B$205,$B198,Holdings!$C$6:$C$205,$C198)=0,"No holding row for this lot",IF(OR($I198="",$J198=""),"Missing purchase quantity or rate",IF(NOT(ISNUMBER($H198)),"Missing purchase date",IF(N($H198)&gt;ValDate,"Purchase after valuation date",IF(N($M198)&gt;N($I198),"Sale quantity exceeds purchase",IF(AND(N($M198)&gt;0,OR(NOT(ISNUMBER($L198)),$N198="")),"Sale date or rate missing",IF(AND(ISNUMBER($L198),N($M198)=0),"Sale date with no quantity",IF(AND(ISNUMBER($L198),N($L198)&lt;N($H198)),"Sale before purchase",IF(N($L198)&gt;ValDate,"Sale after valuation date","OK"))))))))))))))</f>
        <v/>
      </c>
      <c r="AN198" s="89" t="str">
        <f aca="false">IF($B198="","",IFERROR(MATCH($B198,Accounts!$A$6:$A$55,0),""))</f>
        <v/>
      </c>
      <c r="AO198" s="89" t="str">
        <f aca="false">IF($C198="","",IFERROR(MATCH($C198,Securities!$A$6:$A$105,0),""))</f>
        <v/>
      </c>
      <c r="AP198" s="89" t="str">
        <f aca="false">IF($AN198="","",INDEX(Accounts!$B$6:$B$55,$AN198)&amp;"")</f>
        <v/>
      </c>
      <c r="AQ198" s="89" t="str">
        <f aca="false">IF(AND(ISNUMBER($AG198),N($P198)&gt;0),IF(AND(N($AG198)&gt;0,N($AG198)&lt;=SoonDays),1,""),"")</f>
        <v/>
      </c>
      <c r="AR198" s="89" t="str">
        <f aca="false">IF($AQ198&lt;&gt;1,"",SUMPRODUCT(($AQ$6:$AQ$205=1)*ISNUMBER($AG$6:$AG$205)*($AG$6:$AG$205&lt;$AG198))+SUMPRODUCT(($AQ$6:$AQ198=1)*ISNUMBER($AG$6:$AG198)*($AG$6:$AG198=$AG198)))</f>
        <v/>
      </c>
    </row>
    <row r="199" customFormat="false" ht="15" hidden="false" customHeight="false" outlineLevel="0" collapsed="false">
      <c r="A199" s="77"/>
      <c r="B199" s="78"/>
      <c r="C199" s="78"/>
      <c r="D199" s="79" t="str">
        <f aca="false">IF($AN199="","",INDEX(Accounts!$C$6:$C$55,$AN199)&amp;"")</f>
        <v/>
      </c>
      <c r="E199" s="79" t="str">
        <f aca="false">IF($AO199="","",INDEX(Securities!$B$6:$B$105,$AO199)&amp;"")</f>
        <v/>
      </c>
      <c r="F199" s="79" t="str">
        <f aca="false">IF($AO199="","",INDEX(Securities!$C$6:$C$105,$AO199)&amp;"")</f>
        <v/>
      </c>
      <c r="G199" s="79" t="str">
        <f aca="false">IF($AO199="","",INDEX(Securities!$E$6:$E$105,$AO199)&amp;"")</f>
        <v/>
      </c>
      <c r="H199" s="80"/>
      <c r="I199" s="81"/>
      <c r="J199" s="91"/>
      <c r="K199" s="85" t="str">
        <f aca="false">IF(OR($I199="",$J199=""),"",$I199*$J199)</f>
        <v/>
      </c>
      <c r="L199" s="80"/>
      <c r="M199" s="81"/>
      <c r="N199" s="91"/>
      <c r="O199" s="85" t="str">
        <f aca="false">IF(OR($M199="",$N199=""),"",$M199*$N199)</f>
        <v/>
      </c>
      <c r="P199" s="88" t="str">
        <f aca="false">IF($C199="","",N($I199)-N($M199))</f>
        <v/>
      </c>
      <c r="Q199" s="85" t="str">
        <f aca="false">IF(OR($P199="",$J199=""),"",$P199*$J199)</f>
        <v/>
      </c>
      <c r="R199" s="83" t="str">
        <f aca="false">IF($AO199="","",IF(INDEX(Securities!$N$6:$N$105,$AO199)="At cost",IF($J199="","",$J199),IF(INDEX(Securities!$O$6:$O$105,$AO199)="","",INDEX(Securities!$O$6:$O$105,$AO199))))</f>
        <v/>
      </c>
      <c r="S199" s="85" t="str">
        <f aca="false">IF(OR($P199="",$R199=""),"",$P199*$R199)</f>
        <v/>
      </c>
      <c r="T199" s="92" t="str">
        <f aca="false">IF(OR(NOT(ISNUMBER($L199)),NOT(ISNUMBER($H199))),"",$L199-$H199)</f>
        <v/>
      </c>
      <c r="U199" s="79" t="str">
        <f aca="false">IF($T199="","",IF($X199="","Short Term",IF($T199&gt;$X199,"Long Term","Short Term")))</f>
        <v/>
      </c>
      <c r="V199" s="92" t="str">
        <f aca="false">IF(OR(NOT(ISNUMBER($H199)),N($P199)&lt;=0),"",ValDate-$H199)</f>
        <v/>
      </c>
      <c r="W199" s="79" t="str">
        <f aca="false">IF($V199="","",IF($X199="","Short Term",IF($V199&gt;$X199,"Long Term","Short Term")))</f>
        <v/>
      </c>
      <c r="X199" s="92" t="str">
        <f aca="true">IF($G199="","",IF(ISNA(MATCH($G199,L_Category,0)),"",IF(INDEX(L_CatLT,MATCH($G199,L_Category,0))="","",INDEX(L_CatLT,MATCH($G199,L_Category,0)))))</f>
        <v/>
      </c>
      <c r="Y199" s="83" t="str">
        <f aca="false">IF($AO199="","",IF(INDEX(Securities!$Q$6:$Q$105,$AO199)="","",INDEX(Securities!$Q$6:$Q$105,$AO199)))</f>
        <v/>
      </c>
      <c r="Z199" s="79" t="str">
        <f aca="false">IF($C199="","",IF(OR(NOT(ISNUMBER($H199)),$Y199=""),"No",IF($H199&lt;=GFDate,"Yes","No")))</f>
        <v/>
      </c>
      <c r="AA199" s="85" t="str">
        <f aca="false">IF(OR($M199="",$N199="",$J199=""),"",$M199*($N199-$J199))</f>
        <v/>
      </c>
      <c r="AB199" s="85" t="str">
        <f aca="false">IF(OR(N($P199)&lt;=0,$R199="",$J199=""),"",$P199*($R199-$J199))</f>
        <v/>
      </c>
      <c r="AC199" s="83" t="str">
        <f aca="false">IF(OR($M199="",$N199="",$J199=""),"",IF($Z199="Yes",MAX($J199,MIN($Y199,$N199)),$J199))</f>
        <v/>
      </c>
      <c r="AD199" s="85" t="str">
        <f aca="false">IF($AC199="","",$M199*($N199-$AC199))</f>
        <v/>
      </c>
      <c r="AE199" s="83" t="str">
        <f aca="false">IF(OR(N($P199)&lt;=0,$R199="",$J199=""),"",IF($Z199="Yes",MAX($J199,MIN($Y199,$R199)),$J199))</f>
        <v/>
      </c>
      <c r="AF199" s="85" t="str">
        <f aca="false">IF($AE199="","",$P199*($R199-$AE199))</f>
        <v/>
      </c>
      <c r="AG199" s="92" t="str">
        <f aca="false">IF(OR($V199="",$X199=""),"",MAX(0,$X199+1-$V199))</f>
        <v/>
      </c>
      <c r="AH199" s="93" t="str">
        <f aca="false">IF(OR($X199="",NOT(ISNUMBER($H199)),N($P199)&lt;=0),"",$H199+$X199+1)</f>
        <v/>
      </c>
      <c r="AI199" s="91"/>
      <c r="AJ199" s="85" t="str">
        <f aca="false">IF(OR($AI199="",N($P199)&lt;=0),"",$AI199*$P199)</f>
        <v/>
      </c>
      <c r="AK199" s="79" t="str">
        <f aca="false">IF(NOT(ISNUMBER($L199)),"",IF(MONTH($L199)&gt;=4,YEAR($L199)&amp;"-"&amp;RIGHT(YEAR($L199)+1,2),(YEAR($L199)-1)&amp;"-"&amp;RIGHT(YEAR($L199),2)))</f>
        <v/>
      </c>
      <c r="AL199" s="78"/>
      <c r="AM199" s="79" t="str">
        <f aca="false">IF($A199&amp;$B199&amp;$C199="","",IF($A199="","Missing ID",IF(COUNTIF($A$6:$A$205,$A199)&gt;1,"Duplicate ID",IF($AN199="","Unknown account",IF($AO199="","Unknown security",IF(COUNTIFS(Holdings!$B$6:$B$205,$B199,Holdings!$C$6:$C$205,$C199)=0,"No holding row for this lot",IF(OR($I199="",$J199=""),"Missing purchase quantity or rate",IF(NOT(ISNUMBER($H199)),"Missing purchase date",IF(N($H199)&gt;ValDate,"Purchase after valuation date",IF(N($M199)&gt;N($I199),"Sale quantity exceeds purchase",IF(AND(N($M199)&gt;0,OR(NOT(ISNUMBER($L199)),$N199="")),"Sale date or rate missing",IF(AND(ISNUMBER($L199),N($M199)=0),"Sale date with no quantity",IF(AND(ISNUMBER($L199),N($L199)&lt;N($H199)),"Sale before purchase",IF(N($L199)&gt;ValDate,"Sale after valuation date","OK"))))))))))))))</f>
        <v/>
      </c>
      <c r="AN199" s="89" t="str">
        <f aca="false">IF($B199="","",IFERROR(MATCH($B199,Accounts!$A$6:$A$55,0),""))</f>
        <v/>
      </c>
      <c r="AO199" s="89" t="str">
        <f aca="false">IF($C199="","",IFERROR(MATCH($C199,Securities!$A$6:$A$105,0),""))</f>
        <v/>
      </c>
      <c r="AP199" s="89" t="str">
        <f aca="false">IF($AN199="","",INDEX(Accounts!$B$6:$B$55,$AN199)&amp;"")</f>
        <v/>
      </c>
      <c r="AQ199" s="89" t="str">
        <f aca="false">IF(AND(ISNUMBER($AG199),N($P199)&gt;0),IF(AND(N($AG199)&gt;0,N($AG199)&lt;=SoonDays),1,""),"")</f>
        <v/>
      </c>
      <c r="AR199" s="89" t="str">
        <f aca="false">IF($AQ199&lt;&gt;1,"",SUMPRODUCT(($AQ$6:$AQ$205=1)*ISNUMBER($AG$6:$AG$205)*($AG$6:$AG$205&lt;$AG199))+SUMPRODUCT(($AQ$6:$AQ199=1)*ISNUMBER($AG$6:$AG199)*($AG$6:$AG199=$AG199)))</f>
        <v/>
      </c>
    </row>
    <row r="200" customFormat="false" ht="15" hidden="false" customHeight="false" outlineLevel="0" collapsed="false">
      <c r="A200" s="77"/>
      <c r="B200" s="78"/>
      <c r="C200" s="78"/>
      <c r="D200" s="79" t="str">
        <f aca="false">IF($AN200="","",INDEX(Accounts!$C$6:$C$55,$AN200)&amp;"")</f>
        <v/>
      </c>
      <c r="E200" s="79" t="str">
        <f aca="false">IF($AO200="","",INDEX(Securities!$B$6:$B$105,$AO200)&amp;"")</f>
        <v/>
      </c>
      <c r="F200" s="79" t="str">
        <f aca="false">IF($AO200="","",INDEX(Securities!$C$6:$C$105,$AO200)&amp;"")</f>
        <v/>
      </c>
      <c r="G200" s="79" t="str">
        <f aca="false">IF($AO200="","",INDEX(Securities!$E$6:$E$105,$AO200)&amp;"")</f>
        <v/>
      </c>
      <c r="H200" s="80"/>
      <c r="I200" s="81"/>
      <c r="J200" s="91"/>
      <c r="K200" s="85" t="str">
        <f aca="false">IF(OR($I200="",$J200=""),"",$I200*$J200)</f>
        <v/>
      </c>
      <c r="L200" s="80"/>
      <c r="M200" s="81"/>
      <c r="N200" s="91"/>
      <c r="O200" s="85" t="str">
        <f aca="false">IF(OR($M200="",$N200=""),"",$M200*$N200)</f>
        <v/>
      </c>
      <c r="P200" s="88" t="str">
        <f aca="false">IF($C200="","",N($I200)-N($M200))</f>
        <v/>
      </c>
      <c r="Q200" s="85" t="str">
        <f aca="false">IF(OR($P200="",$J200=""),"",$P200*$J200)</f>
        <v/>
      </c>
      <c r="R200" s="83" t="str">
        <f aca="false">IF($AO200="","",IF(INDEX(Securities!$N$6:$N$105,$AO200)="At cost",IF($J200="","",$J200),IF(INDEX(Securities!$O$6:$O$105,$AO200)="","",INDEX(Securities!$O$6:$O$105,$AO200))))</f>
        <v/>
      </c>
      <c r="S200" s="85" t="str">
        <f aca="false">IF(OR($P200="",$R200=""),"",$P200*$R200)</f>
        <v/>
      </c>
      <c r="T200" s="92" t="str">
        <f aca="false">IF(OR(NOT(ISNUMBER($L200)),NOT(ISNUMBER($H200))),"",$L200-$H200)</f>
        <v/>
      </c>
      <c r="U200" s="79" t="str">
        <f aca="false">IF($T200="","",IF($X200="","Short Term",IF($T200&gt;$X200,"Long Term","Short Term")))</f>
        <v/>
      </c>
      <c r="V200" s="92" t="str">
        <f aca="false">IF(OR(NOT(ISNUMBER($H200)),N($P200)&lt;=0),"",ValDate-$H200)</f>
        <v/>
      </c>
      <c r="W200" s="79" t="str">
        <f aca="false">IF($V200="","",IF($X200="","Short Term",IF($V200&gt;$X200,"Long Term","Short Term")))</f>
        <v/>
      </c>
      <c r="X200" s="92" t="str">
        <f aca="true">IF($G200="","",IF(ISNA(MATCH($G200,L_Category,0)),"",IF(INDEX(L_CatLT,MATCH($G200,L_Category,0))="","",INDEX(L_CatLT,MATCH($G200,L_Category,0)))))</f>
        <v/>
      </c>
      <c r="Y200" s="83" t="str">
        <f aca="false">IF($AO200="","",IF(INDEX(Securities!$Q$6:$Q$105,$AO200)="","",INDEX(Securities!$Q$6:$Q$105,$AO200)))</f>
        <v/>
      </c>
      <c r="Z200" s="79" t="str">
        <f aca="false">IF($C200="","",IF(OR(NOT(ISNUMBER($H200)),$Y200=""),"No",IF($H200&lt;=GFDate,"Yes","No")))</f>
        <v/>
      </c>
      <c r="AA200" s="85" t="str">
        <f aca="false">IF(OR($M200="",$N200="",$J200=""),"",$M200*($N200-$J200))</f>
        <v/>
      </c>
      <c r="AB200" s="85" t="str">
        <f aca="false">IF(OR(N($P200)&lt;=0,$R200="",$J200=""),"",$P200*($R200-$J200))</f>
        <v/>
      </c>
      <c r="AC200" s="83" t="str">
        <f aca="false">IF(OR($M200="",$N200="",$J200=""),"",IF($Z200="Yes",MAX($J200,MIN($Y200,$N200)),$J200))</f>
        <v/>
      </c>
      <c r="AD200" s="85" t="str">
        <f aca="false">IF($AC200="","",$M200*($N200-$AC200))</f>
        <v/>
      </c>
      <c r="AE200" s="83" t="str">
        <f aca="false">IF(OR(N($P200)&lt;=0,$R200="",$J200=""),"",IF($Z200="Yes",MAX($J200,MIN($Y200,$R200)),$J200))</f>
        <v/>
      </c>
      <c r="AF200" s="85" t="str">
        <f aca="false">IF($AE200="","",$P200*($R200-$AE200))</f>
        <v/>
      </c>
      <c r="AG200" s="92" t="str">
        <f aca="false">IF(OR($V200="",$X200=""),"",MAX(0,$X200+1-$V200))</f>
        <v/>
      </c>
      <c r="AH200" s="93" t="str">
        <f aca="false">IF(OR($X200="",NOT(ISNUMBER($H200)),N($P200)&lt;=0),"",$H200+$X200+1)</f>
        <v/>
      </c>
      <c r="AI200" s="91"/>
      <c r="AJ200" s="85" t="str">
        <f aca="false">IF(OR($AI200="",N($P200)&lt;=0),"",$AI200*$P200)</f>
        <v/>
      </c>
      <c r="AK200" s="79" t="str">
        <f aca="false">IF(NOT(ISNUMBER($L200)),"",IF(MONTH($L200)&gt;=4,YEAR($L200)&amp;"-"&amp;RIGHT(YEAR($L200)+1,2),(YEAR($L200)-1)&amp;"-"&amp;RIGHT(YEAR($L200),2)))</f>
        <v/>
      </c>
      <c r="AL200" s="78"/>
      <c r="AM200" s="79" t="str">
        <f aca="false">IF($A200&amp;$B200&amp;$C200="","",IF($A200="","Missing ID",IF(COUNTIF($A$6:$A$205,$A200)&gt;1,"Duplicate ID",IF($AN200="","Unknown account",IF($AO200="","Unknown security",IF(COUNTIFS(Holdings!$B$6:$B$205,$B200,Holdings!$C$6:$C$205,$C200)=0,"No holding row for this lot",IF(OR($I200="",$J200=""),"Missing purchase quantity or rate",IF(NOT(ISNUMBER($H200)),"Missing purchase date",IF(N($H200)&gt;ValDate,"Purchase after valuation date",IF(N($M200)&gt;N($I200),"Sale quantity exceeds purchase",IF(AND(N($M200)&gt;0,OR(NOT(ISNUMBER($L200)),$N200="")),"Sale date or rate missing",IF(AND(ISNUMBER($L200),N($M200)=0),"Sale date with no quantity",IF(AND(ISNUMBER($L200),N($L200)&lt;N($H200)),"Sale before purchase",IF(N($L200)&gt;ValDate,"Sale after valuation date","OK"))))))))))))))</f>
        <v/>
      </c>
      <c r="AN200" s="89" t="str">
        <f aca="false">IF($B200="","",IFERROR(MATCH($B200,Accounts!$A$6:$A$55,0),""))</f>
        <v/>
      </c>
      <c r="AO200" s="89" t="str">
        <f aca="false">IF($C200="","",IFERROR(MATCH($C200,Securities!$A$6:$A$105,0),""))</f>
        <v/>
      </c>
      <c r="AP200" s="89" t="str">
        <f aca="false">IF($AN200="","",INDEX(Accounts!$B$6:$B$55,$AN200)&amp;"")</f>
        <v/>
      </c>
      <c r="AQ200" s="89" t="str">
        <f aca="false">IF(AND(ISNUMBER($AG200),N($P200)&gt;0),IF(AND(N($AG200)&gt;0,N($AG200)&lt;=SoonDays),1,""),"")</f>
        <v/>
      </c>
      <c r="AR200" s="89" t="str">
        <f aca="false">IF($AQ200&lt;&gt;1,"",SUMPRODUCT(($AQ$6:$AQ$205=1)*ISNUMBER($AG$6:$AG$205)*($AG$6:$AG$205&lt;$AG200))+SUMPRODUCT(($AQ$6:$AQ200=1)*ISNUMBER($AG$6:$AG200)*($AG$6:$AG200=$AG200)))</f>
        <v/>
      </c>
    </row>
    <row r="201" customFormat="false" ht="15" hidden="false" customHeight="false" outlineLevel="0" collapsed="false">
      <c r="A201" s="77"/>
      <c r="B201" s="78"/>
      <c r="C201" s="78"/>
      <c r="D201" s="79" t="str">
        <f aca="false">IF($AN201="","",INDEX(Accounts!$C$6:$C$55,$AN201)&amp;"")</f>
        <v/>
      </c>
      <c r="E201" s="79" t="str">
        <f aca="false">IF($AO201="","",INDEX(Securities!$B$6:$B$105,$AO201)&amp;"")</f>
        <v/>
      </c>
      <c r="F201" s="79" t="str">
        <f aca="false">IF($AO201="","",INDEX(Securities!$C$6:$C$105,$AO201)&amp;"")</f>
        <v/>
      </c>
      <c r="G201" s="79" t="str">
        <f aca="false">IF($AO201="","",INDEX(Securities!$E$6:$E$105,$AO201)&amp;"")</f>
        <v/>
      </c>
      <c r="H201" s="80"/>
      <c r="I201" s="81"/>
      <c r="J201" s="91"/>
      <c r="K201" s="85" t="str">
        <f aca="false">IF(OR($I201="",$J201=""),"",$I201*$J201)</f>
        <v/>
      </c>
      <c r="L201" s="80"/>
      <c r="M201" s="81"/>
      <c r="N201" s="91"/>
      <c r="O201" s="85" t="str">
        <f aca="false">IF(OR($M201="",$N201=""),"",$M201*$N201)</f>
        <v/>
      </c>
      <c r="P201" s="88" t="str">
        <f aca="false">IF($C201="","",N($I201)-N($M201))</f>
        <v/>
      </c>
      <c r="Q201" s="85" t="str">
        <f aca="false">IF(OR($P201="",$J201=""),"",$P201*$J201)</f>
        <v/>
      </c>
      <c r="R201" s="83" t="str">
        <f aca="false">IF($AO201="","",IF(INDEX(Securities!$N$6:$N$105,$AO201)="At cost",IF($J201="","",$J201),IF(INDEX(Securities!$O$6:$O$105,$AO201)="","",INDEX(Securities!$O$6:$O$105,$AO201))))</f>
        <v/>
      </c>
      <c r="S201" s="85" t="str">
        <f aca="false">IF(OR($P201="",$R201=""),"",$P201*$R201)</f>
        <v/>
      </c>
      <c r="T201" s="92" t="str">
        <f aca="false">IF(OR(NOT(ISNUMBER($L201)),NOT(ISNUMBER($H201))),"",$L201-$H201)</f>
        <v/>
      </c>
      <c r="U201" s="79" t="str">
        <f aca="false">IF($T201="","",IF($X201="","Short Term",IF($T201&gt;$X201,"Long Term","Short Term")))</f>
        <v/>
      </c>
      <c r="V201" s="92" t="str">
        <f aca="false">IF(OR(NOT(ISNUMBER($H201)),N($P201)&lt;=0),"",ValDate-$H201)</f>
        <v/>
      </c>
      <c r="W201" s="79" t="str">
        <f aca="false">IF($V201="","",IF($X201="","Short Term",IF($V201&gt;$X201,"Long Term","Short Term")))</f>
        <v/>
      </c>
      <c r="X201" s="92" t="str">
        <f aca="true">IF($G201="","",IF(ISNA(MATCH($G201,L_Category,0)),"",IF(INDEX(L_CatLT,MATCH($G201,L_Category,0))="","",INDEX(L_CatLT,MATCH($G201,L_Category,0)))))</f>
        <v/>
      </c>
      <c r="Y201" s="83" t="str">
        <f aca="false">IF($AO201="","",IF(INDEX(Securities!$Q$6:$Q$105,$AO201)="","",INDEX(Securities!$Q$6:$Q$105,$AO201)))</f>
        <v/>
      </c>
      <c r="Z201" s="79" t="str">
        <f aca="false">IF($C201="","",IF(OR(NOT(ISNUMBER($H201)),$Y201=""),"No",IF($H201&lt;=GFDate,"Yes","No")))</f>
        <v/>
      </c>
      <c r="AA201" s="85" t="str">
        <f aca="false">IF(OR($M201="",$N201="",$J201=""),"",$M201*($N201-$J201))</f>
        <v/>
      </c>
      <c r="AB201" s="85" t="str">
        <f aca="false">IF(OR(N($P201)&lt;=0,$R201="",$J201=""),"",$P201*($R201-$J201))</f>
        <v/>
      </c>
      <c r="AC201" s="83" t="str">
        <f aca="false">IF(OR($M201="",$N201="",$J201=""),"",IF($Z201="Yes",MAX($J201,MIN($Y201,$N201)),$J201))</f>
        <v/>
      </c>
      <c r="AD201" s="85" t="str">
        <f aca="false">IF($AC201="","",$M201*($N201-$AC201))</f>
        <v/>
      </c>
      <c r="AE201" s="83" t="str">
        <f aca="false">IF(OR(N($P201)&lt;=0,$R201="",$J201=""),"",IF($Z201="Yes",MAX($J201,MIN($Y201,$R201)),$J201))</f>
        <v/>
      </c>
      <c r="AF201" s="85" t="str">
        <f aca="false">IF($AE201="","",$P201*($R201-$AE201))</f>
        <v/>
      </c>
      <c r="AG201" s="92" t="str">
        <f aca="false">IF(OR($V201="",$X201=""),"",MAX(0,$X201+1-$V201))</f>
        <v/>
      </c>
      <c r="AH201" s="93" t="str">
        <f aca="false">IF(OR($X201="",NOT(ISNUMBER($H201)),N($P201)&lt;=0),"",$H201+$X201+1)</f>
        <v/>
      </c>
      <c r="AI201" s="91"/>
      <c r="AJ201" s="85" t="str">
        <f aca="false">IF(OR($AI201="",N($P201)&lt;=0),"",$AI201*$P201)</f>
        <v/>
      </c>
      <c r="AK201" s="79" t="str">
        <f aca="false">IF(NOT(ISNUMBER($L201)),"",IF(MONTH($L201)&gt;=4,YEAR($L201)&amp;"-"&amp;RIGHT(YEAR($L201)+1,2),(YEAR($L201)-1)&amp;"-"&amp;RIGHT(YEAR($L201),2)))</f>
        <v/>
      </c>
      <c r="AL201" s="78"/>
      <c r="AM201" s="79" t="str">
        <f aca="false">IF($A201&amp;$B201&amp;$C201="","",IF($A201="","Missing ID",IF(COUNTIF($A$6:$A$205,$A201)&gt;1,"Duplicate ID",IF($AN201="","Unknown account",IF($AO201="","Unknown security",IF(COUNTIFS(Holdings!$B$6:$B$205,$B201,Holdings!$C$6:$C$205,$C201)=0,"No holding row for this lot",IF(OR($I201="",$J201=""),"Missing purchase quantity or rate",IF(NOT(ISNUMBER($H201)),"Missing purchase date",IF(N($H201)&gt;ValDate,"Purchase after valuation date",IF(N($M201)&gt;N($I201),"Sale quantity exceeds purchase",IF(AND(N($M201)&gt;0,OR(NOT(ISNUMBER($L201)),$N201="")),"Sale date or rate missing",IF(AND(ISNUMBER($L201),N($M201)=0),"Sale date with no quantity",IF(AND(ISNUMBER($L201),N($L201)&lt;N($H201)),"Sale before purchase",IF(N($L201)&gt;ValDate,"Sale after valuation date","OK"))))))))))))))</f>
        <v/>
      </c>
      <c r="AN201" s="89" t="str">
        <f aca="false">IF($B201="","",IFERROR(MATCH($B201,Accounts!$A$6:$A$55,0),""))</f>
        <v/>
      </c>
      <c r="AO201" s="89" t="str">
        <f aca="false">IF($C201="","",IFERROR(MATCH($C201,Securities!$A$6:$A$105,0),""))</f>
        <v/>
      </c>
      <c r="AP201" s="89" t="str">
        <f aca="false">IF($AN201="","",INDEX(Accounts!$B$6:$B$55,$AN201)&amp;"")</f>
        <v/>
      </c>
      <c r="AQ201" s="89" t="str">
        <f aca="false">IF(AND(ISNUMBER($AG201),N($P201)&gt;0),IF(AND(N($AG201)&gt;0,N($AG201)&lt;=SoonDays),1,""),"")</f>
        <v/>
      </c>
      <c r="AR201" s="89" t="str">
        <f aca="false">IF($AQ201&lt;&gt;1,"",SUMPRODUCT(($AQ$6:$AQ$205=1)*ISNUMBER($AG$6:$AG$205)*($AG$6:$AG$205&lt;$AG201))+SUMPRODUCT(($AQ$6:$AQ201=1)*ISNUMBER($AG$6:$AG201)*($AG$6:$AG201=$AG201)))</f>
        <v/>
      </c>
    </row>
    <row r="202" customFormat="false" ht="15" hidden="false" customHeight="false" outlineLevel="0" collapsed="false">
      <c r="A202" s="77"/>
      <c r="B202" s="78"/>
      <c r="C202" s="78"/>
      <c r="D202" s="79" t="str">
        <f aca="false">IF($AN202="","",INDEX(Accounts!$C$6:$C$55,$AN202)&amp;"")</f>
        <v/>
      </c>
      <c r="E202" s="79" t="str">
        <f aca="false">IF($AO202="","",INDEX(Securities!$B$6:$B$105,$AO202)&amp;"")</f>
        <v/>
      </c>
      <c r="F202" s="79" t="str">
        <f aca="false">IF($AO202="","",INDEX(Securities!$C$6:$C$105,$AO202)&amp;"")</f>
        <v/>
      </c>
      <c r="G202" s="79" t="str">
        <f aca="false">IF($AO202="","",INDEX(Securities!$E$6:$E$105,$AO202)&amp;"")</f>
        <v/>
      </c>
      <c r="H202" s="80"/>
      <c r="I202" s="81"/>
      <c r="J202" s="91"/>
      <c r="K202" s="85" t="str">
        <f aca="false">IF(OR($I202="",$J202=""),"",$I202*$J202)</f>
        <v/>
      </c>
      <c r="L202" s="80"/>
      <c r="M202" s="81"/>
      <c r="N202" s="91"/>
      <c r="O202" s="85" t="str">
        <f aca="false">IF(OR($M202="",$N202=""),"",$M202*$N202)</f>
        <v/>
      </c>
      <c r="P202" s="88" t="str">
        <f aca="false">IF($C202="","",N($I202)-N($M202))</f>
        <v/>
      </c>
      <c r="Q202" s="85" t="str">
        <f aca="false">IF(OR($P202="",$J202=""),"",$P202*$J202)</f>
        <v/>
      </c>
      <c r="R202" s="83" t="str">
        <f aca="false">IF($AO202="","",IF(INDEX(Securities!$N$6:$N$105,$AO202)="At cost",IF($J202="","",$J202),IF(INDEX(Securities!$O$6:$O$105,$AO202)="","",INDEX(Securities!$O$6:$O$105,$AO202))))</f>
        <v/>
      </c>
      <c r="S202" s="85" t="str">
        <f aca="false">IF(OR($P202="",$R202=""),"",$P202*$R202)</f>
        <v/>
      </c>
      <c r="T202" s="92" t="str">
        <f aca="false">IF(OR(NOT(ISNUMBER($L202)),NOT(ISNUMBER($H202))),"",$L202-$H202)</f>
        <v/>
      </c>
      <c r="U202" s="79" t="str">
        <f aca="false">IF($T202="","",IF($X202="","Short Term",IF($T202&gt;$X202,"Long Term","Short Term")))</f>
        <v/>
      </c>
      <c r="V202" s="92" t="str">
        <f aca="false">IF(OR(NOT(ISNUMBER($H202)),N($P202)&lt;=0),"",ValDate-$H202)</f>
        <v/>
      </c>
      <c r="W202" s="79" t="str">
        <f aca="false">IF($V202="","",IF($X202="","Short Term",IF($V202&gt;$X202,"Long Term","Short Term")))</f>
        <v/>
      </c>
      <c r="X202" s="92" t="str">
        <f aca="true">IF($G202="","",IF(ISNA(MATCH($G202,L_Category,0)),"",IF(INDEX(L_CatLT,MATCH($G202,L_Category,0))="","",INDEX(L_CatLT,MATCH($G202,L_Category,0)))))</f>
        <v/>
      </c>
      <c r="Y202" s="83" t="str">
        <f aca="false">IF($AO202="","",IF(INDEX(Securities!$Q$6:$Q$105,$AO202)="","",INDEX(Securities!$Q$6:$Q$105,$AO202)))</f>
        <v/>
      </c>
      <c r="Z202" s="79" t="str">
        <f aca="false">IF($C202="","",IF(OR(NOT(ISNUMBER($H202)),$Y202=""),"No",IF($H202&lt;=GFDate,"Yes","No")))</f>
        <v/>
      </c>
      <c r="AA202" s="85" t="str">
        <f aca="false">IF(OR($M202="",$N202="",$J202=""),"",$M202*($N202-$J202))</f>
        <v/>
      </c>
      <c r="AB202" s="85" t="str">
        <f aca="false">IF(OR(N($P202)&lt;=0,$R202="",$J202=""),"",$P202*($R202-$J202))</f>
        <v/>
      </c>
      <c r="AC202" s="83" t="str">
        <f aca="false">IF(OR($M202="",$N202="",$J202=""),"",IF($Z202="Yes",MAX($J202,MIN($Y202,$N202)),$J202))</f>
        <v/>
      </c>
      <c r="AD202" s="85" t="str">
        <f aca="false">IF($AC202="","",$M202*($N202-$AC202))</f>
        <v/>
      </c>
      <c r="AE202" s="83" t="str">
        <f aca="false">IF(OR(N($P202)&lt;=0,$R202="",$J202=""),"",IF($Z202="Yes",MAX($J202,MIN($Y202,$R202)),$J202))</f>
        <v/>
      </c>
      <c r="AF202" s="85" t="str">
        <f aca="false">IF($AE202="","",$P202*($R202-$AE202))</f>
        <v/>
      </c>
      <c r="AG202" s="92" t="str">
        <f aca="false">IF(OR($V202="",$X202=""),"",MAX(0,$X202+1-$V202))</f>
        <v/>
      </c>
      <c r="AH202" s="93" t="str">
        <f aca="false">IF(OR($X202="",NOT(ISNUMBER($H202)),N($P202)&lt;=0),"",$H202+$X202+1)</f>
        <v/>
      </c>
      <c r="AI202" s="91"/>
      <c r="AJ202" s="85" t="str">
        <f aca="false">IF(OR($AI202="",N($P202)&lt;=0),"",$AI202*$P202)</f>
        <v/>
      </c>
      <c r="AK202" s="79" t="str">
        <f aca="false">IF(NOT(ISNUMBER($L202)),"",IF(MONTH($L202)&gt;=4,YEAR($L202)&amp;"-"&amp;RIGHT(YEAR($L202)+1,2),(YEAR($L202)-1)&amp;"-"&amp;RIGHT(YEAR($L202),2)))</f>
        <v/>
      </c>
      <c r="AL202" s="78"/>
      <c r="AM202" s="79" t="str">
        <f aca="false">IF($A202&amp;$B202&amp;$C202="","",IF($A202="","Missing ID",IF(COUNTIF($A$6:$A$205,$A202)&gt;1,"Duplicate ID",IF($AN202="","Unknown account",IF($AO202="","Unknown security",IF(COUNTIFS(Holdings!$B$6:$B$205,$B202,Holdings!$C$6:$C$205,$C202)=0,"No holding row for this lot",IF(OR($I202="",$J202=""),"Missing purchase quantity or rate",IF(NOT(ISNUMBER($H202)),"Missing purchase date",IF(N($H202)&gt;ValDate,"Purchase after valuation date",IF(N($M202)&gt;N($I202),"Sale quantity exceeds purchase",IF(AND(N($M202)&gt;0,OR(NOT(ISNUMBER($L202)),$N202="")),"Sale date or rate missing",IF(AND(ISNUMBER($L202),N($M202)=0),"Sale date with no quantity",IF(AND(ISNUMBER($L202),N($L202)&lt;N($H202)),"Sale before purchase",IF(N($L202)&gt;ValDate,"Sale after valuation date","OK"))))))))))))))</f>
        <v/>
      </c>
      <c r="AN202" s="89" t="str">
        <f aca="false">IF($B202="","",IFERROR(MATCH($B202,Accounts!$A$6:$A$55,0),""))</f>
        <v/>
      </c>
      <c r="AO202" s="89" t="str">
        <f aca="false">IF($C202="","",IFERROR(MATCH($C202,Securities!$A$6:$A$105,0),""))</f>
        <v/>
      </c>
      <c r="AP202" s="89" t="str">
        <f aca="false">IF($AN202="","",INDEX(Accounts!$B$6:$B$55,$AN202)&amp;"")</f>
        <v/>
      </c>
      <c r="AQ202" s="89" t="str">
        <f aca="false">IF(AND(ISNUMBER($AG202),N($P202)&gt;0),IF(AND(N($AG202)&gt;0,N($AG202)&lt;=SoonDays),1,""),"")</f>
        <v/>
      </c>
      <c r="AR202" s="89" t="str">
        <f aca="false">IF($AQ202&lt;&gt;1,"",SUMPRODUCT(($AQ$6:$AQ$205=1)*ISNUMBER($AG$6:$AG$205)*($AG$6:$AG$205&lt;$AG202))+SUMPRODUCT(($AQ$6:$AQ202=1)*ISNUMBER($AG$6:$AG202)*($AG$6:$AG202=$AG202)))</f>
        <v/>
      </c>
    </row>
    <row r="203" customFormat="false" ht="15" hidden="false" customHeight="false" outlineLevel="0" collapsed="false">
      <c r="A203" s="77"/>
      <c r="B203" s="78"/>
      <c r="C203" s="78"/>
      <c r="D203" s="79" t="str">
        <f aca="false">IF($AN203="","",INDEX(Accounts!$C$6:$C$55,$AN203)&amp;"")</f>
        <v/>
      </c>
      <c r="E203" s="79" t="str">
        <f aca="false">IF($AO203="","",INDEX(Securities!$B$6:$B$105,$AO203)&amp;"")</f>
        <v/>
      </c>
      <c r="F203" s="79" t="str">
        <f aca="false">IF($AO203="","",INDEX(Securities!$C$6:$C$105,$AO203)&amp;"")</f>
        <v/>
      </c>
      <c r="G203" s="79" t="str">
        <f aca="false">IF($AO203="","",INDEX(Securities!$E$6:$E$105,$AO203)&amp;"")</f>
        <v/>
      </c>
      <c r="H203" s="80"/>
      <c r="I203" s="81"/>
      <c r="J203" s="91"/>
      <c r="K203" s="85" t="str">
        <f aca="false">IF(OR($I203="",$J203=""),"",$I203*$J203)</f>
        <v/>
      </c>
      <c r="L203" s="80"/>
      <c r="M203" s="81"/>
      <c r="N203" s="91"/>
      <c r="O203" s="85" t="str">
        <f aca="false">IF(OR($M203="",$N203=""),"",$M203*$N203)</f>
        <v/>
      </c>
      <c r="P203" s="88" t="str">
        <f aca="false">IF($C203="","",N($I203)-N($M203))</f>
        <v/>
      </c>
      <c r="Q203" s="85" t="str">
        <f aca="false">IF(OR($P203="",$J203=""),"",$P203*$J203)</f>
        <v/>
      </c>
      <c r="R203" s="83" t="str">
        <f aca="false">IF($AO203="","",IF(INDEX(Securities!$N$6:$N$105,$AO203)="At cost",IF($J203="","",$J203),IF(INDEX(Securities!$O$6:$O$105,$AO203)="","",INDEX(Securities!$O$6:$O$105,$AO203))))</f>
        <v/>
      </c>
      <c r="S203" s="85" t="str">
        <f aca="false">IF(OR($P203="",$R203=""),"",$P203*$R203)</f>
        <v/>
      </c>
      <c r="T203" s="92" t="str">
        <f aca="false">IF(OR(NOT(ISNUMBER($L203)),NOT(ISNUMBER($H203))),"",$L203-$H203)</f>
        <v/>
      </c>
      <c r="U203" s="79" t="str">
        <f aca="false">IF($T203="","",IF($X203="","Short Term",IF($T203&gt;$X203,"Long Term","Short Term")))</f>
        <v/>
      </c>
      <c r="V203" s="92" t="str">
        <f aca="false">IF(OR(NOT(ISNUMBER($H203)),N($P203)&lt;=0),"",ValDate-$H203)</f>
        <v/>
      </c>
      <c r="W203" s="79" t="str">
        <f aca="false">IF($V203="","",IF($X203="","Short Term",IF($V203&gt;$X203,"Long Term","Short Term")))</f>
        <v/>
      </c>
      <c r="X203" s="92" t="str">
        <f aca="true">IF($G203="","",IF(ISNA(MATCH($G203,L_Category,0)),"",IF(INDEX(L_CatLT,MATCH($G203,L_Category,0))="","",INDEX(L_CatLT,MATCH($G203,L_Category,0)))))</f>
        <v/>
      </c>
      <c r="Y203" s="83" t="str">
        <f aca="false">IF($AO203="","",IF(INDEX(Securities!$Q$6:$Q$105,$AO203)="","",INDEX(Securities!$Q$6:$Q$105,$AO203)))</f>
        <v/>
      </c>
      <c r="Z203" s="79" t="str">
        <f aca="false">IF($C203="","",IF(OR(NOT(ISNUMBER($H203)),$Y203=""),"No",IF($H203&lt;=GFDate,"Yes","No")))</f>
        <v/>
      </c>
      <c r="AA203" s="85" t="str">
        <f aca="false">IF(OR($M203="",$N203="",$J203=""),"",$M203*($N203-$J203))</f>
        <v/>
      </c>
      <c r="AB203" s="85" t="str">
        <f aca="false">IF(OR(N($P203)&lt;=0,$R203="",$J203=""),"",$P203*($R203-$J203))</f>
        <v/>
      </c>
      <c r="AC203" s="83" t="str">
        <f aca="false">IF(OR($M203="",$N203="",$J203=""),"",IF($Z203="Yes",MAX($J203,MIN($Y203,$N203)),$J203))</f>
        <v/>
      </c>
      <c r="AD203" s="85" t="str">
        <f aca="false">IF($AC203="","",$M203*($N203-$AC203))</f>
        <v/>
      </c>
      <c r="AE203" s="83" t="str">
        <f aca="false">IF(OR(N($P203)&lt;=0,$R203="",$J203=""),"",IF($Z203="Yes",MAX($J203,MIN($Y203,$R203)),$J203))</f>
        <v/>
      </c>
      <c r="AF203" s="85" t="str">
        <f aca="false">IF($AE203="","",$P203*($R203-$AE203))</f>
        <v/>
      </c>
      <c r="AG203" s="92" t="str">
        <f aca="false">IF(OR($V203="",$X203=""),"",MAX(0,$X203+1-$V203))</f>
        <v/>
      </c>
      <c r="AH203" s="93" t="str">
        <f aca="false">IF(OR($X203="",NOT(ISNUMBER($H203)),N($P203)&lt;=0),"",$H203+$X203+1)</f>
        <v/>
      </c>
      <c r="AI203" s="91"/>
      <c r="AJ203" s="85" t="str">
        <f aca="false">IF(OR($AI203="",N($P203)&lt;=0),"",$AI203*$P203)</f>
        <v/>
      </c>
      <c r="AK203" s="79" t="str">
        <f aca="false">IF(NOT(ISNUMBER($L203)),"",IF(MONTH($L203)&gt;=4,YEAR($L203)&amp;"-"&amp;RIGHT(YEAR($L203)+1,2),(YEAR($L203)-1)&amp;"-"&amp;RIGHT(YEAR($L203),2)))</f>
        <v/>
      </c>
      <c r="AL203" s="78"/>
      <c r="AM203" s="79" t="str">
        <f aca="false">IF($A203&amp;$B203&amp;$C203="","",IF($A203="","Missing ID",IF(COUNTIF($A$6:$A$205,$A203)&gt;1,"Duplicate ID",IF($AN203="","Unknown account",IF($AO203="","Unknown security",IF(COUNTIFS(Holdings!$B$6:$B$205,$B203,Holdings!$C$6:$C$205,$C203)=0,"No holding row for this lot",IF(OR($I203="",$J203=""),"Missing purchase quantity or rate",IF(NOT(ISNUMBER($H203)),"Missing purchase date",IF(N($H203)&gt;ValDate,"Purchase after valuation date",IF(N($M203)&gt;N($I203),"Sale quantity exceeds purchase",IF(AND(N($M203)&gt;0,OR(NOT(ISNUMBER($L203)),$N203="")),"Sale date or rate missing",IF(AND(ISNUMBER($L203),N($M203)=0),"Sale date with no quantity",IF(AND(ISNUMBER($L203),N($L203)&lt;N($H203)),"Sale before purchase",IF(N($L203)&gt;ValDate,"Sale after valuation date","OK"))))))))))))))</f>
        <v/>
      </c>
      <c r="AN203" s="89" t="str">
        <f aca="false">IF($B203="","",IFERROR(MATCH($B203,Accounts!$A$6:$A$55,0),""))</f>
        <v/>
      </c>
      <c r="AO203" s="89" t="str">
        <f aca="false">IF($C203="","",IFERROR(MATCH($C203,Securities!$A$6:$A$105,0),""))</f>
        <v/>
      </c>
      <c r="AP203" s="89" t="str">
        <f aca="false">IF($AN203="","",INDEX(Accounts!$B$6:$B$55,$AN203)&amp;"")</f>
        <v/>
      </c>
      <c r="AQ203" s="89" t="str">
        <f aca="false">IF(AND(ISNUMBER($AG203),N($P203)&gt;0),IF(AND(N($AG203)&gt;0,N($AG203)&lt;=SoonDays),1,""),"")</f>
        <v/>
      </c>
      <c r="AR203" s="89" t="str">
        <f aca="false">IF($AQ203&lt;&gt;1,"",SUMPRODUCT(($AQ$6:$AQ$205=1)*ISNUMBER($AG$6:$AG$205)*($AG$6:$AG$205&lt;$AG203))+SUMPRODUCT(($AQ$6:$AQ203=1)*ISNUMBER($AG$6:$AG203)*($AG$6:$AG203=$AG203)))</f>
        <v/>
      </c>
    </row>
    <row r="204" customFormat="false" ht="15" hidden="false" customHeight="false" outlineLevel="0" collapsed="false">
      <c r="A204" s="77"/>
      <c r="B204" s="78"/>
      <c r="C204" s="78"/>
      <c r="D204" s="79" t="str">
        <f aca="false">IF($AN204="","",INDEX(Accounts!$C$6:$C$55,$AN204)&amp;"")</f>
        <v/>
      </c>
      <c r="E204" s="79" t="str">
        <f aca="false">IF($AO204="","",INDEX(Securities!$B$6:$B$105,$AO204)&amp;"")</f>
        <v/>
      </c>
      <c r="F204" s="79" t="str">
        <f aca="false">IF($AO204="","",INDEX(Securities!$C$6:$C$105,$AO204)&amp;"")</f>
        <v/>
      </c>
      <c r="G204" s="79" t="str">
        <f aca="false">IF($AO204="","",INDEX(Securities!$E$6:$E$105,$AO204)&amp;"")</f>
        <v/>
      </c>
      <c r="H204" s="80"/>
      <c r="I204" s="81"/>
      <c r="J204" s="91"/>
      <c r="K204" s="85" t="str">
        <f aca="false">IF(OR($I204="",$J204=""),"",$I204*$J204)</f>
        <v/>
      </c>
      <c r="L204" s="80"/>
      <c r="M204" s="81"/>
      <c r="N204" s="91"/>
      <c r="O204" s="85" t="str">
        <f aca="false">IF(OR($M204="",$N204=""),"",$M204*$N204)</f>
        <v/>
      </c>
      <c r="P204" s="88" t="str">
        <f aca="false">IF($C204="","",N($I204)-N($M204))</f>
        <v/>
      </c>
      <c r="Q204" s="85" t="str">
        <f aca="false">IF(OR($P204="",$J204=""),"",$P204*$J204)</f>
        <v/>
      </c>
      <c r="R204" s="83" t="str">
        <f aca="false">IF($AO204="","",IF(INDEX(Securities!$N$6:$N$105,$AO204)="At cost",IF($J204="","",$J204),IF(INDEX(Securities!$O$6:$O$105,$AO204)="","",INDEX(Securities!$O$6:$O$105,$AO204))))</f>
        <v/>
      </c>
      <c r="S204" s="85" t="str">
        <f aca="false">IF(OR($P204="",$R204=""),"",$P204*$R204)</f>
        <v/>
      </c>
      <c r="T204" s="92" t="str">
        <f aca="false">IF(OR(NOT(ISNUMBER($L204)),NOT(ISNUMBER($H204))),"",$L204-$H204)</f>
        <v/>
      </c>
      <c r="U204" s="79" t="str">
        <f aca="false">IF($T204="","",IF($X204="","Short Term",IF($T204&gt;$X204,"Long Term","Short Term")))</f>
        <v/>
      </c>
      <c r="V204" s="92" t="str">
        <f aca="false">IF(OR(NOT(ISNUMBER($H204)),N($P204)&lt;=0),"",ValDate-$H204)</f>
        <v/>
      </c>
      <c r="W204" s="79" t="str">
        <f aca="false">IF($V204="","",IF($X204="","Short Term",IF($V204&gt;$X204,"Long Term","Short Term")))</f>
        <v/>
      </c>
      <c r="X204" s="92" t="str">
        <f aca="true">IF($G204="","",IF(ISNA(MATCH($G204,L_Category,0)),"",IF(INDEX(L_CatLT,MATCH($G204,L_Category,0))="","",INDEX(L_CatLT,MATCH($G204,L_Category,0)))))</f>
        <v/>
      </c>
      <c r="Y204" s="83" t="str">
        <f aca="false">IF($AO204="","",IF(INDEX(Securities!$Q$6:$Q$105,$AO204)="","",INDEX(Securities!$Q$6:$Q$105,$AO204)))</f>
        <v/>
      </c>
      <c r="Z204" s="79" t="str">
        <f aca="false">IF($C204="","",IF(OR(NOT(ISNUMBER($H204)),$Y204=""),"No",IF($H204&lt;=GFDate,"Yes","No")))</f>
        <v/>
      </c>
      <c r="AA204" s="85" t="str">
        <f aca="false">IF(OR($M204="",$N204="",$J204=""),"",$M204*($N204-$J204))</f>
        <v/>
      </c>
      <c r="AB204" s="85" t="str">
        <f aca="false">IF(OR(N($P204)&lt;=0,$R204="",$J204=""),"",$P204*($R204-$J204))</f>
        <v/>
      </c>
      <c r="AC204" s="83" t="str">
        <f aca="false">IF(OR($M204="",$N204="",$J204=""),"",IF($Z204="Yes",MAX($J204,MIN($Y204,$N204)),$J204))</f>
        <v/>
      </c>
      <c r="AD204" s="85" t="str">
        <f aca="false">IF($AC204="","",$M204*($N204-$AC204))</f>
        <v/>
      </c>
      <c r="AE204" s="83" t="str">
        <f aca="false">IF(OR(N($P204)&lt;=0,$R204="",$J204=""),"",IF($Z204="Yes",MAX($J204,MIN($Y204,$R204)),$J204))</f>
        <v/>
      </c>
      <c r="AF204" s="85" t="str">
        <f aca="false">IF($AE204="","",$P204*($R204-$AE204))</f>
        <v/>
      </c>
      <c r="AG204" s="92" t="str">
        <f aca="false">IF(OR($V204="",$X204=""),"",MAX(0,$X204+1-$V204))</f>
        <v/>
      </c>
      <c r="AH204" s="93" t="str">
        <f aca="false">IF(OR($X204="",NOT(ISNUMBER($H204)),N($P204)&lt;=0),"",$H204+$X204+1)</f>
        <v/>
      </c>
      <c r="AI204" s="91"/>
      <c r="AJ204" s="85" t="str">
        <f aca="false">IF(OR($AI204="",N($P204)&lt;=0),"",$AI204*$P204)</f>
        <v/>
      </c>
      <c r="AK204" s="79" t="str">
        <f aca="false">IF(NOT(ISNUMBER($L204)),"",IF(MONTH($L204)&gt;=4,YEAR($L204)&amp;"-"&amp;RIGHT(YEAR($L204)+1,2),(YEAR($L204)-1)&amp;"-"&amp;RIGHT(YEAR($L204),2)))</f>
        <v/>
      </c>
      <c r="AL204" s="78"/>
      <c r="AM204" s="79" t="str">
        <f aca="false">IF($A204&amp;$B204&amp;$C204="","",IF($A204="","Missing ID",IF(COUNTIF($A$6:$A$205,$A204)&gt;1,"Duplicate ID",IF($AN204="","Unknown account",IF($AO204="","Unknown security",IF(COUNTIFS(Holdings!$B$6:$B$205,$B204,Holdings!$C$6:$C$205,$C204)=0,"No holding row for this lot",IF(OR($I204="",$J204=""),"Missing purchase quantity or rate",IF(NOT(ISNUMBER($H204)),"Missing purchase date",IF(N($H204)&gt;ValDate,"Purchase after valuation date",IF(N($M204)&gt;N($I204),"Sale quantity exceeds purchase",IF(AND(N($M204)&gt;0,OR(NOT(ISNUMBER($L204)),$N204="")),"Sale date or rate missing",IF(AND(ISNUMBER($L204),N($M204)=0),"Sale date with no quantity",IF(AND(ISNUMBER($L204),N($L204)&lt;N($H204)),"Sale before purchase",IF(N($L204)&gt;ValDate,"Sale after valuation date","OK"))))))))))))))</f>
        <v/>
      </c>
      <c r="AN204" s="89" t="str">
        <f aca="false">IF($B204="","",IFERROR(MATCH($B204,Accounts!$A$6:$A$55,0),""))</f>
        <v/>
      </c>
      <c r="AO204" s="89" t="str">
        <f aca="false">IF($C204="","",IFERROR(MATCH($C204,Securities!$A$6:$A$105,0),""))</f>
        <v/>
      </c>
      <c r="AP204" s="89" t="str">
        <f aca="false">IF($AN204="","",INDEX(Accounts!$B$6:$B$55,$AN204)&amp;"")</f>
        <v/>
      </c>
      <c r="AQ204" s="89" t="str">
        <f aca="false">IF(AND(ISNUMBER($AG204),N($P204)&gt;0),IF(AND(N($AG204)&gt;0,N($AG204)&lt;=SoonDays),1,""),"")</f>
        <v/>
      </c>
      <c r="AR204" s="89" t="str">
        <f aca="false">IF($AQ204&lt;&gt;1,"",SUMPRODUCT(($AQ$6:$AQ$205=1)*ISNUMBER($AG$6:$AG$205)*($AG$6:$AG$205&lt;$AG204))+SUMPRODUCT(($AQ$6:$AQ204=1)*ISNUMBER($AG$6:$AG204)*($AG$6:$AG204=$AG204)))</f>
        <v/>
      </c>
    </row>
    <row r="205" customFormat="false" ht="15" hidden="false" customHeight="false" outlineLevel="0" collapsed="false">
      <c r="A205" s="77"/>
      <c r="B205" s="78"/>
      <c r="C205" s="78"/>
      <c r="D205" s="79" t="str">
        <f aca="false">IF($AN205="","",INDEX(Accounts!$C$6:$C$55,$AN205)&amp;"")</f>
        <v/>
      </c>
      <c r="E205" s="79" t="str">
        <f aca="false">IF($AO205="","",INDEX(Securities!$B$6:$B$105,$AO205)&amp;"")</f>
        <v/>
      </c>
      <c r="F205" s="79" t="str">
        <f aca="false">IF($AO205="","",INDEX(Securities!$C$6:$C$105,$AO205)&amp;"")</f>
        <v/>
      </c>
      <c r="G205" s="79" t="str">
        <f aca="false">IF($AO205="","",INDEX(Securities!$E$6:$E$105,$AO205)&amp;"")</f>
        <v/>
      </c>
      <c r="H205" s="80"/>
      <c r="I205" s="81"/>
      <c r="J205" s="91"/>
      <c r="K205" s="85" t="str">
        <f aca="false">IF(OR($I205="",$J205=""),"",$I205*$J205)</f>
        <v/>
      </c>
      <c r="L205" s="80"/>
      <c r="M205" s="81"/>
      <c r="N205" s="91"/>
      <c r="O205" s="85" t="str">
        <f aca="false">IF(OR($M205="",$N205=""),"",$M205*$N205)</f>
        <v/>
      </c>
      <c r="P205" s="88" t="str">
        <f aca="false">IF($C205="","",N($I205)-N($M205))</f>
        <v/>
      </c>
      <c r="Q205" s="85" t="str">
        <f aca="false">IF(OR($P205="",$J205=""),"",$P205*$J205)</f>
        <v/>
      </c>
      <c r="R205" s="83" t="str">
        <f aca="false">IF($AO205="","",IF(INDEX(Securities!$N$6:$N$105,$AO205)="At cost",IF($J205="","",$J205),IF(INDEX(Securities!$O$6:$O$105,$AO205)="","",INDEX(Securities!$O$6:$O$105,$AO205))))</f>
        <v/>
      </c>
      <c r="S205" s="85" t="str">
        <f aca="false">IF(OR($P205="",$R205=""),"",$P205*$R205)</f>
        <v/>
      </c>
      <c r="T205" s="92" t="str">
        <f aca="false">IF(OR(NOT(ISNUMBER($L205)),NOT(ISNUMBER($H205))),"",$L205-$H205)</f>
        <v/>
      </c>
      <c r="U205" s="79" t="str">
        <f aca="false">IF($T205="","",IF($X205="","Short Term",IF($T205&gt;$X205,"Long Term","Short Term")))</f>
        <v/>
      </c>
      <c r="V205" s="92" t="str">
        <f aca="false">IF(OR(NOT(ISNUMBER($H205)),N($P205)&lt;=0),"",ValDate-$H205)</f>
        <v/>
      </c>
      <c r="W205" s="79" t="str">
        <f aca="false">IF($V205="","",IF($X205="","Short Term",IF($V205&gt;$X205,"Long Term","Short Term")))</f>
        <v/>
      </c>
      <c r="X205" s="92" t="str">
        <f aca="true">IF($G205="","",IF(ISNA(MATCH($G205,L_Category,0)),"",IF(INDEX(L_CatLT,MATCH($G205,L_Category,0))="","",INDEX(L_CatLT,MATCH($G205,L_Category,0)))))</f>
        <v/>
      </c>
      <c r="Y205" s="83" t="str">
        <f aca="false">IF($AO205="","",IF(INDEX(Securities!$Q$6:$Q$105,$AO205)="","",INDEX(Securities!$Q$6:$Q$105,$AO205)))</f>
        <v/>
      </c>
      <c r="Z205" s="79" t="str">
        <f aca="false">IF($C205="","",IF(OR(NOT(ISNUMBER($H205)),$Y205=""),"No",IF($H205&lt;=GFDate,"Yes","No")))</f>
        <v/>
      </c>
      <c r="AA205" s="85" t="str">
        <f aca="false">IF(OR($M205="",$N205="",$J205=""),"",$M205*($N205-$J205))</f>
        <v/>
      </c>
      <c r="AB205" s="85" t="str">
        <f aca="false">IF(OR(N($P205)&lt;=0,$R205="",$J205=""),"",$P205*($R205-$J205))</f>
        <v/>
      </c>
      <c r="AC205" s="83" t="str">
        <f aca="false">IF(OR($M205="",$N205="",$J205=""),"",IF($Z205="Yes",MAX($J205,MIN($Y205,$N205)),$J205))</f>
        <v/>
      </c>
      <c r="AD205" s="85" t="str">
        <f aca="false">IF($AC205="","",$M205*($N205-$AC205))</f>
        <v/>
      </c>
      <c r="AE205" s="83" t="str">
        <f aca="false">IF(OR(N($P205)&lt;=0,$R205="",$J205=""),"",IF($Z205="Yes",MAX($J205,MIN($Y205,$R205)),$J205))</f>
        <v/>
      </c>
      <c r="AF205" s="85" t="str">
        <f aca="false">IF($AE205="","",$P205*($R205-$AE205))</f>
        <v/>
      </c>
      <c r="AG205" s="92" t="str">
        <f aca="false">IF(OR($V205="",$X205=""),"",MAX(0,$X205+1-$V205))</f>
        <v/>
      </c>
      <c r="AH205" s="93" t="str">
        <f aca="false">IF(OR($X205="",NOT(ISNUMBER($H205)),N($P205)&lt;=0),"",$H205+$X205+1)</f>
        <v/>
      </c>
      <c r="AI205" s="91"/>
      <c r="AJ205" s="85" t="str">
        <f aca="false">IF(OR($AI205="",N($P205)&lt;=0),"",$AI205*$P205)</f>
        <v/>
      </c>
      <c r="AK205" s="79" t="str">
        <f aca="false">IF(NOT(ISNUMBER($L205)),"",IF(MONTH($L205)&gt;=4,YEAR($L205)&amp;"-"&amp;RIGHT(YEAR($L205)+1,2),(YEAR($L205)-1)&amp;"-"&amp;RIGHT(YEAR($L205),2)))</f>
        <v/>
      </c>
      <c r="AL205" s="78"/>
      <c r="AM205" s="79" t="str">
        <f aca="false">IF($A205&amp;$B205&amp;$C205="","",IF($A205="","Missing ID",IF(COUNTIF($A$6:$A$205,$A205)&gt;1,"Duplicate ID",IF($AN205="","Unknown account",IF($AO205="","Unknown security",IF(COUNTIFS(Holdings!$B$6:$B$205,$B205,Holdings!$C$6:$C$205,$C205)=0,"No holding row for this lot",IF(OR($I205="",$J205=""),"Missing purchase quantity or rate",IF(NOT(ISNUMBER($H205)),"Missing purchase date",IF(N($H205)&gt;ValDate,"Purchase after valuation date",IF(N($M205)&gt;N($I205),"Sale quantity exceeds purchase",IF(AND(N($M205)&gt;0,OR(NOT(ISNUMBER($L205)),$N205="")),"Sale date or rate missing",IF(AND(ISNUMBER($L205),N($M205)=0),"Sale date with no quantity",IF(AND(ISNUMBER($L205),N($L205)&lt;N($H205)),"Sale before purchase",IF(N($L205)&gt;ValDate,"Sale after valuation date","OK"))))))))))))))</f>
        <v/>
      </c>
      <c r="AN205" s="89" t="str">
        <f aca="false">IF($B205="","",IFERROR(MATCH($B205,Accounts!$A$6:$A$55,0),""))</f>
        <v/>
      </c>
      <c r="AO205" s="89" t="str">
        <f aca="false">IF($C205="","",IFERROR(MATCH($C205,Securities!$A$6:$A$105,0),""))</f>
        <v/>
      </c>
      <c r="AP205" s="89" t="str">
        <f aca="false">IF($AN205="","",INDEX(Accounts!$B$6:$B$55,$AN205)&amp;"")</f>
        <v/>
      </c>
      <c r="AQ205" s="89" t="str">
        <f aca="false">IF(AND(ISNUMBER($AG205),N($P205)&gt;0),IF(AND(N($AG205)&gt;0,N($AG205)&lt;=SoonDays),1,""),"")</f>
        <v/>
      </c>
      <c r="AR205" s="89" t="str">
        <f aca="false">IF($AQ205&lt;&gt;1,"",SUMPRODUCT(($AQ$6:$AQ$205=1)*ISNUMBER($AG$6:$AG$205)*($AG$6:$AG$205&lt;$AG205))+SUMPRODUCT(($AQ$6:$AQ205=1)*ISNUMBER($AG$6:$AG205)*($AG$6:$AG205=$AG205)))</f>
        <v/>
      </c>
    </row>
  </sheetData>
  <autoFilter ref="A5:AR205"/>
  <mergeCells count="10">
    <mergeCell ref="A4:G4"/>
    <mergeCell ref="H4:K4"/>
    <mergeCell ref="L4:O4"/>
    <mergeCell ref="P4:S4"/>
    <mergeCell ref="T4:X4"/>
    <mergeCell ref="Y4:Z4"/>
    <mergeCell ref="AA4:AF4"/>
    <mergeCell ref="AG4:AH4"/>
    <mergeCell ref="AI4:AK4"/>
    <mergeCell ref="AL4:AM4"/>
  </mergeCells>
  <conditionalFormatting sqref="AM6:AM205">
    <cfRule type="expression" priority="2" aboveAverage="0" equalAverage="0" bottom="0" percent="0" rank="0" text="" dxfId="3">
      <formula>AND($AM6&lt;&gt;"",$AM6&lt;&gt;"OK")</formula>
    </cfRule>
    <cfRule type="expression" priority="3" aboveAverage="0" equalAverage="0" bottom="0" percent="0" rank="0" text="" dxfId="19">
      <formula>$AM6="OK"</formula>
    </cfRule>
  </conditionalFormatting>
  <dataValidations count="2">
    <dataValidation allowBlank="true" error="Pick a value from the list (see the Lists sheet)." errorStyle="stop" errorTitle="Not in the list" operator="between" prompt="Pick the account from the Accounts sheet." promptTitle="How to fill" showDropDown="false" showErrorMessage="false" showInputMessage="true" sqref="B6:B205" type="list">
      <formula1>L_AccountID</formula1>
      <formula2>0</formula2>
    </dataValidation>
    <dataValidation allowBlank="true" error="Pick a value from the list (see the Lists sheet)." errorStyle="stop" errorTitle="Not in the list" operator="between" prompt="Pick the security from the Securities sheet." promptTitle="How to fill" showDropDown="false" showErrorMessage="false" showInputMessage="true" sqref="C6:C205" type="list">
      <formula1>L_SecurityID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T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30"/>
    <col collapsed="false" customWidth="true" hidden="false" outlineLevel="0" max="17" min="17" style="0" width="18"/>
    <col collapsed="false" customWidth="true" hidden="true" outlineLevel="0" max="20" min="18" style="0" width="6"/>
  </cols>
  <sheetData>
    <row r="1" customFormat="false" ht="21.75" hidden="false" customHeight="true" outlineLevel="0" collapsed="false">
      <c r="A1" s="28" t="s">
        <v>429</v>
      </c>
      <c r="F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430</v>
      </c>
    </row>
    <row r="3" customFormat="false" ht="15" hidden="false" customHeight="false" outlineLevel="0" collapsed="false">
      <c r="A3" s="3" t="s">
        <v>2</v>
      </c>
      <c r="K3" s="73" t="s">
        <v>267</v>
      </c>
      <c r="L3" s="74" t="n">
        <f aca="false">SUBTOTAL(9,L6:L305)</f>
        <v>212225800</v>
      </c>
      <c r="M3" s="74" t="n">
        <f aca="false">SUBTOTAL(9,M6:M305)</f>
        <v>423652</v>
      </c>
      <c r="N3" s="74" t="n">
        <f aca="false">SUBTOTAL(9,N6:N305)</f>
        <v>-23213452</v>
      </c>
    </row>
    <row r="4" customFormat="false" ht="15" hidden="false" customHeight="true" outlineLevel="0" collapsed="false">
      <c r="A4" s="75" t="s">
        <v>431</v>
      </c>
      <c r="B4" s="75"/>
      <c r="C4" s="75"/>
      <c r="D4" s="75"/>
      <c r="E4" s="75" t="s">
        <v>269</v>
      </c>
      <c r="F4" s="75"/>
      <c r="G4" s="75"/>
      <c r="H4" s="75"/>
      <c r="I4" s="75" t="s">
        <v>432</v>
      </c>
      <c r="J4" s="75"/>
      <c r="K4" s="75"/>
      <c r="L4" s="75"/>
      <c r="M4" s="75"/>
      <c r="N4" s="75" t="s">
        <v>433</v>
      </c>
      <c r="O4" s="75"/>
      <c r="P4" s="75" t="s">
        <v>387</v>
      </c>
      <c r="Q4" s="75"/>
    </row>
    <row r="5" customFormat="false" ht="48" hidden="false" customHeight="true" outlineLevel="0" collapsed="false">
      <c r="A5" s="23" t="s">
        <v>434</v>
      </c>
      <c r="B5" s="23" t="s">
        <v>435</v>
      </c>
      <c r="C5" s="23" t="s">
        <v>277</v>
      </c>
      <c r="D5" s="23" t="s">
        <v>278</v>
      </c>
      <c r="E5" s="23" t="s">
        <v>99</v>
      </c>
      <c r="F5" s="23" t="s">
        <v>178</v>
      </c>
      <c r="G5" s="23" t="s">
        <v>78</v>
      </c>
      <c r="H5" s="23" t="s">
        <v>279</v>
      </c>
      <c r="I5" s="23" t="s">
        <v>436</v>
      </c>
      <c r="J5" s="23" t="s">
        <v>282</v>
      </c>
      <c r="K5" s="23" t="s">
        <v>285</v>
      </c>
      <c r="L5" s="23" t="s">
        <v>437</v>
      </c>
      <c r="M5" s="23" t="s">
        <v>438</v>
      </c>
      <c r="N5" s="23" t="s">
        <v>439</v>
      </c>
      <c r="O5" s="23" t="s">
        <v>440</v>
      </c>
      <c r="P5" s="23" t="s">
        <v>417</v>
      </c>
      <c r="Q5" s="23" t="s">
        <v>48</v>
      </c>
      <c r="R5" s="76" t="s">
        <v>300</v>
      </c>
      <c r="S5" s="76" t="s">
        <v>301</v>
      </c>
      <c r="T5" s="76" t="s">
        <v>441</v>
      </c>
    </row>
    <row r="6" customFormat="false" ht="15" hidden="false" customHeight="false" outlineLevel="0" collapsed="false">
      <c r="A6" s="77" t="s">
        <v>442</v>
      </c>
      <c r="B6" s="80" t="n">
        <v>45887</v>
      </c>
      <c r="C6" s="78" t="s">
        <v>310</v>
      </c>
      <c r="D6" s="78" t="s">
        <v>311</v>
      </c>
      <c r="E6" s="79" t="str">
        <f aca="false">IF($R6="","",INDEX(Accounts!$C$6:$C$55,$R6)&amp;"")</f>
        <v>Rajiv Malhotra</v>
      </c>
      <c r="F6" s="79" t="str">
        <f aca="false">IF($S6="","",INDEX(Securities!$B$6:$B$105,$S6)&amp;"")</f>
        <v>Aravali Cements Ltd</v>
      </c>
      <c r="G6" s="79" t="str">
        <f aca="false">IF($S6="","",INDEX(Securities!$E$6:$E$105,$S6)&amp;"")</f>
        <v>Direct Equity</v>
      </c>
      <c r="H6" s="79" t="str">
        <f aca="false">IF($S6="","",INDEX(Securities!$F$6:$F$105,$S6)&amp;"")</f>
        <v>Equity</v>
      </c>
      <c r="I6" s="78" t="s">
        <v>443</v>
      </c>
      <c r="J6" s="81" t="n">
        <v>16000</v>
      </c>
      <c r="K6" s="94" t="n">
        <v>1655</v>
      </c>
      <c r="L6" s="82" t="n">
        <v>26480000</v>
      </c>
      <c r="M6" s="82" t="n">
        <v>26480</v>
      </c>
      <c r="N6" s="85" t="n">
        <f aca="true">IF(OR($I6="",$T6=""),"",INDEX(L_TxnSign,$T6)*N($L6)-N($M6))</f>
        <v>26453520</v>
      </c>
      <c r="O6" s="79" t="str">
        <f aca="true">IF($T6="","",INDEX(L_TxnCounts,$T6)&amp;"")</f>
        <v>Divestment</v>
      </c>
      <c r="P6" s="78" t="s">
        <v>444</v>
      </c>
      <c r="Q6" s="79" t="str">
        <f aca="false">IF($A6&amp;$C6&amp;$D6&amp;$I6="","",IF($A6="","Missing ID",IF(COUNTIF($A$6:$A$305,$A6)&gt;1,"Duplicate ID",IF(NOT(ISNUMBER($B6)),"Missing date",IF($R6="","Unknown account",IF($D6="","Missing security",IF($S6="","Unknown security",IF($T6="","Unknown type",IF(AND($L6="",$I6&lt;&gt;"Bonus / Split"),"No amount",IF(N($L6)&lt;0,"Type a positive amount; the sign comes from the type",IF(N($M6)&lt;0,"Type charges as a positive amount",IF(N($B6)&gt;ValDate,"Date after valuation",IF(AND(N($B6)&gt;PrevDate,COUNTIFS(Holdings!$B$6:$B$205,$C6,Holdings!$C$6:$C$205,$D6)=0),"No holding row (needed for Period Change)","OK")))))))))))))</f>
        <v>OK</v>
      </c>
      <c r="R6" s="89" t="n">
        <f aca="false">IF($C6="","",IFERROR(MATCH($C6,Accounts!$A$6:$A$55,0),""))</f>
        <v>1</v>
      </c>
      <c r="S6" s="89" t="n">
        <f aca="false">IF($D6="","",IFERROR(MATCH($D6,Securities!$A$6:$A$105,0),""))</f>
        <v>1</v>
      </c>
      <c r="T6" s="89" t="n">
        <f aca="true">IF($I6="","",IFERROR(MATCH($I6,L_TxnType,0),""))</f>
        <v>6</v>
      </c>
    </row>
    <row r="7" customFormat="false" ht="15" hidden="false" customHeight="false" outlineLevel="0" collapsed="false">
      <c r="A7" s="77" t="s">
        <v>445</v>
      </c>
      <c r="B7" s="80" t="n">
        <v>45965</v>
      </c>
      <c r="C7" s="78" t="s">
        <v>310</v>
      </c>
      <c r="D7" s="78" t="s">
        <v>311</v>
      </c>
      <c r="E7" s="79" t="str">
        <f aca="false">IF($R7="","",INDEX(Accounts!$C$6:$C$55,$R7)&amp;"")</f>
        <v>Rajiv Malhotra</v>
      </c>
      <c r="F7" s="79" t="str">
        <f aca="false">IF($S7="","",INDEX(Securities!$B$6:$B$105,$S7)&amp;"")</f>
        <v>Aravali Cements Ltd</v>
      </c>
      <c r="G7" s="79" t="str">
        <f aca="false">IF($S7="","",INDEX(Securities!$E$6:$E$105,$S7)&amp;"")</f>
        <v>Direct Equity</v>
      </c>
      <c r="H7" s="79" t="str">
        <f aca="false">IF($S7="","",INDEX(Securities!$F$6:$F$105,$S7)&amp;"")</f>
        <v>Equity</v>
      </c>
      <c r="I7" s="78" t="s">
        <v>446</v>
      </c>
      <c r="J7" s="81" t="n">
        <v>12000</v>
      </c>
      <c r="K7" s="94" t="n">
        <v>1702.4</v>
      </c>
      <c r="L7" s="82" t="n">
        <v>20428800</v>
      </c>
      <c r="M7" s="82" t="n">
        <v>20429</v>
      </c>
      <c r="N7" s="85" t="n">
        <f aca="true">IF(OR($I7="",$T7=""),"",INDEX(L_TxnSign,$T7)*N($L7)-N($M7))</f>
        <v>-20449229</v>
      </c>
      <c r="O7" s="79" t="str">
        <f aca="true">IF($T7="","",INDEX(L_TxnCounts,$T7)&amp;"")</f>
        <v>Investment</v>
      </c>
      <c r="P7" s="78" t="s">
        <v>447</v>
      </c>
      <c r="Q7" s="79" t="str">
        <f aca="false">IF($A7&amp;$C7&amp;$D7&amp;$I7="","",IF($A7="","Missing ID",IF(COUNTIF($A$6:$A$305,$A7)&gt;1,"Duplicate ID",IF(NOT(ISNUMBER($B7)),"Missing date",IF($R7="","Unknown account",IF($D7="","Missing security",IF($S7="","Unknown security",IF($T7="","Unknown type",IF(AND($L7="",$I7&lt;&gt;"Bonus / Split"),"No amount",IF(N($L7)&lt;0,"Type a positive amount; the sign comes from the type",IF(N($M7)&lt;0,"Type charges as a positive amount",IF(N($B7)&gt;ValDate,"Date after valuation",IF(AND(N($B7)&gt;PrevDate,COUNTIFS(Holdings!$B$6:$B$205,$C7,Holdings!$C$6:$C$205,$D7)=0),"No holding row (needed for Period Change)","OK")))))))))))))</f>
        <v>OK</v>
      </c>
      <c r="R7" s="89" t="n">
        <f aca="false">IF($C7="","",IFERROR(MATCH($C7,Accounts!$A$6:$A$55,0),""))</f>
        <v>1</v>
      </c>
      <c r="S7" s="89" t="n">
        <f aca="false">IF($D7="","",IFERROR(MATCH($D7,Securities!$A$6:$A$105,0),""))</f>
        <v>1</v>
      </c>
      <c r="T7" s="89" t="n">
        <f aca="true">IF($I7="","",IFERROR(MATCH($I7,L_TxnType,0),""))</f>
        <v>1</v>
      </c>
    </row>
    <row r="8" customFormat="false" ht="15" hidden="false" customHeight="false" outlineLevel="0" collapsed="false">
      <c r="A8" s="77" t="s">
        <v>448</v>
      </c>
      <c r="B8" s="80" t="n">
        <v>46055</v>
      </c>
      <c r="C8" s="78" t="s">
        <v>310</v>
      </c>
      <c r="D8" s="78" t="s">
        <v>314</v>
      </c>
      <c r="E8" s="79" t="str">
        <f aca="false">IF($R8="","",INDEX(Accounts!$C$6:$C$55,$R8)&amp;"")</f>
        <v>Rajiv Malhotra</v>
      </c>
      <c r="F8" s="79" t="str">
        <f aca="false">IF($S8="","",INDEX(Securities!$B$6:$B$105,$S8)&amp;"")</f>
        <v>Sahyadri Precision Engineering Ltd</v>
      </c>
      <c r="G8" s="79" t="str">
        <f aca="false">IF($S8="","",INDEX(Securities!$E$6:$E$105,$S8)&amp;"")</f>
        <v>Direct Equity</v>
      </c>
      <c r="H8" s="79" t="str">
        <f aca="false">IF($S8="","",INDEX(Securities!$F$6:$F$105,$S8)&amp;"")</f>
        <v>Equity</v>
      </c>
      <c r="I8" s="78" t="s">
        <v>443</v>
      </c>
      <c r="J8" s="81" t="n">
        <v>40000</v>
      </c>
      <c r="K8" s="94" t="n">
        <v>598</v>
      </c>
      <c r="L8" s="82" t="n">
        <v>23920000</v>
      </c>
      <c r="M8" s="82" t="n">
        <v>23920</v>
      </c>
      <c r="N8" s="85" t="n">
        <f aca="true">IF(OR($I8="",$T8=""),"",INDEX(L_TxnSign,$T8)*N($L8)-N($M8))</f>
        <v>23896080</v>
      </c>
      <c r="O8" s="79" t="str">
        <f aca="true">IF($T8="","",INDEX(L_TxnCounts,$T8)&amp;"")</f>
        <v>Divestment</v>
      </c>
      <c r="P8" s="78" t="s">
        <v>449</v>
      </c>
      <c r="Q8" s="79" t="str">
        <f aca="false">IF($A8&amp;$C8&amp;$D8&amp;$I8="","",IF($A8="","Missing ID",IF(COUNTIF($A$6:$A$305,$A8)&gt;1,"Duplicate ID",IF(NOT(ISNUMBER($B8)),"Missing date",IF($R8="","Unknown account",IF($D8="","Missing security",IF($S8="","Unknown security",IF($T8="","Unknown type",IF(AND($L8="",$I8&lt;&gt;"Bonus / Split"),"No amount",IF(N($L8)&lt;0,"Type a positive amount; the sign comes from the type",IF(N($M8)&lt;0,"Type charges as a positive amount",IF(N($B8)&gt;ValDate,"Date after valuation",IF(AND(N($B8)&gt;PrevDate,COUNTIFS(Holdings!$B$6:$B$205,$C8,Holdings!$C$6:$C$205,$D8)=0),"No holding row (needed for Period Change)","OK")))))))))))))</f>
        <v>OK</v>
      </c>
      <c r="R8" s="89" t="n">
        <f aca="false">IF($C8="","",IFERROR(MATCH($C8,Accounts!$A$6:$A$55,0),""))</f>
        <v>1</v>
      </c>
      <c r="S8" s="89" t="n">
        <f aca="false">IF($D8="","",IFERROR(MATCH($D8,Securities!$A$6:$A$105,0),""))</f>
        <v>2</v>
      </c>
      <c r="T8" s="89" t="n">
        <f aca="true">IF($I8="","",IFERROR(MATCH($I8,L_TxnType,0),""))</f>
        <v>6</v>
      </c>
    </row>
    <row r="9" customFormat="false" ht="15" hidden="false" customHeight="false" outlineLevel="0" collapsed="false">
      <c r="A9" s="77" t="s">
        <v>450</v>
      </c>
      <c r="B9" s="80" t="n">
        <v>45910</v>
      </c>
      <c r="C9" s="78" t="s">
        <v>334</v>
      </c>
      <c r="D9" s="78" t="s">
        <v>335</v>
      </c>
      <c r="E9" s="79" t="str">
        <f aca="false">IF($R9="","",INDEX(Accounts!$C$6:$C$55,$R9)&amp;"")</f>
        <v>Nisha Malhotra</v>
      </c>
      <c r="F9" s="79" t="str">
        <f aca="false">IF($S9="","",INDEX(Securities!$B$6:$B$105,$S9)&amp;"")</f>
        <v>Deccan Financial Services Ltd</v>
      </c>
      <c r="G9" s="79" t="str">
        <f aca="false">IF($S9="","",INDEX(Securities!$E$6:$E$105,$S9)&amp;"")</f>
        <v>Direct Equity</v>
      </c>
      <c r="H9" s="79" t="str">
        <f aca="false">IF($S9="","",INDEX(Securities!$F$6:$F$105,$S9)&amp;"")</f>
        <v>Equity</v>
      </c>
      <c r="I9" s="78" t="s">
        <v>446</v>
      </c>
      <c r="J9" s="81" t="n">
        <v>27000</v>
      </c>
      <c r="K9" s="94" t="n">
        <v>1540</v>
      </c>
      <c r="L9" s="82" t="n">
        <v>41580000</v>
      </c>
      <c r="M9" s="82" t="n">
        <v>41580</v>
      </c>
      <c r="N9" s="85" t="n">
        <f aca="true">IF(OR($I9="",$T9=""),"",INDEX(L_TxnSign,$T9)*N($L9)-N($M9))</f>
        <v>-41621580</v>
      </c>
      <c r="O9" s="79" t="str">
        <f aca="true">IF($T9="","",INDEX(L_TxnCounts,$T9)&amp;"")</f>
        <v>Investment</v>
      </c>
      <c r="P9" s="78" t="s">
        <v>451</v>
      </c>
      <c r="Q9" s="79" t="str">
        <f aca="false">IF($A9&amp;$C9&amp;$D9&amp;$I9="","",IF($A9="","Missing ID",IF(COUNTIF($A$6:$A$305,$A9)&gt;1,"Duplicate ID",IF(NOT(ISNUMBER($B9)),"Missing date",IF($R9="","Unknown account",IF($D9="","Missing security",IF($S9="","Unknown security",IF($T9="","Unknown type",IF(AND($L9="",$I9&lt;&gt;"Bonus / Split"),"No amount",IF(N($L9)&lt;0,"Type a positive amount; the sign comes from the type",IF(N($M9)&lt;0,"Type charges as a positive amount",IF(N($B9)&gt;ValDate,"Date after valuation",IF(AND(N($B9)&gt;PrevDate,COUNTIFS(Holdings!$B$6:$B$205,$C9,Holdings!$C$6:$C$205,$D9)=0),"No holding row (needed for Period Change)","OK")))))))))))))</f>
        <v>OK</v>
      </c>
      <c r="R9" s="89" t="n">
        <f aca="false">IF($C9="","",IFERROR(MATCH($C9,Accounts!$A$6:$A$55,0),""))</f>
        <v>4</v>
      </c>
      <c r="S9" s="89" t="n">
        <f aca="false">IF($D9="","",IFERROR(MATCH($D9,Securities!$A$6:$A$105,0),""))</f>
        <v>4</v>
      </c>
      <c r="T9" s="89" t="n">
        <f aca="true">IF($I9="","",IFERROR(MATCH($I9,L_TxnType,0),""))</f>
        <v>1</v>
      </c>
    </row>
    <row r="10" customFormat="false" ht="15" hidden="false" customHeight="false" outlineLevel="0" collapsed="false">
      <c r="A10" s="77" t="s">
        <v>452</v>
      </c>
      <c r="B10" s="80" t="n">
        <v>46081</v>
      </c>
      <c r="C10" s="78" t="s">
        <v>334</v>
      </c>
      <c r="D10" s="78" t="s">
        <v>335</v>
      </c>
      <c r="E10" s="79" t="str">
        <f aca="false">IF($R10="","",INDEX(Accounts!$C$6:$C$55,$R10)&amp;"")</f>
        <v>Nisha Malhotra</v>
      </c>
      <c r="F10" s="79" t="str">
        <f aca="false">IF($S10="","",INDEX(Securities!$B$6:$B$105,$S10)&amp;"")</f>
        <v>Deccan Financial Services Ltd</v>
      </c>
      <c r="G10" s="79" t="str">
        <f aca="false">IF($S10="","",INDEX(Securities!$E$6:$E$105,$S10)&amp;"")</f>
        <v>Direct Equity</v>
      </c>
      <c r="H10" s="79" t="str">
        <f aca="false">IF($S10="","",INDEX(Securities!$F$6:$F$105,$S10)&amp;"")</f>
        <v>Equity</v>
      </c>
      <c r="I10" s="78" t="s">
        <v>446</v>
      </c>
      <c r="J10" s="81" t="n">
        <v>9000</v>
      </c>
      <c r="K10" s="94" t="n">
        <v>1602.5</v>
      </c>
      <c r="L10" s="82" t="n">
        <v>14422500</v>
      </c>
      <c r="M10" s="82" t="n">
        <v>14423</v>
      </c>
      <c r="N10" s="85" t="n">
        <f aca="true">IF(OR($I10="",$T10=""),"",INDEX(L_TxnSign,$T10)*N($L10)-N($M10))</f>
        <v>-14436923</v>
      </c>
      <c r="O10" s="79" t="str">
        <f aca="true">IF($T10="","",INDEX(L_TxnCounts,$T10)&amp;"")</f>
        <v>Investment</v>
      </c>
      <c r="P10" s="78" t="s">
        <v>453</v>
      </c>
      <c r="Q10" s="79" t="str">
        <f aca="false">IF($A10&amp;$C10&amp;$D10&amp;$I10="","",IF($A10="","Missing ID",IF(COUNTIF($A$6:$A$305,$A10)&gt;1,"Duplicate ID",IF(NOT(ISNUMBER($B10)),"Missing date",IF($R10="","Unknown account",IF($D10="","Missing security",IF($S10="","Unknown security",IF($T10="","Unknown type",IF(AND($L10="",$I10&lt;&gt;"Bonus / Split"),"No amount",IF(N($L10)&lt;0,"Type a positive amount; the sign comes from the type",IF(N($M10)&lt;0,"Type charges as a positive amount",IF(N($B10)&gt;ValDate,"Date after valuation",IF(AND(N($B10)&gt;PrevDate,COUNTIFS(Holdings!$B$6:$B$205,$C10,Holdings!$C$6:$C$205,$D10)=0),"No holding row (needed for Period Change)","OK")))))))))))))</f>
        <v>OK</v>
      </c>
      <c r="R10" s="89" t="n">
        <f aca="false">IF($C10="","",IFERROR(MATCH($C10,Accounts!$A$6:$A$55,0),""))</f>
        <v>4</v>
      </c>
      <c r="S10" s="89" t="n">
        <f aca="false">IF($D10="","",IFERROR(MATCH($D10,Securities!$A$6:$A$105,0),""))</f>
        <v>4</v>
      </c>
      <c r="T10" s="89" t="n">
        <f aca="true">IF($I10="","",IFERROR(MATCH($I10,L_TxnType,0),""))</f>
        <v>1</v>
      </c>
    </row>
    <row r="11" customFormat="false" ht="15" hidden="false" customHeight="false" outlineLevel="0" collapsed="false">
      <c r="A11" s="77" t="s">
        <v>454</v>
      </c>
      <c r="B11" s="80" t="n">
        <v>46101</v>
      </c>
      <c r="C11" s="78" t="s">
        <v>334</v>
      </c>
      <c r="D11" s="78" t="s">
        <v>337</v>
      </c>
      <c r="E11" s="79" t="str">
        <f aca="false">IF($R11="","",INDEX(Accounts!$C$6:$C$55,$R11)&amp;"")</f>
        <v>Nisha Malhotra</v>
      </c>
      <c r="F11" s="79" t="str">
        <f aca="false">IF($S11="","",INDEX(Securities!$B$6:$B$105,$S11)&amp;"")</f>
        <v>Eastern Speciality Chemicals Ltd</v>
      </c>
      <c r="G11" s="79" t="str">
        <f aca="false">IF($S11="","",INDEX(Securities!$E$6:$E$105,$S11)&amp;"")</f>
        <v>Direct Equity</v>
      </c>
      <c r="H11" s="79" t="str">
        <f aca="false">IF($S11="","",INDEX(Securities!$F$6:$F$105,$S11)&amp;"")</f>
        <v>Equity</v>
      </c>
      <c r="I11" s="78" t="s">
        <v>443</v>
      </c>
      <c r="J11" s="81" t="n">
        <v>25000</v>
      </c>
      <c r="K11" s="94" t="n">
        <v>452</v>
      </c>
      <c r="L11" s="82" t="n">
        <v>11300000</v>
      </c>
      <c r="M11" s="82" t="n">
        <v>11300</v>
      </c>
      <c r="N11" s="85" t="n">
        <f aca="true">IF(OR($I11="",$T11=""),"",INDEX(L_TxnSign,$T11)*N($L11)-N($M11))</f>
        <v>11288700</v>
      </c>
      <c r="O11" s="79" t="str">
        <f aca="true">IF($T11="","",INDEX(L_TxnCounts,$T11)&amp;"")</f>
        <v>Divestment</v>
      </c>
      <c r="P11" s="78" t="s">
        <v>455</v>
      </c>
      <c r="Q11" s="79" t="str">
        <f aca="false">IF($A11&amp;$C11&amp;$D11&amp;$I11="","",IF($A11="","Missing ID",IF(COUNTIF($A$6:$A$305,$A11)&gt;1,"Duplicate ID",IF(NOT(ISNUMBER($B11)),"Missing date",IF($R11="","Unknown account",IF($D11="","Missing security",IF($S11="","Unknown security",IF($T11="","Unknown type",IF(AND($L11="",$I11&lt;&gt;"Bonus / Split"),"No amount",IF(N($L11)&lt;0,"Type a positive amount; the sign comes from the type",IF(N($M11)&lt;0,"Type charges as a positive amount",IF(N($B11)&gt;ValDate,"Date after valuation",IF(AND(N($B11)&gt;PrevDate,COUNTIFS(Holdings!$B$6:$B$205,$C11,Holdings!$C$6:$C$205,$D11)=0),"No holding row (needed for Period Change)","OK")))))))))))))</f>
        <v>OK</v>
      </c>
      <c r="R11" s="89" t="n">
        <f aca="false">IF($C11="","",IFERROR(MATCH($C11,Accounts!$A$6:$A$55,0),""))</f>
        <v>4</v>
      </c>
      <c r="S11" s="89" t="n">
        <f aca="false">IF($D11="","",IFERROR(MATCH($D11,Securities!$A$6:$A$105,0),""))</f>
        <v>5</v>
      </c>
      <c r="T11" s="89" t="n">
        <f aca="true">IF($I11="","",IFERROR(MATCH($I11,L_TxnType,0),""))</f>
        <v>6</v>
      </c>
    </row>
    <row r="12" customFormat="false" ht="15" hidden="false" customHeight="false" outlineLevel="0" collapsed="false">
      <c r="A12" s="77" t="s">
        <v>456</v>
      </c>
      <c r="B12" s="80" t="n">
        <v>46003</v>
      </c>
      <c r="C12" s="78" t="s">
        <v>326</v>
      </c>
      <c r="D12" s="78" t="s">
        <v>327</v>
      </c>
      <c r="E12" s="79" t="str">
        <f aca="false">IF($R12="","",INDEX(Accounts!$C$6:$C$55,$R12)&amp;"")</f>
        <v>Nisha Malhotra</v>
      </c>
      <c r="F12" s="79" t="str">
        <f aca="false">IF($S12="","",INDEX(Securities!$B$6:$B$105,$S12)&amp;"")</f>
        <v>Himalaya Flexi Cap Fund – Direct Growth</v>
      </c>
      <c r="G12" s="79" t="str">
        <f aca="false">IF($S12="","",INDEX(Securities!$E$6:$E$105,$S12)&amp;"")</f>
        <v>Equity MF – Large / Flexi / Multi Cap</v>
      </c>
      <c r="H12" s="79" t="str">
        <f aca="false">IF($S12="","",INDEX(Securities!$F$6:$F$105,$S12)&amp;"")</f>
        <v>Equity</v>
      </c>
      <c r="I12" s="78" t="s">
        <v>457</v>
      </c>
      <c r="J12" s="81" t="n">
        <v>250000</v>
      </c>
      <c r="K12" s="94" t="n">
        <v>91.2</v>
      </c>
      <c r="L12" s="82" t="n">
        <v>22800000</v>
      </c>
      <c r="M12" s="82" t="n">
        <v>0</v>
      </c>
      <c r="N12" s="85" t="n">
        <f aca="true">IF(OR($I12="",$T12=""),"",INDEX(L_TxnSign,$T12)*N($L12)-N($M12))</f>
        <v>22800000</v>
      </c>
      <c r="O12" s="79" t="str">
        <f aca="true">IF($T12="","",INDEX(L_TxnCounts,$T12)&amp;"")</f>
        <v>Divestment</v>
      </c>
      <c r="P12" s="78" t="s">
        <v>458</v>
      </c>
      <c r="Q12" s="79" t="str">
        <f aca="false">IF($A12&amp;$C12&amp;$D12&amp;$I12="","",IF($A12="","Missing ID",IF(COUNTIF($A$6:$A$305,$A12)&gt;1,"Duplicate ID",IF(NOT(ISNUMBER($B12)),"Missing date",IF($R12="","Unknown account",IF($D12="","Missing security",IF($S12="","Unknown security",IF($T12="","Unknown type",IF(AND($L12="",$I12&lt;&gt;"Bonus / Split"),"No amount",IF(N($L12)&lt;0,"Type a positive amount; the sign comes from the type",IF(N($M12)&lt;0,"Type charges as a positive amount",IF(N($B12)&gt;ValDate,"Date after valuation",IF(AND(N($B12)&gt;PrevDate,COUNTIFS(Holdings!$B$6:$B$205,$C12,Holdings!$C$6:$C$205,$D12)=0),"No holding row (needed for Period Change)","OK")))))))))))))</f>
        <v>OK</v>
      </c>
      <c r="R12" s="89" t="n">
        <f aca="false">IF($C12="","",IFERROR(MATCH($C12,Accounts!$A$6:$A$55,0),""))</f>
        <v>3</v>
      </c>
      <c r="S12" s="89" t="n">
        <f aca="false">IF($D12="","",IFERROR(MATCH($D12,Securities!$A$6:$A$105,0),""))</f>
        <v>6</v>
      </c>
      <c r="T12" s="89" t="n">
        <f aca="true">IF($I12="","",IFERROR(MATCH($I12,L_TxnType,0),""))</f>
        <v>7</v>
      </c>
    </row>
    <row r="13" customFormat="false" ht="15" hidden="false" customHeight="false" outlineLevel="0" collapsed="false">
      <c r="A13" s="77" t="s">
        <v>459</v>
      </c>
      <c r="B13" s="80" t="n">
        <v>46127</v>
      </c>
      <c r="C13" s="78" t="s">
        <v>326</v>
      </c>
      <c r="D13" s="78" t="s">
        <v>330</v>
      </c>
      <c r="E13" s="79" t="str">
        <f aca="false">IF($R13="","",INDEX(Accounts!$C$6:$C$55,$R13)&amp;"")</f>
        <v>Nisha Malhotra</v>
      </c>
      <c r="F13" s="79" t="str">
        <f aca="false">IF($S13="","",INDEX(Securities!$B$6:$B$105,$S13)&amp;"")</f>
        <v>Indus Midcap Opportunities Fund – Direct Growth</v>
      </c>
      <c r="G13" s="79" t="str">
        <f aca="false">IF($S13="","",INDEX(Securities!$E$6:$E$105,$S13)&amp;"")</f>
        <v>Equity MF – Mid &amp; Small Cap</v>
      </c>
      <c r="H13" s="79" t="str">
        <f aca="false">IF($S13="","",INDEX(Securities!$F$6:$F$105,$S13)&amp;"")</f>
        <v>Equity</v>
      </c>
      <c r="I13" s="78" t="s">
        <v>460</v>
      </c>
      <c r="J13" s="81" t="n">
        <v>3512.332</v>
      </c>
      <c r="K13" s="94" t="n">
        <v>128.12</v>
      </c>
      <c r="L13" s="82" t="n">
        <v>450000</v>
      </c>
      <c r="M13" s="82" t="n">
        <v>0</v>
      </c>
      <c r="N13" s="85" t="n">
        <f aca="true">IF(OR($I13="",$T13=""),"",INDEX(L_TxnSign,$T13)*N($L13)-N($M13))</f>
        <v>-450000</v>
      </c>
      <c r="O13" s="79" t="str">
        <f aca="true">IF($T13="","",INDEX(L_TxnCounts,$T13)&amp;"")</f>
        <v>Investment</v>
      </c>
      <c r="P13" s="78" t="s">
        <v>461</v>
      </c>
      <c r="Q13" s="79" t="str">
        <f aca="false">IF($A13&amp;$C13&amp;$D13&amp;$I13="","",IF($A13="","Missing ID",IF(COUNTIF($A$6:$A$305,$A13)&gt;1,"Duplicate ID",IF(NOT(ISNUMBER($B13)),"Missing date",IF($R13="","Unknown account",IF($D13="","Missing security",IF($S13="","Unknown security",IF($T13="","Unknown type",IF(AND($L13="",$I13&lt;&gt;"Bonus / Split"),"No amount",IF(N($L13)&lt;0,"Type a positive amount; the sign comes from the type",IF(N($M13)&lt;0,"Type charges as a positive amount",IF(N($B13)&gt;ValDate,"Date after valuation",IF(AND(N($B13)&gt;PrevDate,COUNTIFS(Holdings!$B$6:$B$205,$C13,Holdings!$C$6:$C$205,$D13)=0),"No holding row (needed for Period Change)","OK")))))))))))))</f>
        <v>OK</v>
      </c>
      <c r="R13" s="89" t="n">
        <f aca="false">IF($C13="","",IFERROR(MATCH($C13,Accounts!$A$6:$A$55,0),""))</f>
        <v>3</v>
      </c>
      <c r="S13" s="89" t="n">
        <f aca="false">IF($D13="","",IFERROR(MATCH($D13,Securities!$A$6:$A$105,0),""))</f>
        <v>7</v>
      </c>
      <c r="T13" s="89" t="n">
        <f aca="true">IF($I13="","",IFERROR(MATCH($I13,L_TxnType,0),""))</f>
        <v>2</v>
      </c>
    </row>
    <row r="14" customFormat="false" ht="15" hidden="false" customHeight="false" outlineLevel="0" collapsed="false">
      <c r="A14" s="77" t="s">
        <v>462</v>
      </c>
      <c r="B14" s="80" t="n">
        <v>46157</v>
      </c>
      <c r="C14" s="78" t="s">
        <v>326</v>
      </c>
      <c r="D14" s="78" t="s">
        <v>330</v>
      </c>
      <c r="E14" s="79" t="str">
        <f aca="false">IF($R14="","",INDEX(Accounts!$C$6:$C$55,$R14)&amp;"")</f>
        <v>Nisha Malhotra</v>
      </c>
      <c r="F14" s="79" t="str">
        <f aca="false">IF($S14="","",INDEX(Securities!$B$6:$B$105,$S14)&amp;"")</f>
        <v>Indus Midcap Opportunities Fund – Direct Growth</v>
      </c>
      <c r="G14" s="79" t="str">
        <f aca="false">IF($S14="","",INDEX(Securities!$E$6:$E$105,$S14)&amp;"")</f>
        <v>Equity MF – Mid &amp; Small Cap</v>
      </c>
      <c r="H14" s="79" t="str">
        <f aca="false">IF($S14="","",INDEX(Securities!$F$6:$F$105,$S14)&amp;"")</f>
        <v>Equity</v>
      </c>
      <c r="I14" s="78" t="s">
        <v>460</v>
      </c>
      <c r="J14" s="81" t="n">
        <v>3441.156</v>
      </c>
      <c r="K14" s="94" t="n">
        <v>130.77</v>
      </c>
      <c r="L14" s="82" t="n">
        <v>450000</v>
      </c>
      <c r="M14" s="82" t="n">
        <v>0</v>
      </c>
      <c r="N14" s="85" t="n">
        <f aca="true">IF(OR($I14="",$T14=""),"",INDEX(L_TxnSign,$T14)*N($L14)-N($M14))</f>
        <v>-450000</v>
      </c>
      <c r="O14" s="79" t="str">
        <f aca="true">IF($T14="","",INDEX(L_TxnCounts,$T14)&amp;"")</f>
        <v>Investment</v>
      </c>
      <c r="P14" s="78" t="s">
        <v>461</v>
      </c>
      <c r="Q14" s="79" t="str">
        <f aca="false">IF($A14&amp;$C14&amp;$D14&amp;$I14="","",IF($A14="","Missing ID",IF(COUNTIF($A$6:$A$305,$A14)&gt;1,"Duplicate ID",IF(NOT(ISNUMBER($B14)),"Missing date",IF($R14="","Unknown account",IF($D14="","Missing security",IF($S14="","Unknown security",IF($T14="","Unknown type",IF(AND($L14="",$I14&lt;&gt;"Bonus / Split"),"No amount",IF(N($L14)&lt;0,"Type a positive amount; the sign comes from the type",IF(N($M14)&lt;0,"Type charges as a positive amount",IF(N($B14)&gt;ValDate,"Date after valuation",IF(AND(N($B14)&gt;PrevDate,COUNTIFS(Holdings!$B$6:$B$205,$C14,Holdings!$C$6:$C$205,$D14)=0),"No holding row (needed for Period Change)","OK")))))))))))))</f>
        <v>OK</v>
      </c>
      <c r="R14" s="89" t="n">
        <f aca="false">IF($C14="","",IFERROR(MATCH($C14,Accounts!$A$6:$A$55,0),""))</f>
        <v>3</v>
      </c>
      <c r="S14" s="89" t="n">
        <f aca="false">IF($D14="","",IFERROR(MATCH($D14,Securities!$A$6:$A$105,0),""))</f>
        <v>7</v>
      </c>
      <c r="T14" s="89" t="n">
        <f aca="true">IF($I14="","",IFERROR(MATCH($I14,L_TxnType,0),""))</f>
        <v>2</v>
      </c>
    </row>
    <row r="15" customFormat="false" ht="15" hidden="false" customHeight="false" outlineLevel="0" collapsed="false">
      <c r="A15" s="77" t="s">
        <v>463</v>
      </c>
      <c r="B15" s="80" t="n">
        <v>46188</v>
      </c>
      <c r="C15" s="78" t="s">
        <v>326</v>
      </c>
      <c r="D15" s="78" t="s">
        <v>330</v>
      </c>
      <c r="E15" s="79" t="str">
        <f aca="false">IF($R15="","",INDEX(Accounts!$C$6:$C$55,$R15)&amp;"")</f>
        <v>Nisha Malhotra</v>
      </c>
      <c r="F15" s="79" t="str">
        <f aca="false">IF($S15="","",INDEX(Securities!$B$6:$B$105,$S15)&amp;"")</f>
        <v>Indus Midcap Opportunities Fund – Direct Growth</v>
      </c>
      <c r="G15" s="79" t="str">
        <f aca="false">IF($S15="","",INDEX(Securities!$E$6:$E$105,$S15)&amp;"")</f>
        <v>Equity MF – Mid &amp; Small Cap</v>
      </c>
      <c r="H15" s="79" t="str">
        <f aca="false">IF($S15="","",INDEX(Securities!$F$6:$F$105,$S15)&amp;"")</f>
        <v>Equity</v>
      </c>
      <c r="I15" s="78" t="s">
        <v>460</v>
      </c>
      <c r="J15" s="81" t="n">
        <v>3208.785</v>
      </c>
      <c r="K15" s="94" t="n">
        <v>140.24</v>
      </c>
      <c r="L15" s="82" t="n">
        <v>450000</v>
      </c>
      <c r="M15" s="82" t="n">
        <v>0</v>
      </c>
      <c r="N15" s="85" t="n">
        <f aca="true">IF(OR($I15="",$T15=""),"",INDEX(L_TxnSign,$T15)*N($L15)-N($M15))</f>
        <v>-450000</v>
      </c>
      <c r="O15" s="79" t="str">
        <f aca="true">IF($T15="","",INDEX(L_TxnCounts,$T15)&amp;"")</f>
        <v>Investment</v>
      </c>
      <c r="P15" s="78" t="s">
        <v>461</v>
      </c>
      <c r="Q15" s="79" t="str">
        <f aca="false">IF($A15&amp;$C15&amp;$D15&amp;$I15="","",IF($A15="","Missing ID",IF(COUNTIF($A$6:$A$305,$A15)&gt;1,"Duplicate ID",IF(NOT(ISNUMBER($B15)),"Missing date",IF($R15="","Unknown account",IF($D15="","Missing security",IF($S15="","Unknown security",IF($T15="","Unknown type",IF(AND($L15="",$I15&lt;&gt;"Bonus / Split"),"No amount",IF(N($L15)&lt;0,"Type a positive amount; the sign comes from the type",IF(N($M15)&lt;0,"Type charges as a positive amount",IF(N($B15)&gt;ValDate,"Date after valuation",IF(AND(N($B15)&gt;PrevDate,COUNTIFS(Holdings!$B$6:$B$205,$C15,Holdings!$C$6:$C$205,$D15)=0),"No holding row (needed for Period Change)","OK")))))))))))))</f>
        <v>OK</v>
      </c>
      <c r="R15" s="89" t="n">
        <f aca="false">IF($C15="","",IFERROR(MATCH($C15,Accounts!$A$6:$A$55,0),""))</f>
        <v>3</v>
      </c>
      <c r="S15" s="89" t="n">
        <f aca="false">IF($D15="","",IFERROR(MATCH($D15,Securities!$A$6:$A$105,0),""))</f>
        <v>7</v>
      </c>
      <c r="T15" s="89" t="n">
        <f aca="true">IF($I15="","",IFERROR(MATCH($I15,L_TxnType,0),""))</f>
        <v>2</v>
      </c>
    </row>
    <row r="16" customFormat="false" ht="15" hidden="false" customHeight="false" outlineLevel="0" collapsed="false">
      <c r="A16" s="77" t="s">
        <v>464</v>
      </c>
      <c r="B16" s="80" t="n">
        <v>46134</v>
      </c>
      <c r="C16" s="78" t="s">
        <v>350</v>
      </c>
      <c r="D16" s="78" t="s">
        <v>351</v>
      </c>
      <c r="E16" s="79" t="str">
        <f aca="false">IF($R16="","",INDEX(Accounts!$C$6:$C$55,$R16)&amp;"")</f>
        <v>Malhotra Family Trust</v>
      </c>
      <c r="F16" s="79" t="str">
        <f aca="false">IF($S16="","",INDEX(Securities!$B$6:$B$105,$S16)&amp;"")</f>
        <v>Fernhill Ventures Fund II – Class A</v>
      </c>
      <c r="G16" s="79" t="str">
        <f aca="false">IF($S16="","",INDEX(Securities!$E$6:$E$105,$S16)&amp;"")</f>
        <v>AIF Cat I / II – PE / VC Fund</v>
      </c>
      <c r="H16" s="79" t="str">
        <f aca="false">IF($S16="","",INDEX(Securities!$F$6:$F$105,$S16)&amp;"")</f>
        <v>Alternate</v>
      </c>
      <c r="I16" s="78" t="s">
        <v>465</v>
      </c>
      <c r="J16" s="81" t="n">
        <v>10000</v>
      </c>
      <c r="K16" s="94" t="n">
        <v>1000</v>
      </c>
      <c r="L16" s="82" t="n">
        <v>10000000</v>
      </c>
      <c r="M16" s="82" t="n">
        <v>0</v>
      </c>
      <c r="N16" s="85" t="n">
        <f aca="true">IF(OR($I16="",$T16=""),"",INDEX(L_TxnSign,$T16)*N($L16)-N($M16))</f>
        <v>-10000000</v>
      </c>
      <c r="O16" s="79" t="str">
        <f aca="true">IF($T16="","",INDEX(L_TxnCounts,$T16)&amp;"")</f>
        <v>Investment</v>
      </c>
      <c r="P16" s="78" t="s">
        <v>466</v>
      </c>
      <c r="Q16" s="79" t="str">
        <f aca="false">IF($A16&amp;$C16&amp;$D16&amp;$I16="","",IF($A16="","Missing ID",IF(COUNTIF($A$6:$A$305,$A16)&gt;1,"Duplicate ID",IF(NOT(ISNUMBER($B16)),"Missing date",IF($R16="","Unknown account",IF($D16="","Missing security",IF($S16="","Unknown security",IF($T16="","Unknown type",IF(AND($L16="",$I16&lt;&gt;"Bonus / Split"),"No amount",IF(N($L16)&lt;0,"Type a positive amount; the sign comes from the type",IF(N($M16)&lt;0,"Type charges as a positive amount",IF(N($B16)&gt;ValDate,"Date after valuation",IF(AND(N($B16)&gt;PrevDate,COUNTIFS(Holdings!$B$6:$B$205,$C16,Holdings!$C$6:$C$205,$D16)=0),"No holding row (needed for Period Change)","OK")))))))))))))</f>
        <v>OK</v>
      </c>
      <c r="R16" s="89" t="n">
        <f aca="false">IF($C16="","",IFERROR(MATCH($C16,Accounts!$A$6:$A$55,0),""))</f>
        <v>6</v>
      </c>
      <c r="S16" s="89" t="n">
        <f aca="false">IF($D16="","",IFERROR(MATCH($D16,Securities!$A$6:$A$105,0),""))</f>
        <v>18</v>
      </c>
      <c r="T16" s="89" t="n">
        <f aca="true">IF($I16="","",IFERROR(MATCH($I16,L_TxnType,0),""))</f>
        <v>3</v>
      </c>
    </row>
    <row r="17" customFormat="false" ht="15" hidden="false" customHeight="false" outlineLevel="0" collapsed="false">
      <c r="A17" s="77" t="s">
        <v>467</v>
      </c>
      <c r="B17" s="80" t="n">
        <v>46172</v>
      </c>
      <c r="C17" s="78" t="s">
        <v>350</v>
      </c>
      <c r="D17" s="78" t="s">
        <v>351</v>
      </c>
      <c r="E17" s="79" t="str">
        <f aca="false">IF($R17="","",INDEX(Accounts!$C$6:$C$55,$R17)&amp;"")</f>
        <v>Malhotra Family Trust</v>
      </c>
      <c r="F17" s="79" t="str">
        <f aca="false">IF($S17="","",INDEX(Securities!$B$6:$B$105,$S17)&amp;"")</f>
        <v>Fernhill Ventures Fund II – Class A</v>
      </c>
      <c r="G17" s="79" t="str">
        <f aca="false">IF($S17="","",INDEX(Securities!$E$6:$E$105,$S17)&amp;"")</f>
        <v>AIF Cat I / II – PE / VC Fund</v>
      </c>
      <c r="H17" s="79" t="str">
        <f aca="false">IF($S17="","",INDEX(Securities!$F$6:$F$105,$S17)&amp;"")</f>
        <v>Alternate</v>
      </c>
      <c r="I17" s="78" t="s">
        <v>468</v>
      </c>
      <c r="J17" s="81"/>
      <c r="K17" s="94"/>
      <c r="L17" s="82" t="n">
        <v>3500000</v>
      </c>
      <c r="M17" s="82" t="n">
        <v>0</v>
      </c>
      <c r="N17" s="85" t="n">
        <f aca="true">IF(OR($I17="",$T17=""),"",INDEX(L_TxnSign,$T17)*N($L17)-N($M17))</f>
        <v>3500000</v>
      </c>
      <c r="O17" s="79" t="str">
        <f aca="true">IF($T17="","",INDEX(L_TxnCounts,$T17)&amp;"")</f>
        <v>Divestment</v>
      </c>
      <c r="P17" s="78" t="s">
        <v>469</v>
      </c>
      <c r="Q17" s="79" t="str">
        <f aca="false">IF($A17&amp;$C17&amp;$D17&amp;$I17="","",IF($A17="","Missing ID",IF(COUNTIF($A$6:$A$305,$A17)&gt;1,"Duplicate ID",IF(NOT(ISNUMBER($B17)),"Missing date",IF($R17="","Unknown account",IF($D17="","Missing security",IF($S17="","Unknown security",IF($T17="","Unknown type",IF(AND($L17="",$I17&lt;&gt;"Bonus / Split"),"No amount",IF(N($L17)&lt;0,"Type a positive amount; the sign comes from the type",IF(N($M17)&lt;0,"Type charges as a positive amount",IF(N($B17)&gt;ValDate,"Date after valuation",IF(AND(N($B17)&gt;PrevDate,COUNTIFS(Holdings!$B$6:$B$205,$C17,Holdings!$C$6:$C$205,$D17)=0),"No holding row (needed for Period Change)","OK")))))))))))))</f>
        <v>OK</v>
      </c>
      <c r="R17" s="89" t="n">
        <f aca="false">IF($C17="","",IFERROR(MATCH($C17,Accounts!$A$6:$A$55,0),""))</f>
        <v>6</v>
      </c>
      <c r="S17" s="89" t="n">
        <f aca="false">IF($D17="","",IFERROR(MATCH($D17,Securities!$A$6:$A$105,0),""))</f>
        <v>18</v>
      </c>
      <c r="T17" s="89" t="n">
        <f aca="true">IF($I17="","",IFERROR(MATCH($I17,L_TxnType,0),""))</f>
        <v>10</v>
      </c>
    </row>
    <row r="18" customFormat="false" ht="15" hidden="false" customHeight="false" outlineLevel="0" collapsed="false">
      <c r="A18" s="77" t="s">
        <v>470</v>
      </c>
      <c r="B18" s="80" t="n">
        <v>46183</v>
      </c>
      <c r="C18" s="78" t="s">
        <v>354</v>
      </c>
      <c r="D18" s="78" t="s">
        <v>355</v>
      </c>
      <c r="E18" s="79" t="str">
        <f aca="false">IF($R18="","",INDEX(Accounts!$C$6:$C$55,$R18)&amp;"")</f>
        <v>Malhotra Family Trust</v>
      </c>
      <c r="F18" s="79" t="str">
        <f aca="false">IF($S18="","",INDEX(Securities!$B$6:$B$105,$S18)&amp;"")</f>
        <v>Orion Housing Finance 8.60% NCD 2029</v>
      </c>
      <c r="G18" s="79" t="str">
        <f aca="false">IF($S18="","",INDEX(Securities!$E$6:$E$105,$S18)&amp;"")</f>
        <v>Bonds / NCDs</v>
      </c>
      <c r="H18" s="79" t="str">
        <f aca="false">IF($S18="","",INDEX(Securities!$F$6:$F$105,$S18)&amp;"")</f>
        <v>Debt</v>
      </c>
      <c r="I18" s="78" t="s">
        <v>471</v>
      </c>
      <c r="J18" s="81"/>
      <c r="K18" s="94"/>
      <c r="L18" s="82" t="n">
        <v>2150000</v>
      </c>
      <c r="M18" s="82" t="n">
        <v>215000</v>
      </c>
      <c r="N18" s="85" t="n">
        <f aca="true">IF(OR($I18="",$T18=""),"",INDEX(L_TxnSign,$T18)*N($L18)-N($M18))</f>
        <v>1935000</v>
      </c>
      <c r="O18" s="79" t="str">
        <f aca="true">IF($T18="","",INDEX(L_TxnCounts,$T18)&amp;"")</f>
        <v>Income</v>
      </c>
      <c r="P18" s="78" t="s">
        <v>472</v>
      </c>
      <c r="Q18" s="79" t="str">
        <f aca="false">IF($A18&amp;$C18&amp;$D18&amp;$I18="","",IF($A18="","Missing ID",IF(COUNTIF($A$6:$A$305,$A18)&gt;1,"Duplicate ID",IF(NOT(ISNUMBER($B18)),"Missing date",IF($R18="","Unknown account",IF($D18="","Missing security",IF($S18="","Unknown security",IF($T18="","Unknown type",IF(AND($L18="",$I18&lt;&gt;"Bonus / Split"),"No amount",IF(N($L18)&lt;0,"Type a positive amount; the sign comes from the type",IF(N($M18)&lt;0,"Type charges as a positive amount",IF(N($B18)&gt;ValDate,"Date after valuation",IF(AND(N($B18)&gt;PrevDate,COUNTIFS(Holdings!$B$6:$B$205,$C18,Holdings!$C$6:$C$205,$D18)=0),"No holding row (needed for Period Change)","OK")))))))))))))</f>
        <v>OK</v>
      </c>
      <c r="R18" s="89" t="n">
        <f aca="false">IF($C18="","",IFERROR(MATCH($C18,Accounts!$A$6:$A$55,0),""))</f>
        <v>8</v>
      </c>
      <c r="S18" s="89" t="n">
        <f aca="false">IF($D18="","",IFERROR(MATCH($D18,Securities!$A$6:$A$105,0),""))</f>
        <v>17</v>
      </c>
      <c r="T18" s="89" t="n">
        <f aca="true">IF($I18="","",IFERROR(MATCH($I18,L_TxnType,0),""))</f>
        <v>12</v>
      </c>
    </row>
    <row r="19" customFormat="false" ht="15" hidden="false" customHeight="false" outlineLevel="0" collapsed="false">
      <c r="A19" s="77" t="s">
        <v>473</v>
      </c>
      <c r="B19" s="80" t="n">
        <v>46137</v>
      </c>
      <c r="C19" s="78" t="s">
        <v>354</v>
      </c>
      <c r="D19" s="78" t="s">
        <v>362</v>
      </c>
      <c r="E19" s="79" t="str">
        <f aca="false">IF($R19="","",INDEX(Accounts!$C$6:$C$55,$R19)&amp;"")</f>
        <v>Malhotra Family Trust</v>
      </c>
      <c r="F19" s="79" t="str">
        <f aca="false">IF($S19="","",INDEX(Securities!$B$6:$B$105,$S19)&amp;"")</f>
        <v>Tapti Infrastructure InvIT</v>
      </c>
      <c r="G19" s="79" t="str">
        <f aca="false">IF($S19="","",INDEX(Securities!$E$6:$E$105,$S19)&amp;"")</f>
        <v>REIT / InvIT</v>
      </c>
      <c r="H19" s="79" t="str">
        <f aca="false">IF($S19="","",INDEX(Securities!$F$6:$F$105,$S19)&amp;"")</f>
        <v>Alternate</v>
      </c>
      <c r="I19" s="78" t="s">
        <v>474</v>
      </c>
      <c r="J19" s="81"/>
      <c r="K19" s="94"/>
      <c r="L19" s="82" t="n">
        <v>900000</v>
      </c>
      <c r="M19" s="82" t="n">
        <v>0</v>
      </c>
      <c r="N19" s="85" t="n">
        <f aca="true">IF(OR($I19="",$T19=""),"",INDEX(L_TxnSign,$T19)*N($L19)-N($M19))</f>
        <v>900000</v>
      </c>
      <c r="O19" s="79" t="str">
        <f aca="true">IF($T19="","",INDEX(L_TxnCounts,$T19)&amp;"")</f>
        <v>Income</v>
      </c>
      <c r="P19" s="78" t="s">
        <v>475</v>
      </c>
      <c r="Q19" s="79" t="str">
        <f aca="false">IF($A19&amp;$C19&amp;$D19&amp;$I19="","",IF($A19="","Missing ID",IF(COUNTIF($A$6:$A$305,$A19)&gt;1,"Duplicate ID",IF(NOT(ISNUMBER($B19)),"Missing date",IF($R19="","Unknown account",IF($D19="","Missing security",IF($S19="","Unknown security",IF($T19="","Unknown type",IF(AND($L19="",$I19&lt;&gt;"Bonus / Split"),"No amount",IF(N($L19)&lt;0,"Type a positive amount; the sign comes from the type",IF(N($M19)&lt;0,"Type charges as a positive amount",IF(N($B19)&gt;ValDate,"Date after valuation",IF(AND(N($B19)&gt;PrevDate,COUNTIFS(Holdings!$B$6:$B$205,$C19,Holdings!$C$6:$C$205,$D19)=0),"No holding row (needed for Period Change)","OK")))))))))))))</f>
        <v>OK</v>
      </c>
      <c r="R19" s="89" t="n">
        <f aca="false">IF($C19="","",IFERROR(MATCH($C19,Accounts!$A$6:$A$55,0),""))</f>
        <v>8</v>
      </c>
      <c r="S19" s="89" t="n">
        <f aca="false">IF($D19="","",IFERROR(MATCH($D19,Securities!$A$6:$A$105,0),""))</f>
        <v>21</v>
      </c>
      <c r="T19" s="89" t="n">
        <f aca="true">IF($I19="","",IFERROR(MATCH($I19,L_TxnType,0),""))</f>
        <v>11</v>
      </c>
    </row>
    <row r="20" customFormat="false" ht="15" hidden="false" customHeight="false" outlineLevel="0" collapsed="false">
      <c r="A20" s="77" t="s">
        <v>476</v>
      </c>
      <c r="B20" s="80" t="n">
        <v>46147</v>
      </c>
      <c r="C20" s="78" t="s">
        <v>341</v>
      </c>
      <c r="D20" s="78" t="s">
        <v>342</v>
      </c>
      <c r="E20" s="79" t="str">
        <f aca="false">IF($R20="","",INDEX(Accounts!$C$6:$C$55,$R20)&amp;"")</f>
        <v>Arjun Malhotra</v>
      </c>
      <c r="F20" s="79" t="str">
        <f aca="false">IF($S20="","",INDEX(Securities!$B$6:$B$105,$S20)&amp;"")</f>
        <v>Cedar India Opportunities Fund – Class A</v>
      </c>
      <c r="G20" s="79" t="str">
        <f aca="false">IF($S20="","",INDEX(Securities!$E$6:$E$105,$S20)&amp;"")</f>
        <v>AIF Cat III – Listed Equity</v>
      </c>
      <c r="H20" s="79" t="str">
        <f aca="false">IF($S20="","",INDEX(Securities!$F$6:$F$105,$S20)&amp;"")</f>
        <v>Equity</v>
      </c>
      <c r="I20" s="78" t="s">
        <v>446</v>
      </c>
      <c r="J20" s="81" t="n">
        <v>70000</v>
      </c>
      <c r="K20" s="94" t="n">
        <v>128.4</v>
      </c>
      <c r="L20" s="82" t="n">
        <v>8988000</v>
      </c>
      <c r="M20" s="82" t="n">
        <v>0</v>
      </c>
      <c r="N20" s="85" t="n">
        <f aca="true">IF(OR($I20="",$T20=""),"",INDEX(L_TxnSign,$T20)*N($L20)-N($M20))</f>
        <v>-8988000</v>
      </c>
      <c r="O20" s="79" t="str">
        <f aca="true">IF($T20="","",INDEX(L_TxnCounts,$T20)&amp;"")</f>
        <v>Investment</v>
      </c>
      <c r="P20" s="78" t="s">
        <v>477</v>
      </c>
      <c r="Q20" s="79" t="str">
        <f aca="false">IF($A20&amp;$C20&amp;$D20&amp;$I20="","",IF($A20="","Missing ID",IF(COUNTIF($A$6:$A$305,$A20)&gt;1,"Duplicate ID",IF(NOT(ISNUMBER($B20)),"Missing date",IF($R20="","Unknown account",IF($D20="","Missing security",IF($S20="","Unknown security",IF($T20="","Unknown type",IF(AND($L20="",$I20&lt;&gt;"Bonus / Split"),"No amount",IF(N($L20)&lt;0,"Type a positive amount; the sign comes from the type",IF(N($M20)&lt;0,"Type charges as a positive amount",IF(N($B20)&gt;ValDate,"Date after valuation",IF(AND(N($B20)&gt;PrevDate,COUNTIFS(Holdings!$B$6:$B$205,$C20,Holdings!$C$6:$C$205,$D20)=0),"No holding row (needed for Period Change)","OK")))))))))))))</f>
        <v>OK</v>
      </c>
      <c r="R20" s="89" t="n">
        <f aca="false">IF($C20="","",IFERROR(MATCH($C20,Accounts!$A$6:$A$55,0),""))</f>
        <v>5</v>
      </c>
      <c r="S20" s="89" t="n">
        <f aca="false">IF($D20="","",IFERROR(MATCH($D20,Securities!$A$6:$A$105,0),""))</f>
        <v>10</v>
      </c>
      <c r="T20" s="89" t="n">
        <f aca="true">IF($I20="","",IFERROR(MATCH($I20,L_TxnType,0),""))</f>
        <v>1</v>
      </c>
    </row>
    <row r="21" customFormat="false" ht="15" hidden="false" customHeight="false" outlineLevel="0" collapsed="false">
      <c r="A21" s="77" t="s">
        <v>478</v>
      </c>
      <c r="B21" s="80" t="n">
        <v>46191</v>
      </c>
      <c r="C21" s="78" t="s">
        <v>354</v>
      </c>
      <c r="D21" s="78" t="s">
        <v>358</v>
      </c>
      <c r="E21" s="79" t="str">
        <f aca="false">IF($R21="","",INDEX(Accounts!$C$6:$C$55,$R21)&amp;"")</f>
        <v>Malhotra Family Trust</v>
      </c>
      <c r="F21" s="79" t="str">
        <f aca="false">IF($S21="","",INDEX(Securities!$B$6:$B$105,$S21)&amp;"")</f>
        <v>Malabar Arbitrage Fund – Direct Growth</v>
      </c>
      <c r="G21" s="79" t="str">
        <f aca="false">IF($S21="","",INDEX(Securities!$E$6:$E$105,$S21)&amp;"")</f>
        <v>Arbitrage Fund</v>
      </c>
      <c r="H21" s="79" t="str">
        <f aca="false">IF($S21="","",INDEX(Securities!$F$6:$F$105,$S21)&amp;"")</f>
        <v>Cash</v>
      </c>
      <c r="I21" s="78" t="s">
        <v>446</v>
      </c>
      <c r="J21" s="81" t="n">
        <v>400000</v>
      </c>
      <c r="K21" s="94" t="n">
        <v>18.69</v>
      </c>
      <c r="L21" s="82" t="n">
        <v>7476000</v>
      </c>
      <c r="M21" s="82" t="n">
        <v>0</v>
      </c>
      <c r="N21" s="85" t="n">
        <f aca="true">IF(OR($I21="",$T21=""),"",INDEX(L_TxnSign,$T21)*N($L21)-N($M21))</f>
        <v>-7476000</v>
      </c>
      <c r="O21" s="79" t="str">
        <f aca="true">IF($T21="","",INDEX(L_TxnCounts,$T21)&amp;"")</f>
        <v>Investment</v>
      </c>
      <c r="P21" s="78"/>
      <c r="Q21" s="79" t="str">
        <f aca="false">IF($A21&amp;$C21&amp;$D21&amp;$I21="","",IF($A21="","Missing ID",IF(COUNTIF($A$6:$A$305,$A21)&gt;1,"Duplicate ID",IF(NOT(ISNUMBER($B21)),"Missing date",IF($R21="","Unknown account",IF($D21="","Missing security",IF($S21="","Unknown security",IF($T21="","Unknown type",IF(AND($L21="",$I21&lt;&gt;"Bonus / Split"),"No amount",IF(N($L21)&lt;0,"Type a positive amount; the sign comes from the type",IF(N($M21)&lt;0,"Type charges as a positive amount",IF(N($B21)&gt;ValDate,"Date after valuation",IF(AND(N($B21)&gt;PrevDate,COUNTIFS(Holdings!$B$6:$B$205,$C21,Holdings!$C$6:$C$205,$D21)=0),"No holding row (needed for Period Change)","OK")))))))))))))</f>
        <v>OK</v>
      </c>
      <c r="R21" s="89" t="n">
        <f aca="false">IF($C21="","",IFERROR(MATCH($C21,Accounts!$A$6:$A$55,0),""))</f>
        <v>8</v>
      </c>
      <c r="S21" s="89" t="n">
        <f aca="false">IF($D21="","",IFERROR(MATCH($D21,Securities!$A$6:$A$105,0),""))</f>
        <v>14</v>
      </c>
      <c r="T21" s="89" t="n">
        <f aca="true">IF($I21="","",IFERROR(MATCH($I21,L_TxnType,0),""))</f>
        <v>1</v>
      </c>
    </row>
    <row r="22" customFormat="false" ht="15" hidden="false" customHeight="false" outlineLevel="0" collapsed="false">
      <c r="A22" s="77" t="s">
        <v>479</v>
      </c>
      <c r="B22" s="80" t="n">
        <v>46203</v>
      </c>
      <c r="C22" s="78" t="s">
        <v>318</v>
      </c>
      <c r="D22" s="78" t="s">
        <v>319</v>
      </c>
      <c r="E22" s="79" t="str">
        <f aca="false">IF($R22="","",INDEX(Accounts!$C$6:$C$55,$R22)&amp;"")</f>
        <v>Rajiv Malhotra</v>
      </c>
      <c r="F22" s="79" t="str">
        <f aca="false">IF($S22="","",INDEX(Securities!$B$6:$B$105,$S22)&amp;"")</f>
        <v>Banyan Focused Equity Portfolio</v>
      </c>
      <c r="G22" s="79" t="str">
        <f aca="false">IF($S22="","",INDEX(Securities!$E$6:$E$105,$S22)&amp;"")</f>
        <v>PMS – Equity</v>
      </c>
      <c r="H22" s="79" t="str">
        <f aca="false">IF($S22="","",INDEX(Securities!$F$6:$F$105,$S22)&amp;"")</f>
        <v>Equity</v>
      </c>
      <c r="I22" s="78" t="s">
        <v>480</v>
      </c>
      <c r="J22" s="81"/>
      <c r="K22" s="94"/>
      <c r="L22" s="82" t="n">
        <v>562500</v>
      </c>
      <c r="M22" s="82" t="n">
        <v>0</v>
      </c>
      <c r="N22" s="85" t="n">
        <f aca="true">IF(OR($I22="",$T22=""),"",INDEX(L_TxnSign,$T22)*N($L22)-N($M22))</f>
        <v>-562500</v>
      </c>
      <c r="O22" s="79" t="str">
        <f aca="true">IF($T22="","",INDEX(L_TxnCounts,$T22)&amp;"")</f>
        <v>Charges</v>
      </c>
      <c r="P22" s="78" t="s">
        <v>481</v>
      </c>
      <c r="Q22" s="79" t="str">
        <f aca="false">IF($A22&amp;$C22&amp;$D22&amp;$I22="","",IF($A22="","Missing ID",IF(COUNTIF($A$6:$A$305,$A22)&gt;1,"Duplicate ID",IF(NOT(ISNUMBER($B22)),"Missing date",IF($R22="","Unknown account",IF($D22="","Missing security",IF($S22="","Unknown security",IF($T22="","Unknown type",IF(AND($L22="",$I22&lt;&gt;"Bonus / Split"),"No amount",IF(N($L22)&lt;0,"Type a positive amount; the sign comes from the type",IF(N($M22)&lt;0,"Type charges as a positive amount",IF(N($B22)&gt;ValDate,"Date after valuation",IF(AND(N($B22)&gt;PrevDate,COUNTIFS(Holdings!$B$6:$B$205,$C22,Holdings!$C$6:$C$205,$D22)=0),"No holding row (needed for Period Change)","OK")))))))))))))</f>
        <v>OK</v>
      </c>
      <c r="R22" s="89" t="n">
        <f aca="false">IF($C22="","",IFERROR(MATCH($C22,Accounts!$A$6:$A$55,0),""))</f>
        <v>2</v>
      </c>
      <c r="S22" s="89" t="n">
        <f aca="false">IF($D22="","",IFERROR(MATCH($D22,Securities!$A$6:$A$105,0),""))</f>
        <v>9</v>
      </c>
      <c r="T22" s="89" t="n">
        <f aca="true">IF($I22="","",IFERROR(MATCH($I22,L_TxnType,0),""))</f>
        <v>13</v>
      </c>
    </row>
    <row r="23" customFormat="false" ht="15" hidden="false" customHeight="false" outlineLevel="0" collapsed="false">
      <c r="A23" s="77" t="s">
        <v>482</v>
      </c>
      <c r="B23" s="80" t="n">
        <v>46154</v>
      </c>
      <c r="C23" s="78" t="s">
        <v>334</v>
      </c>
      <c r="D23" s="78" t="s">
        <v>335</v>
      </c>
      <c r="E23" s="79" t="str">
        <f aca="false">IF($R23="","",INDEX(Accounts!$C$6:$C$55,$R23)&amp;"")</f>
        <v>Nisha Malhotra</v>
      </c>
      <c r="F23" s="79" t="str">
        <f aca="false">IF($S23="","",INDEX(Securities!$B$6:$B$105,$S23)&amp;"")</f>
        <v>Deccan Financial Services Ltd</v>
      </c>
      <c r="G23" s="79" t="str">
        <f aca="false">IF($S23="","",INDEX(Securities!$E$6:$E$105,$S23)&amp;"")</f>
        <v>Direct Equity</v>
      </c>
      <c r="H23" s="79" t="str">
        <f aca="false">IF($S23="","",INDEX(Securities!$F$6:$F$105,$S23)&amp;"")</f>
        <v>Equity</v>
      </c>
      <c r="I23" s="78" t="s">
        <v>474</v>
      </c>
      <c r="J23" s="81"/>
      <c r="K23" s="94" t="n">
        <v>18</v>
      </c>
      <c r="L23" s="82" t="n">
        <v>648000</v>
      </c>
      <c r="M23" s="82" t="n">
        <v>64800</v>
      </c>
      <c r="N23" s="85" t="n">
        <f aca="true">IF(OR($I23="",$T23=""),"",INDEX(L_TxnSign,$T23)*N($L23)-N($M23))</f>
        <v>583200</v>
      </c>
      <c r="O23" s="79" t="str">
        <f aca="true">IF($T23="","",INDEX(L_TxnCounts,$T23)&amp;"")</f>
        <v>Income</v>
      </c>
      <c r="P23" s="78" t="s">
        <v>483</v>
      </c>
      <c r="Q23" s="79" t="str">
        <f aca="false">IF($A23&amp;$C23&amp;$D23&amp;$I23="","",IF($A23="","Missing ID",IF(COUNTIF($A$6:$A$305,$A23)&gt;1,"Duplicate ID",IF(NOT(ISNUMBER($B23)),"Missing date",IF($R23="","Unknown account",IF($D23="","Missing security",IF($S23="","Unknown security",IF($T23="","Unknown type",IF(AND($L23="",$I23&lt;&gt;"Bonus / Split"),"No amount",IF(N($L23)&lt;0,"Type a positive amount; the sign comes from the type",IF(N($M23)&lt;0,"Type charges as a positive amount",IF(N($B23)&gt;ValDate,"Date after valuation",IF(AND(N($B23)&gt;PrevDate,COUNTIFS(Holdings!$B$6:$B$205,$C23,Holdings!$C$6:$C$205,$D23)=0),"No holding row (needed for Period Change)","OK")))))))))))))</f>
        <v>OK</v>
      </c>
      <c r="R23" s="89" t="n">
        <f aca="false">IF($C23="","",IFERROR(MATCH($C23,Accounts!$A$6:$A$55,0),""))</f>
        <v>4</v>
      </c>
      <c r="S23" s="89" t="n">
        <f aca="false">IF($D23="","",IFERROR(MATCH($D23,Securities!$A$6:$A$105,0),""))</f>
        <v>4</v>
      </c>
      <c r="T23" s="89" t="n">
        <f aca="true">IF($I23="","",IFERROR(MATCH($I23,L_TxnType,0),""))</f>
        <v>11</v>
      </c>
    </row>
    <row r="24" customFormat="false" ht="15" hidden="false" customHeight="false" outlineLevel="0" collapsed="false">
      <c r="A24" s="77" t="s">
        <v>484</v>
      </c>
      <c r="B24" s="80" t="n">
        <v>46176</v>
      </c>
      <c r="C24" s="78" t="s">
        <v>345</v>
      </c>
      <c r="D24" s="78" t="s">
        <v>346</v>
      </c>
      <c r="E24" s="79" t="str">
        <f aca="false">IF($R24="","",INDEX(Accounts!$C$6:$C$55,$R24)&amp;"")</f>
        <v>Arjun Malhotra</v>
      </c>
      <c r="F24" s="79" t="str">
        <f aca="false">IF($S24="","",INDEX(Securities!$B$6:$B$105,$S24)&amp;"")</f>
        <v>Lotus Liquid Fund – Direct Growth</v>
      </c>
      <c r="G24" s="79" t="str">
        <f aca="false">IF($S24="","",INDEX(Securities!$E$6:$E$105,$S24)&amp;"")</f>
        <v>Liquid / Overnight Fund</v>
      </c>
      <c r="H24" s="79" t="str">
        <f aca="false">IF($S24="","",INDEX(Securities!$F$6:$F$105,$S24)&amp;"")</f>
        <v>Cash</v>
      </c>
      <c r="I24" s="78" t="s">
        <v>446</v>
      </c>
      <c r="J24" s="81" t="n">
        <v>1470.212</v>
      </c>
      <c r="K24" s="94" t="n">
        <v>3400.87</v>
      </c>
      <c r="L24" s="82" t="n">
        <v>5000000</v>
      </c>
      <c r="M24" s="82" t="n">
        <v>0</v>
      </c>
      <c r="N24" s="85" t="n">
        <f aca="true">IF(OR($I24="",$T24=""),"",INDEX(L_TxnSign,$T24)*N($L24)-N($M24))</f>
        <v>-5000000</v>
      </c>
      <c r="O24" s="79" t="str">
        <f aca="true">IF($T24="","",INDEX(L_TxnCounts,$T24)&amp;"")</f>
        <v>Investment</v>
      </c>
      <c r="P24" s="78"/>
      <c r="Q24" s="79" t="str">
        <f aca="false">IF($A24&amp;$C24&amp;$D24&amp;$I24="","",IF($A24="","Missing ID",IF(COUNTIF($A$6:$A$305,$A24)&gt;1,"Duplicate ID",IF(NOT(ISNUMBER($B24)),"Missing date",IF($R24="","Unknown account",IF($D24="","Missing security",IF($S24="","Unknown security",IF($T24="","Unknown type",IF(AND($L24="",$I24&lt;&gt;"Bonus / Split"),"No amount",IF(N($L24)&lt;0,"Type a positive amount; the sign comes from the type",IF(N($M24)&lt;0,"Type charges as a positive amount",IF(N($B24)&gt;ValDate,"Date after valuation",IF(AND(N($B24)&gt;PrevDate,COUNTIFS(Holdings!$B$6:$B$205,$C24,Holdings!$C$6:$C$205,$D24)=0),"No holding row (needed for Period Change)","OK")))))))))))))</f>
        <v>OK</v>
      </c>
      <c r="R24" s="89" t="n">
        <f aca="false">IF($C24="","",IFERROR(MATCH($C24,Accounts!$A$6:$A$55,0),""))</f>
        <v>10</v>
      </c>
      <c r="S24" s="89" t="n">
        <f aca="false">IF($D24="","",IFERROR(MATCH($D24,Securities!$A$6:$A$105,0),""))</f>
        <v>13</v>
      </c>
      <c r="T24" s="89" t="n">
        <f aca="true">IF($I24="","",IFERROR(MATCH($I24,L_TxnType,0),""))</f>
        <v>1</v>
      </c>
    </row>
    <row r="25" customFormat="false" ht="15" hidden="false" customHeight="false" outlineLevel="0" collapsed="false">
      <c r="A25" s="77" t="s">
        <v>485</v>
      </c>
      <c r="B25" s="80" t="n">
        <v>45757</v>
      </c>
      <c r="C25" s="78" t="s">
        <v>310</v>
      </c>
      <c r="D25" s="78" t="s">
        <v>314</v>
      </c>
      <c r="E25" s="79" t="str">
        <f aca="false">IF($R25="","",INDEX(Accounts!$C$6:$C$55,$R25)&amp;"")</f>
        <v>Rajiv Malhotra</v>
      </c>
      <c r="F25" s="79" t="str">
        <f aca="false">IF($S25="","",INDEX(Securities!$B$6:$B$105,$S25)&amp;"")</f>
        <v>Sahyadri Precision Engineering Ltd</v>
      </c>
      <c r="G25" s="79" t="str">
        <f aca="false">IF($S25="","",INDEX(Securities!$E$6:$E$105,$S25)&amp;"")</f>
        <v>Direct Equity</v>
      </c>
      <c r="H25" s="79" t="str">
        <f aca="false">IF($S25="","",INDEX(Securities!$F$6:$F$105,$S25)&amp;"")</f>
        <v>Equity</v>
      </c>
      <c r="I25" s="78" t="s">
        <v>446</v>
      </c>
      <c r="J25" s="81" t="n">
        <v>5000</v>
      </c>
      <c r="K25" s="94" t="n">
        <v>540</v>
      </c>
      <c r="L25" s="82" t="n">
        <v>2700000</v>
      </c>
      <c r="M25" s="82" t="n">
        <v>2700</v>
      </c>
      <c r="N25" s="85" t="n">
        <f aca="true">IF(OR($I25="",$T25=""),"",INDEX(L_TxnSign,$T25)*N($L25)-N($M25))</f>
        <v>-2702700</v>
      </c>
      <c r="O25" s="79" t="str">
        <f aca="true">IF($T25="","",INDEX(L_TxnCounts,$T25)&amp;"")</f>
        <v>Investment</v>
      </c>
      <c r="P25" s="78" t="s">
        <v>486</v>
      </c>
      <c r="Q25" s="79" t="str">
        <f aca="false">IF($A25&amp;$C25&amp;$D25&amp;$I25="","",IF($A25="","Missing ID",IF(COUNTIF($A$6:$A$305,$A25)&gt;1,"Duplicate ID",IF(NOT(ISNUMBER($B25)),"Missing date",IF($R25="","Unknown account",IF($D25="","Missing security",IF($S25="","Unknown security",IF($T25="","Unknown type",IF(AND($L25="",$I25&lt;&gt;"Bonus / Split"),"No amount",IF(N($L25)&lt;0,"Type a positive amount; the sign comes from the type",IF(N($M25)&lt;0,"Type charges as a positive amount",IF(N($B25)&gt;ValDate,"Date after valuation",IF(AND(N($B25)&gt;PrevDate,COUNTIFS(Holdings!$B$6:$B$205,$C25,Holdings!$C$6:$C$205,$D25)=0),"No holding row (needed for Period Change)","OK")))))))))))))</f>
        <v>OK</v>
      </c>
      <c r="R25" s="89" t="n">
        <f aca="false">IF($C25="","",IFERROR(MATCH($C25,Accounts!$A$6:$A$55,0),""))</f>
        <v>1</v>
      </c>
      <c r="S25" s="89" t="n">
        <f aca="false">IF($D25="","",IFERROR(MATCH($D25,Securities!$A$6:$A$105,0),""))</f>
        <v>2</v>
      </c>
      <c r="T25" s="89" t="n">
        <f aca="true">IF($I25="","",IFERROR(MATCH($I25,L_TxnType,0),""))</f>
        <v>1</v>
      </c>
    </row>
    <row r="26" customFormat="false" ht="15" hidden="false" customHeight="false" outlineLevel="0" collapsed="false">
      <c r="A26" s="77" t="s">
        <v>487</v>
      </c>
      <c r="B26" s="80" t="n">
        <v>46162</v>
      </c>
      <c r="C26" s="78" t="s">
        <v>373</v>
      </c>
      <c r="D26" s="78" t="s">
        <v>374</v>
      </c>
      <c r="E26" s="79" t="str">
        <f aca="false">IF($R26="","",INDEX(Accounts!$C$6:$C$55,$R26)&amp;"")</f>
        <v>Malhotra Family Trust</v>
      </c>
      <c r="F26" s="79" t="str">
        <f aca="false">IF($S26="","",INDEX(Securities!$B$6:$B$105,$S26)&amp;"")</f>
        <v>Sahyadri Private Credit Fund – Series I</v>
      </c>
      <c r="G26" s="79" t="str">
        <f aca="false">IF($S26="","",INDEX(Securities!$E$6:$E$105,$S26)&amp;"")</f>
        <v>AIF Cat II – Private Credit</v>
      </c>
      <c r="H26" s="79" t="str">
        <f aca="false">IF($S26="","",INDEX(Securities!$F$6:$F$105,$S26)&amp;"")</f>
        <v>Debt</v>
      </c>
      <c r="I26" s="78" t="s">
        <v>465</v>
      </c>
      <c r="J26" s="81" t="n">
        <v>5000</v>
      </c>
      <c r="K26" s="94" t="n">
        <v>1000</v>
      </c>
      <c r="L26" s="82" t="n">
        <v>5000000</v>
      </c>
      <c r="M26" s="82" t="n">
        <v>0</v>
      </c>
      <c r="N26" s="85" t="n">
        <f aca="true">IF(OR($I26="",$T26=""),"",INDEX(L_TxnSign,$T26)*N($L26)-N($M26))</f>
        <v>-5000000</v>
      </c>
      <c r="O26" s="79" t="str">
        <f aca="true">IF($T26="","",INDEX(L_TxnCounts,$T26)&amp;"")</f>
        <v>Investment</v>
      </c>
      <c r="P26" s="78" t="s">
        <v>488</v>
      </c>
      <c r="Q26" s="79" t="str">
        <f aca="false">IF($A26&amp;$C26&amp;$D26&amp;$I26="","",IF($A26="","Missing ID",IF(COUNTIF($A$6:$A$305,$A26)&gt;1,"Duplicate ID",IF(NOT(ISNUMBER($B26)),"Missing date",IF($R26="","Unknown account",IF($D26="","Missing security",IF($S26="","Unknown security",IF($T26="","Unknown type",IF(AND($L26="",$I26&lt;&gt;"Bonus / Split"),"No amount",IF(N($L26)&lt;0,"Type a positive amount; the sign comes from the type",IF(N($M26)&lt;0,"Type charges as a positive amount",IF(N($B26)&gt;ValDate,"Date after valuation",IF(AND(N($B26)&gt;PrevDate,COUNTIFS(Holdings!$B$6:$B$205,$C26,Holdings!$C$6:$C$205,$D26)=0),"No holding row (needed for Period Change)","OK")))))))))))))</f>
        <v>OK</v>
      </c>
      <c r="R26" s="89" t="n">
        <f aca="false">IF($C26="","",IFERROR(MATCH($C26,Accounts!$A$6:$A$55,0),""))</f>
        <v>12</v>
      </c>
      <c r="S26" s="89" t="n">
        <f aca="false">IF($D26="","",IFERROR(MATCH($D26,Securities!$A$6:$A$105,0),""))</f>
        <v>22</v>
      </c>
      <c r="T26" s="89" t="n">
        <f aca="true">IF($I26="","",IFERROR(MATCH($I26,L_TxnType,0),""))</f>
        <v>3</v>
      </c>
    </row>
    <row r="27" customFormat="false" ht="15" hidden="false" customHeight="false" outlineLevel="0" collapsed="false">
      <c r="A27" s="77" t="s">
        <v>489</v>
      </c>
      <c r="B27" s="80" t="n">
        <v>46034</v>
      </c>
      <c r="C27" s="78" t="s">
        <v>310</v>
      </c>
      <c r="D27" s="78" t="s">
        <v>314</v>
      </c>
      <c r="E27" s="79" t="str">
        <f aca="false">IF($R27="","",INDEX(Accounts!$C$6:$C$55,$R27)&amp;"")</f>
        <v>Rajiv Malhotra</v>
      </c>
      <c r="F27" s="79" t="str">
        <f aca="false">IF($S27="","",INDEX(Securities!$B$6:$B$105,$S27)&amp;"")</f>
        <v>Sahyadri Precision Engineering Ltd</v>
      </c>
      <c r="G27" s="79" t="str">
        <f aca="false">IF($S27="","",INDEX(Securities!$E$6:$E$105,$S27)&amp;"")</f>
        <v>Direct Equity</v>
      </c>
      <c r="H27" s="79" t="str">
        <f aca="false">IF($S27="","",INDEX(Securities!$F$6:$F$105,$S27)&amp;"")</f>
        <v>Equity</v>
      </c>
      <c r="I27" s="78" t="s">
        <v>443</v>
      </c>
      <c r="J27" s="81" t="n">
        <v>5000</v>
      </c>
      <c r="K27" s="94" t="n">
        <v>604</v>
      </c>
      <c r="L27" s="82" t="n">
        <v>3020000</v>
      </c>
      <c r="M27" s="82" t="n">
        <v>3020</v>
      </c>
      <c r="N27" s="85" t="n">
        <f aca="true">IF(OR($I27="",$T27=""),"",INDEX(L_TxnSign,$T27)*N($L27)-N($M27))</f>
        <v>3016980</v>
      </c>
      <c r="O27" s="79" t="str">
        <f aca="true">IF($T27="","",INDEX(L_TxnCounts,$T27)&amp;"")</f>
        <v>Divestment</v>
      </c>
      <c r="P27" s="78" t="s">
        <v>490</v>
      </c>
      <c r="Q27" s="79" t="str">
        <f aca="false">IF($A27&amp;$C27&amp;$D27&amp;$I27="","",IF($A27="","Missing ID",IF(COUNTIF($A$6:$A$305,$A27)&gt;1,"Duplicate ID",IF(NOT(ISNUMBER($B27)),"Missing date",IF($R27="","Unknown account",IF($D27="","Missing security",IF($S27="","Unknown security",IF($T27="","Unknown type",IF(AND($L27="",$I27&lt;&gt;"Bonus / Split"),"No amount",IF(N($L27)&lt;0,"Type a positive amount; the sign comes from the type",IF(N($M27)&lt;0,"Type charges as a positive amount",IF(N($B27)&gt;ValDate,"Date after valuation",IF(AND(N($B27)&gt;PrevDate,COUNTIFS(Holdings!$B$6:$B$205,$C27,Holdings!$C$6:$C$205,$D27)=0),"No holding row (needed for Period Change)","OK")))))))))))))</f>
        <v>OK</v>
      </c>
      <c r="R27" s="89" t="n">
        <f aca="false">IF($C27="","",IFERROR(MATCH($C27,Accounts!$A$6:$A$55,0),""))</f>
        <v>1</v>
      </c>
      <c r="S27" s="89" t="n">
        <f aca="false">IF($D27="","",IFERROR(MATCH($D27,Securities!$A$6:$A$105,0),""))</f>
        <v>2</v>
      </c>
      <c r="T27" s="89" t="n">
        <f aca="true">IF($I27="","",IFERROR(MATCH($I27,L_TxnType,0),""))</f>
        <v>6</v>
      </c>
    </row>
    <row r="28" customFormat="false" ht="15" hidden="false" customHeight="false" outlineLevel="0" collapsed="false">
      <c r="A28" s="77"/>
      <c r="B28" s="80"/>
      <c r="C28" s="78"/>
      <c r="D28" s="78"/>
      <c r="E28" s="79" t="str">
        <f aca="false">IF($R28="","",INDEX(Accounts!$C$6:$C$55,$R28)&amp;"")</f>
        <v/>
      </c>
      <c r="F28" s="79" t="str">
        <f aca="false">IF($S28="","",INDEX(Securities!$B$6:$B$105,$S28)&amp;"")</f>
        <v/>
      </c>
      <c r="G28" s="79" t="str">
        <f aca="false">IF($S28="","",INDEX(Securities!$E$6:$E$105,$S28)&amp;"")</f>
        <v/>
      </c>
      <c r="H28" s="79" t="str">
        <f aca="false">IF($S28="","",INDEX(Securities!$F$6:$F$105,$S28)&amp;"")</f>
        <v/>
      </c>
      <c r="I28" s="78"/>
      <c r="J28" s="81"/>
      <c r="K28" s="94"/>
      <c r="L28" s="82"/>
      <c r="M28" s="82"/>
      <c r="N28" s="85" t="str">
        <f aca="true">IF(OR($I28="",$T28=""),"",INDEX(L_TxnSign,$T28)*N($L28)-N($M28))</f>
        <v/>
      </c>
      <c r="O28" s="79" t="str">
        <f aca="true">IF($T28="","",INDEX(L_TxnCounts,$T28)&amp;"")</f>
        <v/>
      </c>
      <c r="P28" s="78"/>
      <c r="Q28" s="79" t="str">
        <f aca="false">IF($A28&amp;$C28&amp;$D28&amp;$I28="","",IF($A28="","Missing ID",IF(COUNTIF($A$6:$A$305,$A28)&gt;1,"Duplicate ID",IF(NOT(ISNUMBER($B28)),"Missing date",IF($R28="","Unknown account",IF($D28="","Missing security",IF($S28="","Unknown security",IF($T28="","Unknown type",IF(AND($L28="",$I28&lt;&gt;"Bonus / Split"),"No amount",IF(N($L28)&lt;0,"Type a positive amount; the sign comes from the type",IF(N($M28)&lt;0,"Type charges as a positive amount",IF(N($B28)&gt;ValDate,"Date after valuation",IF(AND(N($B28)&gt;PrevDate,COUNTIFS(Holdings!$B$6:$B$205,$C28,Holdings!$C$6:$C$205,$D28)=0),"No holding row (needed for Period Change)","OK")))))))))))))</f>
        <v/>
      </c>
      <c r="R28" s="89" t="str">
        <f aca="false">IF($C28="","",IFERROR(MATCH($C28,Accounts!$A$6:$A$55,0),""))</f>
        <v/>
      </c>
      <c r="S28" s="89" t="str">
        <f aca="false">IF($D28="","",IFERROR(MATCH($D28,Securities!$A$6:$A$105,0),""))</f>
        <v/>
      </c>
      <c r="T28" s="89" t="str">
        <f aca="true">IF($I28="","",IFERROR(MATCH($I28,L_TxnType,0),""))</f>
        <v/>
      </c>
    </row>
    <row r="29" customFormat="false" ht="15" hidden="false" customHeight="false" outlineLevel="0" collapsed="false">
      <c r="A29" s="77"/>
      <c r="B29" s="80"/>
      <c r="C29" s="78"/>
      <c r="D29" s="78"/>
      <c r="E29" s="79" t="str">
        <f aca="false">IF($R29="","",INDEX(Accounts!$C$6:$C$55,$R29)&amp;"")</f>
        <v/>
      </c>
      <c r="F29" s="79" t="str">
        <f aca="false">IF($S29="","",INDEX(Securities!$B$6:$B$105,$S29)&amp;"")</f>
        <v/>
      </c>
      <c r="G29" s="79" t="str">
        <f aca="false">IF($S29="","",INDEX(Securities!$E$6:$E$105,$S29)&amp;"")</f>
        <v/>
      </c>
      <c r="H29" s="79" t="str">
        <f aca="false">IF($S29="","",INDEX(Securities!$F$6:$F$105,$S29)&amp;"")</f>
        <v/>
      </c>
      <c r="I29" s="78"/>
      <c r="J29" s="81"/>
      <c r="K29" s="94"/>
      <c r="L29" s="82"/>
      <c r="M29" s="82"/>
      <c r="N29" s="85" t="str">
        <f aca="true">IF(OR($I29="",$T29=""),"",INDEX(L_TxnSign,$T29)*N($L29)-N($M29))</f>
        <v/>
      </c>
      <c r="O29" s="79" t="str">
        <f aca="true">IF($T29="","",INDEX(L_TxnCounts,$T29)&amp;"")</f>
        <v/>
      </c>
      <c r="P29" s="78"/>
      <c r="Q29" s="79" t="str">
        <f aca="false">IF($A29&amp;$C29&amp;$D29&amp;$I29="","",IF($A29="","Missing ID",IF(COUNTIF($A$6:$A$305,$A29)&gt;1,"Duplicate ID",IF(NOT(ISNUMBER($B29)),"Missing date",IF($R29="","Unknown account",IF($D29="","Missing security",IF($S29="","Unknown security",IF($T29="","Unknown type",IF(AND($L29="",$I29&lt;&gt;"Bonus / Split"),"No amount",IF(N($L29)&lt;0,"Type a positive amount; the sign comes from the type",IF(N($M29)&lt;0,"Type charges as a positive amount",IF(N($B29)&gt;ValDate,"Date after valuation",IF(AND(N($B29)&gt;PrevDate,COUNTIFS(Holdings!$B$6:$B$205,$C29,Holdings!$C$6:$C$205,$D29)=0),"No holding row (needed for Period Change)","OK")))))))))))))</f>
        <v/>
      </c>
      <c r="R29" s="89" t="str">
        <f aca="false">IF($C29="","",IFERROR(MATCH($C29,Accounts!$A$6:$A$55,0),""))</f>
        <v/>
      </c>
      <c r="S29" s="89" t="str">
        <f aca="false">IF($D29="","",IFERROR(MATCH($D29,Securities!$A$6:$A$105,0),""))</f>
        <v/>
      </c>
      <c r="T29" s="89" t="str">
        <f aca="true">IF($I29="","",IFERROR(MATCH($I29,L_TxnType,0),""))</f>
        <v/>
      </c>
    </row>
    <row r="30" customFormat="false" ht="15" hidden="false" customHeight="false" outlineLevel="0" collapsed="false">
      <c r="A30" s="77"/>
      <c r="B30" s="80"/>
      <c r="C30" s="78"/>
      <c r="D30" s="78"/>
      <c r="E30" s="79" t="str">
        <f aca="false">IF($R30="","",INDEX(Accounts!$C$6:$C$55,$R30)&amp;"")</f>
        <v/>
      </c>
      <c r="F30" s="79" t="str">
        <f aca="false">IF($S30="","",INDEX(Securities!$B$6:$B$105,$S30)&amp;"")</f>
        <v/>
      </c>
      <c r="G30" s="79" t="str">
        <f aca="false">IF($S30="","",INDEX(Securities!$E$6:$E$105,$S30)&amp;"")</f>
        <v/>
      </c>
      <c r="H30" s="79" t="str">
        <f aca="false">IF($S30="","",INDEX(Securities!$F$6:$F$105,$S30)&amp;"")</f>
        <v/>
      </c>
      <c r="I30" s="78"/>
      <c r="J30" s="81"/>
      <c r="K30" s="94"/>
      <c r="L30" s="82"/>
      <c r="M30" s="82"/>
      <c r="N30" s="85" t="str">
        <f aca="true">IF(OR($I30="",$T30=""),"",INDEX(L_TxnSign,$T30)*N($L30)-N($M30))</f>
        <v/>
      </c>
      <c r="O30" s="79" t="str">
        <f aca="true">IF($T30="","",INDEX(L_TxnCounts,$T30)&amp;"")</f>
        <v/>
      </c>
      <c r="P30" s="78"/>
      <c r="Q30" s="79" t="str">
        <f aca="false">IF($A30&amp;$C30&amp;$D30&amp;$I30="","",IF($A30="","Missing ID",IF(COUNTIF($A$6:$A$305,$A30)&gt;1,"Duplicate ID",IF(NOT(ISNUMBER($B30)),"Missing date",IF($R30="","Unknown account",IF($D30="","Missing security",IF($S30="","Unknown security",IF($T30="","Unknown type",IF(AND($L30="",$I30&lt;&gt;"Bonus / Split"),"No amount",IF(N($L30)&lt;0,"Type a positive amount; the sign comes from the type",IF(N($M30)&lt;0,"Type charges as a positive amount",IF(N($B30)&gt;ValDate,"Date after valuation",IF(AND(N($B30)&gt;PrevDate,COUNTIFS(Holdings!$B$6:$B$205,$C30,Holdings!$C$6:$C$205,$D30)=0),"No holding row (needed for Period Change)","OK")))))))))))))</f>
        <v/>
      </c>
      <c r="R30" s="89" t="str">
        <f aca="false">IF($C30="","",IFERROR(MATCH($C30,Accounts!$A$6:$A$55,0),""))</f>
        <v/>
      </c>
      <c r="S30" s="89" t="str">
        <f aca="false">IF($D30="","",IFERROR(MATCH($D30,Securities!$A$6:$A$105,0),""))</f>
        <v/>
      </c>
      <c r="T30" s="89" t="str">
        <f aca="true">IF($I30="","",IFERROR(MATCH($I30,L_TxnType,0),""))</f>
        <v/>
      </c>
    </row>
    <row r="31" customFormat="false" ht="15" hidden="false" customHeight="false" outlineLevel="0" collapsed="false">
      <c r="A31" s="77"/>
      <c r="B31" s="80"/>
      <c r="C31" s="78"/>
      <c r="D31" s="78"/>
      <c r="E31" s="79" t="str">
        <f aca="false">IF($R31="","",INDEX(Accounts!$C$6:$C$55,$R31)&amp;"")</f>
        <v/>
      </c>
      <c r="F31" s="79" t="str">
        <f aca="false">IF($S31="","",INDEX(Securities!$B$6:$B$105,$S31)&amp;"")</f>
        <v/>
      </c>
      <c r="G31" s="79" t="str">
        <f aca="false">IF($S31="","",INDEX(Securities!$E$6:$E$105,$S31)&amp;"")</f>
        <v/>
      </c>
      <c r="H31" s="79" t="str">
        <f aca="false">IF($S31="","",INDEX(Securities!$F$6:$F$105,$S31)&amp;"")</f>
        <v/>
      </c>
      <c r="I31" s="78"/>
      <c r="J31" s="81"/>
      <c r="K31" s="94"/>
      <c r="L31" s="82"/>
      <c r="M31" s="82"/>
      <c r="N31" s="85" t="str">
        <f aca="true">IF(OR($I31="",$T31=""),"",INDEX(L_TxnSign,$T31)*N($L31)-N($M31))</f>
        <v/>
      </c>
      <c r="O31" s="79" t="str">
        <f aca="true">IF($T31="","",INDEX(L_TxnCounts,$T31)&amp;"")</f>
        <v/>
      </c>
      <c r="P31" s="78"/>
      <c r="Q31" s="79" t="str">
        <f aca="false">IF($A31&amp;$C31&amp;$D31&amp;$I31="","",IF($A31="","Missing ID",IF(COUNTIF($A$6:$A$305,$A31)&gt;1,"Duplicate ID",IF(NOT(ISNUMBER($B31)),"Missing date",IF($R31="","Unknown account",IF($D31="","Missing security",IF($S31="","Unknown security",IF($T31="","Unknown type",IF(AND($L31="",$I31&lt;&gt;"Bonus / Split"),"No amount",IF(N($L31)&lt;0,"Type a positive amount; the sign comes from the type",IF(N($M31)&lt;0,"Type charges as a positive amount",IF(N($B31)&gt;ValDate,"Date after valuation",IF(AND(N($B31)&gt;PrevDate,COUNTIFS(Holdings!$B$6:$B$205,$C31,Holdings!$C$6:$C$205,$D31)=0),"No holding row (needed for Period Change)","OK")))))))))))))</f>
        <v/>
      </c>
      <c r="R31" s="89" t="str">
        <f aca="false">IF($C31="","",IFERROR(MATCH($C31,Accounts!$A$6:$A$55,0),""))</f>
        <v/>
      </c>
      <c r="S31" s="89" t="str">
        <f aca="false">IF($D31="","",IFERROR(MATCH($D31,Securities!$A$6:$A$105,0),""))</f>
        <v/>
      </c>
      <c r="T31" s="89" t="str">
        <f aca="true">IF($I31="","",IFERROR(MATCH($I31,L_TxnType,0),""))</f>
        <v/>
      </c>
    </row>
    <row r="32" customFormat="false" ht="15" hidden="false" customHeight="false" outlineLevel="0" collapsed="false">
      <c r="A32" s="77"/>
      <c r="B32" s="80"/>
      <c r="C32" s="78"/>
      <c r="D32" s="78"/>
      <c r="E32" s="79" t="str">
        <f aca="false">IF($R32="","",INDEX(Accounts!$C$6:$C$55,$R32)&amp;"")</f>
        <v/>
      </c>
      <c r="F32" s="79" t="str">
        <f aca="false">IF($S32="","",INDEX(Securities!$B$6:$B$105,$S32)&amp;"")</f>
        <v/>
      </c>
      <c r="G32" s="79" t="str">
        <f aca="false">IF($S32="","",INDEX(Securities!$E$6:$E$105,$S32)&amp;"")</f>
        <v/>
      </c>
      <c r="H32" s="79" t="str">
        <f aca="false">IF($S32="","",INDEX(Securities!$F$6:$F$105,$S32)&amp;"")</f>
        <v/>
      </c>
      <c r="I32" s="78"/>
      <c r="J32" s="81"/>
      <c r="K32" s="94"/>
      <c r="L32" s="82"/>
      <c r="M32" s="82"/>
      <c r="N32" s="85" t="str">
        <f aca="true">IF(OR($I32="",$T32=""),"",INDEX(L_TxnSign,$T32)*N($L32)-N($M32))</f>
        <v/>
      </c>
      <c r="O32" s="79" t="str">
        <f aca="true">IF($T32="","",INDEX(L_TxnCounts,$T32)&amp;"")</f>
        <v/>
      </c>
      <c r="P32" s="78"/>
      <c r="Q32" s="79" t="str">
        <f aca="false">IF($A32&amp;$C32&amp;$D32&amp;$I32="","",IF($A32="","Missing ID",IF(COUNTIF($A$6:$A$305,$A32)&gt;1,"Duplicate ID",IF(NOT(ISNUMBER($B32)),"Missing date",IF($R32="","Unknown account",IF($D32="","Missing security",IF($S32="","Unknown security",IF($T32="","Unknown type",IF(AND($L32="",$I32&lt;&gt;"Bonus / Split"),"No amount",IF(N($L32)&lt;0,"Type a positive amount; the sign comes from the type",IF(N($M32)&lt;0,"Type charges as a positive amount",IF(N($B32)&gt;ValDate,"Date after valuation",IF(AND(N($B32)&gt;PrevDate,COUNTIFS(Holdings!$B$6:$B$205,$C32,Holdings!$C$6:$C$205,$D32)=0),"No holding row (needed for Period Change)","OK")))))))))))))</f>
        <v/>
      </c>
      <c r="R32" s="89" t="str">
        <f aca="false">IF($C32="","",IFERROR(MATCH($C32,Accounts!$A$6:$A$55,0),""))</f>
        <v/>
      </c>
      <c r="S32" s="89" t="str">
        <f aca="false">IF($D32="","",IFERROR(MATCH($D32,Securities!$A$6:$A$105,0),""))</f>
        <v/>
      </c>
      <c r="T32" s="89" t="str">
        <f aca="true">IF($I32="","",IFERROR(MATCH($I32,L_TxnType,0),""))</f>
        <v/>
      </c>
    </row>
    <row r="33" customFormat="false" ht="15" hidden="false" customHeight="false" outlineLevel="0" collapsed="false">
      <c r="A33" s="77"/>
      <c r="B33" s="80"/>
      <c r="C33" s="78"/>
      <c r="D33" s="78"/>
      <c r="E33" s="79" t="str">
        <f aca="false">IF($R33="","",INDEX(Accounts!$C$6:$C$55,$R33)&amp;"")</f>
        <v/>
      </c>
      <c r="F33" s="79" t="str">
        <f aca="false">IF($S33="","",INDEX(Securities!$B$6:$B$105,$S33)&amp;"")</f>
        <v/>
      </c>
      <c r="G33" s="79" t="str">
        <f aca="false">IF($S33="","",INDEX(Securities!$E$6:$E$105,$S33)&amp;"")</f>
        <v/>
      </c>
      <c r="H33" s="79" t="str">
        <f aca="false">IF($S33="","",INDEX(Securities!$F$6:$F$105,$S33)&amp;"")</f>
        <v/>
      </c>
      <c r="I33" s="78"/>
      <c r="J33" s="81"/>
      <c r="K33" s="94"/>
      <c r="L33" s="82"/>
      <c r="M33" s="82"/>
      <c r="N33" s="85" t="str">
        <f aca="true">IF(OR($I33="",$T33=""),"",INDEX(L_TxnSign,$T33)*N($L33)-N($M33))</f>
        <v/>
      </c>
      <c r="O33" s="79" t="str">
        <f aca="true">IF($T33="","",INDEX(L_TxnCounts,$T33)&amp;"")</f>
        <v/>
      </c>
      <c r="P33" s="78"/>
      <c r="Q33" s="79" t="str">
        <f aca="false">IF($A33&amp;$C33&amp;$D33&amp;$I33="","",IF($A33="","Missing ID",IF(COUNTIF($A$6:$A$305,$A33)&gt;1,"Duplicate ID",IF(NOT(ISNUMBER($B33)),"Missing date",IF($R33="","Unknown account",IF($D33="","Missing security",IF($S33="","Unknown security",IF($T33="","Unknown type",IF(AND($L33="",$I33&lt;&gt;"Bonus / Split"),"No amount",IF(N($L33)&lt;0,"Type a positive amount; the sign comes from the type",IF(N($M33)&lt;0,"Type charges as a positive amount",IF(N($B33)&gt;ValDate,"Date after valuation",IF(AND(N($B33)&gt;PrevDate,COUNTIFS(Holdings!$B$6:$B$205,$C33,Holdings!$C$6:$C$205,$D33)=0),"No holding row (needed for Period Change)","OK")))))))))))))</f>
        <v/>
      </c>
      <c r="R33" s="89" t="str">
        <f aca="false">IF($C33="","",IFERROR(MATCH($C33,Accounts!$A$6:$A$55,0),""))</f>
        <v/>
      </c>
      <c r="S33" s="89" t="str">
        <f aca="false">IF($D33="","",IFERROR(MATCH($D33,Securities!$A$6:$A$105,0),""))</f>
        <v/>
      </c>
      <c r="T33" s="89" t="str">
        <f aca="true">IF($I33="","",IFERROR(MATCH($I33,L_TxnType,0),""))</f>
        <v/>
      </c>
    </row>
    <row r="34" customFormat="false" ht="15" hidden="false" customHeight="false" outlineLevel="0" collapsed="false">
      <c r="A34" s="77"/>
      <c r="B34" s="80"/>
      <c r="C34" s="78"/>
      <c r="D34" s="78"/>
      <c r="E34" s="79" t="str">
        <f aca="false">IF($R34="","",INDEX(Accounts!$C$6:$C$55,$R34)&amp;"")</f>
        <v/>
      </c>
      <c r="F34" s="79" t="str">
        <f aca="false">IF($S34="","",INDEX(Securities!$B$6:$B$105,$S34)&amp;"")</f>
        <v/>
      </c>
      <c r="G34" s="79" t="str">
        <f aca="false">IF($S34="","",INDEX(Securities!$E$6:$E$105,$S34)&amp;"")</f>
        <v/>
      </c>
      <c r="H34" s="79" t="str">
        <f aca="false">IF($S34="","",INDEX(Securities!$F$6:$F$105,$S34)&amp;"")</f>
        <v/>
      </c>
      <c r="I34" s="78"/>
      <c r="J34" s="81"/>
      <c r="K34" s="94"/>
      <c r="L34" s="82"/>
      <c r="M34" s="82"/>
      <c r="N34" s="85" t="str">
        <f aca="true">IF(OR($I34="",$T34=""),"",INDEX(L_TxnSign,$T34)*N($L34)-N($M34))</f>
        <v/>
      </c>
      <c r="O34" s="79" t="str">
        <f aca="true">IF($T34="","",INDEX(L_TxnCounts,$T34)&amp;"")</f>
        <v/>
      </c>
      <c r="P34" s="78"/>
      <c r="Q34" s="79" t="str">
        <f aca="false">IF($A34&amp;$C34&amp;$D34&amp;$I34="","",IF($A34="","Missing ID",IF(COUNTIF($A$6:$A$305,$A34)&gt;1,"Duplicate ID",IF(NOT(ISNUMBER($B34)),"Missing date",IF($R34="","Unknown account",IF($D34="","Missing security",IF($S34="","Unknown security",IF($T34="","Unknown type",IF(AND($L34="",$I34&lt;&gt;"Bonus / Split"),"No amount",IF(N($L34)&lt;0,"Type a positive amount; the sign comes from the type",IF(N($M34)&lt;0,"Type charges as a positive amount",IF(N($B34)&gt;ValDate,"Date after valuation",IF(AND(N($B34)&gt;PrevDate,COUNTIFS(Holdings!$B$6:$B$205,$C34,Holdings!$C$6:$C$205,$D34)=0),"No holding row (needed for Period Change)","OK")))))))))))))</f>
        <v/>
      </c>
      <c r="R34" s="89" t="str">
        <f aca="false">IF($C34="","",IFERROR(MATCH($C34,Accounts!$A$6:$A$55,0),""))</f>
        <v/>
      </c>
      <c r="S34" s="89" t="str">
        <f aca="false">IF($D34="","",IFERROR(MATCH($D34,Securities!$A$6:$A$105,0),""))</f>
        <v/>
      </c>
      <c r="T34" s="89" t="str">
        <f aca="true">IF($I34="","",IFERROR(MATCH($I34,L_TxnType,0),""))</f>
        <v/>
      </c>
    </row>
    <row r="35" customFormat="false" ht="15" hidden="false" customHeight="false" outlineLevel="0" collapsed="false">
      <c r="A35" s="77"/>
      <c r="B35" s="80"/>
      <c r="C35" s="78"/>
      <c r="D35" s="78"/>
      <c r="E35" s="79" t="str">
        <f aca="false">IF($R35="","",INDEX(Accounts!$C$6:$C$55,$R35)&amp;"")</f>
        <v/>
      </c>
      <c r="F35" s="79" t="str">
        <f aca="false">IF($S35="","",INDEX(Securities!$B$6:$B$105,$S35)&amp;"")</f>
        <v/>
      </c>
      <c r="G35" s="79" t="str">
        <f aca="false">IF($S35="","",INDEX(Securities!$E$6:$E$105,$S35)&amp;"")</f>
        <v/>
      </c>
      <c r="H35" s="79" t="str">
        <f aca="false">IF($S35="","",INDEX(Securities!$F$6:$F$105,$S35)&amp;"")</f>
        <v/>
      </c>
      <c r="I35" s="78"/>
      <c r="J35" s="81"/>
      <c r="K35" s="94"/>
      <c r="L35" s="82"/>
      <c r="M35" s="82"/>
      <c r="N35" s="85" t="str">
        <f aca="true">IF(OR($I35="",$T35=""),"",INDEX(L_TxnSign,$T35)*N($L35)-N($M35))</f>
        <v/>
      </c>
      <c r="O35" s="79" t="str">
        <f aca="true">IF($T35="","",INDEX(L_TxnCounts,$T35)&amp;"")</f>
        <v/>
      </c>
      <c r="P35" s="78"/>
      <c r="Q35" s="79" t="str">
        <f aca="false">IF($A35&amp;$C35&amp;$D35&amp;$I35="","",IF($A35="","Missing ID",IF(COUNTIF($A$6:$A$305,$A35)&gt;1,"Duplicate ID",IF(NOT(ISNUMBER($B35)),"Missing date",IF($R35="","Unknown account",IF($D35="","Missing security",IF($S35="","Unknown security",IF($T35="","Unknown type",IF(AND($L35="",$I35&lt;&gt;"Bonus / Split"),"No amount",IF(N($L35)&lt;0,"Type a positive amount; the sign comes from the type",IF(N($M35)&lt;0,"Type charges as a positive amount",IF(N($B35)&gt;ValDate,"Date after valuation",IF(AND(N($B35)&gt;PrevDate,COUNTIFS(Holdings!$B$6:$B$205,$C35,Holdings!$C$6:$C$205,$D35)=0),"No holding row (needed for Period Change)","OK")))))))))))))</f>
        <v/>
      </c>
      <c r="R35" s="89" t="str">
        <f aca="false">IF($C35="","",IFERROR(MATCH($C35,Accounts!$A$6:$A$55,0),""))</f>
        <v/>
      </c>
      <c r="S35" s="89" t="str">
        <f aca="false">IF($D35="","",IFERROR(MATCH($D35,Securities!$A$6:$A$105,0),""))</f>
        <v/>
      </c>
      <c r="T35" s="89" t="str">
        <f aca="true">IF($I35="","",IFERROR(MATCH($I35,L_TxnType,0),""))</f>
        <v/>
      </c>
    </row>
    <row r="36" customFormat="false" ht="15" hidden="false" customHeight="false" outlineLevel="0" collapsed="false">
      <c r="A36" s="77"/>
      <c r="B36" s="80"/>
      <c r="C36" s="78"/>
      <c r="D36" s="78"/>
      <c r="E36" s="79" t="str">
        <f aca="false">IF($R36="","",INDEX(Accounts!$C$6:$C$55,$R36)&amp;"")</f>
        <v/>
      </c>
      <c r="F36" s="79" t="str">
        <f aca="false">IF($S36="","",INDEX(Securities!$B$6:$B$105,$S36)&amp;"")</f>
        <v/>
      </c>
      <c r="G36" s="79" t="str">
        <f aca="false">IF($S36="","",INDEX(Securities!$E$6:$E$105,$S36)&amp;"")</f>
        <v/>
      </c>
      <c r="H36" s="79" t="str">
        <f aca="false">IF($S36="","",INDEX(Securities!$F$6:$F$105,$S36)&amp;"")</f>
        <v/>
      </c>
      <c r="I36" s="78"/>
      <c r="J36" s="81"/>
      <c r="K36" s="94"/>
      <c r="L36" s="82"/>
      <c r="M36" s="82"/>
      <c r="N36" s="85" t="str">
        <f aca="true">IF(OR($I36="",$T36=""),"",INDEX(L_TxnSign,$T36)*N($L36)-N($M36))</f>
        <v/>
      </c>
      <c r="O36" s="79" t="str">
        <f aca="true">IF($T36="","",INDEX(L_TxnCounts,$T36)&amp;"")</f>
        <v/>
      </c>
      <c r="P36" s="78"/>
      <c r="Q36" s="79" t="str">
        <f aca="false">IF($A36&amp;$C36&amp;$D36&amp;$I36="","",IF($A36="","Missing ID",IF(COUNTIF($A$6:$A$305,$A36)&gt;1,"Duplicate ID",IF(NOT(ISNUMBER($B36)),"Missing date",IF($R36="","Unknown account",IF($D36="","Missing security",IF($S36="","Unknown security",IF($T36="","Unknown type",IF(AND($L36="",$I36&lt;&gt;"Bonus / Split"),"No amount",IF(N($L36)&lt;0,"Type a positive amount; the sign comes from the type",IF(N($M36)&lt;0,"Type charges as a positive amount",IF(N($B36)&gt;ValDate,"Date after valuation",IF(AND(N($B36)&gt;PrevDate,COUNTIFS(Holdings!$B$6:$B$205,$C36,Holdings!$C$6:$C$205,$D36)=0),"No holding row (needed for Period Change)","OK")))))))))))))</f>
        <v/>
      </c>
      <c r="R36" s="89" t="str">
        <f aca="false">IF($C36="","",IFERROR(MATCH($C36,Accounts!$A$6:$A$55,0),""))</f>
        <v/>
      </c>
      <c r="S36" s="89" t="str">
        <f aca="false">IF($D36="","",IFERROR(MATCH($D36,Securities!$A$6:$A$105,0),""))</f>
        <v/>
      </c>
      <c r="T36" s="89" t="str">
        <f aca="true">IF($I36="","",IFERROR(MATCH($I36,L_TxnType,0),""))</f>
        <v/>
      </c>
    </row>
    <row r="37" customFormat="false" ht="15" hidden="false" customHeight="false" outlineLevel="0" collapsed="false">
      <c r="A37" s="77"/>
      <c r="B37" s="80"/>
      <c r="C37" s="78"/>
      <c r="D37" s="78"/>
      <c r="E37" s="79" t="str">
        <f aca="false">IF($R37="","",INDEX(Accounts!$C$6:$C$55,$R37)&amp;"")</f>
        <v/>
      </c>
      <c r="F37" s="79" t="str">
        <f aca="false">IF($S37="","",INDEX(Securities!$B$6:$B$105,$S37)&amp;"")</f>
        <v/>
      </c>
      <c r="G37" s="79" t="str">
        <f aca="false">IF($S37="","",INDEX(Securities!$E$6:$E$105,$S37)&amp;"")</f>
        <v/>
      </c>
      <c r="H37" s="79" t="str">
        <f aca="false">IF($S37="","",INDEX(Securities!$F$6:$F$105,$S37)&amp;"")</f>
        <v/>
      </c>
      <c r="I37" s="78"/>
      <c r="J37" s="81"/>
      <c r="K37" s="94"/>
      <c r="L37" s="82"/>
      <c r="M37" s="82"/>
      <c r="N37" s="85" t="str">
        <f aca="true">IF(OR($I37="",$T37=""),"",INDEX(L_TxnSign,$T37)*N($L37)-N($M37))</f>
        <v/>
      </c>
      <c r="O37" s="79" t="str">
        <f aca="true">IF($T37="","",INDEX(L_TxnCounts,$T37)&amp;"")</f>
        <v/>
      </c>
      <c r="P37" s="78"/>
      <c r="Q37" s="79" t="str">
        <f aca="false">IF($A37&amp;$C37&amp;$D37&amp;$I37="","",IF($A37="","Missing ID",IF(COUNTIF($A$6:$A$305,$A37)&gt;1,"Duplicate ID",IF(NOT(ISNUMBER($B37)),"Missing date",IF($R37="","Unknown account",IF($D37="","Missing security",IF($S37="","Unknown security",IF($T37="","Unknown type",IF(AND($L37="",$I37&lt;&gt;"Bonus / Split"),"No amount",IF(N($L37)&lt;0,"Type a positive amount; the sign comes from the type",IF(N($M37)&lt;0,"Type charges as a positive amount",IF(N($B37)&gt;ValDate,"Date after valuation",IF(AND(N($B37)&gt;PrevDate,COUNTIFS(Holdings!$B$6:$B$205,$C37,Holdings!$C$6:$C$205,$D37)=0),"No holding row (needed for Period Change)","OK")))))))))))))</f>
        <v/>
      </c>
      <c r="R37" s="89" t="str">
        <f aca="false">IF($C37="","",IFERROR(MATCH($C37,Accounts!$A$6:$A$55,0),""))</f>
        <v/>
      </c>
      <c r="S37" s="89" t="str">
        <f aca="false">IF($D37="","",IFERROR(MATCH($D37,Securities!$A$6:$A$105,0),""))</f>
        <v/>
      </c>
      <c r="T37" s="89" t="str">
        <f aca="true">IF($I37="","",IFERROR(MATCH($I37,L_TxnType,0),""))</f>
        <v/>
      </c>
    </row>
    <row r="38" customFormat="false" ht="15" hidden="false" customHeight="false" outlineLevel="0" collapsed="false">
      <c r="A38" s="77"/>
      <c r="B38" s="80"/>
      <c r="C38" s="78"/>
      <c r="D38" s="78"/>
      <c r="E38" s="79" t="str">
        <f aca="false">IF($R38="","",INDEX(Accounts!$C$6:$C$55,$R38)&amp;"")</f>
        <v/>
      </c>
      <c r="F38" s="79" t="str">
        <f aca="false">IF($S38="","",INDEX(Securities!$B$6:$B$105,$S38)&amp;"")</f>
        <v/>
      </c>
      <c r="G38" s="79" t="str">
        <f aca="false">IF($S38="","",INDEX(Securities!$E$6:$E$105,$S38)&amp;"")</f>
        <v/>
      </c>
      <c r="H38" s="79" t="str">
        <f aca="false">IF($S38="","",INDEX(Securities!$F$6:$F$105,$S38)&amp;"")</f>
        <v/>
      </c>
      <c r="I38" s="78"/>
      <c r="J38" s="81"/>
      <c r="K38" s="94"/>
      <c r="L38" s="82"/>
      <c r="M38" s="82"/>
      <c r="N38" s="85" t="str">
        <f aca="true">IF(OR($I38="",$T38=""),"",INDEX(L_TxnSign,$T38)*N($L38)-N($M38))</f>
        <v/>
      </c>
      <c r="O38" s="79" t="str">
        <f aca="true">IF($T38="","",INDEX(L_TxnCounts,$T38)&amp;"")</f>
        <v/>
      </c>
      <c r="P38" s="78"/>
      <c r="Q38" s="79" t="str">
        <f aca="false">IF($A38&amp;$C38&amp;$D38&amp;$I38="","",IF($A38="","Missing ID",IF(COUNTIF($A$6:$A$305,$A38)&gt;1,"Duplicate ID",IF(NOT(ISNUMBER($B38)),"Missing date",IF($R38="","Unknown account",IF($D38="","Missing security",IF($S38="","Unknown security",IF($T38="","Unknown type",IF(AND($L38="",$I38&lt;&gt;"Bonus / Split"),"No amount",IF(N($L38)&lt;0,"Type a positive amount; the sign comes from the type",IF(N($M38)&lt;0,"Type charges as a positive amount",IF(N($B38)&gt;ValDate,"Date after valuation",IF(AND(N($B38)&gt;PrevDate,COUNTIFS(Holdings!$B$6:$B$205,$C38,Holdings!$C$6:$C$205,$D38)=0),"No holding row (needed for Period Change)","OK")))))))))))))</f>
        <v/>
      </c>
      <c r="R38" s="89" t="str">
        <f aca="false">IF($C38="","",IFERROR(MATCH($C38,Accounts!$A$6:$A$55,0),""))</f>
        <v/>
      </c>
      <c r="S38" s="89" t="str">
        <f aca="false">IF($D38="","",IFERROR(MATCH($D38,Securities!$A$6:$A$105,0),""))</f>
        <v/>
      </c>
      <c r="T38" s="89" t="str">
        <f aca="true">IF($I38="","",IFERROR(MATCH($I38,L_TxnType,0),""))</f>
        <v/>
      </c>
    </row>
    <row r="39" customFormat="false" ht="15" hidden="false" customHeight="false" outlineLevel="0" collapsed="false">
      <c r="A39" s="77"/>
      <c r="B39" s="80"/>
      <c r="C39" s="78"/>
      <c r="D39" s="78"/>
      <c r="E39" s="79" t="str">
        <f aca="false">IF($R39="","",INDEX(Accounts!$C$6:$C$55,$R39)&amp;"")</f>
        <v/>
      </c>
      <c r="F39" s="79" t="str">
        <f aca="false">IF($S39="","",INDEX(Securities!$B$6:$B$105,$S39)&amp;"")</f>
        <v/>
      </c>
      <c r="G39" s="79" t="str">
        <f aca="false">IF($S39="","",INDEX(Securities!$E$6:$E$105,$S39)&amp;"")</f>
        <v/>
      </c>
      <c r="H39" s="79" t="str">
        <f aca="false">IF($S39="","",INDEX(Securities!$F$6:$F$105,$S39)&amp;"")</f>
        <v/>
      </c>
      <c r="I39" s="78"/>
      <c r="J39" s="81"/>
      <c r="K39" s="94"/>
      <c r="L39" s="82"/>
      <c r="M39" s="82"/>
      <c r="N39" s="85" t="str">
        <f aca="true">IF(OR($I39="",$T39=""),"",INDEX(L_TxnSign,$T39)*N($L39)-N($M39))</f>
        <v/>
      </c>
      <c r="O39" s="79" t="str">
        <f aca="true">IF($T39="","",INDEX(L_TxnCounts,$T39)&amp;"")</f>
        <v/>
      </c>
      <c r="P39" s="78"/>
      <c r="Q39" s="79" t="str">
        <f aca="false">IF($A39&amp;$C39&amp;$D39&amp;$I39="","",IF($A39="","Missing ID",IF(COUNTIF($A$6:$A$305,$A39)&gt;1,"Duplicate ID",IF(NOT(ISNUMBER($B39)),"Missing date",IF($R39="","Unknown account",IF($D39="","Missing security",IF($S39="","Unknown security",IF($T39="","Unknown type",IF(AND($L39="",$I39&lt;&gt;"Bonus / Split"),"No amount",IF(N($L39)&lt;0,"Type a positive amount; the sign comes from the type",IF(N($M39)&lt;0,"Type charges as a positive amount",IF(N($B39)&gt;ValDate,"Date after valuation",IF(AND(N($B39)&gt;PrevDate,COUNTIFS(Holdings!$B$6:$B$205,$C39,Holdings!$C$6:$C$205,$D39)=0),"No holding row (needed for Period Change)","OK")))))))))))))</f>
        <v/>
      </c>
      <c r="R39" s="89" t="str">
        <f aca="false">IF($C39="","",IFERROR(MATCH($C39,Accounts!$A$6:$A$55,0),""))</f>
        <v/>
      </c>
      <c r="S39" s="89" t="str">
        <f aca="false">IF($D39="","",IFERROR(MATCH($D39,Securities!$A$6:$A$105,0),""))</f>
        <v/>
      </c>
      <c r="T39" s="89" t="str">
        <f aca="true">IF($I39="","",IFERROR(MATCH($I39,L_TxnType,0),""))</f>
        <v/>
      </c>
    </row>
    <row r="40" customFormat="false" ht="15" hidden="false" customHeight="false" outlineLevel="0" collapsed="false">
      <c r="A40" s="77"/>
      <c r="B40" s="80"/>
      <c r="C40" s="78"/>
      <c r="D40" s="78"/>
      <c r="E40" s="79" t="str">
        <f aca="false">IF($R40="","",INDEX(Accounts!$C$6:$C$55,$R40)&amp;"")</f>
        <v/>
      </c>
      <c r="F40" s="79" t="str">
        <f aca="false">IF($S40="","",INDEX(Securities!$B$6:$B$105,$S40)&amp;"")</f>
        <v/>
      </c>
      <c r="G40" s="79" t="str">
        <f aca="false">IF($S40="","",INDEX(Securities!$E$6:$E$105,$S40)&amp;"")</f>
        <v/>
      </c>
      <c r="H40" s="79" t="str">
        <f aca="false">IF($S40="","",INDEX(Securities!$F$6:$F$105,$S40)&amp;"")</f>
        <v/>
      </c>
      <c r="I40" s="78"/>
      <c r="J40" s="81"/>
      <c r="K40" s="94"/>
      <c r="L40" s="82"/>
      <c r="M40" s="82"/>
      <c r="N40" s="85" t="str">
        <f aca="true">IF(OR($I40="",$T40=""),"",INDEX(L_TxnSign,$T40)*N($L40)-N($M40))</f>
        <v/>
      </c>
      <c r="O40" s="79" t="str">
        <f aca="true">IF($T40="","",INDEX(L_TxnCounts,$T40)&amp;"")</f>
        <v/>
      </c>
      <c r="P40" s="78"/>
      <c r="Q40" s="79" t="str">
        <f aca="false">IF($A40&amp;$C40&amp;$D40&amp;$I40="","",IF($A40="","Missing ID",IF(COUNTIF($A$6:$A$305,$A40)&gt;1,"Duplicate ID",IF(NOT(ISNUMBER($B40)),"Missing date",IF($R40="","Unknown account",IF($D40="","Missing security",IF($S40="","Unknown security",IF($T40="","Unknown type",IF(AND($L40="",$I40&lt;&gt;"Bonus / Split"),"No amount",IF(N($L40)&lt;0,"Type a positive amount; the sign comes from the type",IF(N($M40)&lt;0,"Type charges as a positive amount",IF(N($B40)&gt;ValDate,"Date after valuation",IF(AND(N($B40)&gt;PrevDate,COUNTIFS(Holdings!$B$6:$B$205,$C40,Holdings!$C$6:$C$205,$D40)=0),"No holding row (needed for Period Change)","OK")))))))))))))</f>
        <v/>
      </c>
      <c r="R40" s="89" t="str">
        <f aca="false">IF($C40="","",IFERROR(MATCH($C40,Accounts!$A$6:$A$55,0),""))</f>
        <v/>
      </c>
      <c r="S40" s="89" t="str">
        <f aca="false">IF($D40="","",IFERROR(MATCH($D40,Securities!$A$6:$A$105,0),""))</f>
        <v/>
      </c>
      <c r="T40" s="89" t="str">
        <f aca="true">IF($I40="","",IFERROR(MATCH($I40,L_TxnType,0),""))</f>
        <v/>
      </c>
    </row>
    <row r="41" customFormat="false" ht="15" hidden="false" customHeight="false" outlineLevel="0" collapsed="false">
      <c r="A41" s="77"/>
      <c r="B41" s="80"/>
      <c r="C41" s="78"/>
      <c r="D41" s="78"/>
      <c r="E41" s="79" t="str">
        <f aca="false">IF($R41="","",INDEX(Accounts!$C$6:$C$55,$R41)&amp;"")</f>
        <v/>
      </c>
      <c r="F41" s="79" t="str">
        <f aca="false">IF($S41="","",INDEX(Securities!$B$6:$B$105,$S41)&amp;"")</f>
        <v/>
      </c>
      <c r="G41" s="79" t="str">
        <f aca="false">IF($S41="","",INDEX(Securities!$E$6:$E$105,$S41)&amp;"")</f>
        <v/>
      </c>
      <c r="H41" s="79" t="str">
        <f aca="false">IF($S41="","",INDEX(Securities!$F$6:$F$105,$S41)&amp;"")</f>
        <v/>
      </c>
      <c r="I41" s="78"/>
      <c r="J41" s="81"/>
      <c r="K41" s="94"/>
      <c r="L41" s="82"/>
      <c r="M41" s="82"/>
      <c r="N41" s="85" t="str">
        <f aca="true">IF(OR($I41="",$T41=""),"",INDEX(L_TxnSign,$T41)*N($L41)-N($M41))</f>
        <v/>
      </c>
      <c r="O41" s="79" t="str">
        <f aca="true">IF($T41="","",INDEX(L_TxnCounts,$T41)&amp;"")</f>
        <v/>
      </c>
      <c r="P41" s="78"/>
      <c r="Q41" s="79" t="str">
        <f aca="false">IF($A41&amp;$C41&amp;$D41&amp;$I41="","",IF($A41="","Missing ID",IF(COUNTIF($A$6:$A$305,$A41)&gt;1,"Duplicate ID",IF(NOT(ISNUMBER($B41)),"Missing date",IF($R41="","Unknown account",IF($D41="","Missing security",IF($S41="","Unknown security",IF($T41="","Unknown type",IF(AND($L41="",$I41&lt;&gt;"Bonus / Split"),"No amount",IF(N($L41)&lt;0,"Type a positive amount; the sign comes from the type",IF(N($M41)&lt;0,"Type charges as a positive amount",IF(N($B41)&gt;ValDate,"Date after valuation",IF(AND(N($B41)&gt;PrevDate,COUNTIFS(Holdings!$B$6:$B$205,$C41,Holdings!$C$6:$C$205,$D41)=0),"No holding row (needed for Period Change)","OK")))))))))))))</f>
        <v/>
      </c>
      <c r="R41" s="89" t="str">
        <f aca="false">IF($C41="","",IFERROR(MATCH($C41,Accounts!$A$6:$A$55,0),""))</f>
        <v/>
      </c>
      <c r="S41" s="89" t="str">
        <f aca="false">IF($D41="","",IFERROR(MATCH($D41,Securities!$A$6:$A$105,0),""))</f>
        <v/>
      </c>
      <c r="T41" s="89" t="str">
        <f aca="true">IF($I41="","",IFERROR(MATCH($I41,L_TxnType,0),""))</f>
        <v/>
      </c>
    </row>
    <row r="42" customFormat="false" ht="15" hidden="false" customHeight="false" outlineLevel="0" collapsed="false">
      <c r="A42" s="77"/>
      <c r="B42" s="80"/>
      <c r="C42" s="78"/>
      <c r="D42" s="78"/>
      <c r="E42" s="79" t="str">
        <f aca="false">IF($R42="","",INDEX(Accounts!$C$6:$C$55,$R42)&amp;"")</f>
        <v/>
      </c>
      <c r="F42" s="79" t="str">
        <f aca="false">IF($S42="","",INDEX(Securities!$B$6:$B$105,$S42)&amp;"")</f>
        <v/>
      </c>
      <c r="G42" s="79" t="str">
        <f aca="false">IF($S42="","",INDEX(Securities!$E$6:$E$105,$S42)&amp;"")</f>
        <v/>
      </c>
      <c r="H42" s="79" t="str">
        <f aca="false">IF($S42="","",INDEX(Securities!$F$6:$F$105,$S42)&amp;"")</f>
        <v/>
      </c>
      <c r="I42" s="78"/>
      <c r="J42" s="81"/>
      <c r="K42" s="94"/>
      <c r="L42" s="82"/>
      <c r="M42" s="82"/>
      <c r="N42" s="85" t="str">
        <f aca="true">IF(OR($I42="",$T42=""),"",INDEX(L_TxnSign,$T42)*N($L42)-N($M42))</f>
        <v/>
      </c>
      <c r="O42" s="79" t="str">
        <f aca="true">IF($T42="","",INDEX(L_TxnCounts,$T42)&amp;"")</f>
        <v/>
      </c>
      <c r="P42" s="78"/>
      <c r="Q42" s="79" t="str">
        <f aca="false">IF($A42&amp;$C42&amp;$D42&amp;$I42="","",IF($A42="","Missing ID",IF(COUNTIF($A$6:$A$305,$A42)&gt;1,"Duplicate ID",IF(NOT(ISNUMBER($B42)),"Missing date",IF($R42="","Unknown account",IF($D42="","Missing security",IF($S42="","Unknown security",IF($T42="","Unknown type",IF(AND($L42="",$I42&lt;&gt;"Bonus / Split"),"No amount",IF(N($L42)&lt;0,"Type a positive amount; the sign comes from the type",IF(N($M42)&lt;0,"Type charges as a positive amount",IF(N($B42)&gt;ValDate,"Date after valuation",IF(AND(N($B42)&gt;PrevDate,COUNTIFS(Holdings!$B$6:$B$205,$C42,Holdings!$C$6:$C$205,$D42)=0),"No holding row (needed for Period Change)","OK")))))))))))))</f>
        <v/>
      </c>
      <c r="R42" s="89" t="str">
        <f aca="false">IF($C42="","",IFERROR(MATCH($C42,Accounts!$A$6:$A$55,0),""))</f>
        <v/>
      </c>
      <c r="S42" s="89" t="str">
        <f aca="false">IF($D42="","",IFERROR(MATCH($D42,Securities!$A$6:$A$105,0),""))</f>
        <v/>
      </c>
      <c r="T42" s="89" t="str">
        <f aca="true">IF($I42="","",IFERROR(MATCH($I42,L_TxnType,0),""))</f>
        <v/>
      </c>
    </row>
    <row r="43" customFormat="false" ht="15" hidden="false" customHeight="false" outlineLevel="0" collapsed="false">
      <c r="A43" s="77"/>
      <c r="B43" s="80"/>
      <c r="C43" s="78"/>
      <c r="D43" s="78"/>
      <c r="E43" s="79" t="str">
        <f aca="false">IF($R43="","",INDEX(Accounts!$C$6:$C$55,$R43)&amp;"")</f>
        <v/>
      </c>
      <c r="F43" s="79" t="str">
        <f aca="false">IF($S43="","",INDEX(Securities!$B$6:$B$105,$S43)&amp;"")</f>
        <v/>
      </c>
      <c r="G43" s="79" t="str">
        <f aca="false">IF($S43="","",INDEX(Securities!$E$6:$E$105,$S43)&amp;"")</f>
        <v/>
      </c>
      <c r="H43" s="79" t="str">
        <f aca="false">IF($S43="","",INDEX(Securities!$F$6:$F$105,$S43)&amp;"")</f>
        <v/>
      </c>
      <c r="I43" s="78"/>
      <c r="J43" s="81"/>
      <c r="K43" s="94"/>
      <c r="L43" s="82"/>
      <c r="M43" s="82"/>
      <c r="N43" s="85" t="str">
        <f aca="true">IF(OR($I43="",$T43=""),"",INDEX(L_TxnSign,$T43)*N($L43)-N($M43))</f>
        <v/>
      </c>
      <c r="O43" s="79" t="str">
        <f aca="true">IF($T43="","",INDEX(L_TxnCounts,$T43)&amp;"")</f>
        <v/>
      </c>
      <c r="P43" s="78"/>
      <c r="Q43" s="79" t="str">
        <f aca="false">IF($A43&amp;$C43&amp;$D43&amp;$I43="","",IF($A43="","Missing ID",IF(COUNTIF($A$6:$A$305,$A43)&gt;1,"Duplicate ID",IF(NOT(ISNUMBER($B43)),"Missing date",IF($R43="","Unknown account",IF($D43="","Missing security",IF($S43="","Unknown security",IF($T43="","Unknown type",IF(AND($L43="",$I43&lt;&gt;"Bonus / Split"),"No amount",IF(N($L43)&lt;0,"Type a positive amount; the sign comes from the type",IF(N($M43)&lt;0,"Type charges as a positive amount",IF(N($B43)&gt;ValDate,"Date after valuation",IF(AND(N($B43)&gt;PrevDate,COUNTIFS(Holdings!$B$6:$B$205,$C43,Holdings!$C$6:$C$205,$D43)=0),"No holding row (needed for Period Change)","OK")))))))))))))</f>
        <v/>
      </c>
      <c r="R43" s="89" t="str">
        <f aca="false">IF($C43="","",IFERROR(MATCH($C43,Accounts!$A$6:$A$55,0),""))</f>
        <v/>
      </c>
      <c r="S43" s="89" t="str">
        <f aca="false">IF($D43="","",IFERROR(MATCH($D43,Securities!$A$6:$A$105,0),""))</f>
        <v/>
      </c>
      <c r="T43" s="89" t="str">
        <f aca="true">IF($I43="","",IFERROR(MATCH($I43,L_TxnType,0),""))</f>
        <v/>
      </c>
    </row>
    <row r="44" customFormat="false" ht="15" hidden="false" customHeight="false" outlineLevel="0" collapsed="false">
      <c r="A44" s="77"/>
      <c r="B44" s="80"/>
      <c r="C44" s="78"/>
      <c r="D44" s="78"/>
      <c r="E44" s="79" t="str">
        <f aca="false">IF($R44="","",INDEX(Accounts!$C$6:$C$55,$R44)&amp;"")</f>
        <v/>
      </c>
      <c r="F44" s="79" t="str">
        <f aca="false">IF($S44="","",INDEX(Securities!$B$6:$B$105,$S44)&amp;"")</f>
        <v/>
      </c>
      <c r="G44" s="79" t="str">
        <f aca="false">IF($S44="","",INDEX(Securities!$E$6:$E$105,$S44)&amp;"")</f>
        <v/>
      </c>
      <c r="H44" s="79" t="str">
        <f aca="false">IF($S44="","",INDEX(Securities!$F$6:$F$105,$S44)&amp;"")</f>
        <v/>
      </c>
      <c r="I44" s="78"/>
      <c r="J44" s="81"/>
      <c r="K44" s="94"/>
      <c r="L44" s="82"/>
      <c r="M44" s="82"/>
      <c r="N44" s="85" t="str">
        <f aca="true">IF(OR($I44="",$T44=""),"",INDEX(L_TxnSign,$T44)*N($L44)-N($M44))</f>
        <v/>
      </c>
      <c r="O44" s="79" t="str">
        <f aca="true">IF($T44="","",INDEX(L_TxnCounts,$T44)&amp;"")</f>
        <v/>
      </c>
      <c r="P44" s="78"/>
      <c r="Q44" s="79" t="str">
        <f aca="false">IF($A44&amp;$C44&amp;$D44&amp;$I44="","",IF($A44="","Missing ID",IF(COUNTIF($A$6:$A$305,$A44)&gt;1,"Duplicate ID",IF(NOT(ISNUMBER($B44)),"Missing date",IF($R44="","Unknown account",IF($D44="","Missing security",IF($S44="","Unknown security",IF($T44="","Unknown type",IF(AND($L44="",$I44&lt;&gt;"Bonus / Split"),"No amount",IF(N($L44)&lt;0,"Type a positive amount; the sign comes from the type",IF(N($M44)&lt;0,"Type charges as a positive amount",IF(N($B44)&gt;ValDate,"Date after valuation",IF(AND(N($B44)&gt;PrevDate,COUNTIFS(Holdings!$B$6:$B$205,$C44,Holdings!$C$6:$C$205,$D44)=0),"No holding row (needed for Period Change)","OK")))))))))))))</f>
        <v/>
      </c>
      <c r="R44" s="89" t="str">
        <f aca="false">IF($C44="","",IFERROR(MATCH($C44,Accounts!$A$6:$A$55,0),""))</f>
        <v/>
      </c>
      <c r="S44" s="89" t="str">
        <f aca="false">IF($D44="","",IFERROR(MATCH($D44,Securities!$A$6:$A$105,0),""))</f>
        <v/>
      </c>
      <c r="T44" s="89" t="str">
        <f aca="true">IF($I44="","",IFERROR(MATCH($I44,L_TxnType,0),""))</f>
        <v/>
      </c>
    </row>
    <row r="45" customFormat="false" ht="15" hidden="false" customHeight="false" outlineLevel="0" collapsed="false">
      <c r="A45" s="77"/>
      <c r="B45" s="80"/>
      <c r="C45" s="78"/>
      <c r="D45" s="78"/>
      <c r="E45" s="79" t="str">
        <f aca="false">IF($R45="","",INDEX(Accounts!$C$6:$C$55,$R45)&amp;"")</f>
        <v/>
      </c>
      <c r="F45" s="79" t="str">
        <f aca="false">IF($S45="","",INDEX(Securities!$B$6:$B$105,$S45)&amp;"")</f>
        <v/>
      </c>
      <c r="G45" s="79" t="str">
        <f aca="false">IF($S45="","",INDEX(Securities!$E$6:$E$105,$S45)&amp;"")</f>
        <v/>
      </c>
      <c r="H45" s="79" t="str">
        <f aca="false">IF($S45="","",INDEX(Securities!$F$6:$F$105,$S45)&amp;"")</f>
        <v/>
      </c>
      <c r="I45" s="78"/>
      <c r="J45" s="81"/>
      <c r="K45" s="94"/>
      <c r="L45" s="82"/>
      <c r="M45" s="82"/>
      <c r="N45" s="85" t="str">
        <f aca="true">IF(OR($I45="",$T45=""),"",INDEX(L_TxnSign,$T45)*N($L45)-N($M45))</f>
        <v/>
      </c>
      <c r="O45" s="79" t="str">
        <f aca="true">IF($T45="","",INDEX(L_TxnCounts,$T45)&amp;"")</f>
        <v/>
      </c>
      <c r="P45" s="78"/>
      <c r="Q45" s="79" t="str">
        <f aca="false">IF($A45&amp;$C45&amp;$D45&amp;$I45="","",IF($A45="","Missing ID",IF(COUNTIF($A$6:$A$305,$A45)&gt;1,"Duplicate ID",IF(NOT(ISNUMBER($B45)),"Missing date",IF($R45="","Unknown account",IF($D45="","Missing security",IF($S45="","Unknown security",IF($T45="","Unknown type",IF(AND($L45="",$I45&lt;&gt;"Bonus / Split"),"No amount",IF(N($L45)&lt;0,"Type a positive amount; the sign comes from the type",IF(N($M45)&lt;0,"Type charges as a positive amount",IF(N($B45)&gt;ValDate,"Date after valuation",IF(AND(N($B45)&gt;PrevDate,COUNTIFS(Holdings!$B$6:$B$205,$C45,Holdings!$C$6:$C$205,$D45)=0),"No holding row (needed for Period Change)","OK")))))))))))))</f>
        <v/>
      </c>
      <c r="R45" s="89" t="str">
        <f aca="false">IF($C45="","",IFERROR(MATCH($C45,Accounts!$A$6:$A$55,0),""))</f>
        <v/>
      </c>
      <c r="S45" s="89" t="str">
        <f aca="false">IF($D45="","",IFERROR(MATCH($D45,Securities!$A$6:$A$105,0),""))</f>
        <v/>
      </c>
      <c r="T45" s="89" t="str">
        <f aca="true">IF($I45="","",IFERROR(MATCH($I45,L_TxnType,0),""))</f>
        <v/>
      </c>
    </row>
    <row r="46" customFormat="false" ht="15" hidden="false" customHeight="false" outlineLevel="0" collapsed="false">
      <c r="A46" s="77"/>
      <c r="B46" s="80"/>
      <c r="C46" s="78"/>
      <c r="D46" s="78"/>
      <c r="E46" s="79" t="str">
        <f aca="false">IF($R46="","",INDEX(Accounts!$C$6:$C$55,$R46)&amp;"")</f>
        <v/>
      </c>
      <c r="F46" s="79" t="str">
        <f aca="false">IF($S46="","",INDEX(Securities!$B$6:$B$105,$S46)&amp;"")</f>
        <v/>
      </c>
      <c r="G46" s="79" t="str">
        <f aca="false">IF($S46="","",INDEX(Securities!$E$6:$E$105,$S46)&amp;"")</f>
        <v/>
      </c>
      <c r="H46" s="79" t="str">
        <f aca="false">IF($S46="","",INDEX(Securities!$F$6:$F$105,$S46)&amp;"")</f>
        <v/>
      </c>
      <c r="I46" s="78"/>
      <c r="J46" s="81"/>
      <c r="K46" s="94"/>
      <c r="L46" s="82"/>
      <c r="M46" s="82"/>
      <c r="N46" s="85" t="str">
        <f aca="true">IF(OR($I46="",$T46=""),"",INDEX(L_TxnSign,$T46)*N($L46)-N($M46))</f>
        <v/>
      </c>
      <c r="O46" s="79" t="str">
        <f aca="true">IF($T46="","",INDEX(L_TxnCounts,$T46)&amp;"")</f>
        <v/>
      </c>
      <c r="P46" s="78"/>
      <c r="Q46" s="79" t="str">
        <f aca="false">IF($A46&amp;$C46&amp;$D46&amp;$I46="","",IF($A46="","Missing ID",IF(COUNTIF($A$6:$A$305,$A46)&gt;1,"Duplicate ID",IF(NOT(ISNUMBER($B46)),"Missing date",IF($R46="","Unknown account",IF($D46="","Missing security",IF($S46="","Unknown security",IF($T46="","Unknown type",IF(AND($L46="",$I46&lt;&gt;"Bonus / Split"),"No amount",IF(N($L46)&lt;0,"Type a positive amount; the sign comes from the type",IF(N($M46)&lt;0,"Type charges as a positive amount",IF(N($B46)&gt;ValDate,"Date after valuation",IF(AND(N($B46)&gt;PrevDate,COUNTIFS(Holdings!$B$6:$B$205,$C46,Holdings!$C$6:$C$205,$D46)=0),"No holding row (needed for Period Change)","OK")))))))))))))</f>
        <v/>
      </c>
      <c r="R46" s="89" t="str">
        <f aca="false">IF($C46="","",IFERROR(MATCH($C46,Accounts!$A$6:$A$55,0),""))</f>
        <v/>
      </c>
      <c r="S46" s="89" t="str">
        <f aca="false">IF($D46="","",IFERROR(MATCH($D46,Securities!$A$6:$A$105,0),""))</f>
        <v/>
      </c>
      <c r="T46" s="89" t="str">
        <f aca="true">IF($I46="","",IFERROR(MATCH($I46,L_TxnType,0),""))</f>
        <v/>
      </c>
    </row>
    <row r="47" customFormat="false" ht="15" hidden="false" customHeight="false" outlineLevel="0" collapsed="false">
      <c r="A47" s="77"/>
      <c r="B47" s="80"/>
      <c r="C47" s="78"/>
      <c r="D47" s="78"/>
      <c r="E47" s="79" t="str">
        <f aca="false">IF($R47="","",INDEX(Accounts!$C$6:$C$55,$R47)&amp;"")</f>
        <v/>
      </c>
      <c r="F47" s="79" t="str">
        <f aca="false">IF($S47="","",INDEX(Securities!$B$6:$B$105,$S47)&amp;"")</f>
        <v/>
      </c>
      <c r="G47" s="79" t="str">
        <f aca="false">IF($S47="","",INDEX(Securities!$E$6:$E$105,$S47)&amp;"")</f>
        <v/>
      </c>
      <c r="H47" s="79" t="str">
        <f aca="false">IF($S47="","",INDEX(Securities!$F$6:$F$105,$S47)&amp;"")</f>
        <v/>
      </c>
      <c r="I47" s="78"/>
      <c r="J47" s="81"/>
      <c r="K47" s="94"/>
      <c r="L47" s="82"/>
      <c r="M47" s="82"/>
      <c r="N47" s="85" t="str">
        <f aca="true">IF(OR($I47="",$T47=""),"",INDEX(L_TxnSign,$T47)*N($L47)-N($M47))</f>
        <v/>
      </c>
      <c r="O47" s="79" t="str">
        <f aca="true">IF($T47="","",INDEX(L_TxnCounts,$T47)&amp;"")</f>
        <v/>
      </c>
      <c r="P47" s="78"/>
      <c r="Q47" s="79" t="str">
        <f aca="false">IF($A47&amp;$C47&amp;$D47&amp;$I47="","",IF($A47="","Missing ID",IF(COUNTIF($A$6:$A$305,$A47)&gt;1,"Duplicate ID",IF(NOT(ISNUMBER($B47)),"Missing date",IF($R47="","Unknown account",IF($D47="","Missing security",IF($S47="","Unknown security",IF($T47="","Unknown type",IF(AND($L47="",$I47&lt;&gt;"Bonus / Split"),"No amount",IF(N($L47)&lt;0,"Type a positive amount; the sign comes from the type",IF(N($M47)&lt;0,"Type charges as a positive amount",IF(N($B47)&gt;ValDate,"Date after valuation",IF(AND(N($B47)&gt;PrevDate,COUNTIFS(Holdings!$B$6:$B$205,$C47,Holdings!$C$6:$C$205,$D47)=0),"No holding row (needed for Period Change)","OK")))))))))))))</f>
        <v/>
      </c>
      <c r="R47" s="89" t="str">
        <f aca="false">IF($C47="","",IFERROR(MATCH($C47,Accounts!$A$6:$A$55,0),""))</f>
        <v/>
      </c>
      <c r="S47" s="89" t="str">
        <f aca="false">IF($D47="","",IFERROR(MATCH($D47,Securities!$A$6:$A$105,0),""))</f>
        <v/>
      </c>
      <c r="T47" s="89" t="str">
        <f aca="true">IF($I47="","",IFERROR(MATCH($I47,L_TxnType,0),""))</f>
        <v/>
      </c>
    </row>
    <row r="48" customFormat="false" ht="15" hidden="false" customHeight="false" outlineLevel="0" collapsed="false">
      <c r="A48" s="77"/>
      <c r="B48" s="80"/>
      <c r="C48" s="78"/>
      <c r="D48" s="78"/>
      <c r="E48" s="79" t="str">
        <f aca="false">IF($R48="","",INDEX(Accounts!$C$6:$C$55,$R48)&amp;"")</f>
        <v/>
      </c>
      <c r="F48" s="79" t="str">
        <f aca="false">IF($S48="","",INDEX(Securities!$B$6:$B$105,$S48)&amp;"")</f>
        <v/>
      </c>
      <c r="G48" s="79" t="str">
        <f aca="false">IF($S48="","",INDEX(Securities!$E$6:$E$105,$S48)&amp;"")</f>
        <v/>
      </c>
      <c r="H48" s="79" t="str">
        <f aca="false">IF($S48="","",INDEX(Securities!$F$6:$F$105,$S48)&amp;"")</f>
        <v/>
      </c>
      <c r="I48" s="78"/>
      <c r="J48" s="81"/>
      <c r="K48" s="94"/>
      <c r="L48" s="82"/>
      <c r="M48" s="82"/>
      <c r="N48" s="85" t="str">
        <f aca="true">IF(OR($I48="",$T48=""),"",INDEX(L_TxnSign,$T48)*N($L48)-N($M48))</f>
        <v/>
      </c>
      <c r="O48" s="79" t="str">
        <f aca="true">IF($T48="","",INDEX(L_TxnCounts,$T48)&amp;"")</f>
        <v/>
      </c>
      <c r="P48" s="78"/>
      <c r="Q48" s="79" t="str">
        <f aca="false">IF($A48&amp;$C48&amp;$D48&amp;$I48="","",IF($A48="","Missing ID",IF(COUNTIF($A$6:$A$305,$A48)&gt;1,"Duplicate ID",IF(NOT(ISNUMBER($B48)),"Missing date",IF($R48="","Unknown account",IF($D48="","Missing security",IF($S48="","Unknown security",IF($T48="","Unknown type",IF(AND($L48="",$I48&lt;&gt;"Bonus / Split"),"No amount",IF(N($L48)&lt;0,"Type a positive amount; the sign comes from the type",IF(N($M48)&lt;0,"Type charges as a positive amount",IF(N($B48)&gt;ValDate,"Date after valuation",IF(AND(N($B48)&gt;PrevDate,COUNTIFS(Holdings!$B$6:$B$205,$C48,Holdings!$C$6:$C$205,$D48)=0),"No holding row (needed for Period Change)","OK")))))))))))))</f>
        <v/>
      </c>
      <c r="R48" s="89" t="str">
        <f aca="false">IF($C48="","",IFERROR(MATCH($C48,Accounts!$A$6:$A$55,0),""))</f>
        <v/>
      </c>
      <c r="S48" s="89" t="str">
        <f aca="false">IF($D48="","",IFERROR(MATCH($D48,Securities!$A$6:$A$105,0),""))</f>
        <v/>
      </c>
      <c r="T48" s="89" t="str">
        <f aca="true">IF($I48="","",IFERROR(MATCH($I48,L_TxnType,0),""))</f>
        <v/>
      </c>
    </row>
    <row r="49" customFormat="false" ht="15" hidden="false" customHeight="false" outlineLevel="0" collapsed="false">
      <c r="A49" s="77"/>
      <c r="B49" s="80"/>
      <c r="C49" s="78"/>
      <c r="D49" s="78"/>
      <c r="E49" s="79" t="str">
        <f aca="false">IF($R49="","",INDEX(Accounts!$C$6:$C$55,$R49)&amp;"")</f>
        <v/>
      </c>
      <c r="F49" s="79" t="str">
        <f aca="false">IF($S49="","",INDEX(Securities!$B$6:$B$105,$S49)&amp;"")</f>
        <v/>
      </c>
      <c r="G49" s="79" t="str">
        <f aca="false">IF($S49="","",INDEX(Securities!$E$6:$E$105,$S49)&amp;"")</f>
        <v/>
      </c>
      <c r="H49" s="79" t="str">
        <f aca="false">IF($S49="","",INDEX(Securities!$F$6:$F$105,$S49)&amp;"")</f>
        <v/>
      </c>
      <c r="I49" s="78"/>
      <c r="J49" s="81"/>
      <c r="K49" s="94"/>
      <c r="L49" s="82"/>
      <c r="M49" s="82"/>
      <c r="N49" s="85" t="str">
        <f aca="true">IF(OR($I49="",$T49=""),"",INDEX(L_TxnSign,$T49)*N($L49)-N($M49))</f>
        <v/>
      </c>
      <c r="O49" s="79" t="str">
        <f aca="true">IF($T49="","",INDEX(L_TxnCounts,$T49)&amp;"")</f>
        <v/>
      </c>
      <c r="P49" s="78"/>
      <c r="Q49" s="79" t="str">
        <f aca="false">IF($A49&amp;$C49&amp;$D49&amp;$I49="","",IF($A49="","Missing ID",IF(COUNTIF($A$6:$A$305,$A49)&gt;1,"Duplicate ID",IF(NOT(ISNUMBER($B49)),"Missing date",IF($R49="","Unknown account",IF($D49="","Missing security",IF($S49="","Unknown security",IF($T49="","Unknown type",IF(AND($L49="",$I49&lt;&gt;"Bonus / Split"),"No amount",IF(N($L49)&lt;0,"Type a positive amount; the sign comes from the type",IF(N($M49)&lt;0,"Type charges as a positive amount",IF(N($B49)&gt;ValDate,"Date after valuation",IF(AND(N($B49)&gt;PrevDate,COUNTIFS(Holdings!$B$6:$B$205,$C49,Holdings!$C$6:$C$205,$D49)=0),"No holding row (needed for Period Change)","OK")))))))))))))</f>
        <v/>
      </c>
      <c r="R49" s="89" t="str">
        <f aca="false">IF($C49="","",IFERROR(MATCH($C49,Accounts!$A$6:$A$55,0),""))</f>
        <v/>
      </c>
      <c r="S49" s="89" t="str">
        <f aca="false">IF($D49="","",IFERROR(MATCH($D49,Securities!$A$6:$A$105,0),""))</f>
        <v/>
      </c>
      <c r="T49" s="89" t="str">
        <f aca="true">IF($I49="","",IFERROR(MATCH($I49,L_TxnType,0),""))</f>
        <v/>
      </c>
    </row>
    <row r="50" customFormat="false" ht="15" hidden="false" customHeight="false" outlineLevel="0" collapsed="false">
      <c r="A50" s="77"/>
      <c r="B50" s="80"/>
      <c r="C50" s="78"/>
      <c r="D50" s="78"/>
      <c r="E50" s="79" t="str">
        <f aca="false">IF($R50="","",INDEX(Accounts!$C$6:$C$55,$R50)&amp;"")</f>
        <v/>
      </c>
      <c r="F50" s="79" t="str">
        <f aca="false">IF($S50="","",INDEX(Securities!$B$6:$B$105,$S50)&amp;"")</f>
        <v/>
      </c>
      <c r="G50" s="79" t="str">
        <f aca="false">IF($S50="","",INDEX(Securities!$E$6:$E$105,$S50)&amp;"")</f>
        <v/>
      </c>
      <c r="H50" s="79" t="str">
        <f aca="false">IF($S50="","",INDEX(Securities!$F$6:$F$105,$S50)&amp;"")</f>
        <v/>
      </c>
      <c r="I50" s="78"/>
      <c r="J50" s="81"/>
      <c r="K50" s="94"/>
      <c r="L50" s="82"/>
      <c r="M50" s="82"/>
      <c r="N50" s="85" t="str">
        <f aca="true">IF(OR($I50="",$T50=""),"",INDEX(L_TxnSign,$T50)*N($L50)-N($M50))</f>
        <v/>
      </c>
      <c r="O50" s="79" t="str">
        <f aca="true">IF($T50="","",INDEX(L_TxnCounts,$T50)&amp;"")</f>
        <v/>
      </c>
      <c r="P50" s="78"/>
      <c r="Q50" s="79" t="str">
        <f aca="false">IF($A50&amp;$C50&amp;$D50&amp;$I50="","",IF($A50="","Missing ID",IF(COUNTIF($A$6:$A$305,$A50)&gt;1,"Duplicate ID",IF(NOT(ISNUMBER($B50)),"Missing date",IF($R50="","Unknown account",IF($D50="","Missing security",IF($S50="","Unknown security",IF($T50="","Unknown type",IF(AND($L50="",$I50&lt;&gt;"Bonus / Split"),"No amount",IF(N($L50)&lt;0,"Type a positive amount; the sign comes from the type",IF(N($M50)&lt;0,"Type charges as a positive amount",IF(N($B50)&gt;ValDate,"Date after valuation",IF(AND(N($B50)&gt;PrevDate,COUNTIFS(Holdings!$B$6:$B$205,$C50,Holdings!$C$6:$C$205,$D50)=0),"No holding row (needed for Period Change)","OK")))))))))))))</f>
        <v/>
      </c>
      <c r="R50" s="89" t="str">
        <f aca="false">IF($C50="","",IFERROR(MATCH($C50,Accounts!$A$6:$A$55,0),""))</f>
        <v/>
      </c>
      <c r="S50" s="89" t="str">
        <f aca="false">IF($D50="","",IFERROR(MATCH($D50,Securities!$A$6:$A$105,0),""))</f>
        <v/>
      </c>
      <c r="T50" s="89" t="str">
        <f aca="true">IF($I50="","",IFERROR(MATCH($I50,L_TxnType,0),""))</f>
        <v/>
      </c>
    </row>
    <row r="51" customFormat="false" ht="15" hidden="false" customHeight="false" outlineLevel="0" collapsed="false">
      <c r="A51" s="77"/>
      <c r="B51" s="80"/>
      <c r="C51" s="78"/>
      <c r="D51" s="78"/>
      <c r="E51" s="79" t="str">
        <f aca="false">IF($R51="","",INDEX(Accounts!$C$6:$C$55,$R51)&amp;"")</f>
        <v/>
      </c>
      <c r="F51" s="79" t="str">
        <f aca="false">IF($S51="","",INDEX(Securities!$B$6:$B$105,$S51)&amp;"")</f>
        <v/>
      </c>
      <c r="G51" s="79" t="str">
        <f aca="false">IF($S51="","",INDEX(Securities!$E$6:$E$105,$S51)&amp;"")</f>
        <v/>
      </c>
      <c r="H51" s="79" t="str">
        <f aca="false">IF($S51="","",INDEX(Securities!$F$6:$F$105,$S51)&amp;"")</f>
        <v/>
      </c>
      <c r="I51" s="78"/>
      <c r="J51" s="81"/>
      <c r="K51" s="94"/>
      <c r="L51" s="82"/>
      <c r="M51" s="82"/>
      <c r="N51" s="85" t="str">
        <f aca="true">IF(OR($I51="",$T51=""),"",INDEX(L_TxnSign,$T51)*N($L51)-N($M51))</f>
        <v/>
      </c>
      <c r="O51" s="79" t="str">
        <f aca="true">IF($T51="","",INDEX(L_TxnCounts,$T51)&amp;"")</f>
        <v/>
      </c>
      <c r="P51" s="78"/>
      <c r="Q51" s="79" t="str">
        <f aca="false">IF($A51&amp;$C51&amp;$D51&amp;$I51="","",IF($A51="","Missing ID",IF(COUNTIF($A$6:$A$305,$A51)&gt;1,"Duplicate ID",IF(NOT(ISNUMBER($B51)),"Missing date",IF($R51="","Unknown account",IF($D51="","Missing security",IF($S51="","Unknown security",IF($T51="","Unknown type",IF(AND($L51="",$I51&lt;&gt;"Bonus / Split"),"No amount",IF(N($L51)&lt;0,"Type a positive amount; the sign comes from the type",IF(N($M51)&lt;0,"Type charges as a positive amount",IF(N($B51)&gt;ValDate,"Date after valuation",IF(AND(N($B51)&gt;PrevDate,COUNTIFS(Holdings!$B$6:$B$205,$C51,Holdings!$C$6:$C$205,$D51)=0),"No holding row (needed for Period Change)","OK")))))))))))))</f>
        <v/>
      </c>
      <c r="R51" s="89" t="str">
        <f aca="false">IF($C51="","",IFERROR(MATCH($C51,Accounts!$A$6:$A$55,0),""))</f>
        <v/>
      </c>
      <c r="S51" s="89" t="str">
        <f aca="false">IF($D51="","",IFERROR(MATCH($D51,Securities!$A$6:$A$105,0),""))</f>
        <v/>
      </c>
      <c r="T51" s="89" t="str">
        <f aca="true">IF($I51="","",IFERROR(MATCH($I51,L_TxnType,0),""))</f>
        <v/>
      </c>
    </row>
    <row r="52" customFormat="false" ht="15" hidden="false" customHeight="false" outlineLevel="0" collapsed="false">
      <c r="A52" s="77"/>
      <c r="B52" s="80"/>
      <c r="C52" s="78"/>
      <c r="D52" s="78"/>
      <c r="E52" s="79" t="str">
        <f aca="false">IF($R52="","",INDEX(Accounts!$C$6:$C$55,$R52)&amp;"")</f>
        <v/>
      </c>
      <c r="F52" s="79" t="str">
        <f aca="false">IF($S52="","",INDEX(Securities!$B$6:$B$105,$S52)&amp;"")</f>
        <v/>
      </c>
      <c r="G52" s="79" t="str">
        <f aca="false">IF($S52="","",INDEX(Securities!$E$6:$E$105,$S52)&amp;"")</f>
        <v/>
      </c>
      <c r="H52" s="79" t="str">
        <f aca="false">IF($S52="","",INDEX(Securities!$F$6:$F$105,$S52)&amp;"")</f>
        <v/>
      </c>
      <c r="I52" s="78"/>
      <c r="J52" s="81"/>
      <c r="K52" s="94"/>
      <c r="L52" s="82"/>
      <c r="M52" s="82"/>
      <c r="N52" s="85" t="str">
        <f aca="true">IF(OR($I52="",$T52=""),"",INDEX(L_TxnSign,$T52)*N($L52)-N($M52))</f>
        <v/>
      </c>
      <c r="O52" s="79" t="str">
        <f aca="true">IF($T52="","",INDEX(L_TxnCounts,$T52)&amp;"")</f>
        <v/>
      </c>
      <c r="P52" s="78"/>
      <c r="Q52" s="79" t="str">
        <f aca="false">IF($A52&amp;$C52&amp;$D52&amp;$I52="","",IF($A52="","Missing ID",IF(COUNTIF($A$6:$A$305,$A52)&gt;1,"Duplicate ID",IF(NOT(ISNUMBER($B52)),"Missing date",IF($R52="","Unknown account",IF($D52="","Missing security",IF($S52="","Unknown security",IF($T52="","Unknown type",IF(AND($L52="",$I52&lt;&gt;"Bonus / Split"),"No amount",IF(N($L52)&lt;0,"Type a positive amount; the sign comes from the type",IF(N($M52)&lt;0,"Type charges as a positive amount",IF(N($B52)&gt;ValDate,"Date after valuation",IF(AND(N($B52)&gt;PrevDate,COUNTIFS(Holdings!$B$6:$B$205,$C52,Holdings!$C$6:$C$205,$D52)=0),"No holding row (needed for Period Change)","OK")))))))))))))</f>
        <v/>
      </c>
      <c r="R52" s="89" t="str">
        <f aca="false">IF($C52="","",IFERROR(MATCH($C52,Accounts!$A$6:$A$55,0),""))</f>
        <v/>
      </c>
      <c r="S52" s="89" t="str">
        <f aca="false">IF($D52="","",IFERROR(MATCH($D52,Securities!$A$6:$A$105,0),""))</f>
        <v/>
      </c>
      <c r="T52" s="89" t="str">
        <f aca="true">IF($I52="","",IFERROR(MATCH($I52,L_TxnType,0),""))</f>
        <v/>
      </c>
    </row>
    <row r="53" customFormat="false" ht="15" hidden="false" customHeight="false" outlineLevel="0" collapsed="false">
      <c r="A53" s="77"/>
      <c r="B53" s="80"/>
      <c r="C53" s="78"/>
      <c r="D53" s="78"/>
      <c r="E53" s="79" t="str">
        <f aca="false">IF($R53="","",INDEX(Accounts!$C$6:$C$55,$R53)&amp;"")</f>
        <v/>
      </c>
      <c r="F53" s="79" t="str">
        <f aca="false">IF($S53="","",INDEX(Securities!$B$6:$B$105,$S53)&amp;"")</f>
        <v/>
      </c>
      <c r="G53" s="79" t="str">
        <f aca="false">IF($S53="","",INDEX(Securities!$E$6:$E$105,$S53)&amp;"")</f>
        <v/>
      </c>
      <c r="H53" s="79" t="str">
        <f aca="false">IF($S53="","",INDEX(Securities!$F$6:$F$105,$S53)&amp;"")</f>
        <v/>
      </c>
      <c r="I53" s="78"/>
      <c r="J53" s="81"/>
      <c r="K53" s="94"/>
      <c r="L53" s="82"/>
      <c r="M53" s="82"/>
      <c r="N53" s="85" t="str">
        <f aca="true">IF(OR($I53="",$T53=""),"",INDEX(L_TxnSign,$T53)*N($L53)-N($M53))</f>
        <v/>
      </c>
      <c r="O53" s="79" t="str">
        <f aca="true">IF($T53="","",INDEX(L_TxnCounts,$T53)&amp;"")</f>
        <v/>
      </c>
      <c r="P53" s="78"/>
      <c r="Q53" s="79" t="str">
        <f aca="false">IF($A53&amp;$C53&amp;$D53&amp;$I53="","",IF($A53="","Missing ID",IF(COUNTIF($A$6:$A$305,$A53)&gt;1,"Duplicate ID",IF(NOT(ISNUMBER($B53)),"Missing date",IF($R53="","Unknown account",IF($D53="","Missing security",IF($S53="","Unknown security",IF($T53="","Unknown type",IF(AND($L53="",$I53&lt;&gt;"Bonus / Split"),"No amount",IF(N($L53)&lt;0,"Type a positive amount; the sign comes from the type",IF(N($M53)&lt;0,"Type charges as a positive amount",IF(N($B53)&gt;ValDate,"Date after valuation",IF(AND(N($B53)&gt;PrevDate,COUNTIFS(Holdings!$B$6:$B$205,$C53,Holdings!$C$6:$C$205,$D53)=0),"No holding row (needed for Period Change)","OK")))))))))))))</f>
        <v/>
      </c>
      <c r="R53" s="89" t="str">
        <f aca="false">IF($C53="","",IFERROR(MATCH($C53,Accounts!$A$6:$A$55,0),""))</f>
        <v/>
      </c>
      <c r="S53" s="89" t="str">
        <f aca="false">IF($D53="","",IFERROR(MATCH($D53,Securities!$A$6:$A$105,0),""))</f>
        <v/>
      </c>
      <c r="T53" s="89" t="str">
        <f aca="true">IF($I53="","",IFERROR(MATCH($I53,L_TxnType,0),""))</f>
        <v/>
      </c>
    </row>
    <row r="54" customFormat="false" ht="15" hidden="false" customHeight="false" outlineLevel="0" collapsed="false">
      <c r="A54" s="77"/>
      <c r="B54" s="80"/>
      <c r="C54" s="78"/>
      <c r="D54" s="78"/>
      <c r="E54" s="79" t="str">
        <f aca="false">IF($R54="","",INDEX(Accounts!$C$6:$C$55,$R54)&amp;"")</f>
        <v/>
      </c>
      <c r="F54" s="79" t="str">
        <f aca="false">IF($S54="","",INDEX(Securities!$B$6:$B$105,$S54)&amp;"")</f>
        <v/>
      </c>
      <c r="G54" s="79" t="str">
        <f aca="false">IF($S54="","",INDEX(Securities!$E$6:$E$105,$S54)&amp;"")</f>
        <v/>
      </c>
      <c r="H54" s="79" t="str">
        <f aca="false">IF($S54="","",INDEX(Securities!$F$6:$F$105,$S54)&amp;"")</f>
        <v/>
      </c>
      <c r="I54" s="78"/>
      <c r="J54" s="81"/>
      <c r="K54" s="94"/>
      <c r="L54" s="82"/>
      <c r="M54" s="82"/>
      <c r="N54" s="85" t="str">
        <f aca="true">IF(OR($I54="",$T54=""),"",INDEX(L_TxnSign,$T54)*N($L54)-N($M54))</f>
        <v/>
      </c>
      <c r="O54" s="79" t="str">
        <f aca="true">IF($T54="","",INDEX(L_TxnCounts,$T54)&amp;"")</f>
        <v/>
      </c>
      <c r="P54" s="78"/>
      <c r="Q54" s="79" t="str">
        <f aca="false">IF($A54&amp;$C54&amp;$D54&amp;$I54="","",IF($A54="","Missing ID",IF(COUNTIF($A$6:$A$305,$A54)&gt;1,"Duplicate ID",IF(NOT(ISNUMBER($B54)),"Missing date",IF($R54="","Unknown account",IF($D54="","Missing security",IF($S54="","Unknown security",IF($T54="","Unknown type",IF(AND($L54="",$I54&lt;&gt;"Bonus / Split"),"No amount",IF(N($L54)&lt;0,"Type a positive amount; the sign comes from the type",IF(N($M54)&lt;0,"Type charges as a positive amount",IF(N($B54)&gt;ValDate,"Date after valuation",IF(AND(N($B54)&gt;PrevDate,COUNTIFS(Holdings!$B$6:$B$205,$C54,Holdings!$C$6:$C$205,$D54)=0),"No holding row (needed for Period Change)","OK")))))))))))))</f>
        <v/>
      </c>
      <c r="R54" s="89" t="str">
        <f aca="false">IF($C54="","",IFERROR(MATCH($C54,Accounts!$A$6:$A$55,0),""))</f>
        <v/>
      </c>
      <c r="S54" s="89" t="str">
        <f aca="false">IF($D54="","",IFERROR(MATCH($D54,Securities!$A$6:$A$105,0),""))</f>
        <v/>
      </c>
      <c r="T54" s="89" t="str">
        <f aca="true">IF($I54="","",IFERROR(MATCH($I54,L_TxnType,0),""))</f>
        <v/>
      </c>
    </row>
    <row r="55" customFormat="false" ht="15" hidden="false" customHeight="false" outlineLevel="0" collapsed="false">
      <c r="A55" s="77"/>
      <c r="B55" s="80"/>
      <c r="C55" s="78"/>
      <c r="D55" s="78"/>
      <c r="E55" s="79" t="str">
        <f aca="false">IF($R55="","",INDEX(Accounts!$C$6:$C$55,$R55)&amp;"")</f>
        <v/>
      </c>
      <c r="F55" s="79" t="str">
        <f aca="false">IF($S55="","",INDEX(Securities!$B$6:$B$105,$S55)&amp;"")</f>
        <v/>
      </c>
      <c r="G55" s="79" t="str">
        <f aca="false">IF($S55="","",INDEX(Securities!$E$6:$E$105,$S55)&amp;"")</f>
        <v/>
      </c>
      <c r="H55" s="79" t="str">
        <f aca="false">IF($S55="","",INDEX(Securities!$F$6:$F$105,$S55)&amp;"")</f>
        <v/>
      </c>
      <c r="I55" s="78"/>
      <c r="J55" s="81"/>
      <c r="K55" s="94"/>
      <c r="L55" s="82"/>
      <c r="M55" s="82"/>
      <c r="N55" s="85" t="str">
        <f aca="true">IF(OR($I55="",$T55=""),"",INDEX(L_TxnSign,$T55)*N($L55)-N($M55))</f>
        <v/>
      </c>
      <c r="O55" s="79" t="str">
        <f aca="true">IF($T55="","",INDEX(L_TxnCounts,$T55)&amp;"")</f>
        <v/>
      </c>
      <c r="P55" s="78"/>
      <c r="Q55" s="79" t="str">
        <f aca="false">IF($A55&amp;$C55&amp;$D55&amp;$I55="","",IF($A55="","Missing ID",IF(COUNTIF($A$6:$A$305,$A55)&gt;1,"Duplicate ID",IF(NOT(ISNUMBER($B55)),"Missing date",IF($R55="","Unknown account",IF($D55="","Missing security",IF($S55="","Unknown security",IF($T55="","Unknown type",IF(AND($L55="",$I55&lt;&gt;"Bonus / Split"),"No amount",IF(N($L55)&lt;0,"Type a positive amount; the sign comes from the type",IF(N($M55)&lt;0,"Type charges as a positive amount",IF(N($B55)&gt;ValDate,"Date after valuation",IF(AND(N($B55)&gt;PrevDate,COUNTIFS(Holdings!$B$6:$B$205,$C55,Holdings!$C$6:$C$205,$D55)=0),"No holding row (needed for Period Change)","OK")))))))))))))</f>
        <v/>
      </c>
      <c r="R55" s="89" t="str">
        <f aca="false">IF($C55="","",IFERROR(MATCH($C55,Accounts!$A$6:$A$55,0),""))</f>
        <v/>
      </c>
      <c r="S55" s="89" t="str">
        <f aca="false">IF($D55="","",IFERROR(MATCH($D55,Securities!$A$6:$A$105,0),""))</f>
        <v/>
      </c>
      <c r="T55" s="89" t="str">
        <f aca="true">IF($I55="","",IFERROR(MATCH($I55,L_TxnType,0),""))</f>
        <v/>
      </c>
    </row>
    <row r="56" customFormat="false" ht="15" hidden="false" customHeight="false" outlineLevel="0" collapsed="false">
      <c r="A56" s="77"/>
      <c r="B56" s="80"/>
      <c r="C56" s="78"/>
      <c r="D56" s="78"/>
      <c r="E56" s="79" t="str">
        <f aca="false">IF($R56="","",INDEX(Accounts!$C$6:$C$55,$R56)&amp;"")</f>
        <v/>
      </c>
      <c r="F56" s="79" t="str">
        <f aca="false">IF($S56="","",INDEX(Securities!$B$6:$B$105,$S56)&amp;"")</f>
        <v/>
      </c>
      <c r="G56" s="79" t="str">
        <f aca="false">IF($S56="","",INDEX(Securities!$E$6:$E$105,$S56)&amp;"")</f>
        <v/>
      </c>
      <c r="H56" s="79" t="str">
        <f aca="false">IF($S56="","",INDEX(Securities!$F$6:$F$105,$S56)&amp;"")</f>
        <v/>
      </c>
      <c r="I56" s="78"/>
      <c r="J56" s="81"/>
      <c r="K56" s="94"/>
      <c r="L56" s="82"/>
      <c r="M56" s="82"/>
      <c r="N56" s="85" t="str">
        <f aca="true">IF(OR($I56="",$T56=""),"",INDEX(L_TxnSign,$T56)*N($L56)-N($M56))</f>
        <v/>
      </c>
      <c r="O56" s="79" t="str">
        <f aca="true">IF($T56="","",INDEX(L_TxnCounts,$T56)&amp;"")</f>
        <v/>
      </c>
      <c r="P56" s="78"/>
      <c r="Q56" s="79" t="str">
        <f aca="false">IF($A56&amp;$C56&amp;$D56&amp;$I56="","",IF($A56="","Missing ID",IF(COUNTIF($A$6:$A$305,$A56)&gt;1,"Duplicate ID",IF(NOT(ISNUMBER($B56)),"Missing date",IF($R56="","Unknown account",IF($D56="","Missing security",IF($S56="","Unknown security",IF($T56="","Unknown type",IF(AND($L56="",$I56&lt;&gt;"Bonus / Split"),"No amount",IF(N($L56)&lt;0,"Type a positive amount; the sign comes from the type",IF(N($M56)&lt;0,"Type charges as a positive amount",IF(N($B56)&gt;ValDate,"Date after valuation",IF(AND(N($B56)&gt;PrevDate,COUNTIFS(Holdings!$B$6:$B$205,$C56,Holdings!$C$6:$C$205,$D56)=0),"No holding row (needed for Period Change)","OK")))))))))))))</f>
        <v/>
      </c>
      <c r="R56" s="89" t="str">
        <f aca="false">IF($C56="","",IFERROR(MATCH($C56,Accounts!$A$6:$A$55,0),""))</f>
        <v/>
      </c>
      <c r="S56" s="89" t="str">
        <f aca="false">IF($D56="","",IFERROR(MATCH($D56,Securities!$A$6:$A$105,0),""))</f>
        <v/>
      </c>
      <c r="T56" s="89" t="str">
        <f aca="true">IF($I56="","",IFERROR(MATCH($I56,L_TxnType,0),""))</f>
        <v/>
      </c>
    </row>
    <row r="57" customFormat="false" ht="15" hidden="false" customHeight="false" outlineLevel="0" collapsed="false">
      <c r="A57" s="77"/>
      <c r="B57" s="80"/>
      <c r="C57" s="78"/>
      <c r="D57" s="78"/>
      <c r="E57" s="79" t="str">
        <f aca="false">IF($R57="","",INDEX(Accounts!$C$6:$C$55,$R57)&amp;"")</f>
        <v/>
      </c>
      <c r="F57" s="79" t="str">
        <f aca="false">IF($S57="","",INDEX(Securities!$B$6:$B$105,$S57)&amp;"")</f>
        <v/>
      </c>
      <c r="G57" s="79" t="str">
        <f aca="false">IF($S57="","",INDEX(Securities!$E$6:$E$105,$S57)&amp;"")</f>
        <v/>
      </c>
      <c r="H57" s="79" t="str">
        <f aca="false">IF($S57="","",INDEX(Securities!$F$6:$F$105,$S57)&amp;"")</f>
        <v/>
      </c>
      <c r="I57" s="78"/>
      <c r="J57" s="81"/>
      <c r="K57" s="94"/>
      <c r="L57" s="82"/>
      <c r="M57" s="82"/>
      <c r="N57" s="85" t="str">
        <f aca="true">IF(OR($I57="",$T57=""),"",INDEX(L_TxnSign,$T57)*N($L57)-N($M57))</f>
        <v/>
      </c>
      <c r="O57" s="79" t="str">
        <f aca="true">IF($T57="","",INDEX(L_TxnCounts,$T57)&amp;"")</f>
        <v/>
      </c>
      <c r="P57" s="78"/>
      <c r="Q57" s="79" t="str">
        <f aca="false">IF($A57&amp;$C57&amp;$D57&amp;$I57="","",IF($A57="","Missing ID",IF(COUNTIF($A$6:$A$305,$A57)&gt;1,"Duplicate ID",IF(NOT(ISNUMBER($B57)),"Missing date",IF($R57="","Unknown account",IF($D57="","Missing security",IF($S57="","Unknown security",IF($T57="","Unknown type",IF(AND($L57="",$I57&lt;&gt;"Bonus / Split"),"No amount",IF(N($L57)&lt;0,"Type a positive amount; the sign comes from the type",IF(N($M57)&lt;0,"Type charges as a positive amount",IF(N($B57)&gt;ValDate,"Date after valuation",IF(AND(N($B57)&gt;PrevDate,COUNTIFS(Holdings!$B$6:$B$205,$C57,Holdings!$C$6:$C$205,$D57)=0),"No holding row (needed for Period Change)","OK")))))))))))))</f>
        <v/>
      </c>
      <c r="R57" s="89" t="str">
        <f aca="false">IF($C57="","",IFERROR(MATCH($C57,Accounts!$A$6:$A$55,0),""))</f>
        <v/>
      </c>
      <c r="S57" s="89" t="str">
        <f aca="false">IF($D57="","",IFERROR(MATCH($D57,Securities!$A$6:$A$105,0),""))</f>
        <v/>
      </c>
      <c r="T57" s="89" t="str">
        <f aca="true">IF($I57="","",IFERROR(MATCH($I57,L_TxnType,0),""))</f>
        <v/>
      </c>
    </row>
    <row r="58" customFormat="false" ht="15" hidden="false" customHeight="false" outlineLevel="0" collapsed="false">
      <c r="A58" s="77"/>
      <c r="B58" s="80"/>
      <c r="C58" s="78"/>
      <c r="D58" s="78"/>
      <c r="E58" s="79" t="str">
        <f aca="false">IF($R58="","",INDEX(Accounts!$C$6:$C$55,$R58)&amp;"")</f>
        <v/>
      </c>
      <c r="F58" s="79" t="str">
        <f aca="false">IF($S58="","",INDEX(Securities!$B$6:$B$105,$S58)&amp;"")</f>
        <v/>
      </c>
      <c r="G58" s="79" t="str">
        <f aca="false">IF($S58="","",INDEX(Securities!$E$6:$E$105,$S58)&amp;"")</f>
        <v/>
      </c>
      <c r="H58" s="79" t="str">
        <f aca="false">IF($S58="","",INDEX(Securities!$F$6:$F$105,$S58)&amp;"")</f>
        <v/>
      </c>
      <c r="I58" s="78"/>
      <c r="J58" s="81"/>
      <c r="K58" s="94"/>
      <c r="L58" s="82"/>
      <c r="M58" s="82"/>
      <c r="N58" s="85" t="str">
        <f aca="true">IF(OR($I58="",$T58=""),"",INDEX(L_TxnSign,$T58)*N($L58)-N($M58))</f>
        <v/>
      </c>
      <c r="O58" s="79" t="str">
        <f aca="true">IF($T58="","",INDEX(L_TxnCounts,$T58)&amp;"")</f>
        <v/>
      </c>
      <c r="P58" s="78"/>
      <c r="Q58" s="79" t="str">
        <f aca="false">IF($A58&amp;$C58&amp;$D58&amp;$I58="","",IF($A58="","Missing ID",IF(COUNTIF($A$6:$A$305,$A58)&gt;1,"Duplicate ID",IF(NOT(ISNUMBER($B58)),"Missing date",IF($R58="","Unknown account",IF($D58="","Missing security",IF($S58="","Unknown security",IF($T58="","Unknown type",IF(AND($L58="",$I58&lt;&gt;"Bonus / Split"),"No amount",IF(N($L58)&lt;0,"Type a positive amount; the sign comes from the type",IF(N($M58)&lt;0,"Type charges as a positive amount",IF(N($B58)&gt;ValDate,"Date after valuation",IF(AND(N($B58)&gt;PrevDate,COUNTIFS(Holdings!$B$6:$B$205,$C58,Holdings!$C$6:$C$205,$D58)=0),"No holding row (needed for Period Change)","OK")))))))))))))</f>
        <v/>
      </c>
      <c r="R58" s="89" t="str">
        <f aca="false">IF($C58="","",IFERROR(MATCH($C58,Accounts!$A$6:$A$55,0),""))</f>
        <v/>
      </c>
      <c r="S58" s="89" t="str">
        <f aca="false">IF($D58="","",IFERROR(MATCH($D58,Securities!$A$6:$A$105,0),""))</f>
        <v/>
      </c>
      <c r="T58" s="89" t="str">
        <f aca="true">IF($I58="","",IFERROR(MATCH($I58,L_TxnType,0),""))</f>
        <v/>
      </c>
    </row>
    <row r="59" customFormat="false" ht="15" hidden="false" customHeight="false" outlineLevel="0" collapsed="false">
      <c r="A59" s="77"/>
      <c r="B59" s="80"/>
      <c r="C59" s="78"/>
      <c r="D59" s="78"/>
      <c r="E59" s="79" t="str">
        <f aca="false">IF($R59="","",INDEX(Accounts!$C$6:$C$55,$R59)&amp;"")</f>
        <v/>
      </c>
      <c r="F59" s="79" t="str">
        <f aca="false">IF($S59="","",INDEX(Securities!$B$6:$B$105,$S59)&amp;"")</f>
        <v/>
      </c>
      <c r="G59" s="79" t="str">
        <f aca="false">IF($S59="","",INDEX(Securities!$E$6:$E$105,$S59)&amp;"")</f>
        <v/>
      </c>
      <c r="H59" s="79" t="str">
        <f aca="false">IF($S59="","",INDEX(Securities!$F$6:$F$105,$S59)&amp;"")</f>
        <v/>
      </c>
      <c r="I59" s="78"/>
      <c r="J59" s="81"/>
      <c r="K59" s="94"/>
      <c r="L59" s="82"/>
      <c r="M59" s="82"/>
      <c r="N59" s="85" t="str">
        <f aca="true">IF(OR($I59="",$T59=""),"",INDEX(L_TxnSign,$T59)*N($L59)-N($M59))</f>
        <v/>
      </c>
      <c r="O59" s="79" t="str">
        <f aca="true">IF($T59="","",INDEX(L_TxnCounts,$T59)&amp;"")</f>
        <v/>
      </c>
      <c r="P59" s="78"/>
      <c r="Q59" s="79" t="str">
        <f aca="false">IF($A59&amp;$C59&amp;$D59&amp;$I59="","",IF($A59="","Missing ID",IF(COUNTIF($A$6:$A$305,$A59)&gt;1,"Duplicate ID",IF(NOT(ISNUMBER($B59)),"Missing date",IF($R59="","Unknown account",IF($D59="","Missing security",IF($S59="","Unknown security",IF($T59="","Unknown type",IF(AND($L59="",$I59&lt;&gt;"Bonus / Split"),"No amount",IF(N($L59)&lt;0,"Type a positive amount; the sign comes from the type",IF(N($M59)&lt;0,"Type charges as a positive amount",IF(N($B59)&gt;ValDate,"Date after valuation",IF(AND(N($B59)&gt;PrevDate,COUNTIFS(Holdings!$B$6:$B$205,$C59,Holdings!$C$6:$C$205,$D59)=0),"No holding row (needed for Period Change)","OK")))))))))))))</f>
        <v/>
      </c>
      <c r="R59" s="89" t="str">
        <f aca="false">IF($C59="","",IFERROR(MATCH($C59,Accounts!$A$6:$A$55,0),""))</f>
        <v/>
      </c>
      <c r="S59" s="89" t="str">
        <f aca="false">IF($D59="","",IFERROR(MATCH($D59,Securities!$A$6:$A$105,0),""))</f>
        <v/>
      </c>
      <c r="T59" s="89" t="str">
        <f aca="true">IF($I59="","",IFERROR(MATCH($I59,L_TxnType,0),""))</f>
        <v/>
      </c>
    </row>
    <row r="60" customFormat="false" ht="15" hidden="false" customHeight="false" outlineLevel="0" collapsed="false">
      <c r="A60" s="77"/>
      <c r="B60" s="80"/>
      <c r="C60" s="78"/>
      <c r="D60" s="78"/>
      <c r="E60" s="79" t="str">
        <f aca="false">IF($R60="","",INDEX(Accounts!$C$6:$C$55,$R60)&amp;"")</f>
        <v/>
      </c>
      <c r="F60" s="79" t="str">
        <f aca="false">IF($S60="","",INDEX(Securities!$B$6:$B$105,$S60)&amp;"")</f>
        <v/>
      </c>
      <c r="G60" s="79" t="str">
        <f aca="false">IF($S60="","",INDEX(Securities!$E$6:$E$105,$S60)&amp;"")</f>
        <v/>
      </c>
      <c r="H60" s="79" t="str">
        <f aca="false">IF($S60="","",INDEX(Securities!$F$6:$F$105,$S60)&amp;"")</f>
        <v/>
      </c>
      <c r="I60" s="78"/>
      <c r="J60" s="81"/>
      <c r="K60" s="94"/>
      <c r="L60" s="82"/>
      <c r="M60" s="82"/>
      <c r="N60" s="85" t="str">
        <f aca="true">IF(OR($I60="",$T60=""),"",INDEX(L_TxnSign,$T60)*N($L60)-N($M60))</f>
        <v/>
      </c>
      <c r="O60" s="79" t="str">
        <f aca="true">IF($T60="","",INDEX(L_TxnCounts,$T60)&amp;"")</f>
        <v/>
      </c>
      <c r="P60" s="78"/>
      <c r="Q60" s="79" t="str">
        <f aca="false">IF($A60&amp;$C60&amp;$D60&amp;$I60="","",IF($A60="","Missing ID",IF(COUNTIF($A$6:$A$305,$A60)&gt;1,"Duplicate ID",IF(NOT(ISNUMBER($B60)),"Missing date",IF($R60="","Unknown account",IF($D60="","Missing security",IF($S60="","Unknown security",IF($T60="","Unknown type",IF(AND($L60="",$I60&lt;&gt;"Bonus / Split"),"No amount",IF(N($L60)&lt;0,"Type a positive amount; the sign comes from the type",IF(N($M60)&lt;0,"Type charges as a positive amount",IF(N($B60)&gt;ValDate,"Date after valuation",IF(AND(N($B60)&gt;PrevDate,COUNTIFS(Holdings!$B$6:$B$205,$C60,Holdings!$C$6:$C$205,$D60)=0),"No holding row (needed for Period Change)","OK")))))))))))))</f>
        <v/>
      </c>
      <c r="R60" s="89" t="str">
        <f aca="false">IF($C60="","",IFERROR(MATCH($C60,Accounts!$A$6:$A$55,0),""))</f>
        <v/>
      </c>
      <c r="S60" s="89" t="str">
        <f aca="false">IF($D60="","",IFERROR(MATCH($D60,Securities!$A$6:$A$105,0),""))</f>
        <v/>
      </c>
      <c r="T60" s="89" t="str">
        <f aca="true">IF($I60="","",IFERROR(MATCH($I60,L_TxnType,0),""))</f>
        <v/>
      </c>
    </row>
    <row r="61" customFormat="false" ht="15" hidden="false" customHeight="false" outlineLevel="0" collapsed="false">
      <c r="A61" s="77"/>
      <c r="B61" s="80"/>
      <c r="C61" s="78"/>
      <c r="D61" s="78"/>
      <c r="E61" s="79" t="str">
        <f aca="false">IF($R61="","",INDEX(Accounts!$C$6:$C$55,$R61)&amp;"")</f>
        <v/>
      </c>
      <c r="F61" s="79" t="str">
        <f aca="false">IF($S61="","",INDEX(Securities!$B$6:$B$105,$S61)&amp;"")</f>
        <v/>
      </c>
      <c r="G61" s="79" t="str">
        <f aca="false">IF($S61="","",INDEX(Securities!$E$6:$E$105,$S61)&amp;"")</f>
        <v/>
      </c>
      <c r="H61" s="79" t="str">
        <f aca="false">IF($S61="","",INDEX(Securities!$F$6:$F$105,$S61)&amp;"")</f>
        <v/>
      </c>
      <c r="I61" s="78"/>
      <c r="J61" s="81"/>
      <c r="K61" s="94"/>
      <c r="L61" s="82"/>
      <c r="M61" s="82"/>
      <c r="N61" s="85" t="str">
        <f aca="true">IF(OR($I61="",$T61=""),"",INDEX(L_TxnSign,$T61)*N($L61)-N($M61))</f>
        <v/>
      </c>
      <c r="O61" s="79" t="str">
        <f aca="true">IF($T61="","",INDEX(L_TxnCounts,$T61)&amp;"")</f>
        <v/>
      </c>
      <c r="P61" s="78"/>
      <c r="Q61" s="79" t="str">
        <f aca="false">IF($A61&amp;$C61&amp;$D61&amp;$I61="","",IF($A61="","Missing ID",IF(COUNTIF($A$6:$A$305,$A61)&gt;1,"Duplicate ID",IF(NOT(ISNUMBER($B61)),"Missing date",IF($R61="","Unknown account",IF($D61="","Missing security",IF($S61="","Unknown security",IF($T61="","Unknown type",IF(AND($L61="",$I61&lt;&gt;"Bonus / Split"),"No amount",IF(N($L61)&lt;0,"Type a positive amount; the sign comes from the type",IF(N($M61)&lt;0,"Type charges as a positive amount",IF(N($B61)&gt;ValDate,"Date after valuation",IF(AND(N($B61)&gt;PrevDate,COUNTIFS(Holdings!$B$6:$B$205,$C61,Holdings!$C$6:$C$205,$D61)=0),"No holding row (needed for Period Change)","OK")))))))))))))</f>
        <v/>
      </c>
      <c r="R61" s="89" t="str">
        <f aca="false">IF($C61="","",IFERROR(MATCH($C61,Accounts!$A$6:$A$55,0),""))</f>
        <v/>
      </c>
      <c r="S61" s="89" t="str">
        <f aca="false">IF($D61="","",IFERROR(MATCH($D61,Securities!$A$6:$A$105,0),""))</f>
        <v/>
      </c>
      <c r="T61" s="89" t="str">
        <f aca="true">IF($I61="","",IFERROR(MATCH($I61,L_TxnType,0),""))</f>
        <v/>
      </c>
    </row>
    <row r="62" customFormat="false" ht="15" hidden="false" customHeight="false" outlineLevel="0" collapsed="false">
      <c r="A62" s="77"/>
      <c r="B62" s="80"/>
      <c r="C62" s="78"/>
      <c r="D62" s="78"/>
      <c r="E62" s="79" t="str">
        <f aca="false">IF($R62="","",INDEX(Accounts!$C$6:$C$55,$R62)&amp;"")</f>
        <v/>
      </c>
      <c r="F62" s="79" t="str">
        <f aca="false">IF($S62="","",INDEX(Securities!$B$6:$B$105,$S62)&amp;"")</f>
        <v/>
      </c>
      <c r="G62" s="79" t="str">
        <f aca="false">IF($S62="","",INDEX(Securities!$E$6:$E$105,$S62)&amp;"")</f>
        <v/>
      </c>
      <c r="H62" s="79" t="str">
        <f aca="false">IF($S62="","",INDEX(Securities!$F$6:$F$105,$S62)&amp;"")</f>
        <v/>
      </c>
      <c r="I62" s="78"/>
      <c r="J62" s="81"/>
      <c r="K62" s="94"/>
      <c r="L62" s="82"/>
      <c r="M62" s="82"/>
      <c r="N62" s="85" t="str">
        <f aca="true">IF(OR($I62="",$T62=""),"",INDEX(L_TxnSign,$T62)*N($L62)-N($M62))</f>
        <v/>
      </c>
      <c r="O62" s="79" t="str">
        <f aca="true">IF($T62="","",INDEX(L_TxnCounts,$T62)&amp;"")</f>
        <v/>
      </c>
      <c r="P62" s="78"/>
      <c r="Q62" s="79" t="str">
        <f aca="false">IF($A62&amp;$C62&amp;$D62&amp;$I62="","",IF($A62="","Missing ID",IF(COUNTIF($A$6:$A$305,$A62)&gt;1,"Duplicate ID",IF(NOT(ISNUMBER($B62)),"Missing date",IF($R62="","Unknown account",IF($D62="","Missing security",IF($S62="","Unknown security",IF($T62="","Unknown type",IF(AND($L62="",$I62&lt;&gt;"Bonus / Split"),"No amount",IF(N($L62)&lt;0,"Type a positive amount; the sign comes from the type",IF(N($M62)&lt;0,"Type charges as a positive amount",IF(N($B62)&gt;ValDate,"Date after valuation",IF(AND(N($B62)&gt;PrevDate,COUNTIFS(Holdings!$B$6:$B$205,$C62,Holdings!$C$6:$C$205,$D62)=0),"No holding row (needed for Period Change)","OK")))))))))))))</f>
        <v/>
      </c>
      <c r="R62" s="89" t="str">
        <f aca="false">IF($C62="","",IFERROR(MATCH($C62,Accounts!$A$6:$A$55,0),""))</f>
        <v/>
      </c>
      <c r="S62" s="89" t="str">
        <f aca="false">IF($D62="","",IFERROR(MATCH($D62,Securities!$A$6:$A$105,0),""))</f>
        <v/>
      </c>
      <c r="T62" s="89" t="str">
        <f aca="true">IF($I62="","",IFERROR(MATCH($I62,L_TxnType,0),""))</f>
        <v/>
      </c>
    </row>
    <row r="63" customFormat="false" ht="15" hidden="false" customHeight="false" outlineLevel="0" collapsed="false">
      <c r="A63" s="77"/>
      <c r="B63" s="80"/>
      <c r="C63" s="78"/>
      <c r="D63" s="78"/>
      <c r="E63" s="79" t="str">
        <f aca="false">IF($R63="","",INDEX(Accounts!$C$6:$C$55,$R63)&amp;"")</f>
        <v/>
      </c>
      <c r="F63" s="79" t="str">
        <f aca="false">IF($S63="","",INDEX(Securities!$B$6:$B$105,$S63)&amp;"")</f>
        <v/>
      </c>
      <c r="G63" s="79" t="str">
        <f aca="false">IF($S63="","",INDEX(Securities!$E$6:$E$105,$S63)&amp;"")</f>
        <v/>
      </c>
      <c r="H63" s="79" t="str">
        <f aca="false">IF($S63="","",INDEX(Securities!$F$6:$F$105,$S63)&amp;"")</f>
        <v/>
      </c>
      <c r="I63" s="78"/>
      <c r="J63" s="81"/>
      <c r="K63" s="94"/>
      <c r="L63" s="82"/>
      <c r="M63" s="82"/>
      <c r="N63" s="85" t="str">
        <f aca="true">IF(OR($I63="",$T63=""),"",INDEX(L_TxnSign,$T63)*N($L63)-N($M63))</f>
        <v/>
      </c>
      <c r="O63" s="79" t="str">
        <f aca="true">IF($T63="","",INDEX(L_TxnCounts,$T63)&amp;"")</f>
        <v/>
      </c>
      <c r="P63" s="78"/>
      <c r="Q63" s="79" t="str">
        <f aca="false">IF($A63&amp;$C63&amp;$D63&amp;$I63="","",IF($A63="","Missing ID",IF(COUNTIF($A$6:$A$305,$A63)&gt;1,"Duplicate ID",IF(NOT(ISNUMBER($B63)),"Missing date",IF($R63="","Unknown account",IF($D63="","Missing security",IF($S63="","Unknown security",IF($T63="","Unknown type",IF(AND($L63="",$I63&lt;&gt;"Bonus / Split"),"No amount",IF(N($L63)&lt;0,"Type a positive amount; the sign comes from the type",IF(N($M63)&lt;0,"Type charges as a positive amount",IF(N($B63)&gt;ValDate,"Date after valuation",IF(AND(N($B63)&gt;PrevDate,COUNTIFS(Holdings!$B$6:$B$205,$C63,Holdings!$C$6:$C$205,$D63)=0),"No holding row (needed for Period Change)","OK")))))))))))))</f>
        <v/>
      </c>
      <c r="R63" s="89" t="str">
        <f aca="false">IF($C63="","",IFERROR(MATCH($C63,Accounts!$A$6:$A$55,0),""))</f>
        <v/>
      </c>
      <c r="S63" s="89" t="str">
        <f aca="false">IF($D63="","",IFERROR(MATCH($D63,Securities!$A$6:$A$105,0),""))</f>
        <v/>
      </c>
      <c r="T63" s="89" t="str">
        <f aca="true">IF($I63="","",IFERROR(MATCH($I63,L_TxnType,0),""))</f>
        <v/>
      </c>
    </row>
    <row r="64" customFormat="false" ht="15" hidden="false" customHeight="false" outlineLevel="0" collapsed="false">
      <c r="A64" s="77"/>
      <c r="B64" s="80"/>
      <c r="C64" s="78"/>
      <c r="D64" s="78"/>
      <c r="E64" s="79" t="str">
        <f aca="false">IF($R64="","",INDEX(Accounts!$C$6:$C$55,$R64)&amp;"")</f>
        <v/>
      </c>
      <c r="F64" s="79" t="str">
        <f aca="false">IF($S64="","",INDEX(Securities!$B$6:$B$105,$S64)&amp;"")</f>
        <v/>
      </c>
      <c r="G64" s="79" t="str">
        <f aca="false">IF($S64="","",INDEX(Securities!$E$6:$E$105,$S64)&amp;"")</f>
        <v/>
      </c>
      <c r="H64" s="79" t="str">
        <f aca="false">IF($S64="","",INDEX(Securities!$F$6:$F$105,$S64)&amp;"")</f>
        <v/>
      </c>
      <c r="I64" s="78"/>
      <c r="J64" s="81"/>
      <c r="K64" s="94"/>
      <c r="L64" s="82"/>
      <c r="M64" s="82"/>
      <c r="N64" s="85" t="str">
        <f aca="true">IF(OR($I64="",$T64=""),"",INDEX(L_TxnSign,$T64)*N($L64)-N($M64))</f>
        <v/>
      </c>
      <c r="O64" s="79" t="str">
        <f aca="true">IF($T64="","",INDEX(L_TxnCounts,$T64)&amp;"")</f>
        <v/>
      </c>
      <c r="P64" s="78"/>
      <c r="Q64" s="79" t="str">
        <f aca="false">IF($A64&amp;$C64&amp;$D64&amp;$I64="","",IF($A64="","Missing ID",IF(COUNTIF($A$6:$A$305,$A64)&gt;1,"Duplicate ID",IF(NOT(ISNUMBER($B64)),"Missing date",IF($R64="","Unknown account",IF($D64="","Missing security",IF($S64="","Unknown security",IF($T64="","Unknown type",IF(AND($L64="",$I64&lt;&gt;"Bonus / Split"),"No amount",IF(N($L64)&lt;0,"Type a positive amount; the sign comes from the type",IF(N($M64)&lt;0,"Type charges as a positive amount",IF(N($B64)&gt;ValDate,"Date after valuation",IF(AND(N($B64)&gt;PrevDate,COUNTIFS(Holdings!$B$6:$B$205,$C64,Holdings!$C$6:$C$205,$D64)=0),"No holding row (needed for Period Change)","OK")))))))))))))</f>
        <v/>
      </c>
      <c r="R64" s="89" t="str">
        <f aca="false">IF($C64="","",IFERROR(MATCH($C64,Accounts!$A$6:$A$55,0),""))</f>
        <v/>
      </c>
      <c r="S64" s="89" t="str">
        <f aca="false">IF($D64="","",IFERROR(MATCH($D64,Securities!$A$6:$A$105,0),""))</f>
        <v/>
      </c>
      <c r="T64" s="89" t="str">
        <f aca="true">IF($I64="","",IFERROR(MATCH($I64,L_TxnType,0),""))</f>
        <v/>
      </c>
    </row>
    <row r="65" customFormat="false" ht="15" hidden="false" customHeight="false" outlineLevel="0" collapsed="false">
      <c r="A65" s="77"/>
      <c r="B65" s="80"/>
      <c r="C65" s="78"/>
      <c r="D65" s="78"/>
      <c r="E65" s="79" t="str">
        <f aca="false">IF($R65="","",INDEX(Accounts!$C$6:$C$55,$R65)&amp;"")</f>
        <v/>
      </c>
      <c r="F65" s="79" t="str">
        <f aca="false">IF($S65="","",INDEX(Securities!$B$6:$B$105,$S65)&amp;"")</f>
        <v/>
      </c>
      <c r="G65" s="79" t="str">
        <f aca="false">IF($S65="","",INDEX(Securities!$E$6:$E$105,$S65)&amp;"")</f>
        <v/>
      </c>
      <c r="H65" s="79" t="str">
        <f aca="false">IF($S65="","",INDEX(Securities!$F$6:$F$105,$S65)&amp;"")</f>
        <v/>
      </c>
      <c r="I65" s="78"/>
      <c r="J65" s="81"/>
      <c r="K65" s="94"/>
      <c r="L65" s="82"/>
      <c r="M65" s="82"/>
      <c r="N65" s="85" t="str">
        <f aca="true">IF(OR($I65="",$T65=""),"",INDEX(L_TxnSign,$T65)*N($L65)-N($M65))</f>
        <v/>
      </c>
      <c r="O65" s="79" t="str">
        <f aca="true">IF($T65="","",INDEX(L_TxnCounts,$T65)&amp;"")</f>
        <v/>
      </c>
      <c r="P65" s="78"/>
      <c r="Q65" s="79" t="str">
        <f aca="false">IF($A65&amp;$C65&amp;$D65&amp;$I65="","",IF($A65="","Missing ID",IF(COUNTIF($A$6:$A$305,$A65)&gt;1,"Duplicate ID",IF(NOT(ISNUMBER($B65)),"Missing date",IF($R65="","Unknown account",IF($D65="","Missing security",IF($S65="","Unknown security",IF($T65="","Unknown type",IF(AND($L65="",$I65&lt;&gt;"Bonus / Split"),"No amount",IF(N($L65)&lt;0,"Type a positive amount; the sign comes from the type",IF(N($M65)&lt;0,"Type charges as a positive amount",IF(N($B65)&gt;ValDate,"Date after valuation",IF(AND(N($B65)&gt;PrevDate,COUNTIFS(Holdings!$B$6:$B$205,$C65,Holdings!$C$6:$C$205,$D65)=0),"No holding row (needed for Period Change)","OK")))))))))))))</f>
        <v/>
      </c>
      <c r="R65" s="89" t="str">
        <f aca="false">IF($C65="","",IFERROR(MATCH($C65,Accounts!$A$6:$A$55,0),""))</f>
        <v/>
      </c>
      <c r="S65" s="89" t="str">
        <f aca="false">IF($D65="","",IFERROR(MATCH($D65,Securities!$A$6:$A$105,0),""))</f>
        <v/>
      </c>
      <c r="T65" s="89" t="str">
        <f aca="true">IF($I65="","",IFERROR(MATCH($I65,L_TxnType,0),""))</f>
        <v/>
      </c>
    </row>
    <row r="66" customFormat="false" ht="15" hidden="false" customHeight="false" outlineLevel="0" collapsed="false">
      <c r="A66" s="77"/>
      <c r="B66" s="80"/>
      <c r="C66" s="78"/>
      <c r="D66" s="78"/>
      <c r="E66" s="79" t="str">
        <f aca="false">IF($R66="","",INDEX(Accounts!$C$6:$C$55,$R66)&amp;"")</f>
        <v/>
      </c>
      <c r="F66" s="79" t="str">
        <f aca="false">IF($S66="","",INDEX(Securities!$B$6:$B$105,$S66)&amp;"")</f>
        <v/>
      </c>
      <c r="G66" s="79" t="str">
        <f aca="false">IF($S66="","",INDEX(Securities!$E$6:$E$105,$S66)&amp;"")</f>
        <v/>
      </c>
      <c r="H66" s="79" t="str">
        <f aca="false">IF($S66="","",INDEX(Securities!$F$6:$F$105,$S66)&amp;"")</f>
        <v/>
      </c>
      <c r="I66" s="78"/>
      <c r="J66" s="81"/>
      <c r="K66" s="94"/>
      <c r="L66" s="82"/>
      <c r="M66" s="82"/>
      <c r="N66" s="85" t="str">
        <f aca="true">IF(OR($I66="",$T66=""),"",INDEX(L_TxnSign,$T66)*N($L66)-N($M66))</f>
        <v/>
      </c>
      <c r="O66" s="79" t="str">
        <f aca="true">IF($T66="","",INDEX(L_TxnCounts,$T66)&amp;"")</f>
        <v/>
      </c>
      <c r="P66" s="78"/>
      <c r="Q66" s="79" t="str">
        <f aca="false">IF($A66&amp;$C66&amp;$D66&amp;$I66="","",IF($A66="","Missing ID",IF(COUNTIF($A$6:$A$305,$A66)&gt;1,"Duplicate ID",IF(NOT(ISNUMBER($B66)),"Missing date",IF($R66="","Unknown account",IF($D66="","Missing security",IF($S66="","Unknown security",IF($T66="","Unknown type",IF(AND($L66="",$I66&lt;&gt;"Bonus / Split"),"No amount",IF(N($L66)&lt;0,"Type a positive amount; the sign comes from the type",IF(N($M66)&lt;0,"Type charges as a positive amount",IF(N($B66)&gt;ValDate,"Date after valuation",IF(AND(N($B66)&gt;PrevDate,COUNTIFS(Holdings!$B$6:$B$205,$C66,Holdings!$C$6:$C$205,$D66)=0),"No holding row (needed for Period Change)","OK")))))))))))))</f>
        <v/>
      </c>
      <c r="R66" s="89" t="str">
        <f aca="false">IF($C66="","",IFERROR(MATCH($C66,Accounts!$A$6:$A$55,0),""))</f>
        <v/>
      </c>
      <c r="S66" s="89" t="str">
        <f aca="false">IF($D66="","",IFERROR(MATCH($D66,Securities!$A$6:$A$105,0),""))</f>
        <v/>
      </c>
      <c r="T66" s="89" t="str">
        <f aca="true">IF($I66="","",IFERROR(MATCH($I66,L_TxnType,0),""))</f>
        <v/>
      </c>
    </row>
    <row r="67" customFormat="false" ht="15" hidden="false" customHeight="false" outlineLevel="0" collapsed="false">
      <c r="A67" s="77"/>
      <c r="B67" s="80"/>
      <c r="C67" s="78"/>
      <c r="D67" s="78"/>
      <c r="E67" s="79" t="str">
        <f aca="false">IF($R67="","",INDEX(Accounts!$C$6:$C$55,$R67)&amp;"")</f>
        <v/>
      </c>
      <c r="F67" s="79" t="str">
        <f aca="false">IF($S67="","",INDEX(Securities!$B$6:$B$105,$S67)&amp;"")</f>
        <v/>
      </c>
      <c r="G67" s="79" t="str">
        <f aca="false">IF($S67="","",INDEX(Securities!$E$6:$E$105,$S67)&amp;"")</f>
        <v/>
      </c>
      <c r="H67" s="79" t="str">
        <f aca="false">IF($S67="","",INDEX(Securities!$F$6:$F$105,$S67)&amp;"")</f>
        <v/>
      </c>
      <c r="I67" s="78"/>
      <c r="J67" s="81"/>
      <c r="K67" s="94"/>
      <c r="L67" s="82"/>
      <c r="M67" s="82"/>
      <c r="N67" s="85" t="str">
        <f aca="true">IF(OR($I67="",$T67=""),"",INDEX(L_TxnSign,$T67)*N($L67)-N($M67))</f>
        <v/>
      </c>
      <c r="O67" s="79" t="str">
        <f aca="true">IF($T67="","",INDEX(L_TxnCounts,$T67)&amp;"")</f>
        <v/>
      </c>
      <c r="P67" s="78"/>
      <c r="Q67" s="79" t="str">
        <f aca="false">IF($A67&amp;$C67&amp;$D67&amp;$I67="","",IF($A67="","Missing ID",IF(COUNTIF($A$6:$A$305,$A67)&gt;1,"Duplicate ID",IF(NOT(ISNUMBER($B67)),"Missing date",IF($R67="","Unknown account",IF($D67="","Missing security",IF($S67="","Unknown security",IF($T67="","Unknown type",IF(AND($L67="",$I67&lt;&gt;"Bonus / Split"),"No amount",IF(N($L67)&lt;0,"Type a positive amount; the sign comes from the type",IF(N($M67)&lt;0,"Type charges as a positive amount",IF(N($B67)&gt;ValDate,"Date after valuation",IF(AND(N($B67)&gt;PrevDate,COUNTIFS(Holdings!$B$6:$B$205,$C67,Holdings!$C$6:$C$205,$D67)=0),"No holding row (needed for Period Change)","OK")))))))))))))</f>
        <v/>
      </c>
      <c r="R67" s="89" t="str">
        <f aca="false">IF($C67="","",IFERROR(MATCH($C67,Accounts!$A$6:$A$55,0),""))</f>
        <v/>
      </c>
      <c r="S67" s="89" t="str">
        <f aca="false">IF($D67="","",IFERROR(MATCH($D67,Securities!$A$6:$A$105,0),""))</f>
        <v/>
      </c>
      <c r="T67" s="89" t="str">
        <f aca="true">IF($I67="","",IFERROR(MATCH($I67,L_TxnType,0),""))</f>
        <v/>
      </c>
    </row>
    <row r="68" customFormat="false" ht="15" hidden="false" customHeight="false" outlineLevel="0" collapsed="false">
      <c r="A68" s="77"/>
      <c r="B68" s="80"/>
      <c r="C68" s="78"/>
      <c r="D68" s="78"/>
      <c r="E68" s="79" t="str">
        <f aca="false">IF($R68="","",INDEX(Accounts!$C$6:$C$55,$R68)&amp;"")</f>
        <v/>
      </c>
      <c r="F68" s="79" t="str">
        <f aca="false">IF($S68="","",INDEX(Securities!$B$6:$B$105,$S68)&amp;"")</f>
        <v/>
      </c>
      <c r="G68" s="79" t="str">
        <f aca="false">IF($S68="","",INDEX(Securities!$E$6:$E$105,$S68)&amp;"")</f>
        <v/>
      </c>
      <c r="H68" s="79" t="str">
        <f aca="false">IF($S68="","",INDEX(Securities!$F$6:$F$105,$S68)&amp;"")</f>
        <v/>
      </c>
      <c r="I68" s="78"/>
      <c r="J68" s="81"/>
      <c r="K68" s="94"/>
      <c r="L68" s="82"/>
      <c r="M68" s="82"/>
      <c r="N68" s="85" t="str">
        <f aca="true">IF(OR($I68="",$T68=""),"",INDEX(L_TxnSign,$T68)*N($L68)-N($M68))</f>
        <v/>
      </c>
      <c r="O68" s="79" t="str">
        <f aca="true">IF($T68="","",INDEX(L_TxnCounts,$T68)&amp;"")</f>
        <v/>
      </c>
      <c r="P68" s="78"/>
      <c r="Q68" s="79" t="str">
        <f aca="false">IF($A68&amp;$C68&amp;$D68&amp;$I68="","",IF($A68="","Missing ID",IF(COUNTIF($A$6:$A$305,$A68)&gt;1,"Duplicate ID",IF(NOT(ISNUMBER($B68)),"Missing date",IF($R68="","Unknown account",IF($D68="","Missing security",IF($S68="","Unknown security",IF($T68="","Unknown type",IF(AND($L68="",$I68&lt;&gt;"Bonus / Split"),"No amount",IF(N($L68)&lt;0,"Type a positive amount; the sign comes from the type",IF(N($M68)&lt;0,"Type charges as a positive amount",IF(N($B68)&gt;ValDate,"Date after valuation",IF(AND(N($B68)&gt;PrevDate,COUNTIFS(Holdings!$B$6:$B$205,$C68,Holdings!$C$6:$C$205,$D68)=0),"No holding row (needed for Period Change)","OK")))))))))))))</f>
        <v/>
      </c>
      <c r="R68" s="89" t="str">
        <f aca="false">IF($C68="","",IFERROR(MATCH($C68,Accounts!$A$6:$A$55,0),""))</f>
        <v/>
      </c>
      <c r="S68" s="89" t="str">
        <f aca="false">IF($D68="","",IFERROR(MATCH($D68,Securities!$A$6:$A$105,0),""))</f>
        <v/>
      </c>
      <c r="T68" s="89" t="str">
        <f aca="true">IF($I68="","",IFERROR(MATCH($I68,L_TxnType,0),""))</f>
        <v/>
      </c>
    </row>
    <row r="69" customFormat="false" ht="15" hidden="false" customHeight="false" outlineLevel="0" collapsed="false">
      <c r="A69" s="77"/>
      <c r="B69" s="80"/>
      <c r="C69" s="78"/>
      <c r="D69" s="78"/>
      <c r="E69" s="79" t="str">
        <f aca="false">IF($R69="","",INDEX(Accounts!$C$6:$C$55,$R69)&amp;"")</f>
        <v/>
      </c>
      <c r="F69" s="79" t="str">
        <f aca="false">IF($S69="","",INDEX(Securities!$B$6:$B$105,$S69)&amp;"")</f>
        <v/>
      </c>
      <c r="G69" s="79" t="str">
        <f aca="false">IF($S69="","",INDEX(Securities!$E$6:$E$105,$S69)&amp;"")</f>
        <v/>
      </c>
      <c r="H69" s="79" t="str">
        <f aca="false">IF($S69="","",INDEX(Securities!$F$6:$F$105,$S69)&amp;"")</f>
        <v/>
      </c>
      <c r="I69" s="78"/>
      <c r="J69" s="81"/>
      <c r="K69" s="94"/>
      <c r="L69" s="82"/>
      <c r="M69" s="82"/>
      <c r="N69" s="85" t="str">
        <f aca="true">IF(OR($I69="",$T69=""),"",INDEX(L_TxnSign,$T69)*N($L69)-N($M69))</f>
        <v/>
      </c>
      <c r="O69" s="79" t="str">
        <f aca="true">IF($T69="","",INDEX(L_TxnCounts,$T69)&amp;"")</f>
        <v/>
      </c>
      <c r="P69" s="78"/>
      <c r="Q69" s="79" t="str">
        <f aca="false">IF($A69&amp;$C69&amp;$D69&amp;$I69="","",IF($A69="","Missing ID",IF(COUNTIF($A$6:$A$305,$A69)&gt;1,"Duplicate ID",IF(NOT(ISNUMBER($B69)),"Missing date",IF($R69="","Unknown account",IF($D69="","Missing security",IF($S69="","Unknown security",IF($T69="","Unknown type",IF(AND($L69="",$I69&lt;&gt;"Bonus / Split"),"No amount",IF(N($L69)&lt;0,"Type a positive amount; the sign comes from the type",IF(N($M69)&lt;0,"Type charges as a positive amount",IF(N($B69)&gt;ValDate,"Date after valuation",IF(AND(N($B69)&gt;PrevDate,COUNTIFS(Holdings!$B$6:$B$205,$C69,Holdings!$C$6:$C$205,$D69)=0),"No holding row (needed for Period Change)","OK")))))))))))))</f>
        <v/>
      </c>
      <c r="R69" s="89" t="str">
        <f aca="false">IF($C69="","",IFERROR(MATCH($C69,Accounts!$A$6:$A$55,0),""))</f>
        <v/>
      </c>
      <c r="S69" s="89" t="str">
        <f aca="false">IF($D69="","",IFERROR(MATCH($D69,Securities!$A$6:$A$105,0),""))</f>
        <v/>
      </c>
      <c r="T69" s="89" t="str">
        <f aca="true">IF($I69="","",IFERROR(MATCH($I69,L_TxnType,0),""))</f>
        <v/>
      </c>
    </row>
    <row r="70" customFormat="false" ht="15" hidden="false" customHeight="false" outlineLevel="0" collapsed="false">
      <c r="A70" s="77"/>
      <c r="B70" s="80"/>
      <c r="C70" s="78"/>
      <c r="D70" s="78"/>
      <c r="E70" s="79" t="str">
        <f aca="false">IF($R70="","",INDEX(Accounts!$C$6:$C$55,$R70)&amp;"")</f>
        <v/>
      </c>
      <c r="F70" s="79" t="str">
        <f aca="false">IF($S70="","",INDEX(Securities!$B$6:$B$105,$S70)&amp;"")</f>
        <v/>
      </c>
      <c r="G70" s="79" t="str">
        <f aca="false">IF($S70="","",INDEX(Securities!$E$6:$E$105,$S70)&amp;"")</f>
        <v/>
      </c>
      <c r="H70" s="79" t="str">
        <f aca="false">IF($S70="","",INDEX(Securities!$F$6:$F$105,$S70)&amp;"")</f>
        <v/>
      </c>
      <c r="I70" s="78"/>
      <c r="J70" s="81"/>
      <c r="K70" s="94"/>
      <c r="L70" s="82"/>
      <c r="M70" s="82"/>
      <c r="N70" s="85" t="str">
        <f aca="true">IF(OR($I70="",$T70=""),"",INDEX(L_TxnSign,$T70)*N($L70)-N($M70))</f>
        <v/>
      </c>
      <c r="O70" s="79" t="str">
        <f aca="true">IF($T70="","",INDEX(L_TxnCounts,$T70)&amp;"")</f>
        <v/>
      </c>
      <c r="P70" s="78"/>
      <c r="Q70" s="79" t="str">
        <f aca="false">IF($A70&amp;$C70&amp;$D70&amp;$I70="","",IF($A70="","Missing ID",IF(COUNTIF($A$6:$A$305,$A70)&gt;1,"Duplicate ID",IF(NOT(ISNUMBER($B70)),"Missing date",IF($R70="","Unknown account",IF($D70="","Missing security",IF($S70="","Unknown security",IF($T70="","Unknown type",IF(AND($L70="",$I70&lt;&gt;"Bonus / Split"),"No amount",IF(N($L70)&lt;0,"Type a positive amount; the sign comes from the type",IF(N($M70)&lt;0,"Type charges as a positive amount",IF(N($B70)&gt;ValDate,"Date after valuation",IF(AND(N($B70)&gt;PrevDate,COUNTIFS(Holdings!$B$6:$B$205,$C70,Holdings!$C$6:$C$205,$D70)=0),"No holding row (needed for Period Change)","OK")))))))))))))</f>
        <v/>
      </c>
      <c r="R70" s="89" t="str">
        <f aca="false">IF($C70="","",IFERROR(MATCH($C70,Accounts!$A$6:$A$55,0),""))</f>
        <v/>
      </c>
      <c r="S70" s="89" t="str">
        <f aca="false">IF($D70="","",IFERROR(MATCH($D70,Securities!$A$6:$A$105,0),""))</f>
        <v/>
      </c>
      <c r="T70" s="89" t="str">
        <f aca="true">IF($I70="","",IFERROR(MATCH($I70,L_TxnType,0),""))</f>
        <v/>
      </c>
    </row>
    <row r="71" customFormat="false" ht="15" hidden="false" customHeight="false" outlineLevel="0" collapsed="false">
      <c r="A71" s="77"/>
      <c r="B71" s="80"/>
      <c r="C71" s="78"/>
      <c r="D71" s="78"/>
      <c r="E71" s="79" t="str">
        <f aca="false">IF($R71="","",INDEX(Accounts!$C$6:$C$55,$R71)&amp;"")</f>
        <v/>
      </c>
      <c r="F71" s="79" t="str">
        <f aca="false">IF($S71="","",INDEX(Securities!$B$6:$B$105,$S71)&amp;"")</f>
        <v/>
      </c>
      <c r="G71" s="79" t="str">
        <f aca="false">IF($S71="","",INDEX(Securities!$E$6:$E$105,$S71)&amp;"")</f>
        <v/>
      </c>
      <c r="H71" s="79" t="str">
        <f aca="false">IF($S71="","",INDEX(Securities!$F$6:$F$105,$S71)&amp;"")</f>
        <v/>
      </c>
      <c r="I71" s="78"/>
      <c r="J71" s="81"/>
      <c r="K71" s="94"/>
      <c r="L71" s="82"/>
      <c r="M71" s="82"/>
      <c r="N71" s="85" t="str">
        <f aca="true">IF(OR($I71="",$T71=""),"",INDEX(L_TxnSign,$T71)*N($L71)-N($M71))</f>
        <v/>
      </c>
      <c r="O71" s="79" t="str">
        <f aca="true">IF($T71="","",INDEX(L_TxnCounts,$T71)&amp;"")</f>
        <v/>
      </c>
      <c r="P71" s="78"/>
      <c r="Q71" s="79" t="str">
        <f aca="false">IF($A71&amp;$C71&amp;$D71&amp;$I71="","",IF($A71="","Missing ID",IF(COUNTIF($A$6:$A$305,$A71)&gt;1,"Duplicate ID",IF(NOT(ISNUMBER($B71)),"Missing date",IF($R71="","Unknown account",IF($D71="","Missing security",IF($S71="","Unknown security",IF($T71="","Unknown type",IF(AND($L71="",$I71&lt;&gt;"Bonus / Split"),"No amount",IF(N($L71)&lt;0,"Type a positive amount; the sign comes from the type",IF(N($M71)&lt;0,"Type charges as a positive amount",IF(N($B71)&gt;ValDate,"Date after valuation",IF(AND(N($B71)&gt;PrevDate,COUNTIFS(Holdings!$B$6:$B$205,$C71,Holdings!$C$6:$C$205,$D71)=0),"No holding row (needed for Period Change)","OK")))))))))))))</f>
        <v/>
      </c>
      <c r="R71" s="89" t="str">
        <f aca="false">IF($C71="","",IFERROR(MATCH($C71,Accounts!$A$6:$A$55,0),""))</f>
        <v/>
      </c>
      <c r="S71" s="89" t="str">
        <f aca="false">IF($D71="","",IFERROR(MATCH($D71,Securities!$A$6:$A$105,0),""))</f>
        <v/>
      </c>
      <c r="T71" s="89" t="str">
        <f aca="true">IF($I71="","",IFERROR(MATCH($I71,L_TxnType,0),""))</f>
        <v/>
      </c>
    </row>
    <row r="72" customFormat="false" ht="15" hidden="false" customHeight="false" outlineLevel="0" collapsed="false">
      <c r="A72" s="77"/>
      <c r="B72" s="80"/>
      <c r="C72" s="78"/>
      <c r="D72" s="78"/>
      <c r="E72" s="79" t="str">
        <f aca="false">IF($R72="","",INDEX(Accounts!$C$6:$C$55,$R72)&amp;"")</f>
        <v/>
      </c>
      <c r="F72" s="79" t="str">
        <f aca="false">IF($S72="","",INDEX(Securities!$B$6:$B$105,$S72)&amp;"")</f>
        <v/>
      </c>
      <c r="G72" s="79" t="str">
        <f aca="false">IF($S72="","",INDEX(Securities!$E$6:$E$105,$S72)&amp;"")</f>
        <v/>
      </c>
      <c r="H72" s="79" t="str">
        <f aca="false">IF($S72="","",INDEX(Securities!$F$6:$F$105,$S72)&amp;"")</f>
        <v/>
      </c>
      <c r="I72" s="78"/>
      <c r="J72" s="81"/>
      <c r="K72" s="94"/>
      <c r="L72" s="82"/>
      <c r="M72" s="82"/>
      <c r="N72" s="85" t="str">
        <f aca="true">IF(OR($I72="",$T72=""),"",INDEX(L_TxnSign,$T72)*N($L72)-N($M72))</f>
        <v/>
      </c>
      <c r="O72" s="79" t="str">
        <f aca="true">IF($T72="","",INDEX(L_TxnCounts,$T72)&amp;"")</f>
        <v/>
      </c>
      <c r="P72" s="78"/>
      <c r="Q72" s="79" t="str">
        <f aca="false">IF($A72&amp;$C72&amp;$D72&amp;$I72="","",IF($A72="","Missing ID",IF(COUNTIF($A$6:$A$305,$A72)&gt;1,"Duplicate ID",IF(NOT(ISNUMBER($B72)),"Missing date",IF($R72="","Unknown account",IF($D72="","Missing security",IF($S72="","Unknown security",IF($T72="","Unknown type",IF(AND($L72="",$I72&lt;&gt;"Bonus / Split"),"No amount",IF(N($L72)&lt;0,"Type a positive amount; the sign comes from the type",IF(N($M72)&lt;0,"Type charges as a positive amount",IF(N($B72)&gt;ValDate,"Date after valuation",IF(AND(N($B72)&gt;PrevDate,COUNTIFS(Holdings!$B$6:$B$205,$C72,Holdings!$C$6:$C$205,$D72)=0),"No holding row (needed for Period Change)","OK")))))))))))))</f>
        <v/>
      </c>
      <c r="R72" s="89" t="str">
        <f aca="false">IF($C72="","",IFERROR(MATCH($C72,Accounts!$A$6:$A$55,0),""))</f>
        <v/>
      </c>
      <c r="S72" s="89" t="str">
        <f aca="false">IF($D72="","",IFERROR(MATCH($D72,Securities!$A$6:$A$105,0),""))</f>
        <v/>
      </c>
      <c r="T72" s="89" t="str">
        <f aca="true">IF($I72="","",IFERROR(MATCH($I72,L_TxnType,0),""))</f>
        <v/>
      </c>
    </row>
    <row r="73" customFormat="false" ht="15" hidden="false" customHeight="false" outlineLevel="0" collapsed="false">
      <c r="A73" s="77"/>
      <c r="B73" s="80"/>
      <c r="C73" s="78"/>
      <c r="D73" s="78"/>
      <c r="E73" s="79" t="str">
        <f aca="false">IF($R73="","",INDEX(Accounts!$C$6:$C$55,$R73)&amp;"")</f>
        <v/>
      </c>
      <c r="F73" s="79" t="str">
        <f aca="false">IF($S73="","",INDEX(Securities!$B$6:$B$105,$S73)&amp;"")</f>
        <v/>
      </c>
      <c r="G73" s="79" t="str">
        <f aca="false">IF($S73="","",INDEX(Securities!$E$6:$E$105,$S73)&amp;"")</f>
        <v/>
      </c>
      <c r="H73" s="79" t="str">
        <f aca="false">IF($S73="","",INDEX(Securities!$F$6:$F$105,$S73)&amp;"")</f>
        <v/>
      </c>
      <c r="I73" s="78"/>
      <c r="J73" s="81"/>
      <c r="K73" s="94"/>
      <c r="L73" s="82"/>
      <c r="M73" s="82"/>
      <c r="N73" s="85" t="str">
        <f aca="true">IF(OR($I73="",$T73=""),"",INDEX(L_TxnSign,$T73)*N($L73)-N($M73))</f>
        <v/>
      </c>
      <c r="O73" s="79" t="str">
        <f aca="true">IF($T73="","",INDEX(L_TxnCounts,$T73)&amp;"")</f>
        <v/>
      </c>
      <c r="P73" s="78"/>
      <c r="Q73" s="79" t="str">
        <f aca="false">IF($A73&amp;$C73&amp;$D73&amp;$I73="","",IF($A73="","Missing ID",IF(COUNTIF($A$6:$A$305,$A73)&gt;1,"Duplicate ID",IF(NOT(ISNUMBER($B73)),"Missing date",IF($R73="","Unknown account",IF($D73="","Missing security",IF($S73="","Unknown security",IF($T73="","Unknown type",IF(AND($L73="",$I73&lt;&gt;"Bonus / Split"),"No amount",IF(N($L73)&lt;0,"Type a positive amount; the sign comes from the type",IF(N($M73)&lt;0,"Type charges as a positive amount",IF(N($B73)&gt;ValDate,"Date after valuation",IF(AND(N($B73)&gt;PrevDate,COUNTIFS(Holdings!$B$6:$B$205,$C73,Holdings!$C$6:$C$205,$D73)=0),"No holding row (needed for Period Change)","OK")))))))))))))</f>
        <v/>
      </c>
      <c r="R73" s="89" t="str">
        <f aca="false">IF($C73="","",IFERROR(MATCH($C73,Accounts!$A$6:$A$55,0),""))</f>
        <v/>
      </c>
      <c r="S73" s="89" t="str">
        <f aca="false">IF($D73="","",IFERROR(MATCH($D73,Securities!$A$6:$A$105,0),""))</f>
        <v/>
      </c>
      <c r="T73" s="89" t="str">
        <f aca="true">IF($I73="","",IFERROR(MATCH($I73,L_TxnType,0),""))</f>
        <v/>
      </c>
    </row>
    <row r="74" customFormat="false" ht="15" hidden="false" customHeight="false" outlineLevel="0" collapsed="false">
      <c r="A74" s="77"/>
      <c r="B74" s="80"/>
      <c r="C74" s="78"/>
      <c r="D74" s="78"/>
      <c r="E74" s="79" t="str">
        <f aca="false">IF($R74="","",INDEX(Accounts!$C$6:$C$55,$R74)&amp;"")</f>
        <v/>
      </c>
      <c r="F74" s="79" t="str">
        <f aca="false">IF($S74="","",INDEX(Securities!$B$6:$B$105,$S74)&amp;"")</f>
        <v/>
      </c>
      <c r="G74" s="79" t="str">
        <f aca="false">IF($S74="","",INDEX(Securities!$E$6:$E$105,$S74)&amp;"")</f>
        <v/>
      </c>
      <c r="H74" s="79" t="str">
        <f aca="false">IF($S74="","",INDEX(Securities!$F$6:$F$105,$S74)&amp;"")</f>
        <v/>
      </c>
      <c r="I74" s="78"/>
      <c r="J74" s="81"/>
      <c r="K74" s="94"/>
      <c r="L74" s="82"/>
      <c r="M74" s="82"/>
      <c r="N74" s="85" t="str">
        <f aca="true">IF(OR($I74="",$T74=""),"",INDEX(L_TxnSign,$T74)*N($L74)-N($M74))</f>
        <v/>
      </c>
      <c r="O74" s="79" t="str">
        <f aca="true">IF($T74="","",INDEX(L_TxnCounts,$T74)&amp;"")</f>
        <v/>
      </c>
      <c r="P74" s="78"/>
      <c r="Q74" s="79" t="str">
        <f aca="false">IF($A74&amp;$C74&amp;$D74&amp;$I74="","",IF($A74="","Missing ID",IF(COUNTIF($A$6:$A$305,$A74)&gt;1,"Duplicate ID",IF(NOT(ISNUMBER($B74)),"Missing date",IF($R74="","Unknown account",IF($D74="","Missing security",IF($S74="","Unknown security",IF($T74="","Unknown type",IF(AND($L74="",$I74&lt;&gt;"Bonus / Split"),"No amount",IF(N($L74)&lt;0,"Type a positive amount; the sign comes from the type",IF(N($M74)&lt;0,"Type charges as a positive amount",IF(N($B74)&gt;ValDate,"Date after valuation",IF(AND(N($B74)&gt;PrevDate,COUNTIFS(Holdings!$B$6:$B$205,$C74,Holdings!$C$6:$C$205,$D74)=0),"No holding row (needed for Period Change)","OK")))))))))))))</f>
        <v/>
      </c>
      <c r="R74" s="89" t="str">
        <f aca="false">IF($C74="","",IFERROR(MATCH($C74,Accounts!$A$6:$A$55,0),""))</f>
        <v/>
      </c>
      <c r="S74" s="89" t="str">
        <f aca="false">IF($D74="","",IFERROR(MATCH($D74,Securities!$A$6:$A$105,0),""))</f>
        <v/>
      </c>
      <c r="T74" s="89" t="str">
        <f aca="true">IF($I74="","",IFERROR(MATCH($I74,L_TxnType,0),""))</f>
        <v/>
      </c>
    </row>
    <row r="75" customFormat="false" ht="15" hidden="false" customHeight="false" outlineLevel="0" collapsed="false">
      <c r="A75" s="77"/>
      <c r="B75" s="80"/>
      <c r="C75" s="78"/>
      <c r="D75" s="78"/>
      <c r="E75" s="79" t="str">
        <f aca="false">IF($R75="","",INDEX(Accounts!$C$6:$C$55,$R75)&amp;"")</f>
        <v/>
      </c>
      <c r="F75" s="79" t="str">
        <f aca="false">IF($S75="","",INDEX(Securities!$B$6:$B$105,$S75)&amp;"")</f>
        <v/>
      </c>
      <c r="G75" s="79" t="str">
        <f aca="false">IF($S75="","",INDEX(Securities!$E$6:$E$105,$S75)&amp;"")</f>
        <v/>
      </c>
      <c r="H75" s="79" t="str">
        <f aca="false">IF($S75="","",INDEX(Securities!$F$6:$F$105,$S75)&amp;"")</f>
        <v/>
      </c>
      <c r="I75" s="78"/>
      <c r="J75" s="81"/>
      <c r="K75" s="94"/>
      <c r="L75" s="82"/>
      <c r="M75" s="82"/>
      <c r="N75" s="85" t="str">
        <f aca="true">IF(OR($I75="",$T75=""),"",INDEX(L_TxnSign,$T75)*N($L75)-N($M75))</f>
        <v/>
      </c>
      <c r="O75" s="79" t="str">
        <f aca="true">IF($T75="","",INDEX(L_TxnCounts,$T75)&amp;"")</f>
        <v/>
      </c>
      <c r="P75" s="78"/>
      <c r="Q75" s="79" t="str">
        <f aca="false">IF($A75&amp;$C75&amp;$D75&amp;$I75="","",IF($A75="","Missing ID",IF(COUNTIF($A$6:$A$305,$A75)&gt;1,"Duplicate ID",IF(NOT(ISNUMBER($B75)),"Missing date",IF($R75="","Unknown account",IF($D75="","Missing security",IF($S75="","Unknown security",IF($T75="","Unknown type",IF(AND($L75="",$I75&lt;&gt;"Bonus / Split"),"No amount",IF(N($L75)&lt;0,"Type a positive amount; the sign comes from the type",IF(N($M75)&lt;0,"Type charges as a positive amount",IF(N($B75)&gt;ValDate,"Date after valuation",IF(AND(N($B75)&gt;PrevDate,COUNTIFS(Holdings!$B$6:$B$205,$C75,Holdings!$C$6:$C$205,$D75)=0),"No holding row (needed for Period Change)","OK")))))))))))))</f>
        <v/>
      </c>
      <c r="R75" s="89" t="str">
        <f aca="false">IF($C75="","",IFERROR(MATCH($C75,Accounts!$A$6:$A$55,0),""))</f>
        <v/>
      </c>
      <c r="S75" s="89" t="str">
        <f aca="false">IF($D75="","",IFERROR(MATCH($D75,Securities!$A$6:$A$105,0),""))</f>
        <v/>
      </c>
      <c r="T75" s="89" t="str">
        <f aca="true">IF($I75="","",IFERROR(MATCH($I75,L_TxnType,0),""))</f>
        <v/>
      </c>
    </row>
    <row r="76" customFormat="false" ht="15" hidden="false" customHeight="false" outlineLevel="0" collapsed="false">
      <c r="A76" s="77"/>
      <c r="B76" s="80"/>
      <c r="C76" s="78"/>
      <c r="D76" s="78"/>
      <c r="E76" s="79" t="str">
        <f aca="false">IF($R76="","",INDEX(Accounts!$C$6:$C$55,$R76)&amp;"")</f>
        <v/>
      </c>
      <c r="F76" s="79" t="str">
        <f aca="false">IF($S76="","",INDEX(Securities!$B$6:$B$105,$S76)&amp;"")</f>
        <v/>
      </c>
      <c r="G76" s="79" t="str">
        <f aca="false">IF($S76="","",INDEX(Securities!$E$6:$E$105,$S76)&amp;"")</f>
        <v/>
      </c>
      <c r="H76" s="79" t="str">
        <f aca="false">IF($S76="","",INDEX(Securities!$F$6:$F$105,$S76)&amp;"")</f>
        <v/>
      </c>
      <c r="I76" s="78"/>
      <c r="J76" s="81"/>
      <c r="K76" s="94"/>
      <c r="L76" s="82"/>
      <c r="M76" s="82"/>
      <c r="N76" s="85" t="str">
        <f aca="true">IF(OR($I76="",$T76=""),"",INDEX(L_TxnSign,$T76)*N($L76)-N($M76))</f>
        <v/>
      </c>
      <c r="O76" s="79" t="str">
        <f aca="true">IF($T76="","",INDEX(L_TxnCounts,$T76)&amp;"")</f>
        <v/>
      </c>
      <c r="P76" s="78"/>
      <c r="Q76" s="79" t="str">
        <f aca="false">IF($A76&amp;$C76&amp;$D76&amp;$I76="","",IF($A76="","Missing ID",IF(COUNTIF($A$6:$A$305,$A76)&gt;1,"Duplicate ID",IF(NOT(ISNUMBER($B76)),"Missing date",IF($R76="","Unknown account",IF($D76="","Missing security",IF($S76="","Unknown security",IF($T76="","Unknown type",IF(AND($L76="",$I76&lt;&gt;"Bonus / Split"),"No amount",IF(N($L76)&lt;0,"Type a positive amount; the sign comes from the type",IF(N($M76)&lt;0,"Type charges as a positive amount",IF(N($B76)&gt;ValDate,"Date after valuation",IF(AND(N($B76)&gt;PrevDate,COUNTIFS(Holdings!$B$6:$B$205,$C76,Holdings!$C$6:$C$205,$D76)=0),"No holding row (needed for Period Change)","OK")))))))))))))</f>
        <v/>
      </c>
      <c r="R76" s="89" t="str">
        <f aca="false">IF($C76="","",IFERROR(MATCH($C76,Accounts!$A$6:$A$55,0),""))</f>
        <v/>
      </c>
      <c r="S76" s="89" t="str">
        <f aca="false">IF($D76="","",IFERROR(MATCH($D76,Securities!$A$6:$A$105,0),""))</f>
        <v/>
      </c>
      <c r="T76" s="89" t="str">
        <f aca="true">IF($I76="","",IFERROR(MATCH($I76,L_TxnType,0),""))</f>
        <v/>
      </c>
    </row>
    <row r="77" customFormat="false" ht="15" hidden="false" customHeight="false" outlineLevel="0" collapsed="false">
      <c r="A77" s="77"/>
      <c r="B77" s="80"/>
      <c r="C77" s="78"/>
      <c r="D77" s="78"/>
      <c r="E77" s="79" t="str">
        <f aca="false">IF($R77="","",INDEX(Accounts!$C$6:$C$55,$R77)&amp;"")</f>
        <v/>
      </c>
      <c r="F77" s="79" t="str">
        <f aca="false">IF($S77="","",INDEX(Securities!$B$6:$B$105,$S77)&amp;"")</f>
        <v/>
      </c>
      <c r="G77" s="79" t="str">
        <f aca="false">IF($S77="","",INDEX(Securities!$E$6:$E$105,$S77)&amp;"")</f>
        <v/>
      </c>
      <c r="H77" s="79" t="str">
        <f aca="false">IF($S77="","",INDEX(Securities!$F$6:$F$105,$S77)&amp;"")</f>
        <v/>
      </c>
      <c r="I77" s="78"/>
      <c r="J77" s="81"/>
      <c r="K77" s="94"/>
      <c r="L77" s="82"/>
      <c r="M77" s="82"/>
      <c r="N77" s="85" t="str">
        <f aca="true">IF(OR($I77="",$T77=""),"",INDEX(L_TxnSign,$T77)*N($L77)-N($M77))</f>
        <v/>
      </c>
      <c r="O77" s="79" t="str">
        <f aca="true">IF($T77="","",INDEX(L_TxnCounts,$T77)&amp;"")</f>
        <v/>
      </c>
      <c r="P77" s="78"/>
      <c r="Q77" s="79" t="str">
        <f aca="false">IF($A77&amp;$C77&amp;$D77&amp;$I77="","",IF($A77="","Missing ID",IF(COUNTIF($A$6:$A$305,$A77)&gt;1,"Duplicate ID",IF(NOT(ISNUMBER($B77)),"Missing date",IF($R77="","Unknown account",IF($D77="","Missing security",IF($S77="","Unknown security",IF($T77="","Unknown type",IF(AND($L77="",$I77&lt;&gt;"Bonus / Split"),"No amount",IF(N($L77)&lt;0,"Type a positive amount; the sign comes from the type",IF(N($M77)&lt;0,"Type charges as a positive amount",IF(N($B77)&gt;ValDate,"Date after valuation",IF(AND(N($B77)&gt;PrevDate,COUNTIFS(Holdings!$B$6:$B$205,$C77,Holdings!$C$6:$C$205,$D77)=0),"No holding row (needed for Period Change)","OK")))))))))))))</f>
        <v/>
      </c>
      <c r="R77" s="89" t="str">
        <f aca="false">IF($C77="","",IFERROR(MATCH($C77,Accounts!$A$6:$A$55,0),""))</f>
        <v/>
      </c>
      <c r="S77" s="89" t="str">
        <f aca="false">IF($D77="","",IFERROR(MATCH($D77,Securities!$A$6:$A$105,0),""))</f>
        <v/>
      </c>
      <c r="T77" s="89" t="str">
        <f aca="true">IF($I77="","",IFERROR(MATCH($I77,L_TxnType,0),""))</f>
        <v/>
      </c>
    </row>
    <row r="78" customFormat="false" ht="15" hidden="false" customHeight="false" outlineLevel="0" collapsed="false">
      <c r="A78" s="77"/>
      <c r="B78" s="80"/>
      <c r="C78" s="78"/>
      <c r="D78" s="78"/>
      <c r="E78" s="79" t="str">
        <f aca="false">IF($R78="","",INDEX(Accounts!$C$6:$C$55,$R78)&amp;"")</f>
        <v/>
      </c>
      <c r="F78" s="79" t="str">
        <f aca="false">IF($S78="","",INDEX(Securities!$B$6:$B$105,$S78)&amp;"")</f>
        <v/>
      </c>
      <c r="G78" s="79" t="str">
        <f aca="false">IF($S78="","",INDEX(Securities!$E$6:$E$105,$S78)&amp;"")</f>
        <v/>
      </c>
      <c r="H78" s="79" t="str">
        <f aca="false">IF($S78="","",INDEX(Securities!$F$6:$F$105,$S78)&amp;"")</f>
        <v/>
      </c>
      <c r="I78" s="78"/>
      <c r="J78" s="81"/>
      <c r="K78" s="94"/>
      <c r="L78" s="82"/>
      <c r="M78" s="82"/>
      <c r="N78" s="85" t="str">
        <f aca="true">IF(OR($I78="",$T78=""),"",INDEX(L_TxnSign,$T78)*N($L78)-N($M78))</f>
        <v/>
      </c>
      <c r="O78" s="79" t="str">
        <f aca="true">IF($T78="","",INDEX(L_TxnCounts,$T78)&amp;"")</f>
        <v/>
      </c>
      <c r="P78" s="78"/>
      <c r="Q78" s="79" t="str">
        <f aca="false">IF($A78&amp;$C78&amp;$D78&amp;$I78="","",IF($A78="","Missing ID",IF(COUNTIF($A$6:$A$305,$A78)&gt;1,"Duplicate ID",IF(NOT(ISNUMBER($B78)),"Missing date",IF($R78="","Unknown account",IF($D78="","Missing security",IF($S78="","Unknown security",IF($T78="","Unknown type",IF(AND($L78="",$I78&lt;&gt;"Bonus / Split"),"No amount",IF(N($L78)&lt;0,"Type a positive amount; the sign comes from the type",IF(N($M78)&lt;0,"Type charges as a positive amount",IF(N($B78)&gt;ValDate,"Date after valuation",IF(AND(N($B78)&gt;PrevDate,COUNTIFS(Holdings!$B$6:$B$205,$C78,Holdings!$C$6:$C$205,$D78)=0),"No holding row (needed for Period Change)","OK")))))))))))))</f>
        <v/>
      </c>
      <c r="R78" s="89" t="str">
        <f aca="false">IF($C78="","",IFERROR(MATCH($C78,Accounts!$A$6:$A$55,0),""))</f>
        <v/>
      </c>
      <c r="S78" s="89" t="str">
        <f aca="false">IF($D78="","",IFERROR(MATCH($D78,Securities!$A$6:$A$105,0),""))</f>
        <v/>
      </c>
      <c r="T78" s="89" t="str">
        <f aca="true">IF($I78="","",IFERROR(MATCH($I78,L_TxnType,0),""))</f>
        <v/>
      </c>
    </row>
    <row r="79" customFormat="false" ht="15" hidden="false" customHeight="false" outlineLevel="0" collapsed="false">
      <c r="A79" s="77"/>
      <c r="B79" s="80"/>
      <c r="C79" s="78"/>
      <c r="D79" s="78"/>
      <c r="E79" s="79" t="str">
        <f aca="false">IF($R79="","",INDEX(Accounts!$C$6:$C$55,$R79)&amp;"")</f>
        <v/>
      </c>
      <c r="F79" s="79" t="str">
        <f aca="false">IF($S79="","",INDEX(Securities!$B$6:$B$105,$S79)&amp;"")</f>
        <v/>
      </c>
      <c r="G79" s="79" t="str">
        <f aca="false">IF($S79="","",INDEX(Securities!$E$6:$E$105,$S79)&amp;"")</f>
        <v/>
      </c>
      <c r="H79" s="79" t="str">
        <f aca="false">IF($S79="","",INDEX(Securities!$F$6:$F$105,$S79)&amp;"")</f>
        <v/>
      </c>
      <c r="I79" s="78"/>
      <c r="J79" s="81"/>
      <c r="K79" s="94"/>
      <c r="L79" s="82"/>
      <c r="M79" s="82"/>
      <c r="N79" s="85" t="str">
        <f aca="true">IF(OR($I79="",$T79=""),"",INDEX(L_TxnSign,$T79)*N($L79)-N($M79))</f>
        <v/>
      </c>
      <c r="O79" s="79" t="str">
        <f aca="true">IF($T79="","",INDEX(L_TxnCounts,$T79)&amp;"")</f>
        <v/>
      </c>
      <c r="P79" s="78"/>
      <c r="Q79" s="79" t="str">
        <f aca="false">IF($A79&amp;$C79&amp;$D79&amp;$I79="","",IF($A79="","Missing ID",IF(COUNTIF($A$6:$A$305,$A79)&gt;1,"Duplicate ID",IF(NOT(ISNUMBER($B79)),"Missing date",IF($R79="","Unknown account",IF($D79="","Missing security",IF($S79="","Unknown security",IF($T79="","Unknown type",IF(AND($L79="",$I79&lt;&gt;"Bonus / Split"),"No amount",IF(N($L79)&lt;0,"Type a positive amount; the sign comes from the type",IF(N($M79)&lt;0,"Type charges as a positive amount",IF(N($B79)&gt;ValDate,"Date after valuation",IF(AND(N($B79)&gt;PrevDate,COUNTIFS(Holdings!$B$6:$B$205,$C79,Holdings!$C$6:$C$205,$D79)=0),"No holding row (needed for Period Change)","OK")))))))))))))</f>
        <v/>
      </c>
      <c r="R79" s="89" t="str">
        <f aca="false">IF($C79="","",IFERROR(MATCH($C79,Accounts!$A$6:$A$55,0),""))</f>
        <v/>
      </c>
      <c r="S79" s="89" t="str">
        <f aca="false">IF($D79="","",IFERROR(MATCH($D79,Securities!$A$6:$A$105,0),""))</f>
        <v/>
      </c>
      <c r="T79" s="89" t="str">
        <f aca="true">IF($I79="","",IFERROR(MATCH($I79,L_TxnType,0),""))</f>
        <v/>
      </c>
    </row>
    <row r="80" customFormat="false" ht="15" hidden="false" customHeight="false" outlineLevel="0" collapsed="false">
      <c r="A80" s="77"/>
      <c r="B80" s="80"/>
      <c r="C80" s="78"/>
      <c r="D80" s="78"/>
      <c r="E80" s="79" t="str">
        <f aca="false">IF($R80="","",INDEX(Accounts!$C$6:$C$55,$R80)&amp;"")</f>
        <v/>
      </c>
      <c r="F80" s="79" t="str">
        <f aca="false">IF($S80="","",INDEX(Securities!$B$6:$B$105,$S80)&amp;"")</f>
        <v/>
      </c>
      <c r="G80" s="79" t="str">
        <f aca="false">IF($S80="","",INDEX(Securities!$E$6:$E$105,$S80)&amp;"")</f>
        <v/>
      </c>
      <c r="H80" s="79" t="str">
        <f aca="false">IF($S80="","",INDEX(Securities!$F$6:$F$105,$S80)&amp;"")</f>
        <v/>
      </c>
      <c r="I80" s="78"/>
      <c r="J80" s="81"/>
      <c r="K80" s="94"/>
      <c r="L80" s="82"/>
      <c r="M80" s="82"/>
      <c r="N80" s="85" t="str">
        <f aca="true">IF(OR($I80="",$T80=""),"",INDEX(L_TxnSign,$T80)*N($L80)-N($M80))</f>
        <v/>
      </c>
      <c r="O80" s="79" t="str">
        <f aca="true">IF($T80="","",INDEX(L_TxnCounts,$T80)&amp;"")</f>
        <v/>
      </c>
      <c r="P80" s="78"/>
      <c r="Q80" s="79" t="str">
        <f aca="false">IF($A80&amp;$C80&amp;$D80&amp;$I80="","",IF($A80="","Missing ID",IF(COUNTIF($A$6:$A$305,$A80)&gt;1,"Duplicate ID",IF(NOT(ISNUMBER($B80)),"Missing date",IF($R80="","Unknown account",IF($D80="","Missing security",IF($S80="","Unknown security",IF($T80="","Unknown type",IF(AND($L80="",$I80&lt;&gt;"Bonus / Split"),"No amount",IF(N($L80)&lt;0,"Type a positive amount; the sign comes from the type",IF(N($M80)&lt;0,"Type charges as a positive amount",IF(N($B80)&gt;ValDate,"Date after valuation",IF(AND(N($B80)&gt;PrevDate,COUNTIFS(Holdings!$B$6:$B$205,$C80,Holdings!$C$6:$C$205,$D80)=0),"No holding row (needed for Period Change)","OK")))))))))))))</f>
        <v/>
      </c>
      <c r="R80" s="89" t="str">
        <f aca="false">IF($C80="","",IFERROR(MATCH($C80,Accounts!$A$6:$A$55,0),""))</f>
        <v/>
      </c>
      <c r="S80" s="89" t="str">
        <f aca="false">IF($D80="","",IFERROR(MATCH($D80,Securities!$A$6:$A$105,0),""))</f>
        <v/>
      </c>
      <c r="T80" s="89" t="str">
        <f aca="true">IF($I80="","",IFERROR(MATCH($I80,L_TxnType,0),""))</f>
        <v/>
      </c>
    </row>
    <row r="81" customFormat="false" ht="15" hidden="false" customHeight="false" outlineLevel="0" collapsed="false">
      <c r="A81" s="77"/>
      <c r="B81" s="80"/>
      <c r="C81" s="78"/>
      <c r="D81" s="78"/>
      <c r="E81" s="79" t="str">
        <f aca="false">IF($R81="","",INDEX(Accounts!$C$6:$C$55,$R81)&amp;"")</f>
        <v/>
      </c>
      <c r="F81" s="79" t="str">
        <f aca="false">IF($S81="","",INDEX(Securities!$B$6:$B$105,$S81)&amp;"")</f>
        <v/>
      </c>
      <c r="G81" s="79" t="str">
        <f aca="false">IF($S81="","",INDEX(Securities!$E$6:$E$105,$S81)&amp;"")</f>
        <v/>
      </c>
      <c r="H81" s="79" t="str">
        <f aca="false">IF($S81="","",INDEX(Securities!$F$6:$F$105,$S81)&amp;"")</f>
        <v/>
      </c>
      <c r="I81" s="78"/>
      <c r="J81" s="81"/>
      <c r="K81" s="94"/>
      <c r="L81" s="82"/>
      <c r="M81" s="82"/>
      <c r="N81" s="85" t="str">
        <f aca="true">IF(OR($I81="",$T81=""),"",INDEX(L_TxnSign,$T81)*N($L81)-N($M81))</f>
        <v/>
      </c>
      <c r="O81" s="79" t="str">
        <f aca="true">IF($T81="","",INDEX(L_TxnCounts,$T81)&amp;"")</f>
        <v/>
      </c>
      <c r="P81" s="78"/>
      <c r="Q81" s="79" t="str">
        <f aca="false">IF($A81&amp;$C81&amp;$D81&amp;$I81="","",IF($A81="","Missing ID",IF(COUNTIF($A$6:$A$305,$A81)&gt;1,"Duplicate ID",IF(NOT(ISNUMBER($B81)),"Missing date",IF($R81="","Unknown account",IF($D81="","Missing security",IF($S81="","Unknown security",IF($T81="","Unknown type",IF(AND($L81="",$I81&lt;&gt;"Bonus / Split"),"No amount",IF(N($L81)&lt;0,"Type a positive amount; the sign comes from the type",IF(N($M81)&lt;0,"Type charges as a positive amount",IF(N($B81)&gt;ValDate,"Date after valuation",IF(AND(N($B81)&gt;PrevDate,COUNTIFS(Holdings!$B$6:$B$205,$C81,Holdings!$C$6:$C$205,$D81)=0),"No holding row (needed for Period Change)","OK")))))))))))))</f>
        <v/>
      </c>
      <c r="R81" s="89" t="str">
        <f aca="false">IF($C81="","",IFERROR(MATCH($C81,Accounts!$A$6:$A$55,0),""))</f>
        <v/>
      </c>
      <c r="S81" s="89" t="str">
        <f aca="false">IF($D81="","",IFERROR(MATCH($D81,Securities!$A$6:$A$105,0),""))</f>
        <v/>
      </c>
      <c r="T81" s="89" t="str">
        <f aca="true">IF($I81="","",IFERROR(MATCH($I81,L_TxnType,0),""))</f>
        <v/>
      </c>
    </row>
    <row r="82" customFormat="false" ht="15" hidden="false" customHeight="false" outlineLevel="0" collapsed="false">
      <c r="A82" s="77"/>
      <c r="B82" s="80"/>
      <c r="C82" s="78"/>
      <c r="D82" s="78"/>
      <c r="E82" s="79" t="str">
        <f aca="false">IF($R82="","",INDEX(Accounts!$C$6:$C$55,$R82)&amp;"")</f>
        <v/>
      </c>
      <c r="F82" s="79" t="str">
        <f aca="false">IF($S82="","",INDEX(Securities!$B$6:$B$105,$S82)&amp;"")</f>
        <v/>
      </c>
      <c r="G82" s="79" t="str">
        <f aca="false">IF($S82="","",INDEX(Securities!$E$6:$E$105,$S82)&amp;"")</f>
        <v/>
      </c>
      <c r="H82" s="79" t="str">
        <f aca="false">IF($S82="","",INDEX(Securities!$F$6:$F$105,$S82)&amp;"")</f>
        <v/>
      </c>
      <c r="I82" s="78"/>
      <c r="J82" s="81"/>
      <c r="K82" s="94"/>
      <c r="L82" s="82"/>
      <c r="M82" s="82"/>
      <c r="N82" s="85" t="str">
        <f aca="true">IF(OR($I82="",$T82=""),"",INDEX(L_TxnSign,$T82)*N($L82)-N($M82))</f>
        <v/>
      </c>
      <c r="O82" s="79" t="str">
        <f aca="true">IF($T82="","",INDEX(L_TxnCounts,$T82)&amp;"")</f>
        <v/>
      </c>
      <c r="P82" s="78"/>
      <c r="Q82" s="79" t="str">
        <f aca="false">IF($A82&amp;$C82&amp;$D82&amp;$I82="","",IF($A82="","Missing ID",IF(COUNTIF($A$6:$A$305,$A82)&gt;1,"Duplicate ID",IF(NOT(ISNUMBER($B82)),"Missing date",IF($R82="","Unknown account",IF($D82="","Missing security",IF($S82="","Unknown security",IF($T82="","Unknown type",IF(AND($L82="",$I82&lt;&gt;"Bonus / Split"),"No amount",IF(N($L82)&lt;0,"Type a positive amount; the sign comes from the type",IF(N($M82)&lt;0,"Type charges as a positive amount",IF(N($B82)&gt;ValDate,"Date after valuation",IF(AND(N($B82)&gt;PrevDate,COUNTIFS(Holdings!$B$6:$B$205,$C82,Holdings!$C$6:$C$205,$D82)=0),"No holding row (needed for Period Change)","OK")))))))))))))</f>
        <v/>
      </c>
      <c r="R82" s="89" t="str">
        <f aca="false">IF($C82="","",IFERROR(MATCH($C82,Accounts!$A$6:$A$55,0),""))</f>
        <v/>
      </c>
      <c r="S82" s="89" t="str">
        <f aca="false">IF($D82="","",IFERROR(MATCH($D82,Securities!$A$6:$A$105,0),""))</f>
        <v/>
      </c>
      <c r="T82" s="89" t="str">
        <f aca="true">IF($I82="","",IFERROR(MATCH($I82,L_TxnType,0),""))</f>
        <v/>
      </c>
    </row>
    <row r="83" customFormat="false" ht="15" hidden="false" customHeight="false" outlineLevel="0" collapsed="false">
      <c r="A83" s="77"/>
      <c r="B83" s="80"/>
      <c r="C83" s="78"/>
      <c r="D83" s="78"/>
      <c r="E83" s="79" t="str">
        <f aca="false">IF($R83="","",INDEX(Accounts!$C$6:$C$55,$R83)&amp;"")</f>
        <v/>
      </c>
      <c r="F83" s="79" t="str">
        <f aca="false">IF($S83="","",INDEX(Securities!$B$6:$B$105,$S83)&amp;"")</f>
        <v/>
      </c>
      <c r="G83" s="79" t="str">
        <f aca="false">IF($S83="","",INDEX(Securities!$E$6:$E$105,$S83)&amp;"")</f>
        <v/>
      </c>
      <c r="H83" s="79" t="str">
        <f aca="false">IF($S83="","",INDEX(Securities!$F$6:$F$105,$S83)&amp;"")</f>
        <v/>
      </c>
      <c r="I83" s="78"/>
      <c r="J83" s="81"/>
      <c r="K83" s="94"/>
      <c r="L83" s="82"/>
      <c r="M83" s="82"/>
      <c r="N83" s="85" t="str">
        <f aca="true">IF(OR($I83="",$T83=""),"",INDEX(L_TxnSign,$T83)*N($L83)-N($M83))</f>
        <v/>
      </c>
      <c r="O83" s="79" t="str">
        <f aca="true">IF($T83="","",INDEX(L_TxnCounts,$T83)&amp;"")</f>
        <v/>
      </c>
      <c r="P83" s="78"/>
      <c r="Q83" s="79" t="str">
        <f aca="false">IF($A83&amp;$C83&amp;$D83&amp;$I83="","",IF($A83="","Missing ID",IF(COUNTIF($A$6:$A$305,$A83)&gt;1,"Duplicate ID",IF(NOT(ISNUMBER($B83)),"Missing date",IF($R83="","Unknown account",IF($D83="","Missing security",IF($S83="","Unknown security",IF($T83="","Unknown type",IF(AND($L83="",$I83&lt;&gt;"Bonus / Split"),"No amount",IF(N($L83)&lt;0,"Type a positive amount; the sign comes from the type",IF(N($M83)&lt;0,"Type charges as a positive amount",IF(N($B83)&gt;ValDate,"Date after valuation",IF(AND(N($B83)&gt;PrevDate,COUNTIFS(Holdings!$B$6:$B$205,$C83,Holdings!$C$6:$C$205,$D83)=0),"No holding row (needed for Period Change)","OK")))))))))))))</f>
        <v/>
      </c>
      <c r="R83" s="89" t="str">
        <f aca="false">IF($C83="","",IFERROR(MATCH($C83,Accounts!$A$6:$A$55,0),""))</f>
        <v/>
      </c>
      <c r="S83" s="89" t="str">
        <f aca="false">IF($D83="","",IFERROR(MATCH($D83,Securities!$A$6:$A$105,0),""))</f>
        <v/>
      </c>
      <c r="T83" s="89" t="str">
        <f aca="true">IF($I83="","",IFERROR(MATCH($I83,L_TxnType,0),""))</f>
        <v/>
      </c>
    </row>
    <row r="84" customFormat="false" ht="15" hidden="false" customHeight="false" outlineLevel="0" collapsed="false">
      <c r="A84" s="77"/>
      <c r="B84" s="80"/>
      <c r="C84" s="78"/>
      <c r="D84" s="78"/>
      <c r="E84" s="79" t="str">
        <f aca="false">IF($R84="","",INDEX(Accounts!$C$6:$C$55,$R84)&amp;"")</f>
        <v/>
      </c>
      <c r="F84" s="79" t="str">
        <f aca="false">IF($S84="","",INDEX(Securities!$B$6:$B$105,$S84)&amp;"")</f>
        <v/>
      </c>
      <c r="G84" s="79" t="str">
        <f aca="false">IF($S84="","",INDEX(Securities!$E$6:$E$105,$S84)&amp;"")</f>
        <v/>
      </c>
      <c r="H84" s="79" t="str">
        <f aca="false">IF($S84="","",INDEX(Securities!$F$6:$F$105,$S84)&amp;"")</f>
        <v/>
      </c>
      <c r="I84" s="78"/>
      <c r="J84" s="81"/>
      <c r="K84" s="94"/>
      <c r="L84" s="82"/>
      <c r="M84" s="82"/>
      <c r="N84" s="85" t="str">
        <f aca="true">IF(OR($I84="",$T84=""),"",INDEX(L_TxnSign,$T84)*N($L84)-N($M84))</f>
        <v/>
      </c>
      <c r="O84" s="79" t="str">
        <f aca="true">IF($T84="","",INDEX(L_TxnCounts,$T84)&amp;"")</f>
        <v/>
      </c>
      <c r="P84" s="78"/>
      <c r="Q84" s="79" t="str">
        <f aca="false">IF($A84&amp;$C84&amp;$D84&amp;$I84="","",IF($A84="","Missing ID",IF(COUNTIF($A$6:$A$305,$A84)&gt;1,"Duplicate ID",IF(NOT(ISNUMBER($B84)),"Missing date",IF($R84="","Unknown account",IF($D84="","Missing security",IF($S84="","Unknown security",IF($T84="","Unknown type",IF(AND($L84="",$I84&lt;&gt;"Bonus / Split"),"No amount",IF(N($L84)&lt;0,"Type a positive amount; the sign comes from the type",IF(N($M84)&lt;0,"Type charges as a positive amount",IF(N($B84)&gt;ValDate,"Date after valuation",IF(AND(N($B84)&gt;PrevDate,COUNTIFS(Holdings!$B$6:$B$205,$C84,Holdings!$C$6:$C$205,$D84)=0),"No holding row (needed for Period Change)","OK")))))))))))))</f>
        <v/>
      </c>
      <c r="R84" s="89" t="str">
        <f aca="false">IF($C84="","",IFERROR(MATCH($C84,Accounts!$A$6:$A$55,0),""))</f>
        <v/>
      </c>
      <c r="S84" s="89" t="str">
        <f aca="false">IF($D84="","",IFERROR(MATCH($D84,Securities!$A$6:$A$105,0),""))</f>
        <v/>
      </c>
      <c r="T84" s="89" t="str">
        <f aca="true">IF($I84="","",IFERROR(MATCH($I84,L_TxnType,0),""))</f>
        <v/>
      </c>
    </row>
    <row r="85" customFormat="false" ht="15" hidden="false" customHeight="false" outlineLevel="0" collapsed="false">
      <c r="A85" s="77"/>
      <c r="B85" s="80"/>
      <c r="C85" s="78"/>
      <c r="D85" s="78"/>
      <c r="E85" s="79" t="str">
        <f aca="false">IF($R85="","",INDEX(Accounts!$C$6:$C$55,$R85)&amp;"")</f>
        <v/>
      </c>
      <c r="F85" s="79" t="str">
        <f aca="false">IF($S85="","",INDEX(Securities!$B$6:$B$105,$S85)&amp;"")</f>
        <v/>
      </c>
      <c r="G85" s="79" t="str">
        <f aca="false">IF($S85="","",INDEX(Securities!$E$6:$E$105,$S85)&amp;"")</f>
        <v/>
      </c>
      <c r="H85" s="79" t="str">
        <f aca="false">IF($S85="","",INDEX(Securities!$F$6:$F$105,$S85)&amp;"")</f>
        <v/>
      </c>
      <c r="I85" s="78"/>
      <c r="J85" s="81"/>
      <c r="K85" s="94"/>
      <c r="L85" s="82"/>
      <c r="M85" s="82"/>
      <c r="N85" s="85" t="str">
        <f aca="true">IF(OR($I85="",$T85=""),"",INDEX(L_TxnSign,$T85)*N($L85)-N($M85))</f>
        <v/>
      </c>
      <c r="O85" s="79" t="str">
        <f aca="true">IF($T85="","",INDEX(L_TxnCounts,$T85)&amp;"")</f>
        <v/>
      </c>
      <c r="P85" s="78"/>
      <c r="Q85" s="79" t="str">
        <f aca="false">IF($A85&amp;$C85&amp;$D85&amp;$I85="","",IF($A85="","Missing ID",IF(COUNTIF($A$6:$A$305,$A85)&gt;1,"Duplicate ID",IF(NOT(ISNUMBER($B85)),"Missing date",IF($R85="","Unknown account",IF($D85="","Missing security",IF($S85="","Unknown security",IF($T85="","Unknown type",IF(AND($L85="",$I85&lt;&gt;"Bonus / Split"),"No amount",IF(N($L85)&lt;0,"Type a positive amount; the sign comes from the type",IF(N($M85)&lt;0,"Type charges as a positive amount",IF(N($B85)&gt;ValDate,"Date after valuation",IF(AND(N($B85)&gt;PrevDate,COUNTIFS(Holdings!$B$6:$B$205,$C85,Holdings!$C$6:$C$205,$D85)=0),"No holding row (needed for Period Change)","OK")))))))))))))</f>
        <v/>
      </c>
      <c r="R85" s="89" t="str">
        <f aca="false">IF($C85="","",IFERROR(MATCH($C85,Accounts!$A$6:$A$55,0),""))</f>
        <v/>
      </c>
      <c r="S85" s="89" t="str">
        <f aca="false">IF($D85="","",IFERROR(MATCH($D85,Securities!$A$6:$A$105,0),""))</f>
        <v/>
      </c>
      <c r="T85" s="89" t="str">
        <f aca="true">IF($I85="","",IFERROR(MATCH($I85,L_TxnType,0),""))</f>
        <v/>
      </c>
    </row>
    <row r="86" customFormat="false" ht="15" hidden="false" customHeight="false" outlineLevel="0" collapsed="false">
      <c r="A86" s="77"/>
      <c r="B86" s="80"/>
      <c r="C86" s="78"/>
      <c r="D86" s="78"/>
      <c r="E86" s="79" t="str">
        <f aca="false">IF($R86="","",INDEX(Accounts!$C$6:$C$55,$R86)&amp;"")</f>
        <v/>
      </c>
      <c r="F86" s="79" t="str">
        <f aca="false">IF($S86="","",INDEX(Securities!$B$6:$B$105,$S86)&amp;"")</f>
        <v/>
      </c>
      <c r="G86" s="79" t="str">
        <f aca="false">IF($S86="","",INDEX(Securities!$E$6:$E$105,$S86)&amp;"")</f>
        <v/>
      </c>
      <c r="H86" s="79" t="str">
        <f aca="false">IF($S86="","",INDEX(Securities!$F$6:$F$105,$S86)&amp;"")</f>
        <v/>
      </c>
      <c r="I86" s="78"/>
      <c r="J86" s="81"/>
      <c r="K86" s="94"/>
      <c r="L86" s="82"/>
      <c r="M86" s="82"/>
      <c r="N86" s="85" t="str">
        <f aca="true">IF(OR($I86="",$T86=""),"",INDEX(L_TxnSign,$T86)*N($L86)-N($M86))</f>
        <v/>
      </c>
      <c r="O86" s="79" t="str">
        <f aca="true">IF($T86="","",INDEX(L_TxnCounts,$T86)&amp;"")</f>
        <v/>
      </c>
      <c r="P86" s="78"/>
      <c r="Q86" s="79" t="str">
        <f aca="false">IF($A86&amp;$C86&amp;$D86&amp;$I86="","",IF($A86="","Missing ID",IF(COUNTIF($A$6:$A$305,$A86)&gt;1,"Duplicate ID",IF(NOT(ISNUMBER($B86)),"Missing date",IF($R86="","Unknown account",IF($D86="","Missing security",IF($S86="","Unknown security",IF($T86="","Unknown type",IF(AND($L86="",$I86&lt;&gt;"Bonus / Split"),"No amount",IF(N($L86)&lt;0,"Type a positive amount; the sign comes from the type",IF(N($M86)&lt;0,"Type charges as a positive amount",IF(N($B86)&gt;ValDate,"Date after valuation",IF(AND(N($B86)&gt;PrevDate,COUNTIFS(Holdings!$B$6:$B$205,$C86,Holdings!$C$6:$C$205,$D86)=0),"No holding row (needed for Period Change)","OK")))))))))))))</f>
        <v/>
      </c>
      <c r="R86" s="89" t="str">
        <f aca="false">IF($C86="","",IFERROR(MATCH($C86,Accounts!$A$6:$A$55,0),""))</f>
        <v/>
      </c>
      <c r="S86" s="89" t="str">
        <f aca="false">IF($D86="","",IFERROR(MATCH($D86,Securities!$A$6:$A$105,0),""))</f>
        <v/>
      </c>
      <c r="T86" s="89" t="str">
        <f aca="true">IF($I86="","",IFERROR(MATCH($I86,L_TxnType,0),""))</f>
        <v/>
      </c>
    </row>
    <row r="87" customFormat="false" ht="15" hidden="false" customHeight="false" outlineLevel="0" collapsed="false">
      <c r="A87" s="77"/>
      <c r="B87" s="80"/>
      <c r="C87" s="78"/>
      <c r="D87" s="78"/>
      <c r="E87" s="79" t="str">
        <f aca="false">IF($R87="","",INDEX(Accounts!$C$6:$C$55,$R87)&amp;"")</f>
        <v/>
      </c>
      <c r="F87" s="79" t="str">
        <f aca="false">IF($S87="","",INDEX(Securities!$B$6:$B$105,$S87)&amp;"")</f>
        <v/>
      </c>
      <c r="G87" s="79" t="str">
        <f aca="false">IF($S87="","",INDEX(Securities!$E$6:$E$105,$S87)&amp;"")</f>
        <v/>
      </c>
      <c r="H87" s="79" t="str">
        <f aca="false">IF($S87="","",INDEX(Securities!$F$6:$F$105,$S87)&amp;"")</f>
        <v/>
      </c>
      <c r="I87" s="78"/>
      <c r="J87" s="81"/>
      <c r="K87" s="94"/>
      <c r="L87" s="82"/>
      <c r="M87" s="82"/>
      <c r="N87" s="85" t="str">
        <f aca="true">IF(OR($I87="",$T87=""),"",INDEX(L_TxnSign,$T87)*N($L87)-N($M87))</f>
        <v/>
      </c>
      <c r="O87" s="79" t="str">
        <f aca="true">IF($T87="","",INDEX(L_TxnCounts,$T87)&amp;"")</f>
        <v/>
      </c>
      <c r="P87" s="78"/>
      <c r="Q87" s="79" t="str">
        <f aca="false">IF($A87&amp;$C87&amp;$D87&amp;$I87="","",IF($A87="","Missing ID",IF(COUNTIF($A$6:$A$305,$A87)&gt;1,"Duplicate ID",IF(NOT(ISNUMBER($B87)),"Missing date",IF($R87="","Unknown account",IF($D87="","Missing security",IF($S87="","Unknown security",IF($T87="","Unknown type",IF(AND($L87="",$I87&lt;&gt;"Bonus / Split"),"No amount",IF(N($L87)&lt;0,"Type a positive amount; the sign comes from the type",IF(N($M87)&lt;0,"Type charges as a positive amount",IF(N($B87)&gt;ValDate,"Date after valuation",IF(AND(N($B87)&gt;PrevDate,COUNTIFS(Holdings!$B$6:$B$205,$C87,Holdings!$C$6:$C$205,$D87)=0),"No holding row (needed for Period Change)","OK")))))))))))))</f>
        <v/>
      </c>
      <c r="R87" s="89" t="str">
        <f aca="false">IF($C87="","",IFERROR(MATCH($C87,Accounts!$A$6:$A$55,0),""))</f>
        <v/>
      </c>
      <c r="S87" s="89" t="str">
        <f aca="false">IF($D87="","",IFERROR(MATCH($D87,Securities!$A$6:$A$105,0),""))</f>
        <v/>
      </c>
      <c r="T87" s="89" t="str">
        <f aca="true">IF($I87="","",IFERROR(MATCH($I87,L_TxnType,0),""))</f>
        <v/>
      </c>
    </row>
    <row r="88" customFormat="false" ht="15" hidden="false" customHeight="false" outlineLevel="0" collapsed="false">
      <c r="A88" s="77"/>
      <c r="B88" s="80"/>
      <c r="C88" s="78"/>
      <c r="D88" s="78"/>
      <c r="E88" s="79" t="str">
        <f aca="false">IF($R88="","",INDEX(Accounts!$C$6:$C$55,$R88)&amp;"")</f>
        <v/>
      </c>
      <c r="F88" s="79" t="str">
        <f aca="false">IF($S88="","",INDEX(Securities!$B$6:$B$105,$S88)&amp;"")</f>
        <v/>
      </c>
      <c r="G88" s="79" t="str">
        <f aca="false">IF($S88="","",INDEX(Securities!$E$6:$E$105,$S88)&amp;"")</f>
        <v/>
      </c>
      <c r="H88" s="79" t="str">
        <f aca="false">IF($S88="","",INDEX(Securities!$F$6:$F$105,$S88)&amp;"")</f>
        <v/>
      </c>
      <c r="I88" s="78"/>
      <c r="J88" s="81"/>
      <c r="K88" s="94"/>
      <c r="L88" s="82"/>
      <c r="M88" s="82"/>
      <c r="N88" s="85" t="str">
        <f aca="true">IF(OR($I88="",$T88=""),"",INDEX(L_TxnSign,$T88)*N($L88)-N($M88))</f>
        <v/>
      </c>
      <c r="O88" s="79" t="str">
        <f aca="true">IF($T88="","",INDEX(L_TxnCounts,$T88)&amp;"")</f>
        <v/>
      </c>
      <c r="P88" s="78"/>
      <c r="Q88" s="79" t="str">
        <f aca="false">IF($A88&amp;$C88&amp;$D88&amp;$I88="","",IF($A88="","Missing ID",IF(COUNTIF($A$6:$A$305,$A88)&gt;1,"Duplicate ID",IF(NOT(ISNUMBER($B88)),"Missing date",IF($R88="","Unknown account",IF($D88="","Missing security",IF($S88="","Unknown security",IF($T88="","Unknown type",IF(AND($L88="",$I88&lt;&gt;"Bonus / Split"),"No amount",IF(N($L88)&lt;0,"Type a positive amount; the sign comes from the type",IF(N($M88)&lt;0,"Type charges as a positive amount",IF(N($B88)&gt;ValDate,"Date after valuation",IF(AND(N($B88)&gt;PrevDate,COUNTIFS(Holdings!$B$6:$B$205,$C88,Holdings!$C$6:$C$205,$D88)=0),"No holding row (needed for Period Change)","OK")))))))))))))</f>
        <v/>
      </c>
      <c r="R88" s="89" t="str">
        <f aca="false">IF($C88="","",IFERROR(MATCH($C88,Accounts!$A$6:$A$55,0),""))</f>
        <v/>
      </c>
      <c r="S88" s="89" t="str">
        <f aca="false">IF($D88="","",IFERROR(MATCH($D88,Securities!$A$6:$A$105,0),""))</f>
        <v/>
      </c>
      <c r="T88" s="89" t="str">
        <f aca="true">IF($I88="","",IFERROR(MATCH($I88,L_TxnType,0),""))</f>
        <v/>
      </c>
    </row>
    <row r="89" customFormat="false" ht="15" hidden="false" customHeight="false" outlineLevel="0" collapsed="false">
      <c r="A89" s="77"/>
      <c r="B89" s="80"/>
      <c r="C89" s="78"/>
      <c r="D89" s="78"/>
      <c r="E89" s="79" t="str">
        <f aca="false">IF($R89="","",INDEX(Accounts!$C$6:$C$55,$R89)&amp;"")</f>
        <v/>
      </c>
      <c r="F89" s="79" t="str">
        <f aca="false">IF($S89="","",INDEX(Securities!$B$6:$B$105,$S89)&amp;"")</f>
        <v/>
      </c>
      <c r="G89" s="79" t="str">
        <f aca="false">IF($S89="","",INDEX(Securities!$E$6:$E$105,$S89)&amp;"")</f>
        <v/>
      </c>
      <c r="H89" s="79" t="str">
        <f aca="false">IF($S89="","",INDEX(Securities!$F$6:$F$105,$S89)&amp;"")</f>
        <v/>
      </c>
      <c r="I89" s="78"/>
      <c r="J89" s="81"/>
      <c r="K89" s="94"/>
      <c r="L89" s="82"/>
      <c r="M89" s="82"/>
      <c r="N89" s="85" t="str">
        <f aca="true">IF(OR($I89="",$T89=""),"",INDEX(L_TxnSign,$T89)*N($L89)-N($M89))</f>
        <v/>
      </c>
      <c r="O89" s="79" t="str">
        <f aca="true">IF($T89="","",INDEX(L_TxnCounts,$T89)&amp;"")</f>
        <v/>
      </c>
      <c r="P89" s="78"/>
      <c r="Q89" s="79" t="str">
        <f aca="false">IF($A89&amp;$C89&amp;$D89&amp;$I89="","",IF($A89="","Missing ID",IF(COUNTIF($A$6:$A$305,$A89)&gt;1,"Duplicate ID",IF(NOT(ISNUMBER($B89)),"Missing date",IF($R89="","Unknown account",IF($D89="","Missing security",IF($S89="","Unknown security",IF($T89="","Unknown type",IF(AND($L89="",$I89&lt;&gt;"Bonus / Split"),"No amount",IF(N($L89)&lt;0,"Type a positive amount; the sign comes from the type",IF(N($M89)&lt;0,"Type charges as a positive amount",IF(N($B89)&gt;ValDate,"Date after valuation",IF(AND(N($B89)&gt;PrevDate,COUNTIFS(Holdings!$B$6:$B$205,$C89,Holdings!$C$6:$C$205,$D89)=0),"No holding row (needed for Period Change)","OK")))))))))))))</f>
        <v/>
      </c>
      <c r="R89" s="89" t="str">
        <f aca="false">IF($C89="","",IFERROR(MATCH($C89,Accounts!$A$6:$A$55,0),""))</f>
        <v/>
      </c>
      <c r="S89" s="89" t="str">
        <f aca="false">IF($D89="","",IFERROR(MATCH($D89,Securities!$A$6:$A$105,0),""))</f>
        <v/>
      </c>
      <c r="T89" s="89" t="str">
        <f aca="true">IF($I89="","",IFERROR(MATCH($I89,L_TxnType,0),""))</f>
        <v/>
      </c>
    </row>
    <row r="90" customFormat="false" ht="15" hidden="false" customHeight="false" outlineLevel="0" collapsed="false">
      <c r="A90" s="77"/>
      <c r="B90" s="80"/>
      <c r="C90" s="78"/>
      <c r="D90" s="78"/>
      <c r="E90" s="79" t="str">
        <f aca="false">IF($R90="","",INDEX(Accounts!$C$6:$C$55,$R90)&amp;"")</f>
        <v/>
      </c>
      <c r="F90" s="79" t="str">
        <f aca="false">IF($S90="","",INDEX(Securities!$B$6:$B$105,$S90)&amp;"")</f>
        <v/>
      </c>
      <c r="G90" s="79" t="str">
        <f aca="false">IF($S90="","",INDEX(Securities!$E$6:$E$105,$S90)&amp;"")</f>
        <v/>
      </c>
      <c r="H90" s="79" t="str">
        <f aca="false">IF($S90="","",INDEX(Securities!$F$6:$F$105,$S90)&amp;"")</f>
        <v/>
      </c>
      <c r="I90" s="78"/>
      <c r="J90" s="81"/>
      <c r="K90" s="94"/>
      <c r="L90" s="82"/>
      <c r="M90" s="82"/>
      <c r="N90" s="85" t="str">
        <f aca="true">IF(OR($I90="",$T90=""),"",INDEX(L_TxnSign,$T90)*N($L90)-N($M90))</f>
        <v/>
      </c>
      <c r="O90" s="79" t="str">
        <f aca="true">IF($T90="","",INDEX(L_TxnCounts,$T90)&amp;"")</f>
        <v/>
      </c>
      <c r="P90" s="78"/>
      <c r="Q90" s="79" t="str">
        <f aca="false">IF($A90&amp;$C90&amp;$D90&amp;$I90="","",IF($A90="","Missing ID",IF(COUNTIF($A$6:$A$305,$A90)&gt;1,"Duplicate ID",IF(NOT(ISNUMBER($B90)),"Missing date",IF($R90="","Unknown account",IF($D90="","Missing security",IF($S90="","Unknown security",IF($T90="","Unknown type",IF(AND($L90="",$I90&lt;&gt;"Bonus / Split"),"No amount",IF(N($L90)&lt;0,"Type a positive amount; the sign comes from the type",IF(N($M90)&lt;0,"Type charges as a positive amount",IF(N($B90)&gt;ValDate,"Date after valuation",IF(AND(N($B90)&gt;PrevDate,COUNTIFS(Holdings!$B$6:$B$205,$C90,Holdings!$C$6:$C$205,$D90)=0),"No holding row (needed for Period Change)","OK")))))))))))))</f>
        <v/>
      </c>
      <c r="R90" s="89" t="str">
        <f aca="false">IF($C90="","",IFERROR(MATCH($C90,Accounts!$A$6:$A$55,0),""))</f>
        <v/>
      </c>
      <c r="S90" s="89" t="str">
        <f aca="false">IF($D90="","",IFERROR(MATCH($D90,Securities!$A$6:$A$105,0),""))</f>
        <v/>
      </c>
      <c r="T90" s="89" t="str">
        <f aca="true">IF($I90="","",IFERROR(MATCH($I90,L_TxnType,0),""))</f>
        <v/>
      </c>
    </row>
    <row r="91" customFormat="false" ht="15" hidden="false" customHeight="false" outlineLevel="0" collapsed="false">
      <c r="A91" s="77"/>
      <c r="B91" s="80"/>
      <c r="C91" s="78"/>
      <c r="D91" s="78"/>
      <c r="E91" s="79" t="str">
        <f aca="false">IF($R91="","",INDEX(Accounts!$C$6:$C$55,$R91)&amp;"")</f>
        <v/>
      </c>
      <c r="F91" s="79" t="str">
        <f aca="false">IF($S91="","",INDEX(Securities!$B$6:$B$105,$S91)&amp;"")</f>
        <v/>
      </c>
      <c r="G91" s="79" t="str">
        <f aca="false">IF($S91="","",INDEX(Securities!$E$6:$E$105,$S91)&amp;"")</f>
        <v/>
      </c>
      <c r="H91" s="79" t="str">
        <f aca="false">IF($S91="","",INDEX(Securities!$F$6:$F$105,$S91)&amp;"")</f>
        <v/>
      </c>
      <c r="I91" s="78"/>
      <c r="J91" s="81"/>
      <c r="K91" s="94"/>
      <c r="L91" s="82"/>
      <c r="M91" s="82"/>
      <c r="N91" s="85" t="str">
        <f aca="true">IF(OR($I91="",$T91=""),"",INDEX(L_TxnSign,$T91)*N($L91)-N($M91))</f>
        <v/>
      </c>
      <c r="O91" s="79" t="str">
        <f aca="true">IF($T91="","",INDEX(L_TxnCounts,$T91)&amp;"")</f>
        <v/>
      </c>
      <c r="P91" s="78"/>
      <c r="Q91" s="79" t="str">
        <f aca="false">IF($A91&amp;$C91&amp;$D91&amp;$I91="","",IF($A91="","Missing ID",IF(COUNTIF($A$6:$A$305,$A91)&gt;1,"Duplicate ID",IF(NOT(ISNUMBER($B91)),"Missing date",IF($R91="","Unknown account",IF($D91="","Missing security",IF($S91="","Unknown security",IF($T91="","Unknown type",IF(AND($L91="",$I91&lt;&gt;"Bonus / Split"),"No amount",IF(N($L91)&lt;0,"Type a positive amount; the sign comes from the type",IF(N($M91)&lt;0,"Type charges as a positive amount",IF(N($B91)&gt;ValDate,"Date after valuation",IF(AND(N($B91)&gt;PrevDate,COUNTIFS(Holdings!$B$6:$B$205,$C91,Holdings!$C$6:$C$205,$D91)=0),"No holding row (needed for Period Change)","OK")))))))))))))</f>
        <v/>
      </c>
      <c r="R91" s="89" t="str">
        <f aca="false">IF($C91="","",IFERROR(MATCH($C91,Accounts!$A$6:$A$55,0),""))</f>
        <v/>
      </c>
      <c r="S91" s="89" t="str">
        <f aca="false">IF($D91="","",IFERROR(MATCH($D91,Securities!$A$6:$A$105,0),""))</f>
        <v/>
      </c>
      <c r="T91" s="89" t="str">
        <f aca="true">IF($I91="","",IFERROR(MATCH($I91,L_TxnType,0),""))</f>
        <v/>
      </c>
    </row>
    <row r="92" customFormat="false" ht="15" hidden="false" customHeight="false" outlineLevel="0" collapsed="false">
      <c r="A92" s="77"/>
      <c r="B92" s="80"/>
      <c r="C92" s="78"/>
      <c r="D92" s="78"/>
      <c r="E92" s="79" t="str">
        <f aca="false">IF($R92="","",INDEX(Accounts!$C$6:$C$55,$R92)&amp;"")</f>
        <v/>
      </c>
      <c r="F92" s="79" t="str">
        <f aca="false">IF($S92="","",INDEX(Securities!$B$6:$B$105,$S92)&amp;"")</f>
        <v/>
      </c>
      <c r="G92" s="79" t="str">
        <f aca="false">IF($S92="","",INDEX(Securities!$E$6:$E$105,$S92)&amp;"")</f>
        <v/>
      </c>
      <c r="H92" s="79" t="str">
        <f aca="false">IF($S92="","",INDEX(Securities!$F$6:$F$105,$S92)&amp;"")</f>
        <v/>
      </c>
      <c r="I92" s="78"/>
      <c r="J92" s="81"/>
      <c r="K92" s="94"/>
      <c r="L92" s="82"/>
      <c r="M92" s="82"/>
      <c r="N92" s="85" t="str">
        <f aca="true">IF(OR($I92="",$T92=""),"",INDEX(L_TxnSign,$T92)*N($L92)-N($M92))</f>
        <v/>
      </c>
      <c r="O92" s="79" t="str">
        <f aca="true">IF($T92="","",INDEX(L_TxnCounts,$T92)&amp;"")</f>
        <v/>
      </c>
      <c r="P92" s="78"/>
      <c r="Q92" s="79" t="str">
        <f aca="false">IF($A92&amp;$C92&amp;$D92&amp;$I92="","",IF($A92="","Missing ID",IF(COUNTIF($A$6:$A$305,$A92)&gt;1,"Duplicate ID",IF(NOT(ISNUMBER($B92)),"Missing date",IF($R92="","Unknown account",IF($D92="","Missing security",IF($S92="","Unknown security",IF($T92="","Unknown type",IF(AND($L92="",$I92&lt;&gt;"Bonus / Split"),"No amount",IF(N($L92)&lt;0,"Type a positive amount; the sign comes from the type",IF(N($M92)&lt;0,"Type charges as a positive amount",IF(N($B92)&gt;ValDate,"Date after valuation",IF(AND(N($B92)&gt;PrevDate,COUNTIFS(Holdings!$B$6:$B$205,$C92,Holdings!$C$6:$C$205,$D92)=0),"No holding row (needed for Period Change)","OK")))))))))))))</f>
        <v/>
      </c>
      <c r="R92" s="89" t="str">
        <f aca="false">IF($C92="","",IFERROR(MATCH($C92,Accounts!$A$6:$A$55,0),""))</f>
        <v/>
      </c>
      <c r="S92" s="89" t="str">
        <f aca="false">IF($D92="","",IFERROR(MATCH($D92,Securities!$A$6:$A$105,0),""))</f>
        <v/>
      </c>
      <c r="T92" s="89" t="str">
        <f aca="true">IF($I92="","",IFERROR(MATCH($I92,L_TxnType,0),""))</f>
        <v/>
      </c>
    </row>
    <row r="93" customFormat="false" ht="15" hidden="false" customHeight="false" outlineLevel="0" collapsed="false">
      <c r="A93" s="77"/>
      <c r="B93" s="80"/>
      <c r="C93" s="78"/>
      <c r="D93" s="78"/>
      <c r="E93" s="79" t="str">
        <f aca="false">IF($R93="","",INDEX(Accounts!$C$6:$C$55,$R93)&amp;"")</f>
        <v/>
      </c>
      <c r="F93" s="79" t="str">
        <f aca="false">IF($S93="","",INDEX(Securities!$B$6:$B$105,$S93)&amp;"")</f>
        <v/>
      </c>
      <c r="G93" s="79" t="str">
        <f aca="false">IF($S93="","",INDEX(Securities!$E$6:$E$105,$S93)&amp;"")</f>
        <v/>
      </c>
      <c r="H93" s="79" t="str">
        <f aca="false">IF($S93="","",INDEX(Securities!$F$6:$F$105,$S93)&amp;"")</f>
        <v/>
      </c>
      <c r="I93" s="78"/>
      <c r="J93" s="81"/>
      <c r="K93" s="94"/>
      <c r="L93" s="82"/>
      <c r="M93" s="82"/>
      <c r="N93" s="85" t="str">
        <f aca="true">IF(OR($I93="",$T93=""),"",INDEX(L_TxnSign,$T93)*N($L93)-N($M93))</f>
        <v/>
      </c>
      <c r="O93" s="79" t="str">
        <f aca="true">IF($T93="","",INDEX(L_TxnCounts,$T93)&amp;"")</f>
        <v/>
      </c>
      <c r="P93" s="78"/>
      <c r="Q93" s="79" t="str">
        <f aca="false">IF($A93&amp;$C93&amp;$D93&amp;$I93="","",IF($A93="","Missing ID",IF(COUNTIF($A$6:$A$305,$A93)&gt;1,"Duplicate ID",IF(NOT(ISNUMBER($B93)),"Missing date",IF($R93="","Unknown account",IF($D93="","Missing security",IF($S93="","Unknown security",IF($T93="","Unknown type",IF(AND($L93="",$I93&lt;&gt;"Bonus / Split"),"No amount",IF(N($L93)&lt;0,"Type a positive amount; the sign comes from the type",IF(N($M93)&lt;0,"Type charges as a positive amount",IF(N($B93)&gt;ValDate,"Date after valuation",IF(AND(N($B93)&gt;PrevDate,COUNTIFS(Holdings!$B$6:$B$205,$C93,Holdings!$C$6:$C$205,$D93)=0),"No holding row (needed for Period Change)","OK")))))))))))))</f>
        <v/>
      </c>
      <c r="R93" s="89" t="str">
        <f aca="false">IF($C93="","",IFERROR(MATCH($C93,Accounts!$A$6:$A$55,0),""))</f>
        <v/>
      </c>
      <c r="S93" s="89" t="str">
        <f aca="false">IF($D93="","",IFERROR(MATCH($D93,Securities!$A$6:$A$105,0),""))</f>
        <v/>
      </c>
      <c r="T93" s="89" t="str">
        <f aca="true">IF($I93="","",IFERROR(MATCH($I93,L_TxnType,0),""))</f>
        <v/>
      </c>
    </row>
    <row r="94" customFormat="false" ht="15" hidden="false" customHeight="false" outlineLevel="0" collapsed="false">
      <c r="A94" s="77"/>
      <c r="B94" s="80"/>
      <c r="C94" s="78"/>
      <c r="D94" s="78"/>
      <c r="E94" s="79" t="str">
        <f aca="false">IF($R94="","",INDEX(Accounts!$C$6:$C$55,$R94)&amp;"")</f>
        <v/>
      </c>
      <c r="F94" s="79" t="str">
        <f aca="false">IF($S94="","",INDEX(Securities!$B$6:$B$105,$S94)&amp;"")</f>
        <v/>
      </c>
      <c r="G94" s="79" t="str">
        <f aca="false">IF($S94="","",INDEX(Securities!$E$6:$E$105,$S94)&amp;"")</f>
        <v/>
      </c>
      <c r="H94" s="79" t="str">
        <f aca="false">IF($S94="","",INDEX(Securities!$F$6:$F$105,$S94)&amp;"")</f>
        <v/>
      </c>
      <c r="I94" s="78"/>
      <c r="J94" s="81"/>
      <c r="K94" s="94"/>
      <c r="L94" s="82"/>
      <c r="M94" s="82"/>
      <c r="N94" s="85" t="str">
        <f aca="true">IF(OR($I94="",$T94=""),"",INDEX(L_TxnSign,$T94)*N($L94)-N($M94))</f>
        <v/>
      </c>
      <c r="O94" s="79" t="str">
        <f aca="true">IF($T94="","",INDEX(L_TxnCounts,$T94)&amp;"")</f>
        <v/>
      </c>
      <c r="P94" s="78"/>
      <c r="Q94" s="79" t="str">
        <f aca="false">IF($A94&amp;$C94&amp;$D94&amp;$I94="","",IF($A94="","Missing ID",IF(COUNTIF($A$6:$A$305,$A94)&gt;1,"Duplicate ID",IF(NOT(ISNUMBER($B94)),"Missing date",IF($R94="","Unknown account",IF($D94="","Missing security",IF($S94="","Unknown security",IF($T94="","Unknown type",IF(AND($L94="",$I94&lt;&gt;"Bonus / Split"),"No amount",IF(N($L94)&lt;0,"Type a positive amount; the sign comes from the type",IF(N($M94)&lt;0,"Type charges as a positive amount",IF(N($B94)&gt;ValDate,"Date after valuation",IF(AND(N($B94)&gt;PrevDate,COUNTIFS(Holdings!$B$6:$B$205,$C94,Holdings!$C$6:$C$205,$D94)=0),"No holding row (needed for Period Change)","OK")))))))))))))</f>
        <v/>
      </c>
      <c r="R94" s="89" t="str">
        <f aca="false">IF($C94="","",IFERROR(MATCH($C94,Accounts!$A$6:$A$55,0),""))</f>
        <v/>
      </c>
      <c r="S94" s="89" t="str">
        <f aca="false">IF($D94="","",IFERROR(MATCH($D94,Securities!$A$6:$A$105,0),""))</f>
        <v/>
      </c>
      <c r="T94" s="89" t="str">
        <f aca="true">IF($I94="","",IFERROR(MATCH($I94,L_TxnType,0),""))</f>
        <v/>
      </c>
    </row>
    <row r="95" customFormat="false" ht="15" hidden="false" customHeight="false" outlineLevel="0" collapsed="false">
      <c r="A95" s="77"/>
      <c r="B95" s="80"/>
      <c r="C95" s="78"/>
      <c r="D95" s="78"/>
      <c r="E95" s="79" t="str">
        <f aca="false">IF($R95="","",INDEX(Accounts!$C$6:$C$55,$R95)&amp;"")</f>
        <v/>
      </c>
      <c r="F95" s="79" t="str">
        <f aca="false">IF($S95="","",INDEX(Securities!$B$6:$B$105,$S95)&amp;"")</f>
        <v/>
      </c>
      <c r="G95" s="79" t="str">
        <f aca="false">IF($S95="","",INDEX(Securities!$E$6:$E$105,$S95)&amp;"")</f>
        <v/>
      </c>
      <c r="H95" s="79" t="str">
        <f aca="false">IF($S95="","",INDEX(Securities!$F$6:$F$105,$S95)&amp;"")</f>
        <v/>
      </c>
      <c r="I95" s="78"/>
      <c r="J95" s="81"/>
      <c r="K95" s="94"/>
      <c r="L95" s="82"/>
      <c r="M95" s="82"/>
      <c r="N95" s="85" t="str">
        <f aca="true">IF(OR($I95="",$T95=""),"",INDEX(L_TxnSign,$T95)*N($L95)-N($M95))</f>
        <v/>
      </c>
      <c r="O95" s="79" t="str">
        <f aca="true">IF($T95="","",INDEX(L_TxnCounts,$T95)&amp;"")</f>
        <v/>
      </c>
      <c r="P95" s="78"/>
      <c r="Q95" s="79" t="str">
        <f aca="false">IF($A95&amp;$C95&amp;$D95&amp;$I95="","",IF($A95="","Missing ID",IF(COUNTIF($A$6:$A$305,$A95)&gt;1,"Duplicate ID",IF(NOT(ISNUMBER($B95)),"Missing date",IF($R95="","Unknown account",IF($D95="","Missing security",IF($S95="","Unknown security",IF($T95="","Unknown type",IF(AND($L95="",$I95&lt;&gt;"Bonus / Split"),"No amount",IF(N($L95)&lt;0,"Type a positive amount; the sign comes from the type",IF(N($M95)&lt;0,"Type charges as a positive amount",IF(N($B95)&gt;ValDate,"Date after valuation",IF(AND(N($B95)&gt;PrevDate,COUNTIFS(Holdings!$B$6:$B$205,$C95,Holdings!$C$6:$C$205,$D95)=0),"No holding row (needed for Period Change)","OK")))))))))))))</f>
        <v/>
      </c>
      <c r="R95" s="89" t="str">
        <f aca="false">IF($C95="","",IFERROR(MATCH($C95,Accounts!$A$6:$A$55,0),""))</f>
        <v/>
      </c>
      <c r="S95" s="89" t="str">
        <f aca="false">IF($D95="","",IFERROR(MATCH($D95,Securities!$A$6:$A$105,0),""))</f>
        <v/>
      </c>
      <c r="T95" s="89" t="str">
        <f aca="true">IF($I95="","",IFERROR(MATCH($I95,L_TxnType,0),""))</f>
        <v/>
      </c>
    </row>
    <row r="96" customFormat="false" ht="15" hidden="false" customHeight="false" outlineLevel="0" collapsed="false">
      <c r="A96" s="77"/>
      <c r="B96" s="80"/>
      <c r="C96" s="78"/>
      <c r="D96" s="78"/>
      <c r="E96" s="79" t="str">
        <f aca="false">IF($R96="","",INDEX(Accounts!$C$6:$C$55,$R96)&amp;"")</f>
        <v/>
      </c>
      <c r="F96" s="79" t="str">
        <f aca="false">IF($S96="","",INDEX(Securities!$B$6:$B$105,$S96)&amp;"")</f>
        <v/>
      </c>
      <c r="G96" s="79" t="str">
        <f aca="false">IF($S96="","",INDEX(Securities!$E$6:$E$105,$S96)&amp;"")</f>
        <v/>
      </c>
      <c r="H96" s="79" t="str">
        <f aca="false">IF($S96="","",INDEX(Securities!$F$6:$F$105,$S96)&amp;"")</f>
        <v/>
      </c>
      <c r="I96" s="78"/>
      <c r="J96" s="81"/>
      <c r="K96" s="94"/>
      <c r="L96" s="82"/>
      <c r="M96" s="82"/>
      <c r="N96" s="85" t="str">
        <f aca="true">IF(OR($I96="",$T96=""),"",INDEX(L_TxnSign,$T96)*N($L96)-N($M96))</f>
        <v/>
      </c>
      <c r="O96" s="79" t="str">
        <f aca="true">IF($T96="","",INDEX(L_TxnCounts,$T96)&amp;"")</f>
        <v/>
      </c>
      <c r="P96" s="78"/>
      <c r="Q96" s="79" t="str">
        <f aca="false">IF($A96&amp;$C96&amp;$D96&amp;$I96="","",IF($A96="","Missing ID",IF(COUNTIF($A$6:$A$305,$A96)&gt;1,"Duplicate ID",IF(NOT(ISNUMBER($B96)),"Missing date",IF($R96="","Unknown account",IF($D96="","Missing security",IF($S96="","Unknown security",IF($T96="","Unknown type",IF(AND($L96="",$I96&lt;&gt;"Bonus / Split"),"No amount",IF(N($L96)&lt;0,"Type a positive amount; the sign comes from the type",IF(N($M96)&lt;0,"Type charges as a positive amount",IF(N($B96)&gt;ValDate,"Date after valuation",IF(AND(N($B96)&gt;PrevDate,COUNTIFS(Holdings!$B$6:$B$205,$C96,Holdings!$C$6:$C$205,$D96)=0),"No holding row (needed for Period Change)","OK")))))))))))))</f>
        <v/>
      </c>
      <c r="R96" s="89" t="str">
        <f aca="false">IF($C96="","",IFERROR(MATCH($C96,Accounts!$A$6:$A$55,0),""))</f>
        <v/>
      </c>
      <c r="S96" s="89" t="str">
        <f aca="false">IF($D96="","",IFERROR(MATCH($D96,Securities!$A$6:$A$105,0),""))</f>
        <v/>
      </c>
      <c r="T96" s="89" t="str">
        <f aca="true">IF($I96="","",IFERROR(MATCH($I96,L_TxnType,0),""))</f>
        <v/>
      </c>
    </row>
    <row r="97" customFormat="false" ht="15" hidden="false" customHeight="false" outlineLevel="0" collapsed="false">
      <c r="A97" s="77"/>
      <c r="B97" s="80"/>
      <c r="C97" s="78"/>
      <c r="D97" s="78"/>
      <c r="E97" s="79" t="str">
        <f aca="false">IF($R97="","",INDEX(Accounts!$C$6:$C$55,$R97)&amp;"")</f>
        <v/>
      </c>
      <c r="F97" s="79" t="str">
        <f aca="false">IF($S97="","",INDEX(Securities!$B$6:$B$105,$S97)&amp;"")</f>
        <v/>
      </c>
      <c r="G97" s="79" t="str">
        <f aca="false">IF($S97="","",INDEX(Securities!$E$6:$E$105,$S97)&amp;"")</f>
        <v/>
      </c>
      <c r="H97" s="79" t="str">
        <f aca="false">IF($S97="","",INDEX(Securities!$F$6:$F$105,$S97)&amp;"")</f>
        <v/>
      </c>
      <c r="I97" s="78"/>
      <c r="J97" s="81"/>
      <c r="K97" s="94"/>
      <c r="L97" s="82"/>
      <c r="M97" s="82"/>
      <c r="N97" s="85" t="str">
        <f aca="true">IF(OR($I97="",$T97=""),"",INDEX(L_TxnSign,$T97)*N($L97)-N($M97))</f>
        <v/>
      </c>
      <c r="O97" s="79" t="str">
        <f aca="true">IF($T97="","",INDEX(L_TxnCounts,$T97)&amp;"")</f>
        <v/>
      </c>
      <c r="P97" s="78"/>
      <c r="Q97" s="79" t="str">
        <f aca="false">IF($A97&amp;$C97&amp;$D97&amp;$I97="","",IF($A97="","Missing ID",IF(COUNTIF($A$6:$A$305,$A97)&gt;1,"Duplicate ID",IF(NOT(ISNUMBER($B97)),"Missing date",IF($R97="","Unknown account",IF($D97="","Missing security",IF($S97="","Unknown security",IF($T97="","Unknown type",IF(AND($L97="",$I97&lt;&gt;"Bonus / Split"),"No amount",IF(N($L97)&lt;0,"Type a positive amount; the sign comes from the type",IF(N($M97)&lt;0,"Type charges as a positive amount",IF(N($B97)&gt;ValDate,"Date after valuation",IF(AND(N($B97)&gt;PrevDate,COUNTIFS(Holdings!$B$6:$B$205,$C97,Holdings!$C$6:$C$205,$D97)=0),"No holding row (needed for Period Change)","OK")))))))))))))</f>
        <v/>
      </c>
      <c r="R97" s="89" t="str">
        <f aca="false">IF($C97="","",IFERROR(MATCH($C97,Accounts!$A$6:$A$55,0),""))</f>
        <v/>
      </c>
      <c r="S97" s="89" t="str">
        <f aca="false">IF($D97="","",IFERROR(MATCH($D97,Securities!$A$6:$A$105,0),""))</f>
        <v/>
      </c>
      <c r="T97" s="89" t="str">
        <f aca="true">IF($I97="","",IFERROR(MATCH($I97,L_TxnType,0),""))</f>
        <v/>
      </c>
    </row>
    <row r="98" customFormat="false" ht="15" hidden="false" customHeight="false" outlineLevel="0" collapsed="false">
      <c r="A98" s="77"/>
      <c r="B98" s="80"/>
      <c r="C98" s="78"/>
      <c r="D98" s="78"/>
      <c r="E98" s="79" t="str">
        <f aca="false">IF($R98="","",INDEX(Accounts!$C$6:$C$55,$R98)&amp;"")</f>
        <v/>
      </c>
      <c r="F98" s="79" t="str">
        <f aca="false">IF($S98="","",INDEX(Securities!$B$6:$B$105,$S98)&amp;"")</f>
        <v/>
      </c>
      <c r="G98" s="79" t="str">
        <f aca="false">IF($S98="","",INDEX(Securities!$E$6:$E$105,$S98)&amp;"")</f>
        <v/>
      </c>
      <c r="H98" s="79" t="str">
        <f aca="false">IF($S98="","",INDEX(Securities!$F$6:$F$105,$S98)&amp;"")</f>
        <v/>
      </c>
      <c r="I98" s="78"/>
      <c r="J98" s="81"/>
      <c r="K98" s="94"/>
      <c r="L98" s="82"/>
      <c r="M98" s="82"/>
      <c r="N98" s="85" t="str">
        <f aca="true">IF(OR($I98="",$T98=""),"",INDEX(L_TxnSign,$T98)*N($L98)-N($M98))</f>
        <v/>
      </c>
      <c r="O98" s="79" t="str">
        <f aca="true">IF($T98="","",INDEX(L_TxnCounts,$T98)&amp;"")</f>
        <v/>
      </c>
      <c r="P98" s="78"/>
      <c r="Q98" s="79" t="str">
        <f aca="false">IF($A98&amp;$C98&amp;$D98&amp;$I98="","",IF($A98="","Missing ID",IF(COUNTIF($A$6:$A$305,$A98)&gt;1,"Duplicate ID",IF(NOT(ISNUMBER($B98)),"Missing date",IF($R98="","Unknown account",IF($D98="","Missing security",IF($S98="","Unknown security",IF($T98="","Unknown type",IF(AND($L98="",$I98&lt;&gt;"Bonus / Split"),"No amount",IF(N($L98)&lt;0,"Type a positive amount; the sign comes from the type",IF(N($M98)&lt;0,"Type charges as a positive amount",IF(N($B98)&gt;ValDate,"Date after valuation",IF(AND(N($B98)&gt;PrevDate,COUNTIFS(Holdings!$B$6:$B$205,$C98,Holdings!$C$6:$C$205,$D98)=0),"No holding row (needed for Period Change)","OK")))))))))))))</f>
        <v/>
      </c>
      <c r="R98" s="89" t="str">
        <f aca="false">IF($C98="","",IFERROR(MATCH($C98,Accounts!$A$6:$A$55,0),""))</f>
        <v/>
      </c>
      <c r="S98" s="89" t="str">
        <f aca="false">IF($D98="","",IFERROR(MATCH($D98,Securities!$A$6:$A$105,0),""))</f>
        <v/>
      </c>
      <c r="T98" s="89" t="str">
        <f aca="true">IF($I98="","",IFERROR(MATCH($I98,L_TxnType,0),""))</f>
        <v/>
      </c>
    </row>
    <row r="99" customFormat="false" ht="15" hidden="false" customHeight="false" outlineLevel="0" collapsed="false">
      <c r="A99" s="77"/>
      <c r="B99" s="80"/>
      <c r="C99" s="78"/>
      <c r="D99" s="78"/>
      <c r="E99" s="79" t="str">
        <f aca="false">IF($R99="","",INDEX(Accounts!$C$6:$C$55,$R99)&amp;"")</f>
        <v/>
      </c>
      <c r="F99" s="79" t="str">
        <f aca="false">IF($S99="","",INDEX(Securities!$B$6:$B$105,$S99)&amp;"")</f>
        <v/>
      </c>
      <c r="G99" s="79" t="str">
        <f aca="false">IF($S99="","",INDEX(Securities!$E$6:$E$105,$S99)&amp;"")</f>
        <v/>
      </c>
      <c r="H99" s="79" t="str">
        <f aca="false">IF($S99="","",INDEX(Securities!$F$6:$F$105,$S99)&amp;"")</f>
        <v/>
      </c>
      <c r="I99" s="78"/>
      <c r="J99" s="81"/>
      <c r="K99" s="94"/>
      <c r="L99" s="82"/>
      <c r="M99" s="82"/>
      <c r="N99" s="85" t="str">
        <f aca="true">IF(OR($I99="",$T99=""),"",INDEX(L_TxnSign,$T99)*N($L99)-N($M99))</f>
        <v/>
      </c>
      <c r="O99" s="79" t="str">
        <f aca="true">IF($T99="","",INDEX(L_TxnCounts,$T99)&amp;"")</f>
        <v/>
      </c>
      <c r="P99" s="78"/>
      <c r="Q99" s="79" t="str">
        <f aca="false">IF($A99&amp;$C99&amp;$D99&amp;$I99="","",IF($A99="","Missing ID",IF(COUNTIF($A$6:$A$305,$A99)&gt;1,"Duplicate ID",IF(NOT(ISNUMBER($B99)),"Missing date",IF($R99="","Unknown account",IF($D99="","Missing security",IF($S99="","Unknown security",IF($T99="","Unknown type",IF(AND($L99="",$I99&lt;&gt;"Bonus / Split"),"No amount",IF(N($L99)&lt;0,"Type a positive amount; the sign comes from the type",IF(N($M99)&lt;0,"Type charges as a positive amount",IF(N($B99)&gt;ValDate,"Date after valuation",IF(AND(N($B99)&gt;PrevDate,COUNTIFS(Holdings!$B$6:$B$205,$C99,Holdings!$C$6:$C$205,$D99)=0),"No holding row (needed for Period Change)","OK")))))))))))))</f>
        <v/>
      </c>
      <c r="R99" s="89" t="str">
        <f aca="false">IF($C99="","",IFERROR(MATCH($C99,Accounts!$A$6:$A$55,0),""))</f>
        <v/>
      </c>
      <c r="S99" s="89" t="str">
        <f aca="false">IF($D99="","",IFERROR(MATCH($D99,Securities!$A$6:$A$105,0),""))</f>
        <v/>
      </c>
      <c r="T99" s="89" t="str">
        <f aca="true">IF($I99="","",IFERROR(MATCH($I99,L_TxnType,0),""))</f>
        <v/>
      </c>
    </row>
    <row r="100" customFormat="false" ht="15" hidden="false" customHeight="false" outlineLevel="0" collapsed="false">
      <c r="A100" s="77"/>
      <c r="B100" s="80"/>
      <c r="C100" s="78"/>
      <c r="D100" s="78"/>
      <c r="E100" s="79" t="str">
        <f aca="false">IF($R100="","",INDEX(Accounts!$C$6:$C$55,$R100)&amp;"")</f>
        <v/>
      </c>
      <c r="F100" s="79" t="str">
        <f aca="false">IF($S100="","",INDEX(Securities!$B$6:$B$105,$S100)&amp;"")</f>
        <v/>
      </c>
      <c r="G100" s="79" t="str">
        <f aca="false">IF($S100="","",INDEX(Securities!$E$6:$E$105,$S100)&amp;"")</f>
        <v/>
      </c>
      <c r="H100" s="79" t="str">
        <f aca="false">IF($S100="","",INDEX(Securities!$F$6:$F$105,$S100)&amp;"")</f>
        <v/>
      </c>
      <c r="I100" s="78"/>
      <c r="J100" s="81"/>
      <c r="K100" s="94"/>
      <c r="L100" s="82"/>
      <c r="M100" s="82"/>
      <c r="N100" s="85" t="str">
        <f aca="true">IF(OR($I100="",$T100=""),"",INDEX(L_TxnSign,$T100)*N($L100)-N($M100))</f>
        <v/>
      </c>
      <c r="O100" s="79" t="str">
        <f aca="true">IF($T100="","",INDEX(L_TxnCounts,$T100)&amp;"")</f>
        <v/>
      </c>
      <c r="P100" s="78"/>
      <c r="Q100" s="79" t="str">
        <f aca="false">IF($A100&amp;$C100&amp;$D100&amp;$I100="","",IF($A100="","Missing ID",IF(COUNTIF($A$6:$A$305,$A100)&gt;1,"Duplicate ID",IF(NOT(ISNUMBER($B100)),"Missing date",IF($R100="","Unknown account",IF($D100="","Missing security",IF($S100="","Unknown security",IF($T100="","Unknown type",IF(AND($L100="",$I100&lt;&gt;"Bonus / Split"),"No amount",IF(N($L100)&lt;0,"Type a positive amount; the sign comes from the type",IF(N($M100)&lt;0,"Type charges as a positive amount",IF(N($B100)&gt;ValDate,"Date after valuation",IF(AND(N($B100)&gt;PrevDate,COUNTIFS(Holdings!$B$6:$B$205,$C100,Holdings!$C$6:$C$205,$D100)=0),"No holding row (needed for Period Change)","OK")))))))))))))</f>
        <v/>
      </c>
      <c r="R100" s="89" t="str">
        <f aca="false">IF($C100="","",IFERROR(MATCH($C100,Accounts!$A$6:$A$55,0),""))</f>
        <v/>
      </c>
      <c r="S100" s="89" t="str">
        <f aca="false">IF($D100="","",IFERROR(MATCH($D100,Securities!$A$6:$A$105,0),""))</f>
        <v/>
      </c>
      <c r="T100" s="89" t="str">
        <f aca="true">IF($I100="","",IFERROR(MATCH($I100,L_TxnType,0),""))</f>
        <v/>
      </c>
    </row>
    <row r="101" customFormat="false" ht="15" hidden="false" customHeight="false" outlineLevel="0" collapsed="false">
      <c r="A101" s="77"/>
      <c r="B101" s="80"/>
      <c r="C101" s="78"/>
      <c r="D101" s="78"/>
      <c r="E101" s="79" t="str">
        <f aca="false">IF($R101="","",INDEX(Accounts!$C$6:$C$55,$R101)&amp;"")</f>
        <v/>
      </c>
      <c r="F101" s="79" t="str">
        <f aca="false">IF($S101="","",INDEX(Securities!$B$6:$B$105,$S101)&amp;"")</f>
        <v/>
      </c>
      <c r="G101" s="79" t="str">
        <f aca="false">IF($S101="","",INDEX(Securities!$E$6:$E$105,$S101)&amp;"")</f>
        <v/>
      </c>
      <c r="H101" s="79" t="str">
        <f aca="false">IF($S101="","",INDEX(Securities!$F$6:$F$105,$S101)&amp;"")</f>
        <v/>
      </c>
      <c r="I101" s="78"/>
      <c r="J101" s="81"/>
      <c r="K101" s="94"/>
      <c r="L101" s="82"/>
      <c r="M101" s="82"/>
      <c r="N101" s="85" t="str">
        <f aca="true">IF(OR($I101="",$T101=""),"",INDEX(L_TxnSign,$T101)*N($L101)-N($M101))</f>
        <v/>
      </c>
      <c r="O101" s="79" t="str">
        <f aca="true">IF($T101="","",INDEX(L_TxnCounts,$T101)&amp;"")</f>
        <v/>
      </c>
      <c r="P101" s="78"/>
      <c r="Q101" s="79" t="str">
        <f aca="false">IF($A101&amp;$C101&amp;$D101&amp;$I101="","",IF($A101="","Missing ID",IF(COUNTIF($A$6:$A$305,$A101)&gt;1,"Duplicate ID",IF(NOT(ISNUMBER($B101)),"Missing date",IF($R101="","Unknown account",IF($D101="","Missing security",IF($S101="","Unknown security",IF($T101="","Unknown type",IF(AND($L101="",$I101&lt;&gt;"Bonus / Split"),"No amount",IF(N($L101)&lt;0,"Type a positive amount; the sign comes from the type",IF(N($M101)&lt;0,"Type charges as a positive amount",IF(N($B101)&gt;ValDate,"Date after valuation",IF(AND(N($B101)&gt;PrevDate,COUNTIFS(Holdings!$B$6:$B$205,$C101,Holdings!$C$6:$C$205,$D101)=0),"No holding row (needed for Period Change)","OK")))))))))))))</f>
        <v/>
      </c>
      <c r="R101" s="89" t="str">
        <f aca="false">IF($C101="","",IFERROR(MATCH($C101,Accounts!$A$6:$A$55,0),""))</f>
        <v/>
      </c>
      <c r="S101" s="89" t="str">
        <f aca="false">IF($D101="","",IFERROR(MATCH($D101,Securities!$A$6:$A$105,0),""))</f>
        <v/>
      </c>
      <c r="T101" s="89" t="str">
        <f aca="true">IF($I101="","",IFERROR(MATCH($I101,L_TxnType,0),""))</f>
        <v/>
      </c>
    </row>
    <row r="102" customFormat="false" ht="15" hidden="false" customHeight="false" outlineLevel="0" collapsed="false">
      <c r="A102" s="77"/>
      <c r="B102" s="80"/>
      <c r="C102" s="78"/>
      <c r="D102" s="78"/>
      <c r="E102" s="79" t="str">
        <f aca="false">IF($R102="","",INDEX(Accounts!$C$6:$C$55,$R102)&amp;"")</f>
        <v/>
      </c>
      <c r="F102" s="79" t="str">
        <f aca="false">IF($S102="","",INDEX(Securities!$B$6:$B$105,$S102)&amp;"")</f>
        <v/>
      </c>
      <c r="G102" s="79" t="str">
        <f aca="false">IF($S102="","",INDEX(Securities!$E$6:$E$105,$S102)&amp;"")</f>
        <v/>
      </c>
      <c r="H102" s="79" t="str">
        <f aca="false">IF($S102="","",INDEX(Securities!$F$6:$F$105,$S102)&amp;"")</f>
        <v/>
      </c>
      <c r="I102" s="78"/>
      <c r="J102" s="81"/>
      <c r="K102" s="94"/>
      <c r="L102" s="82"/>
      <c r="M102" s="82"/>
      <c r="N102" s="85" t="str">
        <f aca="true">IF(OR($I102="",$T102=""),"",INDEX(L_TxnSign,$T102)*N($L102)-N($M102))</f>
        <v/>
      </c>
      <c r="O102" s="79" t="str">
        <f aca="true">IF($T102="","",INDEX(L_TxnCounts,$T102)&amp;"")</f>
        <v/>
      </c>
      <c r="P102" s="78"/>
      <c r="Q102" s="79" t="str">
        <f aca="false">IF($A102&amp;$C102&amp;$D102&amp;$I102="","",IF($A102="","Missing ID",IF(COUNTIF($A$6:$A$305,$A102)&gt;1,"Duplicate ID",IF(NOT(ISNUMBER($B102)),"Missing date",IF($R102="","Unknown account",IF($D102="","Missing security",IF($S102="","Unknown security",IF($T102="","Unknown type",IF(AND($L102="",$I102&lt;&gt;"Bonus / Split"),"No amount",IF(N($L102)&lt;0,"Type a positive amount; the sign comes from the type",IF(N($M102)&lt;0,"Type charges as a positive amount",IF(N($B102)&gt;ValDate,"Date after valuation",IF(AND(N($B102)&gt;PrevDate,COUNTIFS(Holdings!$B$6:$B$205,$C102,Holdings!$C$6:$C$205,$D102)=0),"No holding row (needed for Period Change)","OK")))))))))))))</f>
        <v/>
      </c>
      <c r="R102" s="89" t="str">
        <f aca="false">IF($C102="","",IFERROR(MATCH($C102,Accounts!$A$6:$A$55,0),""))</f>
        <v/>
      </c>
      <c r="S102" s="89" t="str">
        <f aca="false">IF($D102="","",IFERROR(MATCH($D102,Securities!$A$6:$A$105,0),""))</f>
        <v/>
      </c>
      <c r="T102" s="89" t="str">
        <f aca="true">IF($I102="","",IFERROR(MATCH($I102,L_TxnType,0),""))</f>
        <v/>
      </c>
    </row>
    <row r="103" customFormat="false" ht="15" hidden="false" customHeight="false" outlineLevel="0" collapsed="false">
      <c r="A103" s="77"/>
      <c r="B103" s="80"/>
      <c r="C103" s="78"/>
      <c r="D103" s="78"/>
      <c r="E103" s="79" t="str">
        <f aca="false">IF($R103="","",INDEX(Accounts!$C$6:$C$55,$R103)&amp;"")</f>
        <v/>
      </c>
      <c r="F103" s="79" t="str">
        <f aca="false">IF($S103="","",INDEX(Securities!$B$6:$B$105,$S103)&amp;"")</f>
        <v/>
      </c>
      <c r="G103" s="79" t="str">
        <f aca="false">IF($S103="","",INDEX(Securities!$E$6:$E$105,$S103)&amp;"")</f>
        <v/>
      </c>
      <c r="H103" s="79" t="str">
        <f aca="false">IF($S103="","",INDEX(Securities!$F$6:$F$105,$S103)&amp;"")</f>
        <v/>
      </c>
      <c r="I103" s="78"/>
      <c r="J103" s="81"/>
      <c r="K103" s="94"/>
      <c r="L103" s="82"/>
      <c r="M103" s="82"/>
      <c r="N103" s="85" t="str">
        <f aca="true">IF(OR($I103="",$T103=""),"",INDEX(L_TxnSign,$T103)*N($L103)-N($M103))</f>
        <v/>
      </c>
      <c r="O103" s="79" t="str">
        <f aca="true">IF($T103="","",INDEX(L_TxnCounts,$T103)&amp;"")</f>
        <v/>
      </c>
      <c r="P103" s="78"/>
      <c r="Q103" s="79" t="str">
        <f aca="false">IF($A103&amp;$C103&amp;$D103&amp;$I103="","",IF($A103="","Missing ID",IF(COUNTIF($A$6:$A$305,$A103)&gt;1,"Duplicate ID",IF(NOT(ISNUMBER($B103)),"Missing date",IF($R103="","Unknown account",IF($D103="","Missing security",IF($S103="","Unknown security",IF($T103="","Unknown type",IF(AND($L103="",$I103&lt;&gt;"Bonus / Split"),"No amount",IF(N($L103)&lt;0,"Type a positive amount; the sign comes from the type",IF(N($M103)&lt;0,"Type charges as a positive amount",IF(N($B103)&gt;ValDate,"Date after valuation",IF(AND(N($B103)&gt;PrevDate,COUNTIFS(Holdings!$B$6:$B$205,$C103,Holdings!$C$6:$C$205,$D103)=0),"No holding row (needed for Period Change)","OK")))))))))))))</f>
        <v/>
      </c>
      <c r="R103" s="89" t="str">
        <f aca="false">IF($C103="","",IFERROR(MATCH($C103,Accounts!$A$6:$A$55,0),""))</f>
        <v/>
      </c>
      <c r="S103" s="89" t="str">
        <f aca="false">IF($D103="","",IFERROR(MATCH($D103,Securities!$A$6:$A$105,0),""))</f>
        <v/>
      </c>
      <c r="T103" s="89" t="str">
        <f aca="true">IF($I103="","",IFERROR(MATCH($I103,L_TxnType,0),""))</f>
        <v/>
      </c>
    </row>
    <row r="104" customFormat="false" ht="15" hidden="false" customHeight="false" outlineLevel="0" collapsed="false">
      <c r="A104" s="77"/>
      <c r="B104" s="80"/>
      <c r="C104" s="78"/>
      <c r="D104" s="78"/>
      <c r="E104" s="79" t="str">
        <f aca="false">IF($R104="","",INDEX(Accounts!$C$6:$C$55,$R104)&amp;"")</f>
        <v/>
      </c>
      <c r="F104" s="79" t="str">
        <f aca="false">IF($S104="","",INDEX(Securities!$B$6:$B$105,$S104)&amp;"")</f>
        <v/>
      </c>
      <c r="G104" s="79" t="str">
        <f aca="false">IF($S104="","",INDEX(Securities!$E$6:$E$105,$S104)&amp;"")</f>
        <v/>
      </c>
      <c r="H104" s="79" t="str">
        <f aca="false">IF($S104="","",INDEX(Securities!$F$6:$F$105,$S104)&amp;"")</f>
        <v/>
      </c>
      <c r="I104" s="78"/>
      <c r="J104" s="81"/>
      <c r="K104" s="94"/>
      <c r="L104" s="82"/>
      <c r="M104" s="82"/>
      <c r="N104" s="85" t="str">
        <f aca="true">IF(OR($I104="",$T104=""),"",INDEX(L_TxnSign,$T104)*N($L104)-N($M104))</f>
        <v/>
      </c>
      <c r="O104" s="79" t="str">
        <f aca="true">IF($T104="","",INDEX(L_TxnCounts,$T104)&amp;"")</f>
        <v/>
      </c>
      <c r="P104" s="78"/>
      <c r="Q104" s="79" t="str">
        <f aca="false">IF($A104&amp;$C104&amp;$D104&amp;$I104="","",IF($A104="","Missing ID",IF(COUNTIF($A$6:$A$305,$A104)&gt;1,"Duplicate ID",IF(NOT(ISNUMBER($B104)),"Missing date",IF($R104="","Unknown account",IF($D104="","Missing security",IF($S104="","Unknown security",IF($T104="","Unknown type",IF(AND($L104="",$I104&lt;&gt;"Bonus / Split"),"No amount",IF(N($L104)&lt;0,"Type a positive amount; the sign comes from the type",IF(N($M104)&lt;0,"Type charges as a positive amount",IF(N($B104)&gt;ValDate,"Date after valuation",IF(AND(N($B104)&gt;PrevDate,COUNTIFS(Holdings!$B$6:$B$205,$C104,Holdings!$C$6:$C$205,$D104)=0),"No holding row (needed for Period Change)","OK")))))))))))))</f>
        <v/>
      </c>
      <c r="R104" s="89" t="str">
        <f aca="false">IF($C104="","",IFERROR(MATCH($C104,Accounts!$A$6:$A$55,0),""))</f>
        <v/>
      </c>
      <c r="S104" s="89" t="str">
        <f aca="false">IF($D104="","",IFERROR(MATCH($D104,Securities!$A$6:$A$105,0),""))</f>
        <v/>
      </c>
      <c r="T104" s="89" t="str">
        <f aca="true">IF($I104="","",IFERROR(MATCH($I104,L_TxnType,0),""))</f>
        <v/>
      </c>
    </row>
    <row r="105" customFormat="false" ht="15" hidden="false" customHeight="false" outlineLevel="0" collapsed="false">
      <c r="A105" s="77"/>
      <c r="B105" s="80"/>
      <c r="C105" s="78"/>
      <c r="D105" s="78"/>
      <c r="E105" s="79" t="str">
        <f aca="false">IF($R105="","",INDEX(Accounts!$C$6:$C$55,$R105)&amp;"")</f>
        <v/>
      </c>
      <c r="F105" s="79" t="str">
        <f aca="false">IF($S105="","",INDEX(Securities!$B$6:$B$105,$S105)&amp;"")</f>
        <v/>
      </c>
      <c r="G105" s="79" t="str">
        <f aca="false">IF($S105="","",INDEX(Securities!$E$6:$E$105,$S105)&amp;"")</f>
        <v/>
      </c>
      <c r="H105" s="79" t="str">
        <f aca="false">IF($S105="","",INDEX(Securities!$F$6:$F$105,$S105)&amp;"")</f>
        <v/>
      </c>
      <c r="I105" s="78"/>
      <c r="J105" s="81"/>
      <c r="K105" s="94"/>
      <c r="L105" s="82"/>
      <c r="M105" s="82"/>
      <c r="N105" s="85" t="str">
        <f aca="true">IF(OR($I105="",$T105=""),"",INDEX(L_TxnSign,$T105)*N($L105)-N($M105))</f>
        <v/>
      </c>
      <c r="O105" s="79" t="str">
        <f aca="true">IF($T105="","",INDEX(L_TxnCounts,$T105)&amp;"")</f>
        <v/>
      </c>
      <c r="P105" s="78"/>
      <c r="Q105" s="79" t="str">
        <f aca="false">IF($A105&amp;$C105&amp;$D105&amp;$I105="","",IF($A105="","Missing ID",IF(COUNTIF($A$6:$A$305,$A105)&gt;1,"Duplicate ID",IF(NOT(ISNUMBER($B105)),"Missing date",IF($R105="","Unknown account",IF($D105="","Missing security",IF($S105="","Unknown security",IF($T105="","Unknown type",IF(AND($L105="",$I105&lt;&gt;"Bonus / Split"),"No amount",IF(N($L105)&lt;0,"Type a positive amount; the sign comes from the type",IF(N($M105)&lt;0,"Type charges as a positive amount",IF(N($B105)&gt;ValDate,"Date after valuation",IF(AND(N($B105)&gt;PrevDate,COUNTIFS(Holdings!$B$6:$B$205,$C105,Holdings!$C$6:$C$205,$D105)=0),"No holding row (needed for Period Change)","OK")))))))))))))</f>
        <v/>
      </c>
      <c r="R105" s="89" t="str">
        <f aca="false">IF($C105="","",IFERROR(MATCH($C105,Accounts!$A$6:$A$55,0),""))</f>
        <v/>
      </c>
      <c r="S105" s="89" t="str">
        <f aca="false">IF($D105="","",IFERROR(MATCH($D105,Securities!$A$6:$A$105,0),""))</f>
        <v/>
      </c>
      <c r="T105" s="89" t="str">
        <f aca="true">IF($I105="","",IFERROR(MATCH($I105,L_TxnType,0),""))</f>
        <v/>
      </c>
    </row>
    <row r="106" customFormat="false" ht="15" hidden="false" customHeight="false" outlineLevel="0" collapsed="false">
      <c r="A106" s="77"/>
      <c r="B106" s="80"/>
      <c r="C106" s="78"/>
      <c r="D106" s="78"/>
      <c r="E106" s="79" t="str">
        <f aca="false">IF($R106="","",INDEX(Accounts!$C$6:$C$55,$R106)&amp;"")</f>
        <v/>
      </c>
      <c r="F106" s="79" t="str">
        <f aca="false">IF($S106="","",INDEX(Securities!$B$6:$B$105,$S106)&amp;"")</f>
        <v/>
      </c>
      <c r="G106" s="79" t="str">
        <f aca="false">IF($S106="","",INDEX(Securities!$E$6:$E$105,$S106)&amp;"")</f>
        <v/>
      </c>
      <c r="H106" s="79" t="str">
        <f aca="false">IF($S106="","",INDEX(Securities!$F$6:$F$105,$S106)&amp;"")</f>
        <v/>
      </c>
      <c r="I106" s="78"/>
      <c r="J106" s="81"/>
      <c r="K106" s="94"/>
      <c r="L106" s="82"/>
      <c r="M106" s="82"/>
      <c r="N106" s="85" t="str">
        <f aca="true">IF(OR($I106="",$T106=""),"",INDEX(L_TxnSign,$T106)*N($L106)-N($M106))</f>
        <v/>
      </c>
      <c r="O106" s="79" t="str">
        <f aca="true">IF($T106="","",INDEX(L_TxnCounts,$T106)&amp;"")</f>
        <v/>
      </c>
      <c r="P106" s="78"/>
      <c r="Q106" s="79" t="str">
        <f aca="false">IF($A106&amp;$C106&amp;$D106&amp;$I106="","",IF($A106="","Missing ID",IF(COUNTIF($A$6:$A$305,$A106)&gt;1,"Duplicate ID",IF(NOT(ISNUMBER($B106)),"Missing date",IF($R106="","Unknown account",IF($D106="","Missing security",IF($S106="","Unknown security",IF($T106="","Unknown type",IF(AND($L106="",$I106&lt;&gt;"Bonus / Split"),"No amount",IF(N($L106)&lt;0,"Type a positive amount; the sign comes from the type",IF(N($M106)&lt;0,"Type charges as a positive amount",IF(N($B106)&gt;ValDate,"Date after valuation",IF(AND(N($B106)&gt;PrevDate,COUNTIFS(Holdings!$B$6:$B$205,$C106,Holdings!$C$6:$C$205,$D106)=0),"No holding row (needed for Period Change)","OK")))))))))))))</f>
        <v/>
      </c>
      <c r="R106" s="89" t="str">
        <f aca="false">IF($C106="","",IFERROR(MATCH($C106,Accounts!$A$6:$A$55,0),""))</f>
        <v/>
      </c>
      <c r="S106" s="89" t="str">
        <f aca="false">IF($D106="","",IFERROR(MATCH($D106,Securities!$A$6:$A$105,0),""))</f>
        <v/>
      </c>
      <c r="T106" s="89" t="str">
        <f aca="true">IF($I106="","",IFERROR(MATCH($I106,L_TxnType,0),""))</f>
        <v/>
      </c>
    </row>
    <row r="107" customFormat="false" ht="15" hidden="false" customHeight="false" outlineLevel="0" collapsed="false">
      <c r="A107" s="77"/>
      <c r="B107" s="80"/>
      <c r="C107" s="78"/>
      <c r="D107" s="78"/>
      <c r="E107" s="79" t="str">
        <f aca="false">IF($R107="","",INDEX(Accounts!$C$6:$C$55,$R107)&amp;"")</f>
        <v/>
      </c>
      <c r="F107" s="79" t="str">
        <f aca="false">IF($S107="","",INDEX(Securities!$B$6:$B$105,$S107)&amp;"")</f>
        <v/>
      </c>
      <c r="G107" s="79" t="str">
        <f aca="false">IF($S107="","",INDEX(Securities!$E$6:$E$105,$S107)&amp;"")</f>
        <v/>
      </c>
      <c r="H107" s="79" t="str">
        <f aca="false">IF($S107="","",INDEX(Securities!$F$6:$F$105,$S107)&amp;"")</f>
        <v/>
      </c>
      <c r="I107" s="78"/>
      <c r="J107" s="81"/>
      <c r="K107" s="94"/>
      <c r="L107" s="82"/>
      <c r="M107" s="82"/>
      <c r="N107" s="85" t="str">
        <f aca="true">IF(OR($I107="",$T107=""),"",INDEX(L_TxnSign,$T107)*N($L107)-N($M107))</f>
        <v/>
      </c>
      <c r="O107" s="79" t="str">
        <f aca="true">IF($T107="","",INDEX(L_TxnCounts,$T107)&amp;"")</f>
        <v/>
      </c>
      <c r="P107" s="78"/>
      <c r="Q107" s="79" t="str">
        <f aca="false">IF($A107&amp;$C107&amp;$D107&amp;$I107="","",IF($A107="","Missing ID",IF(COUNTIF($A$6:$A$305,$A107)&gt;1,"Duplicate ID",IF(NOT(ISNUMBER($B107)),"Missing date",IF($R107="","Unknown account",IF($D107="","Missing security",IF($S107="","Unknown security",IF($T107="","Unknown type",IF(AND($L107="",$I107&lt;&gt;"Bonus / Split"),"No amount",IF(N($L107)&lt;0,"Type a positive amount; the sign comes from the type",IF(N($M107)&lt;0,"Type charges as a positive amount",IF(N($B107)&gt;ValDate,"Date after valuation",IF(AND(N($B107)&gt;PrevDate,COUNTIFS(Holdings!$B$6:$B$205,$C107,Holdings!$C$6:$C$205,$D107)=0),"No holding row (needed for Period Change)","OK")))))))))))))</f>
        <v/>
      </c>
      <c r="R107" s="89" t="str">
        <f aca="false">IF($C107="","",IFERROR(MATCH($C107,Accounts!$A$6:$A$55,0),""))</f>
        <v/>
      </c>
      <c r="S107" s="89" t="str">
        <f aca="false">IF($D107="","",IFERROR(MATCH($D107,Securities!$A$6:$A$105,0),""))</f>
        <v/>
      </c>
      <c r="T107" s="89" t="str">
        <f aca="true">IF($I107="","",IFERROR(MATCH($I107,L_TxnType,0),""))</f>
        <v/>
      </c>
    </row>
    <row r="108" customFormat="false" ht="15" hidden="false" customHeight="false" outlineLevel="0" collapsed="false">
      <c r="A108" s="77"/>
      <c r="B108" s="80"/>
      <c r="C108" s="78"/>
      <c r="D108" s="78"/>
      <c r="E108" s="79" t="str">
        <f aca="false">IF($R108="","",INDEX(Accounts!$C$6:$C$55,$R108)&amp;"")</f>
        <v/>
      </c>
      <c r="F108" s="79" t="str">
        <f aca="false">IF($S108="","",INDEX(Securities!$B$6:$B$105,$S108)&amp;"")</f>
        <v/>
      </c>
      <c r="G108" s="79" t="str">
        <f aca="false">IF($S108="","",INDEX(Securities!$E$6:$E$105,$S108)&amp;"")</f>
        <v/>
      </c>
      <c r="H108" s="79" t="str">
        <f aca="false">IF($S108="","",INDEX(Securities!$F$6:$F$105,$S108)&amp;"")</f>
        <v/>
      </c>
      <c r="I108" s="78"/>
      <c r="J108" s="81"/>
      <c r="K108" s="94"/>
      <c r="L108" s="82"/>
      <c r="M108" s="82"/>
      <c r="N108" s="85" t="str">
        <f aca="true">IF(OR($I108="",$T108=""),"",INDEX(L_TxnSign,$T108)*N($L108)-N($M108))</f>
        <v/>
      </c>
      <c r="O108" s="79" t="str">
        <f aca="true">IF($T108="","",INDEX(L_TxnCounts,$T108)&amp;"")</f>
        <v/>
      </c>
      <c r="P108" s="78"/>
      <c r="Q108" s="79" t="str">
        <f aca="false">IF($A108&amp;$C108&amp;$D108&amp;$I108="","",IF($A108="","Missing ID",IF(COUNTIF($A$6:$A$305,$A108)&gt;1,"Duplicate ID",IF(NOT(ISNUMBER($B108)),"Missing date",IF($R108="","Unknown account",IF($D108="","Missing security",IF($S108="","Unknown security",IF($T108="","Unknown type",IF(AND($L108="",$I108&lt;&gt;"Bonus / Split"),"No amount",IF(N($L108)&lt;0,"Type a positive amount; the sign comes from the type",IF(N($M108)&lt;0,"Type charges as a positive amount",IF(N($B108)&gt;ValDate,"Date after valuation",IF(AND(N($B108)&gt;PrevDate,COUNTIFS(Holdings!$B$6:$B$205,$C108,Holdings!$C$6:$C$205,$D108)=0),"No holding row (needed for Period Change)","OK")))))))))))))</f>
        <v/>
      </c>
      <c r="R108" s="89" t="str">
        <f aca="false">IF($C108="","",IFERROR(MATCH($C108,Accounts!$A$6:$A$55,0),""))</f>
        <v/>
      </c>
      <c r="S108" s="89" t="str">
        <f aca="false">IF($D108="","",IFERROR(MATCH($D108,Securities!$A$6:$A$105,0),""))</f>
        <v/>
      </c>
      <c r="T108" s="89" t="str">
        <f aca="true">IF($I108="","",IFERROR(MATCH($I108,L_TxnType,0),""))</f>
        <v/>
      </c>
    </row>
    <row r="109" customFormat="false" ht="15" hidden="false" customHeight="false" outlineLevel="0" collapsed="false">
      <c r="A109" s="77"/>
      <c r="B109" s="80"/>
      <c r="C109" s="78"/>
      <c r="D109" s="78"/>
      <c r="E109" s="79" t="str">
        <f aca="false">IF($R109="","",INDEX(Accounts!$C$6:$C$55,$R109)&amp;"")</f>
        <v/>
      </c>
      <c r="F109" s="79" t="str">
        <f aca="false">IF($S109="","",INDEX(Securities!$B$6:$B$105,$S109)&amp;"")</f>
        <v/>
      </c>
      <c r="G109" s="79" t="str">
        <f aca="false">IF($S109="","",INDEX(Securities!$E$6:$E$105,$S109)&amp;"")</f>
        <v/>
      </c>
      <c r="H109" s="79" t="str">
        <f aca="false">IF($S109="","",INDEX(Securities!$F$6:$F$105,$S109)&amp;"")</f>
        <v/>
      </c>
      <c r="I109" s="78"/>
      <c r="J109" s="81"/>
      <c r="K109" s="94"/>
      <c r="L109" s="82"/>
      <c r="M109" s="82"/>
      <c r="N109" s="85" t="str">
        <f aca="true">IF(OR($I109="",$T109=""),"",INDEX(L_TxnSign,$T109)*N($L109)-N($M109))</f>
        <v/>
      </c>
      <c r="O109" s="79" t="str">
        <f aca="true">IF($T109="","",INDEX(L_TxnCounts,$T109)&amp;"")</f>
        <v/>
      </c>
      <c r="P109" s="78"/>
      <c r="Q109" s="79" t="str">
        <f aca="false">IF($A109&amp;$C109&amp;$D109&amp;$I109="","",IF($A109="","Missing ID",IF(COUNTIF($A$6:$A$305,$A109)&gt;1,"Duplicate ID",IF(NOT(ISNUMBER($B109)),"Missing date",IF($R109="","Unknown account",IF($D109="","Missing security",IF($S109="","Unknown security",IF($T109="","Unknown type",IF(AND($L109="",$I109&lt;&gt;"Bonus / Split"),"No amount",IF(N($L109)&lt;0,"Type a positive amount; the sign comes from the type",IF(N($M109)&lt;0,"Type charges as a positive amount",IF(N($B109)&gt;ValDate,"Date after valuation",IF(AND(N($B109)&gt;PrevDate,COUNTIFS(Holdings!$B$6:$B$205,$C109,Holdings!$C$6:$C$205,$D109)=0),"No holding row (needed for Period Change)","OK")))))))))))))</f>
        <v/>
      </c>
      <c r="R109" s="89" t="str">
        <f aca="false">IF($C109="","",IFERROR(MATCH($C109,Accounts!$A$6:$A$55,0),""))</f>
        <v/>
      </c>
      <c r="S109" s="89" t="str">
        <f aca="false">IF($D109="","",IFERROR(MATCH($D109,Securities!$A$6:$A$105,0),""))</f>
        <v/>
      </c>
      <c r="T109" s="89" t="str">
        <f aca="true">IF($I109="","",IFERROR(MATCH($I109,L_TxnType,0),""))</f>
        <v/>
      </c>
    </row>
    <row r="110" customFormat="false" ht="15" hidden="false" customHeight="false" outlineLevel="0" collapsed="false">
      <c r="A110" s="77"/>
      <c r="B110" s="80"/>
      <c r="C110" s="78"/>
      <c r="D110" s="78"/>
      <c r="E110" s="79" t="str">
        <f aca="false">IF($R110="","",INDEX(Accounts!$C$6:$C$55,$R110)&amp;"")</f>
        <v/>
      </c>
      <c r="F110" s="79" t="str">
        <f aca="false">IF($S110="","",INDEX(Securities!$B$6:$B$105,$S110)&amp;"")</f>
        <v/>
      </c>
      <c r="G110" s="79" t="str">
        <f aca="false">IF($S110="","",INDEX(Securities!$E$6:$E$105,$S110)&amp;"")</f>
        <v/>
      </c>
      <c r="H110" s="79" t="str">
        <f aca="false">IF($S110="","",INDEX(Securities!$F$6:$F$105,$S110)&amp;"")</f>
        <v/>
      </c>
      <c r="I110" s="78"/>
      <c r="J110" s="81"/>
      <c r="K110" s="94"/>
      <c r="L110" s="82"/>
      <c r="M110" s="82"/>
      <c r="N110" s="85" t="str">
        <f aca="true">IF(OR($I110="",$T110=""),"",INDEX(L_TxnSign,$T110)*N($L110)-N($M110))</f>
        <v/>
      </c>
      <c r="O110" s="79" t="str">
        <f aca="true">IF($T110="","",INDEX(L_TxnCounts,$T110)&amp;"")</f>
        <v/>
      </c>
      <c r="P110" s="78"/>
      <c r="Q110" s="79" t="str">
        <f aca="false">IF($A110&amp;$C110&amp;$D110&amp;$I110="","",IF($A110="","Missing ID",IF(COUNTIF($A$6:$A$305,$A110)&gt;1,"Duplicate ID",IF(NOT(ISNUMBER($B110)),"Missing date",IF($R110="","Unknown account",IF($D110="","Missing security",IF($S110="","Unknown security",IF($T110="","Unknown type",IF(AND($L110="",$I110&lt;&gt;"Bonus / Split"),"No amount",IF(N($L110)&lt;0,"Type a positive amount; the sign comes from the type",IF(N($M110)&lt;0,"Type charges as a positive amount",IF(N($B110)&gt;ValDate,"Date after valuation",IF(AND(N($B110)&gt;PrevDate,COUNTIFS(Holdings!$B$6:$B$205,$C110,Holdings!$C$6:$C$205,$D110)=0),"No holding row (needed for Period Change)","OK")))))))))))))</f>
        <v/>
      </c>
      <c r="R110" s="89" t="str">
        <f aca="false">IF($C110="","",IFERROR(MATCH($C110,Accounts!$A$6:$A$55,0),""))</f>
        <v/>
      </c>
      <c r="S110" s="89" t="str">
        <f aca="false">IF($D110="","",IFERROR(MATCH($D110,Securities!$A$6:$A$105,0),""))</f>
        <v/>
      </c>
      <c r="T110" s="89" t="str">
        <f aca="true">IF($I110="","",IFERROR(MATCH($I110,L_TxnType,0),""))</f>
        <v/>
      </c>
    </row>
    <row r="111" customFormat="false" ht="15" hidden="false" customHeight="false" outlineLevel="0" collapsed="false">
      <c r="A111" s="77"/>
      <c r="B111" s="80"/>
      <c r="C111" s="78"/>
      <c r="D111" s="78"/>
      <c r="E111" s="79" t="str">
        <f aca="false">IF($R111="","",INDEX(Accounts!$C$6:$C$55,$R111)&amp;"")</f>
        <v/>
      </c>
      <c r="F111" s="79" t="str">
        <f aca="false">IF($S111="","",INDEX(Securities!$B$6:$B$105,$S111)&amp;"")</f>
        <v/>
      </c>
      <c r="G111" s="79" t="str">
        <f aca="false">IF($S111="","",INDEX(Securities!$E$6:$E$105,$S111)&amp;"")</f>
        <v/>
      </c>
      <c r="H111" s="79" t="str">
        <f aca="false">IF($S111="","",INDEX(Securities!$F$6:$F$105,$S111)&amp;"")</f>
        <v/>
      </c>
      <c r="I111" s="78"/>
      <c r="J111" s="81"/>
      <c r="K111" s="94"/>
      <c r="L111" s="82"/>
      <c r="M111" s="82"/>
      <c r="N111" s="85" t="str">
        <f aca="true">IF(OR($I111="",$T111=""),"",INDEX(L_TxnSign,$T111)*N($L111)-N($M111))</f>
        <v/>
      </c>
      <c r="O111" s="79" t="str">
        <f aca="true">IF($T111="","",INDEX(L_TxnCounts,$T111)&amp;"")</f>
        <v/>
      </c>
      <c r="P111" s="78"/>
      <c r="Q111" s="79" t="str">
        <f aca="false">IF($A111&amp;$C111&amp;$D111&amp;$I111="","",IF($A111="","Missing ID",IF(COUNTIF($A$6:$A$305,$A111)&gt;1,"Duplicate ID",IF(NOT(ISNUMBER($B111)),"Missing date",IF($R111="","Unknown account",IF($D111="","Missing security",IF($S111="","Unknown security",IF($T111="","Unknown type",IF(AND($L111="",$I111&lt;&gt;"Bonus / Split"),"No amount",IF(N($L111)&lt;0,"Type a positive amount; the sign comes from the type",IF(N($M111)&lt;0,"Type charges as a positive amount",IF(N($B111)&gt;ValDate,"Date after valuation",IF(AND(N($B111)&gt;PrevDate,COUNTIFS(Holdings!$B$6:$B$205,$C111,Holdings!$C$6:$C$205,$D111)=0),"No holding row (needed for Period Change)","OK")))))))))))))</f>
        <v/>
      </c>
      <c r="R111" s="89" t="str">
        <f aca="false">IF($C111="","",IFERROR(MATCH($C111,Accounts!$A$6:$A$55,0),""))</f>
        <v/>
      </c>
      <c r="S111" s="89" t="str">
        <f aca="false">IF($D111="","",IFERROR(MATCH($D111,Securities!$A$6:$A$105,0),""))</f>
        <v/>
      </c>
      <c r="T111" s="89" t="str">
        <f aca="true">IF($I111="","",IFERROR(MATCH($I111,L_TxnType,0),""))</f>
        <v/>
      </c>
    </row>
    <row r="112" customFormat="false" ht="15" hidden="false" customHeight="false" outlineLevel="0" collapsed="false">
      <c r="A112" s="77"/>
      <c r="B112" s="80"/>
      <c r="C112" s="78"/>
      <c r="D112" s="78"/>
      <c r="E112" s="79" t="str">
        <f aca="false">IF($R112="","",INDEX(Accounts!$C$6:$C$55,$R112)&amp;"")</f>
        <v/>
      </c>
      <c r="F112" s="79" t="str">
        <f aca="false">IF($S112="","",INDEX(Securities!$B$6:$B$105,$S112)&amp;"")</f>
        <v/>
      </c>
      <c r="G112" s="79" t="str">
        <f aca="false">IF($S112="","",INDEX(Securities!$E$6:$E$105,$S112)&amp;"")</f>
        <v/>
      </c>
      <c r="H112" s="79" t="str">
        <f aca="false">IF($S112="","",INDEX(Securities!$F$6:$F$105,$S112)&amp;"")</f>
        <v/>
      </c>
      <c r="I112" s="78"/>
      <c r="J112" s="81"/>
      <c r="K112" s="94"/>
      <c r="L112" s="82"/>
      <c r="M112" s="82"/>
      <c r="N112" s="85" t="str">
        <f aca="true">IF(OR($I112="",$T112=""),"",INDEX(L_TxnSign,$T112)*N($L112)-N($M112))</f>
        <v/>
      </c>
      <c r="O112" s="79" t="str">
        <f aca="true">IF($T112="","",INDEX(L_TxnCounts,$T112)&amp;"")</f>
        <v/>
      </c>
      <c r="P112" s="78"/>
      <c r="Q112" s="79" t="str">
        <f aca="false">IF($A112&amp;$C112&amp;$D112&amp;$I112="","",IF($A112="","Missing ID",IF(COUNTIF($A$6:$A$305,$A112)&gt;1,"Duplicate ID",IF(NOT(ISNUMBER($B112)),"Missing date",IF($R112="","Unknown account",IF($D112="","Missing security",IF($S112="","Unknown security",IF($T112="","Unknown type",IF(AND($L112="",$I112&lt;&gt;"Bonus / Split"),"No amount",IF(N($L112)&lt;0,"Type a positive amount; the sign comes from the type",IF(N($M112)&lt;0,"Type charges as a positive amount",IF(N($B112)&gt;ValDate,"Date after valuation",IF(AND(N($B112)&gt;PrevDate,COUNTIFS(Holdings!$B$6:$B$205,$C112,Holdings!$C$6:$C$205,$D112)=0),"No holding row (needed for Period Change)","OK")))))))))))))</f>
        <v/>
      </c>
      <c r="R112" s="89" t="str">
        <f aca="false">IF($C112="","",IFERROR(MATCH($C112,Accounts!$A$6:$A$55,0),""))</f>
        <v/>
      </c>
      <c r="S112" s="89" t="str">
        <f aca="false">IF($D112="","",IFERROR(MATCH($D112,Securities!$A$6:$A$105,0),""))</f>
        <v/>
      </c>
      <c r="T112" s="89" t="str">
        <f aca="true">IF($I112="","",IFERROR(MATCH($I112,L_TxnType,0),""))</f>
        <v/>
      </c>
    </row>
    <row r="113" customFormat="false" ht="15" hidden="false" customHeight="false" outlineLevel="0" collapsed="false">
      <c r="A113" s="77"/>
      <c r="B113" s="80"/>
      <c r="C113" s="78"/>
      <c r="D113" s="78"/>
      <c r="E113" s="79" t="str">
        <f aca="false">IF($R113="","",INDEX(Accounts!$C$6:$C$55,$R113)&amp;"")</f>
        <v/>
      </c>
      <c r="F113" s="79" t="str">
        <f aca="false">IF($S113="","",INDEX(Securities!$B$6:$B$105,$S113)&amp;"")</f>
        <v/>
      </c>
      <c r="G113" s="79" t="str">
        <f aca="false">IF($S113="","",INDEX(Securities!$E$6:$E$105,$S113)&amp;"")</f>
        <v/>
      </c>
      <c r="H113" s="79" t="str">
        <f aca="false">IF($S113="","",INDEX(Securities!$F$6:$F$105,$S113)&amp;"")</f>
        <v/>
      </c>
      <c r="I113" s="78"/>
      <c r="J113" s="81"/>
      <c r="K113" s="94"/>
      <c r="L113" s="82"/>
      <c r="M113" s="82"/>
      <c r="N113" s="85" t="str">
        <f aca="true">IF(OR($I113="",$T113=""),"",INDEX(L_TxnSign,$T113)*N($L113)-N($M113))</f>
        <v/>
      </c>
      <c r="O113" s="79" t="str">
        <f aca="true">IF($T113="","",INDEX(L_TxnCounts,$T113)&amp;"")</f>
        <v/>
      </c>
      <c r="P113" s="78"/>
      <c r="Q113" s="79" t="str">
        <f aca="false">IF($A113&amp;$C113&amp;$D113&amp;$I113="","",IF($A113="","Missing ID",IF(COUNTIF($A$6:$A$305,$A113)&gt;1,"Duplicate ID",IF(NOT(ISNUMBER($B113)),"Missing date",IF($R113="","Unknown account",IF($D113="","Missing security",IF($S113="","Unknown security",IF($T113="","Unknown type",IF(AND($L113="",$I113&lt;&gt;"Bonus / Split"),"No amount",IF(N($L113)&lt;0,"Type a positive amount; the sign comes from the type",IF(N($M113)&lt;0,"Type charges as a positive amount",IF(N($B113)&gt;ValDate,"Date after valuation",IF(AND(N($B113)&gt;PrevDate,COUNTIFS(Holdings!$B$6:$B$205,$C113,Holdings!$C$6:$C$205,$D113)=0),"No holding row (needed for Period Change)","OK")))))))))))))</f>
        <v/>
      </c>
      <c r="R113" s="89" t="str">
        <f aca="false">IF($C113="","",IFERROR(MATCH($C113,Accounts!$A$6:$A$55,0),""))</f>
        <v/>
      </c>
      <c r="S113" s="89" t="str">
        <f aca="false">IF($D113="","",IFERROR(MATCH($D113,Securities!$A$6:$A$105,0),""))</f>
        <v/>
      </c>
      <c r="T113" s="89" t="str">
        <f aca="true">IF($I113="","",IFERROR(MATCH($I113,L_TxnType,0),""))</f>
        <v/>
      </c>
    </row>
    <row r="114" customFormat="false" ht="15" hidden="false" customHeight="false" outlineLevel="0" collapsed="false">
      <c r="A114" s="77"/>
      <c r="B114" s="80"/>
      <c r="C114" s="78"/>
      <c r="D114" s="78"/>
      <c r="E114" s="79" t="str">
        <f aca="false">IF($R114="","",INDEX(Accounts!$C$6:$C$55,$R114)&amp;"")</f>
        <v/>
      </c>
      <c r="F114" s="79" t="str">
        <f aca="false">IF($S114="","",INDEX(Securities!$B$6:$B$105,$S114)&amp;"")</f>
        <v/>
      </c>
      <c r="G114" s="79" t="str">
        <f aca="false">IF($S114="","",INDEX(Securities!$E$6:$E$105,$S114)&amp;"")</f>
        <v/>
      </c>
      <c r="H114" s="79" t="str">
        <f aca="false">IF($S114="","",INDEX(Securities!$F$6:$F$105,$S114)&amp;"")</f>
        <v/>
      </c>
      <c r="I114" s="78"/>
      <c r="J114" s="81"/>
      <c r="K114" s="94"/>
      <c r="L114" s="82"/>
      <c r="M114" s="82"/>
      <c r="N114" s="85" t="str">
        <f aca="true">IF(OR($I114="",$T114=""),"",INDEX(L_TxnSign,$T114)*N($L114)-N($M114))</f>
        <v/>
      </c>
      <c r="O114" s="79" t="str">
        <f aca="true">IF($T114="","",INDEX(L_TxnCounts,$T114)&amp;"")</f>
        <v/>
      </c>
      <c r="P114" s="78"/>
      <c r="Q114" s="79" t="str">
        <f aca="false">IF($A114&amp;$C114&amp;$D114&amp;$I114="","",IF($A114="","Missing ID",IF(COUNTIF($A$6:$A$305,$A114)&gt;1,"Duplicate ID",IF(NOT(ISNUMBER($B114)),"Missing date",IF($R114="","Unknown account",IF($D114="","Missing security",IF($S114="","Unknown security",IF($T114="","Unknown type",IF(AND($L114="",$I114&lt;&gt;"Bonus / Split"),"No amount",IF(N($L114)&lt;0,"Type a positive amount; the sign comes from the type",IF(N($M114)&lt;0,"Type charges as a positive amount",IF(N($B114)&gt;ValDate,"Date after valuation",IF(AND(N($B114)&gt;PrevDate,COUNTIFS(Holdings!$B$6:$B$205,$C114,Holdings!$C$6:$C$205,$D114)=0),"No holding row (needed for Period Change)","OK")))))))))))))</f>
        <v/>
      </c>
      <c r="R114" s="89" t="str">
        <f aca="false">IF($C114="","",IFERROR(MATCH($C114,Accounts!$A$6:$A$55,0),""))</f>
        <v/>
      </c>
      <c r="S114" s="89" t="str">
        <f aca="false">IF($D114="","",IFERROR(MATCH($D114,Securities!$A$6:$A$105,0),""))</f>
        <v/>
      </c>
      <c r="T114" s="89" t="str">
        <f aca="true">IF($I114="","",IFERROR(MATCH($I114,L_TxnType,0),""))</f>
        <v/>
      </c>
    </row>
    <row r="115" customFormat="false" ht="15" hidden="false" customHeight="false" outlineLevel="0" collapsed="false">
      <c r="A115" s="77"/>
      <c r="B115" s="80"/>
      <c r="C115" s="78"/>
      <c r="D115" s="78"/>
      <c r="E115" s="79" t="str">
        <f aca="false">IF($R115="","",INDEX(Accounts!$C$6:$C$55,$R115)&amp;"")</f>
        <v/>
      </c>
      <c r="F115" s="79" t="str">
        <f aca="false">IF($S115="","",INDEX(Securities!$B$6:$B$105,$S115)&amp;"")</f>
        <v/>
      </c>
      <c r="G115" s="79" t="str">
        <f aca="false">IF($S115="","",INDEX(Securities!$E$6:$E$105,$S115)&amp;"")</f>
        <v/>
      </c>
      <c r="H115" s="79" t="str">
        <f aca="false">IF($S115="","",INDEX(Securities!$F$6:$F$105,$S115)&amp;"")</f>
        <v/>
      </c>
      <c r="I115" s="78"/>
      <c r="J115" s="81"/>
      <c r="K115" s="94"/>
      <c r="L115" s="82"/>
      <c r="M115" s="82"/>
      <c r="N115" s="85" t="str">
        <f aca="true">IF(OR($I115="",$T115=""),"",INDEX(L_TxnSign,$T115)*N($L115)-N($M115))</f>
        <v/>
      </c>
      <c r="O115" s="79" t="str">
        <f aca="true">IF($T115="","",INDEX(L_TxnCounts,$T115)&amp;"")</f>
        <v/>
      </c>
      <c r="P115" s="78"/>
      <c r="Q115" s="79" t="str">
        <f aca="false">IF($A115&amp;$C115&amp;$D115&amp;$I115="","",IF($A115="","Missing ID",IF(COUNTIF($A$6:$A$305,$A115)&gt;1,"Duplicate ID",IF(NOT(ISNUMBER($B115)),"Missing date",IF($R115="","Unknown account",IF($D115="","Missing security",IF($S115="","Unknown security",IF($T115="","Unknown type",IF(AND($L115="",$I115&lt;&gt;"Bonus / Split"),"No amount",IF(N($L115)&lt;0,"Type a positive amount; the sign comes from the type",IF(N($M115)&lt;0,"Type charges as a positive amount",IF(N($B115)&gt;ValDate,"Date after valuation",IF(AND(N($B115)&gt;PrevDate,COUNTIFS(Holdings!$B$6:$B$205,$C115,Holdings!$C$6:$C$205,$D115)=0),"No holding row (needed for Period Change)","OK")))))))))))))</f>
        <v/>
      </c>
      <c r="R115" s="89" t="str">
        <f aca="false">IF($C115="","",IFERROR(MATCH($C115,Accounts!$A$6:$A$55,0),""))</f>
        <v/>
      </c>
      <c r="S115" s="89" t="str">
        <f aca="false">IF($D115="","",IFERROR(MATCH($D115,Securities!$A$6:$A$105,0),""))</f>
        <v/>
      </c>
      <c r="T115" s="89" t="str">
        <f aca="true">IF($I115="","",IFERROR(MATCH($I115,L_TxnType,0),""))</f>
        <v/>
      </c>
    </row>
    <row r="116" customFormat="false" ht="15" hidden="false" customHeight="false" outlineLevel="0" collapsed="false">
      <c r="A116" s="77"/>
      <c r="B116" s="80"/>
      <c r="C116" s="78"/>
      <c r="D116" s="78"/>
      <c r="E116" s="79" t="str">
        <f aca="false">IF($R116="","",INDEX(Accounts!$C$6:$C$55,$R116)&amp;"")</f>
        <v/>
      </c>
      <c r="F116" s="79" t="str">
        <f aca="false">IF($S116="","",INDEX(Securities!$B$6:$B$105,$S116)&amp;"")</f>
        <v/>
      </c>
      <c r="G116" s="79" t="str">
        <f aca="false">IF($S116="","",INDEX(Securities!$E$6:$E$105,$S116)&amp;"")</f>
        <v/>
      </c>
      <c r="H116" s="79" t="str">
        <f aca="false">IF($S116="","",INDEX(Securities!$F$6:$F$105,$S116)&amp;"")</f>
        <v/>
      </c>
      <c r="I116" s="78"/>
      <c r="J116" s="81"/>
      <c r="K116" s="94"/>
      <c r="L116" s="82"/>
      <c r="M116" s="82"/>
      <c r="N116" s="85" t="str">
        <f aca="true">IF(OR($I116="",$T116=""),"",INDEX(L_TxnSign,$T116)*N($L116)-N($M116))</f>
        <v/>
      </c>
      <c r="O116" s="79" t="str">
        <f aca="true">IF($T116="","",INDEX(L_TxnCounts,$T116)&amp;"")</f>
        <v/>
      </c>
      <c r="P116" s="78"/>
      <c r="Q116" s="79" t="str">
        <f aca="false">IF($A116&amp;$C116&amp;$D116&amp;$I116="","",IF($A116="","Missing ID",IF(COUNTIF($A$6:$A$305,$A116)&gt;1,"Duplicate ID",IF(NOT(ISNUMBER($B116)),"Missing date",IF($R116="","Unknown account",IF($D116="","Missing security",IF($S116="","Unknown security",IF($T116="","Unknown type",IF(AND($L116="",$I116&lt;&gt;"Bonus / Split"),"No amount",IF(N($L116)&lt;0,"Type a positive amount; the sign comes from the type",IF(N($M116)&lt;0,"Type charges as a positive amount",IF(N($B116)&gt;ValDate,"Date after valuation",IF(AND(N($B116)&gt;PrevDate,COUNTIFS(Holdings!$B$6:$B$205,$C116,Holdings!$C$6:$C$205,$D116)=0),"No holding row (needed for Period Change)","OK")))))))))))))</f>
        <v/>
      </c>
      <c r="R116" s="89" t="str">
        <f aca="false">IF($C116="","",IFERROR(MATCH($C116,Accounts!$A$6:$A$55,0),""))</f>
        <v/>
      </c>
      <c r="S116" s="89" t="str">
        <f aca="false">IF($D116="","",IFERROR(MATCH($D116,Securities!$A$6:$A$105,0),""))</f>
        <v/>
      </c>
      <c r="T116" s="89" t="str">
        <f aca="true">IF($I116="","",IFERROR(MATCH($I116,L_TxnType,0),""))</f>
        <v/>
      </c>
    </row>
    <row r="117" customFormat="false" ht="15" hidden="false" customHeight="false" outlineLevel="0" collapsed="false">
      <c r="A117" s="77"/>
      <c r="B117" s="80"/>
      <c r="C117" s="78"/>
      <c r="D117" s="78"/>
      <c r="E117" s="79" t="str">
        <f aca="false">IF($R117="","",INDEX(Accounts!$C$6:$C$55,$R117)&amp;"")</f>
        <v/>
      </c>
      <c r="F117" s="79" t="str">
        <f aca="false">IF($S117="","",INDEX(Securities!$B$6:$B$105,$S117)&amp;"")</f>
        <v/>
      </c>
      <c r="G117" s="79" t="str">
        <f aca="false">IF($S117="","",INDEX(Securities!$E$6:$E$105,$S117)&amp;"")</f>
        <v/>
      </c>
      <c r="H117" s="79" t="str">
        <f aca="false">IF($S117="","",INDEX(Securities!$F$6:$F$105,$S117)&amp;"")</f>
        <v/>
      </c>
      <c r="I117" s="78"/>
      <c r="J117" s="81"/>
      <c r="K117" s="94"/>
      <c r="L117" s="82"/>
      <c r="M117" s="82"/>
      <c r="N117" s="85" t="str">
        <f aca="true">IF(OR($I117="",$T117=""),"",INDEX(L_TxnSign,$T117)*N($L117)-N($M117))</f>
        <v/>
      </c>
      <c r="O117" s="79" t="str">
        <f aca="true">IF($T117="","",INDEX(L_TxnCounts,$T117)&amp;"")</f>
        <v/>
      </c>
      <c r="P117" s="78"/>
      <c r="Q117" s="79" t="str">
        <f aca="false">IF($A117&amp;$C117&amp;$D117&amp;$I117="","",IF($A117="","Missing ID",IF(COUNTIF($A$6:$A$305,$A117)&gt;1,"Duplicate ID",IF(NOT(ISNUMBER($B117)),"Missing date",IF($R117="","Unknown account",IF($D117="","Missing security",IF($S117="","Unknown security",IF($T117="","Unknown type",IF(AND($L117="",$I117&lt;&gt;"Bonus / Split"),"No amount",IF(N($L117)&lt;0,"Type a positive amount; the sign comes from the type",IF(N($M117)&lt;0,"Type charges as a positive amount",IF(N($B117)&gt;ValDate,"Date after valuation",IF(AND(N($B117)&gt;PrevDate,COUNTIFS(Holdings!$B$6:$B$205,$C117,Holdings!$C$6:$C$205,$D117)=0),"No holding row (needed for Period Change)","OK")))))))))))))</f>
        <v/>
      </c>
      <c r="R117" s="89" t="str">
        <f aca="false">IF($C117="","",IFERROR(MATCH($C117,Accounts!$A$6:$A$55,0),""))</f>
        <v/>
      </c>
      <c r="S117" s="89" t="str">
        <f aca="false">IF($D117="","",IFERROR(MATCH($D117,Securities!$A$6:$A$105,0),""))</f>
        <v/>
      </c>
      <c r="T117" s="89" t="str">
        <f aca="true">IF($I117="","",IFERROR(MATCH($I117,L_TxnType,0),""))</f>
        <v/>
      </c>
    </row>
    <row r="118" customFormat="false" ht="15" hidden="false" customHeight="false" outlineLevel="0" collapsed="false">
      <c r="A118" s="77"/>
      <c r="B118" s="80"/>
      <c r="C118" s="78"/>
      <c r="D118" s="78"/>
      <c r="E118" s="79" t="str">
        <f aca="false">IF($R118="","",INDEX(Accounts!$C$6:$C$55,$R118)&amp;"")</f>
        <v/>
      </c>
      <c r="F118" s="79" t="str">
        <f aca="false">IF($S118="","",INDEX(Securities!$B$6:$B$105,$S118)&amp;"")</f>
        <v/>
      </c>
      <c r="G118" s="79" t="str">
        <f aca="false">IF($S118="","",INDEX(Securities!$E$6:$E$105,$S118)&amp;"")</f>
        <v/>
      </c>
      <c r="H118" s="79" t="str">
        <f aca="false">IF($S118="","",INDEX(Securities!$F$6:$F$105,$S118)&amp;"")</f>
        <v/>
      </c>
      <c r="I118" s="78"/>
      <c r="J118" s="81"/>
      <c r="K118" s="94"/>
      <c r="L118" s="82"/>
      <c r="M118" s="82"/>
      <c r="N118" s="85" t="str">
        <f aca="true">IF(OR($I118="",$T118=""),"",INDEX(L_TxnSign,$T118)*N($L118)-N($M118))</f>
        <v/>
      </c>
      <c r="O118" s="79" t="str">
        <f aca="true">IF($T118="","",INDEX(L_TxnCounts,$T118)&amp;"")</f>
        <v/>
      </c>
      <c r="P118" s="78"/>
      <c r="Q118" s="79" t="str">
        <f aca="false">IF($A118&amp;$C118&amp;$D118&amp;$I118="","",IF($A118="","Missing ID",IF(COUNTIF($A$6:$A$305,$A118)&gt;1,"Duplicate ID",IF(NOT(ISNUMBER($B118)),"Missing date",IF($R118="","Unknown account",IF($D118="","Missing security",IF($S118="","Unknown security",IF($T118="","Unknown type",IF(AND($L118="",$I118&lt;&gt;"Bonus / Split"),"No amount",IF(N($L118)&lt;0,"Type a positive amount; the sign comes from the type",IF(N($M118)&lt;0,"Type charges as a positive amount",IF(N($B118)&gt;ValDate,"Date after valuation",IF(AND(N($B118)&gt;PrevDate,COUNTIFS(Holdings!$B$6:$B$205,$C118,Holdings!$C$6:$C$205,$D118)=0),"No holding row (needed for Period Change)","OK")))))))))))))</f>
        <v/>
      </c>
      <c r="R118" s="89" t="str">
        <f aca="false">IF($C118="","",IFERROR(MATCH($C118,Accounts!$A$6:$A$55,0),""))</f>
        <v/>
      </c>
      <c r="S118" s="89" t="str">
        <f aca="false">IF($D118="","",IFERROR(MATCH($D118,Securities!$A$6:$A$105,0),""))</f>
        <v/>
      </c>
      <c r="T118" s="89" t="str">
        <f aca="true">IF($I118="","",IFERROR(MATCH($I118,L_TxnType,0),""))</f>
        <v/>
      </c>
    </row>
    <row r="119" customFormat="false" ht="15" hidden="false" customHeight="false" outlineLevel="0" collapsed="false">
      <c r="A119" s="77"/>
      <c r="B119" s="80"/>
      <c r="C119" s="78"/>
      <c r="D119" s="78"/>
      <c r="E119" s="79" t="str">
        <f aca="false">IF($R119="","",INDEX(Accounts!$C$6:$C$55,$R119)&amp;"")</f>
        <v/>
      </c>
      <c r="F119" s="79" t="str">
        <f aca="false">IF($S119="","",INDEX(Securities!$B$6:$B$105,$S119)&amp;"")</f>
        <v/>
      </c>
      <c r="G119" s="79" t="str">
        <f aca="false">IF($S119="","",INDEX(Securities!$E$6:$E$105,$S119)&amp;"")</f>
        <v/>
      </c>
      <c r="H119" s="79" t="str">
        <f aca="false">IF($S119="","",INDEX(Securities!$F$6:$F$105,$S119)&amp;"")</f>
        <v/>
      </c>
      <c r="I119" s="78"/>
      <c r="J119" s="81"/>
      <c r="K119" s="94"/>
      <c r="L119" s="82"/>
      <c r="M119" s="82"/>
      <c r="N119" s="85" t="str">
        <f aca="true">IF(OR($I119="",$T119=""),"",INDEX(L_TxnSign,$T119)*N($L119)-N($M119))</f>
        <v/>
      </c>
      <c r="O119" s="79" t="str">
        <f aca="true">IF($T119="","",INDEX(L_TxnCounts,$T119)&amp;"")</f>
        <v/>
      </c>
      <c r="P119" s="78"/>
      <c r="Q119" s="79" t="str">
        <f aca="false">IF($A119&amp;$C119&amp;$D119&amp;$I119="","",IF($A119="","Missing ID",IF(COUNTIF($A$6:$A$305,$A119)&gt;1,"Duplicate ID",IF(NOT(ISNUMBER($B119)),"Missing date",IF($R119="","Unknown account",IF($D119="","Missing security",IF($S119="","Unknown security",IF($T119="","Unknown type",IF(AND($L119="",$I119&lt;&gt;"Bonus / Split"),"No amount",IF(N($L119)&lt;0,"Type a positive amount; the sign comes from the type",IF(N($M119)&lt;0,"Type charges as a positive amount",IF(N($B119)&gt;ValDate,"Date after valuation",IF(AND(N($B119)&gt;PrevDate,COUNTIFS(Holdings!$B$6:$B$205,$C119,Holdings!$C$6:$C$205,$D119)=0),"No holding row (needed for Period Change)","OK")))))))))))))</f>
        <v/>
      </c>
      <c r="R119" s="89" t="str">
        <f aca="false">IF($C119="","",IFERROR(MATCH($C119,Accounts!$A$6:$A$55,0),""))</f>
        <v/>
      </c>
      <c r="S119" s="89" t="str">
        <f aca="false">IF($D119="","",IFERROR(MATCH($D119,Securities!$A$6:$A$105,0),""))</f>
        <v/>
      </c>
      <c r="T119" s="89" t="str">
        <f aca="true">IF($I119="","",IFERROR(MATCH($I119,L_TxnType,0),""))</f>
        <v/>
      </c>
    </row>
    <row r="120" customFormat="false" ht="15" hidden="false" customHeight="false" outlineLevel="0" collapsed="false">
      <c r="A120" s="77"/>
      <c r="B120" s="80"/>
      <c r="C120" s="78"/>
      <c r="D120" s="78"/>
      <c r="E120" s="79" t="str">
        <f aca="false">IF($R120="","",INDEX(Accounts!$C$6:$C$55,$R120)&amp;"")</f>
        <v/>
      </c>
      <c r="F120" s="79" t="str">
        <f aca="false">IF($S120="","",INDEX(Securities!$B$6:$B$105,$S120)&amp;"")</f>
        <v/>
      </c>
      <c r="G120" s="79" t="str">
        <f aca="false">IF($S120="","",INDEX(Securities!$E$6:$E$105,$S120)&amp;"")</f>
        <v/>
      </c>
      <c r="H120" s="79" t="str">
        <f aca="false">IF($S120="","",INDEX(Securities!$F$6:$F$105,$S120)&amp;"")</f>
        <v/>
      </c>
      <c r="I120" s="78"/>
      <c r="J120" s="81"/>
      <c r="K120" s="94"/>
      <c r="L120" s="82"/>
      <c r="M120" s="82"/>
      <c r="N120" s="85" t="str">
        <f aca="true">IF(OR($I120="",$T120=""),"",INDEX(L_TxnSign,$T120)*N($L120)-N($M120))</f>
        <v/>
      </c>
      <c r="O120" s="79" t="str">
        <f aca="true">IF($T120="","",INDEX(L_TxnCounts,$T120)&amp;"")</f>
        <v/>
      </c>
      <c r="P120" s="78"/>
      <c r="Q120" s="79" t="str">
        <f aca="false">IF($A120&amp;$C120&amp;$D120&amp;$I120="","",IF($A120="","Missing ID",IF(COUNTIF($A$6:$A$305,$A120)&gt;1,"Duplicate ID",IF(NOT(ISNUMBER($B120)),"Missing date",IF($R120="","Unknown account",IF($D120="","Missing security",IF($S120="","Unknown security",IF($T120="","Unknown type",IF(AND($L120="",$I120&lt;&gt;"Bonus / Split"),"No amount",IF(N($L120)&lt;0,"Type a positive amount; the sign comes from the type",IF(N($M120)&lt;0,"Type charges as a positive amount",IF(N($B120)&gt;ValDate,"Date after valuation",IF(AND(N($B120)&gt;PrevDate,COUNTIFS(Holdings!$B$6:$B$205,$C120,Holdings!$C$6:$C$205,$D120)=0),"No holding row (needed for Period Change)","OK")))))))))))))</f>
        <v/>
      </c>
      <c r="R120" s="89" t="str">
        <f aca="false">IF($C120="","",IFERROR(MATCH($C120,Accounts!$A$6:$A$55,0),""))</f>
        <v/>
      </c>
      <c r="S120" s="89" t="str">
        <f aca="false">IF($D120="","",IFERROR(MATCH($D120,Securities!$A$6:$A$105,0),""))</f>
        <v/>
      </c>
      <c r="T120" s="89" t="str">
        <f aca="true">IF($I120="","",IFERROR(MATCH($I120,L_TxnType,0),""))</f>
        <v/>
      </c>
    </row>
    <row r="121" customFormat="false" ht="15" hidden="false" customHeight="false" outlineLevel="0" collapsed="false">
      <c r="A121" s="77"/>
      <c r="B121" s="80"/>
      <c r="C121" s="78"/>
      <c r="D121" s="78"/>
      <c r="E121" s="79" t="str">
        <f aca="false">IF($R121="","",INDEX(Accounts!$C$6:$C$55,$R121)&amp;"")</f>
        <v/>
      </c>
      <c r="F121" s="79" t="str">
        <f aca="false">IF($S121="","",INDEX(Securities!$B$6:$B$105,$S121)&amp;"")</f>
        <v/>
      </c>
      <c r="G121" s="79" t="str">
        <f aca="false">IF($S121="","",INDEX(Securities!$E$6:$E$105,$S121)&amp;"")</f>
        <v/>
      </c>
      <c r="H121" s="79" t="str">
        <f aca="false">IF($S121="","",INDEX(Securities!$F$6:$F$105,$S121)&amp;"")</f>
        <v/>
      </c>
      <c r="I121" s="78"/>
      <c r="J121" s="81"/>
      <c r="K121" s="94"/>
      <c r="L121" s="82"/>
      <c r="M121" s="82"/>
      <c r="N121" s="85" t="str">
        <f aca="true">IF(OR($I121="",$T121=""),"",INDEX(L_TxnSign,$T121)*N($L121)-N($M121))</f>
        <v/>
      </c>
      <c r="O121" s="79" t="str">
        <f aca="true">IF($T121="","",INDEX(L_TxnCounts,$T121)&amp;"")</f>
        <v/>
      </c>
      <c r="P121" s="78"/>
      <c r="Q121" s="79" t="str">
        <f aca="false">IF($A121&amp;$C121&amp;$D121&amp;$I121="","",IF($A121="","Missing ID",IF(COUNTIF($A$6:$A$305,$A121)&gt;1,"Duplicate ID",IF(NOT(ISNUMBER($B121)),"Missing date",IF($R121="","Unknown account",IF($D121="","Missing security",IF($S121="","Unknown security",IF($T121="","Unknown type",IF(AND($L121="",$I121&lt;&gt;"Bonus / Split"),"No amount",IF(N($L121)&lt;0,"Type a positive amount; the sign comes from the type",IF(N($M121)&lt;0,"Type charges as a positive amount",IF(N($B121)&gt;ValDate,"Date after valuation",IF(AND(N($B121)&gt;PrevDate,COUNTIFS(Holdings!$B$6:$B$205,$C121,Holdings!$C$6:$C$205,$D121)=0),"No holding row (needed for Period Change)","OK")))))))))))))</f>
        <v/>
      </c>
      <c r="R121" s="89" t="str">
        <f aca="false">IF($C121="","",IFERROR(MATCH($C121,Accounts!$A$6:$A$55,0),""))</f>
        <v/>
      </c>
      <c r="S121" s="89" t="str">
        <f aca="false">IF($D121="","",IFERROR(MATCH($D121,Securities!$A$6:$A$105,0),""))</f>
        <v/>
      </c>
      <c r="T121" s="89" t="str">
        <f aca="true">IF($I121="","",IFERROR(MATCH($I121,L_TxnType,0),""))</f>
        <v/>
      </c>
    </row>
    <row r="122" customFormat="false" ht="15" hidden="false" customHeight="false" outlineLevel="0" collapsed="false">
      <c r="A122" s="77"/>
      <c r="B122" s="80"/>
      <c r="C122" s="78"/>
      <c r="D122" s="78"/>
      <c r="E122" s="79" t="str">
        <f aca="false">IF($R122="","",INDEX(Accounts!$C$6:$C$55,$R122)&amp;"")</f>
        <v/>
      </c>
      <c r="F122" s="79" t="str">
        <f aca="false">IF($S122="","",INDEX(Securities!$B$6:$B$105,$S122)&amp;"")</f>
        <v/>
      </c>
      <c r="G122" s="79" t="str">
        <f aca="false">IF($S122="","",INDEX(Securities!$E$6:$E$105,$S122)&amp;"")</f>
        <v/>
      </c>
      <c r="H122" s="79" t="str">
        <f aca="false">IF($S122="","",INDEX(Securities!$F$6:$F$105,$S122)&amp;"")</f>
        <v/>
      </c>
      <c r="I122" s="78"/>
      <c r="J122" s="81"/>
      <c r="K122" s="94"/>
      <c r="L122" s="82"/>
      <c r="M122" s="82"/>
      <c r="N122" s="85" t="str">
        <f aca="true">IF(OR($I122="",$T122=""),"",INDEX(L_TxnSign,$T122)*N($L122)-N($M122))</f>
        <v/>
      </c>
      <c r="O122" s="79" t="str">
        <f aca="true">IF($T122="","",INDEX(L_TxnCounts,$T122)&amp;"")</f>
        <v/>
      </c>
      <c r="P122" s="78"/>
      <c r="Q122" s="79" t="str">
        <f aca="false">IF($A122&amp;$C122&amp;$D122&amp;$I122="","",IF($A122="","Missing ID",IF(COUNTIF($A$6:$A$305,$A122)&gt;1,"Duplicate ID",IF(NOT(ISNUMBER($B122)),"Missing date",IF($R122="","Unknown account",IF($D122="","Missing security",IF($S122="","Unknown security",IF($T122="","Unknown type",IF(AND($L122="",$I122&lt;&gt;"Bonus / Split"),"No amount",IF(N($L122)&lt;0,"Type a positive amount; the sign comes from the type",IF(N($M122)&lt;0,"Type charges as a positive amount",IF(N($B122)&gt;ValDate,"Date after valuation",IF(AND(N($B122)&gt;PrevDate,COUNTIFS(Holdings!$B$6:$B$205,$C122,Holdings!$C$6:$C$205,$D122)=0),"No holding row (needed for Period Change)","OK")))))))))))))</f>
        <v/>
      </c>
      <c r="R122" s="89" t="str">
        <f aca="false">IF($C122="","",IFERROR(MATCH($C122,Accounts!$A$6:$A$55,0),""))</f>
        <v/>
      </c>
      <c r="S122" s="89" t="str">
        <f aca="false">IF($D122="","",IFERROR(MATCH($D122,Securities!$A$6:$A$105,0),""))</f>
        <v/>
      </c>
      <c r="T122" s="89" t="str">
        <f aca="true">IF($I122="","",IFERROR(MATCH($I122,L_TxnType,0),""))</f>
        <v/>
      </c>
    </row>
    <row r="123" customFormat="false" ht="15" hidden="false" customHeight="false" outlineLevel="0" collapsed="false">
      <c r="A123" s="77"/>
      <c r="B123" s="80"/>
      <c r="C123" s="78"/>
      <c r="D123" s="78"/>
      <c r="E123" s="79" t="str">
        <f aca="false">IF($R123="","",INDEX(Accounts!$C$6:$C$55,$R123)&amp;"")</f>
        <v/>
      </c>
      <c r="F123" s="79" t="str">
        <f aca="false">IF($S123="","",INDEX(Securities!$B$6:$B$105,$S123)&amp;"")</f>
        <v/>
      </c>
      <c r="G123" s="79" t="str">
        <f aca="false">IF($S123="","",INDEX(Securities!$E$6:$E$105,$S123)&amp;"")</f>
        <v/>
      </c>
      <c r="H123" s="79" t="str">
        <f aca="false">IF($S123="","",INDEX(Securities!$F$6:$F$105,$S123)&amp;"")</f>
        <v/>
      </c>
      <c r="I123" s="78"/>
      <c r="J123" s="81"/>
      <c r="K123" s="94"/>
      <c r="L123" s="82"/>
      <c r="M123" s="82"/>
      <c r="N123" s="85" t="str">
        <f aca="true">IF(OR($I123="",$T123=""),"",INDEX(L_TxnSign,$T123)*N($L123)-N($M123))</f>
        <v/>
      </c>
      <c r="O123" s="79" t="str">
        <f aca="true">IF($T123="","",INDEX(L_TxnCounts,$T123)&amp;"")</f>
        <v/>
      </c>
      <c r="P123" s="78"/>
      <c r="Q123" s="79" t="str">
        <f aca="false">IF($A123&amp;$C123&amp;$D123&amp;$I123="","",IF($A123="","Missing ID",IF(COUNTIF($A$6:$A$305,$A123)&gt;1,"Duplicate ID",IF(NOT(ISNUMBER($B123)),"Missing date",IF($R123="","Unknown account",IF($D123="","Missing security",IF($S123="","Unknown security",IF($T123="","Unknown type",IF(AND($L123="",$I123&lt;&gt;"Bonus / Split"),"No amount",IF(N($L123)&lt;0,"Type a positive amount; the sign comes from the type",IF(N($M123)&lt;0,"Type charges as a positive amount",IF(N($B123)&gt;ValDate,"Date after valuation",IF(AND(N($B123)&gt;PrevDate,COUNTIFS(Holdings!$B$6:$B$205,$C123,Holdings!$C$6:$C$205,$D123)=0),"No holding row (needed for Period Change)","OK")))))))))))))</f>
        <v/>
      </c>
      <c r="R123" s="89" t="str">
        <f aca="false">IF($C123="","",IFERROR(MATCH($C123,Accounts!$A$6:$A$55,0),""))</f>
        <v/>
      </c>
      <c r="S123" s="89" t="str">
        <f aca="false">IF($D123="","",IFERROR(MATCH($D123,Securities!$A$6:$A$105,0),""))</f>
        <v/>
      </c>
      <c r="T123" s="89" t="str">
        <f aca="true">IF($I123="","",IFERROR(MATCH($I123,L_TxnType,0),""))</f>
        <v/>
      </c>
    </row>
    <row r="124" customFormat="false" ht="15" hidden="false" customHeight="false" outlineLevel="0" collapsed="false">
      <c r="A124" s="77"/>
      <c r="B124" s="80"/>
      <c r="C124" s="78"/>
      <c r="D124" s="78"/>
      <c r="E124" s="79" t="str">
        <f aca="false">IF($R124="","",INDEX(Accounts!$C$6:$C$55,$R124)&amp;"")</f>
        <v/>
      </c>
      <c r="F124" s="79" t="str">
        <f aca="false">IF($S124="","",INDEX(Securities!$B$6:$B$105,$S124)&amp;"")</f>
        <v/>
      </c>
      <c r="G124" s="79" t="str">
        <f aca="false">IF($S124="","",INDEX(Securities!$E$6:$E$105,$S124)&amp;"")</f>
        <v/>
      </c>
      <c r="H124" s="79" t="str">
        <f aca="false">IF($S124="","",INDEX(Securities!$F$6:$F$105,$S124)&amp;"")</f>
        <v/>
      </c>
      <c r="I124" s="78"/>
      <c r="J124" s="81"/>
      <c r="K124" s="94"/>
      <c r="L124" s="82"/>
      <c r="M124" s="82"/>
      <c r="N124" s="85" t="str">
        <f aca="true">IF(OR($I124="",$T124=""),"",INDEX(L_TxnSign,$T124)*N($L124)-N($M124))</f>
        <v/>
      </c>
      <c r="O124" s="79" t="str">
        <f aca="true">IF($T124="","",INDEX(L_TxnCounts,$T124)&amp;"")</f>
        <v/>
      </c>
      <c r="P124" s="78"/>
      <c r="Q124" s="79" t="str">
        <f aca="false">IF($A124&amp;$C124&amp;$D124&amp;$I124="","",IF($A124="","Missing ID",IF(COUNTIF($A$6:$A$305,$A124)&gt;1,"Duplicate ID",IF(NOT(ISNUMBER($B124)),"Missing date",IF($R124="","Unknown account",IF($D124="","Missing security",IF($S124="","Unknown security",IF($T124="","Unknown type",IF(AND($L124="",$I124&lt;&gt;"Bonus / Split"),"No amount",IF(N($L124)&lt;0,"Type a positive amount; the sign comes from the type",IF(N($M124)&lt;0,"Type charges as a positive amount",IF(N($B124)&gt;ValDate,"Date after valuation",IF(AND(N($B124)&gt;PrevDate,COUNTIFS(Holdings!$B$6:$B$205,$C124,Holdings!$C$6:$C$205,$D124)=0),"No holding row (needed for Period Change)","OK")))))))))))))</f>
        <v/>
      </c>
      <c r="R124" s="89" t="str">
        <f aca="false">IF($C124="","",IFERROR(MATCH($C124,Accounts!$A$6:$A$55,0),""))</f>
        <v/>
      </c>
      <c r="S124" s="89" t="str">
        <f aca="false">IF($D124="","",IFERROR(MATCH($D124,Securities!$A$6:$A$105,0),""))</f>
        <v/>
      </c>
      <c r="T124" s="89" t="str">
        <f aca="true">IF($I124="","",IFERROR(MATCH($I124,L_TxnType,0),""))</f>
        <v/>
      </c>
    </row>
    <row r="125" customFormat="false" ht="15" hidden="false" customHeight="false" outlineLevel="0" collapsed="false">
      <c r="A125" s="77"/>
      <c r="B125" s="80"/>
      <c r="C125" s="78"/>
      <c r="D125" s="78"/>
      <c r="E125" s="79" t="str">
        <f aca="false">IF($R125="","",INDEX(Accounts!$C$6:$C$55,$R125)&amp;"")</f>
        <v/>
      </c>
      <c r="F125" s="79" t="str">
        <f aca="false">IF($S125="","",INDEX(Securities!$B$6:$B$105,$S125)&amp;"")</f>
        <v/>
      </c>
      <c r="G125" s="79" t="str">
        <f aca="false">IF($S125="","",INDEX(Securities!$E$6:$E$105,$S125)&amp;"")</f>
        <v/>
      </c>
      <c r="H125" s="79" t="str">
        <f aca="false">IF($S125="","",INDEX(Securities!$F$6:$F$105,$S125)&amp;"")</f>
        <v/>
      </c>
      <c r="I125" s="78"/>
      <c r="J125" s="81"/>
      <c r="K125" s="94"/>
      <c r="L125" s="82"/>
      <c r="M125" s="82"/>
      <c r="N125" s="85" t="str">
        <f aca="true">IF(OR($I125="",$T125=""),"",INDEX(L_TxnSign,$T125)*N($L125)-N($M125))</f>
        <v/>
      </c>
      <c r="O125" s="79" t="str">
        <f aca="true">IF($T125="","",INDEX(L_TxnCounts,$T125)&amp;"")</f>
        <v/>
      </c>
      <c r="P125" s="78"/>
      <c r="Q125" s="79" t="str">
        <f aca="false">IF($A125&amp;$C125&amp;$D125&amp;$I125="","",IF($A125="","Missing ID",IF(COUNTIF($A$6:$A$305,$A125)&gt;1,"Duplicate ID",IF(NOT(ISNUMBER($B125)),"Missing date",IF($R125="","Unknown account",IF($D125="","Missing security",IF($S125="","Unknown security",IF($T125="","Unknown type",IF(AND($L125="",$I125&lt;&gt;"Bonus / Split"),"No amount",IF(N($L125)&lt;0,"Type a positive amount; the sign comes from the type",IF(N($M125)&lt;0,"Type charges as a positive amount",IF(N($B125)&gt;ValDate,"Date after valuation",IF(AND(N($B125)&gt;PrevDate,COUNTIFS(Holdings!$B$6:$B$205,$C125,Holdings!$C$6:$C$205,$D125)=0),"No holding row (needed for Period Change)","OK")))))))))))))</f>
        <v/>
      </c>
      <c r="R125" s="89" t="str">
        <f aca="false">IF($C125="","",IFERROR(MATCH($C125,Accounts!$A$6:$A$55,0),""))</f>
        <v/>
      </c>
      <c r="S125" s="89" t="str">
        <f aca="false">IF($D125="","",IFERROR(MATCH($D125,Securities!$A$6:$A$105,0),""))</f>
        <v/>
      </c>
      <c r="T125" s="89" t="str">
        <f aca="true">IF($I125="","",IFERROR(MATCH($I125,L_TxnType,0),""))</f>
        <v/>
      </c>
    </row>
    <row r="126" customFormat="false" ht="15" hidden="false" customHeight="false" outlineLevel="0" collapsed="false">
      <c r="A126" s="77"/>
      <c r="B126" s="80"/>
      <c r="C126" s="78"/>
      <c r="D126" s="78"/>
      <c r="E126" s="79" t="str">
        <f aca="false">IF($R126="","",INDEX(Accounts!$C$6:$C$55,$R126)&amp;"")</f>
        <v/>
      </c>
      <c r="F126" s="79" t="str">
        <f aca="false">IF($S126="","",INDEX(Securities!$B$6:$B$105,$S126)&amp;"")</f>
        <v/>
      </c>
      <c r="G126" s="79" t="str">
        <f aca="false">IF($S126="","",INDEX(Securities!$E$6:$E$105,$S126)&amp;"")</f>
        <v/>
      </c>
      <c r="H126" s="79" t="str">
        <f aca="false">IF($S126="","",INDEX(Securities!$F$6:$F$105,$S126)&amp;"")</f>
        <v/>
      </c>
      <c r="I126" s="78"/>
      <c r="J126" s="81"/>
      <c r="K126" s="94"/>
      <c r="L126" s="82"/>
      <c r="M126" s="82"/>
      <c r="N126" s="85" t="str">
        <f aca="true">IF(OR($I126="",$T126=""),"",INDEX(L_TxnSign,$T126)*N($L126)-N($M126))</f>
        <v/>
      </c>
      <c r="O126" s="79" t="str">
        <f aca="true">IF($T126="","",INDEX(L_TxnCounts,$T126)&amp;"")</f>
        <v/>
      </c>
      <c r="P126" s="78"/>
      <c r="Q126" s="79" t="str">
        <f aca="false">IF($A126&amp;$C126&amp;$D126&amp;$I126="","",IF($A126="","Missing ID",IF(COUNTIF($A$6:$A$305,$A126)&gt;1,"Duplicate ID",IF(NOT(ISNUMBER($B126)),"Missing date",IF($R126="","Unknown account",IF($D126="","Missing security",IF($S126="","Unknown security",IF($T126="","Unknown type",IF(AND($L126="",$I126&lt;&gt;"Bonus / Split"),"No amount",IF(N($L126)&lt;0,"Type a positive amount; the sign comes from the type",IF(N($M126)&lt;0,"Type charges as a positive amount",IF(N($B126)&gt;ValDate,"Date after valuation",IF(AND(N($B126)&gt;PrevDate,COUNTIFS(Holdings!$B$6:$B$205,$C126,Holdings!$C$6:$C$205,$D126)=0),"No holding row (needed for Period Change)","OK")))))))))))))</f>
        <v/>
      </c>
      <c r="R126" s="89" t="str">
        <f aca="false">IF($C126="","",IFERROR(MATCH($C126,Accounts!$A$6:$A$55,0),""))</f>
        <v/>
      </c>
      <c r="S126" s="89" t="str">
        <f aca="false">IF($D126="","",IFERROR(MATCH($D126,Securities!$A$6:$A$105,0),""))</f>
        <v/>
      </c>
      <c r="T126" s="89" t="str">
        <f aca="true">IF($I126="","",IFERROR(MATCH($I126,L_TxnType,0),""))</f>
        <v/>
      </c>
    </row>
    <row r="127" customFormat="false" ht="15" hidden="false" customHeight="false" outlineLevel="0" collapsed="false">
      <c r="A127" s="77"/>
      <c r="B127" s="80"/>
      <c r="C127" s="78"/>
      <c r="D127" s="78"/>
      <c r="E127" s="79" t="str">
        <f aca="false">IF($R127="","",INDEX(Accounts!$C$6:$C$55,$R127)&amp;"")</f>
        <v/>
      </c>
      <c r="F127" s="79" t="str">
        <f aca="false">IF($S127="","",INDEX(Securities!$B$6:$B$105,$S127)&amp;"")</f>
        <v/>
      </c>
      <c r="G127" s="79" t="str">
        <f aca="false">IF($S127="","",INDEX(Securities!$E$6:$E$105,$S127)&amp;"")</f>
        <v/>
      </c>
      <c r="H127" s="79" t="str">
        <f aca="false">IF($S127="","",INDEX(Securities!$F$6:$F$105,$S127)&amp;"")</f>
        <v/>
      </c>
      <c r="I127" s="78"/>
      <c r="J127" s="81"/>
      <c r="K127" s="94"/>
      <c r="L127" s="82"/>
      <c r="M127" s="82"/>
      <c r="N127" s="85" t="str">
        <f aca="true">IF(OR($I127="",$T127=""),"",INDEX(L_TxnSign,$T127)*N($L127)-N($M127))</f>
        <v/>
      </c>
      <c r="O127" s="79" t="str">
        <f aca="true">IF($T127="","",INDEX(L_TxnCounts,$T127)&amp;"")</f>
        <v/>
      </c>
      <c r="P127" s="78"/>
      <c r="Q127" s="79" t="str">
        <f aca="false">IF($A127&amp;$C127&amp;$D127&amp;$I127="","",IF($A127="","Missing ID",IF(COUNTIF($A$6:$A$305,$A127)&gt;1,"Duplicate ID",IF(NOT(ISNUMBER($B127)),"Missing date",IF($R127="","Unknown account",IF($D127="","Missing security",IF($S127="","Unknown security",IF($T127="","Unknown type",IF(AND($L127="",$I127&lt;&gt;"Bonus / Split"),"No amount",IF(N($L127)&lt;0,"Type a positive amount; the sign comes from the type",IF(N($M127)&lt;0,"Type charges as a positive amount",IF(N($B127)&gt;ValDate,"Date after valuation",IF(AND(N($B127)&gt;PrevDate,COUNTIFS(Holdings!$B$6:$B$205,$C127,Holdings!$C$6:$C$205,$D127)=0),"No holding row (needed for Period Change)","OK")))))))))))))</f>
        <v/>
      </c>
      <c r="R127" s="89" t="str">
        <f aca="false">IF($C127="","",IFERROR(MATCH($C127,Accounts!$A$6:$A$55,0),""))</f>
        <v/>
      </c>
      <c r="S127" s="89" t="str">
        <f aca="false">IF($D127="","",IFERROR(MATCH($D127,Securities!$A$6:$A$105,0),""))</f>
        <v/>
      </c>
      <c r="T127" s="89" t="str">
        <f aca="true">IF($I127="","",IFERROR(MATCH($I127,L_TxnType,0),""))</f>
        <v/>
      </c>
    </row>
    <row r="128" customFormat="false" ht="15" hidden="false" customHeight="false" outlineLevel="0" collapsed="false">
      <c r="A128" s="77"/>
      <c r="B128" s="80"/>
      <c r="C128" s="78"/>
      <c r="D128" s="78"/>
      <c r="E128" s="79" t="str">
        <f aca="false">IF($R128="","",INDEX(Accounts!$C$6:$C$55,$R128)&amp;"")</f>
        <v/>
      </c>
      <c r="F128" s="79" t="str">
        <f aca="false">IF($S128="","",INDEX(Securities!$B$6:$B$105,$S128)&amp;"")</f>
        <v/>
      </c>
      <c r="G128" s="79" t="str">
        <f aca="false">IF($S128="","",INDEX(Securities!$E$6:$E$105,$S128)&amp;"")</f>
        <v/>
      </c>
      <c r="H128" s="79" t="str">
        <f aca="false">IF($S128="","",INDEX(Securities!$F$6:$F$105,$S128)&amp;"")</f>
        <v/>
      </c>
      <c r="I128" s="78"/>
      <c r="J128" s="81"/>
      <c r="K128" s="94"/>
      <c r="L128" s="82"/>
      <c r="M128" s="82"/>
      <c r="N128" s="85" t="str">
        <f aca="true">IF(OR($I128="",$T128=""),"",INDEX(L_TxnSign,$T128)*N($L128)-N($M128))</f>
        <v/>
      </c>
      <c r="O128" s="79" t="str">
        <f aca="true">IF($T128="","",INDEX(L_TxnCounts,$T128)&amp;"")</f>
        <v/>
      </c>
      <c r="P128" s="78"/>
      <c r="Q128" s="79" t="str">
        <f aca="false">IF($A128&amp;$C128&amp;$D128&amp;$I128="","",IF($A128="","Missing ID",IF(COUNTIF($A$6:$A$305,$A128)&gt;1,"Duplicate ID",IF(NOT(ISNUMBER($B128)),"Missing date",IF($R128="","Unknown account",IF($D128="","Missing security",IF($S128="","Unknown security",IF($T128="","Unknown type",IF(AND($L128="",$I128&lt;&gt;"Bonus / Split"),"No amount",IF(N($L128)&lt;0,"Type a positive amount; the sign comes from the type",IF(N($M128)&lt;0,"Type charges as a positive amount",IF(N($B128)&gt;ValDate,"Date after valuation",IF(AND(N($B128)&gt;PrevDate,COUNTIFS(Holdings!$B$6:$B$205,$C128,Holdings!$C$6:$C$205,$D128)=0),"No holding row (needed for Period Change)","OK")))))))))))))</f>
        <v/>
      </c>
      <c r="R128" s="89" t="str">
        <f aca="false">IF($C128="","",IFERROR(MATCH($C128,Accounts!$A$6:$A$55,0),""))</f>
        <v/>
      </c>
      <c r="S128" s="89" t="str">
        <f aca="false">IF($D128="","",IFERROR(MATCH($D128,Securities!$A$6:$A$105,0),""))</f>
        <v/>
      </c>
      <c r="T128" s="89" t="str">
        <f aca="true">IF($I128="","",IFERROR(MATCH($I128,L_TxnType,0),""))</f>
        <v/>
      </c>
    </row>
    <row r="129" customFormat="false" ht="15" hidden="false" customHeight="false" outlineLevel="0" collapsed="false">
      <c r="A129" s="77"/>
      <c r="B129" s="80"/>
      <c r="C129" s="78"/>
      <c r="D129" s="78"/>
      <c r="E129" s="79" t="str">
        <f aca="false">IF($R129="","",INDEX(Accounts!$C$6:$C$55,$R129)&amp;"")</f>
        <v/>
      </c>
      <c r="F129" s="79" t="str">
        <f aca="false">IF($S129="","",INDEX(Securities!$B$6:$B$105,$S129)&amp;"")</f>
        <v/>
      </c>
      <c r="G129" s="79" t="str">
        <f aca="false">IF($S129="","",INDEX(Securities!$E$6:$E$105,$S129)&amp;"")</f>
        <v/>
      </c>
      <c r="H129" s="79" t="str">
        <f aca="false">IF($S129="","",INDEX(Securities!$F$6:$F$105,$S129)&amp;"")</f>
        <v/>
      </c>
      <c r="I129" s="78"/>
      <c r="J129" s="81"/>
      <c r="K129" s="94"/>
      <c r="L129" s="82"/>
      <c r="M129" s="82"/>
      <c r="N129" s="85" t="str">
        <f aca="true">IF(OR($I129="",$T129=""),"",INDEX(L_TxnSign,$T129)*N($L129)-N($M129))</f>
        <v/>
      </c>
      <c r="O129" s="79" t="str">
        <f aca="true">IF($T129="","",INDEX(L_TxnCounts,$T129)&amp;"")</f>
        <v/>
      </c>
      <c r="P129" s="78"/>
      <c r="Q129" s="79" t="str">
        <f aca="false">IF($A129&amp;$C129&amp;$D129&amp;$I129="","",IF($A129="","Missing ID",IF(COUNTIF($A$6:$A$305,$A129)&gt;1,"Duplicate ID",IF(NOT(ISNUMBER($B129)),"Missing date",IF($R129="","Unknown account",IF($D129="","Missing security",IF($S129="","Unknown security",IF($T129="","Unknown type",IF(AND($L129="",$I129&lt;&gt;"Bonus / Split"),"No amount",IF(N($L129)&lt;0,"Type a positive amount; the sign comes from the type",IF(N($M129)&lt;0,"Type charges as a positive amount",IF(N($B129)&gt;ValDate,"Date after valuation",IF(AND(N($B129)&gt;PrevDate,COUNTIFS(Holdings!$B$6:$B$205,$C129,Holdings!$C$6:$C$205,$D129)=0),"No holding row (needed for Period Change)","OK")))))))))))))</f>
        <v/>
      </c>
      <c r="R129" s="89" t="str">
        <f aca="false">IF($C129="","",IFERROR(MATCH($C129,Accounts!$A$6:$A$55,0),""))</f>
        <v/>
      </c>
      <c r="S129" s="89" t="str">
        <f aca="false">IF($D129="","",IFERROR(MATCH($D129,Securities!$A$6:$A$105,0),""))</f>
        <v/>
      </c>
      <c r="T129" s="89" t="str">
        <f aca="true">IF($I129="","",IFERROR(MATCH($I129,L_TxnType,0),""))</f>
        <v/>
      </c>
    </row>
    <row r="130" customFormat="false" ht="15" hidden="false" customHeight="false" outlineLevel="0" collapsed="false">
      <c r="A130" s="77"/>
      <c r="B130" s="80"/>
      <c r="C130" s="78"/>
      <c r="D130" s="78"/>
      <c r="E130" s="79" t="str">
        <f aca="false">IF($R130="","",INDEX(Accounts!$C$6:$C$55,$R130)&amp;"")</f>
        <v/>
      </c>
      <c r="F130" s="79" t="str">
        <f aca="false">IF($S130="","",INDEX(Securities!$B$6:$B$105,$S130)&amp;"")</f>
        <v/>
      </c>
      <c r="G130" s="79" t="str">
        <f aca="false">IF($S130="","",INDEX(Securities!$E$6:$E$105,$S130)&amp;"")</f>
        <v/>
      </c>
      <c r="H130" s="79" t="str">
        <f aca="false">IF($S130="","",INDEX(Securities!$F$6:$F$105,$S130)&amp;"")</f>
        <v/>
      </c>
      <c r="I130" s="78"/>
      <c r="J130" s="81"/>
      <c r="K130" s="94"/>
      <c r="L130" s="82"/>
      <c r="M130" s="82"/>
      <c r="N130" s="85" t="str">
        <f aca="true">IF(OR($I130="",$T130=""),"",INDEX(L_TxnSign,$T130)*N($L130)-N($M130))</f>
        <v/>
      </c>
      <c r="O130" s="79" t="str">
        <f aca="true">IF($T130="","",INDEX(L_TxnCounts,$T130)&amp;"")</f>
        <v/>
      </c>
      <c r="P130" s="78"/>
      <c r="Q130" s="79" t="str">
        <f aca="false">IF($A130&amp;$C130&amp;$D130&amp;$I130="","",IF($A130="","Missing ID",IF(COUNTIF($A$6:$A$305,$A130)&gt;1,"Duplicate ID",IF(NOT(ISNUMBER($B130)),"Missing date",IF($R130="","Unknown account",IF($D130="","Missing security",IF($S130="","Unknown security",IF($T130="","Unknown type",IF(AND($L130="",$I130&lt;&gt;"Bonus / Split"),"No amount",IF(N($L130)&lt;0,"Type a positive amount; the sign comes from the type",IF(N($M130)&lt;0,"Type charges as a positive amount",IF(N($B130)&gt;ValDate,"Date after valuation",IF(AND(N($B130)&gt;PrevDate,COUNTIFS(Holdings!$B$6:$B$205,$C130,Holdings!$C$6:$C$205,$D130)=0),"No holding row (needed for Period Change)","OK")))))))))))))</f>
        <v/>
      </c>
      <c r="R130" s="89" t="str">
        <f aca="false">IF($C130="","",IFERROR(MATCH($C130,Accounts!$A$6:$A$55,0),""))</f>
        <v/>
      </c>
      <c r="S130" s="89" t="str">
        <f aca="false">IF($D130="","",IFERROR(MATCH($D130,Securities!$A$6:$A$105,0),""))</f>
        <v/>
      </c>
      <c r="T130" s="89" t="str">
        <f aca="true">IF($I130="","",IFERROR(MATCH($I130,L_TxnType,0),""))</f>
        <v/>
      </c>
    </row>
    <row r="131" customFormat="false" ht="15" hidden="false" customHeight="false" outlineLevel="0" collapsed="false">
      <c r="A131" s="77"/>
      <c r="B131" s="80"/>
      <c r="C131" s="78"/>
      <c r="D131" s="78"/>
      <c r="E131" s="79" t="str">
        <f aca="false">IF($R131="","",INDEX(Accounts!$C$6:$C$55,$R131)&amp;"")</f>
        <v/>
      </c>
      <c r="F131" s="79" t="str">
        <f aca="false">IF($S131="","",INDEX(Securities!$B$6:$B$105,$S131)&amp;"")</f>
        <v/>
      </c>
      <c r="G131" s="79" t="str">
        <f aca="false">IF($S131="","",INDEX(Securities!$E$6:$E$105,$S131)&amp;"")</f>
        <v/>
      </c>
      <c r="H131" s="79" t="str">
        <f aca="false">IF($S131="","",INDEX(Securities!$F$6:$F$105,$S131)&amp;"")</f>
        <v/>
      </c>
      <c r="I131" s="78"/>
      <c r="J131" s="81"/>
      <c r="K131" s="94"/>
      <c r="L131" s="82"/>
      <c r="M131" s="82"/>
      <c r="N131" s="85" t="str">
        <f aca="true">IF(OR($I131="",$T131=""),"",INDEX(L_TxnSign,$T131)*N($L131)-N($M131))</f>
        <v/>
      </c>
      <c r="O131" s="79" t="str">
        <f aca="true">IF($T131="","",INDEX(L_TxnCounts,$T131)&amp;"")</f>
        <v/>
      </c>
      <c r="P131" s="78"/>
      <c r="Q131" s="79" t="str">
        <f aca="false">IF($A131&amp;$C131&amp;$D131&amp;$I131="","",IF($A131="","Missing ID",IF(COUNTIF($A$6:$A$305,$A131)&gt;1,"Duplicate ID",IF(NOT(ISNUMBER($B131)),"Missing date",IF($R131="","Unknown account",IF($D131="","Missing security",IF($S131="","Unknown security",IF($T131="","Unknown type",IF(AND($L131="",$I131&lt;&gt;"Bonus / Split"),"No amount",IF(N($L131)&lt;0,"Type a positive amount; the sign comes from the type",IF(N($M131)&lt;0,"Type charges as a positive amount",IF(N($B131)&gt;ValDate,"Date after valuation",IF(AND(N($B131)&gt;PrevDate,COUNTIFS(Holdings!$B$6:$B$205,$C131,Holdings!$C$6:$C$205,$D131)=0),"No holding row (needed for Period Change)","OK")))))))))))))</f>
        <v/>
      </c>
      <c r="R131" s="89" t="str">
        <f aca="false">IF($C131="","",IFERROR(MATCH($C131,Accounts!$A$6:$A$55,0),""))</f>
        <v/>
      </c>
      <c r="S131" s="89" t="str">
        <f aca="false">IF($D131="","",IFERROR(MATCH($D131,Securities!$A$6:$A$105,0),""))</f>
        <v/>
      </c>
      <c r="T131" s="89" t="str">
        <f aca="true">IF($I131="","",IFERROR(MATCH($I131,L_TxnType,0),""))</f>
        <v/>
      </c>
    </row>
    <row r="132" customFormat="false" ht="15" hidden="false" customHeight="false" outlineLevel="0" collapsed="false">
      <c r="A132" s="77"/>
      <c r="B132" s="80"/>
      <c r="C132" s="78"/>
      <c r="D132" s="78"/>
      <c r="E132" s="79" t="str">
        <f aca="false">IF($R132="","",INDEX(Accounts!$C$6:$C$55,$R132)&amp;"")</f>
        <v/>
      </c>
      <c r="F132" s="79" t="str">
        <f aca="false">IF($S132="","",INDEX(Securities!$B$6:$B$105,$S132)&amp;"")</f>
        <v/>
      </c>
      <c r="G132" s="79" t="str">
        <f aca="false">IF($S132="","",INDEX(Securities!$E$6:$E$105,$S132)&amp;"")</f>
        <v/>
      </c>
      <c r="H132" s="79" t="str">
        <f aca="false">IF($S132="","",INDEX(Securities!$F$6:$F$105,$S132)&amp;"")</f>
        <v/>
      </c>
      <c r="I132" s="78"/>
      <c r="J132" s="81"/>
      <c r="K132" s="94"/>
      <c r="L132" s="82"/>
      <c r="M132" s="82"/>
      <c r="N132" s="85" t="str">
        <f aca="true">IF(OR($I132="",$T132=""),"",INDEX(L_TxnSign,$T132)*N($L132)-N($M132))</f>
        <v/>
      </c>
      <c r="O132" s="79" t="str">
        <f aca="true">IF($T132="","",INDEX(L_TxnCounts,$T132)&amp;"")</f>
        <v/>
      </c>
      <c r="P132" s="78"/>
      <c r="Q132" s="79" t="str">
        <f aca="false">IF($A132&amp;$C132&amp;$D132&amp;$I132="","",IF($A132="","Missing ID",IF(COUNTIF($A$6:$A$305,$A132)&gt;1,"Duplicate ID",IF(NOT(ISNUMBER($B132)),"Missing date",IF($R132="","Unknown account",IF($D132="","Missing security",IF($S132="","Unknown security",IF($T132="","Unknown type",IF(AND($L132="",$I132&lt;&gt;"Bonus / Split"),"No amount",IF(N($L132)&lt;0,"Type a positive amount; the sign comes from the type",IF(N($M132)&lt;0,"Type charges as a positive amount",IF(N($B132)&gt;ValDate,"Date after valuation",IF(AND(N($B132)&gt;PrevDate,COUNTIFS(Holdings!$B$6:$B$205,$C132,Holdings!$C$6:$C$205,$D132)=0),"No holding row (needed for Period Change)","OK")))))))))))))</f>
        <v/>
      </c>
      <c r="R132" s="89" t="str">
        <f aca="false">IF($C132="","",IFERROR(MATCH($C132,Accounts!$A$6:$A$55,0),""))</f>
        <v/>
      </c>
      <c r="S132" s="89" t="str">
        <f aca="false">IF($D132="","",IFERROR(MATCH($D132,Securities!$A$6:$A$105,0),""))</f>
        <v/>
      </c>
      <c r="T132" s="89" t="str">
        <f aca="true">IF($I132="","",IFERROR(MATCH($I132,L_TxnType,0),""))</f>
        <v/>
      </c>
    </row>
    <row r="133" customFormat="false" ht="15" hidden="false" customHeight="false" outlineLevel="0" collapsed="false">
      <c r="A133" s="77"/>
      <c r="B133" s="80"/>
      <c r="C133" s="78"/>
      <c r="D133" s="78"/>
      <c r="E133" s="79" t="str">
        <f aca="false">IF($R133="","",INDEX(Accounts!$C$6:$C$55,$R133)&amp;"")</f>
        <v/>
      </c>
      <c r="F133" s="79" t="str">
        <f aca="false">IF($S133="","",INDEX(Securities!$B$6:$B$105,$S133)&amp;"")</f>
        <v/>
      </c>
      <c r="G133" s="79" t="str">
        <f aca="false">IF($S133="","",INDEX(Securities!$E$6:$E$105,$S133)&amp;"")</f>
        <v/>
      </c>
      <c r="H133" s="79" t="str">
        <f aca="false">IF($S133="","",INDEX(Securities!$F$6:$F$105,$S133)&amp;"")</f>
        <v/>
      </c>
      <c r="I133" s="78"/>
      <c r="J133" s="81"/>
      <c r="K133" s="94"/>
      <c r="L133" s="82"/>
      <c r="M133" s="82"/>
      <c r="N133" s="85" t="str">
        <f aca="true">IF(OR($I133="",$T133=""),"",INDEX(L_TxnSign,$T133)*N($L133)-N($M133))</f>
        <v/>
      </c>
      <c r="O133" s="79" t="str">
        <f aca="true">IF($T133="","",INDEX(L_TxnCounts,$T133)&amp;"")</f>
        <v/>
      </c>
      <c r="P133" s="78"/>
      <c r="Q133" s="79" t="str">
        <f aca="false">IF($A133&amp;$C133&amp;$D133&amp;$I133="","",IF($A133="","Missing ID",IF(COUNTIF($A$6:$A$305,$A133)&gt;1,"Duplicate ID",IF(NOT(ISNUMBER($B133)),"Missing date",IF($R133="","Unknown account",IF($D133="","Missing security",IF($S133="","Unknown security",IF($T133="","Unknown type",IF(AND($L133="",$I133&lt;&gt;"Bonus / Split"),"No amount",IF(N($L133)&lt;0,"Type a positive amount; the sign comes from the type",IF(N($M133)&lt;0,"Type charges as a positive amount",IF(N($B133)&gt;ValDate,"Date after valuation",IF(AND(N($B133)&gt;PrevDate,COUNTIFS(Holdings!$B$6:$B$205,$C133,Holdings!$C$6:$C$205,$D133)=0),"No holding row (needed for Period Change)","OK")))))))))))))</f>
        <v/>
      </c>
      <c r="R133" s="89" t="str">
        <f aca="false">IF($C133="","",IFERROR(MATCH($C133,Accounts!$A$6:$A$55,0),""))</f>
        <v/>
      </c>
      <c r="S133" s="89" t="str">
        <f aca="false">IF($D133="","",IFERROR(MATCH($D133,Securities!$A$6:$A$105,0),""))</f>
        <v/>
      </c>
      <c r="T133" s="89" t="str">
        <f aca="true">IF($I133="","",IFERROR(MATCH($I133,L_TxnType,0),""))</f>
        <v/>
      </c>
    </row>
    <row r="134" customFormat="false" ht="15" hidden="false" customHeight="false" outlineLevel="0" collapsed="false">
      <c r="A134" s="77"/>
      <c r="B134" s="80"/>
      <c r="C134" s="78"/>
      <c r="D134" s="78"/>
      <c r="E134" s="79" t="str">
        <f aca="false">IF($R134="","",INDEX(Accounts!$C$6:$C$55,$R134)&amp;"")</f>
        <v/>
      </c>
      <c r="F134" s="79" t="str">
        <f aca="false">IF($S134="","",INDEX(Securities!$B$6:$B$105,$S134)&amp;"")</f>
        <v/>
      </c>
      <c r="G134" s="79" t="str">
        <f aca="false">IF($S134="","",INDEX(Securities!$E$6:$E$105,$S134)&amp;"")</f>
        <v/>
      </c>
      <c r="H134" s="79" t="str">
        <f aca="false">IF($S134="","",INDEX(Securities!$F$6:$F$105,$S134)&amp;"")</f>
        <v/>
      </c>
      <c r="I134" s="78"/>
      <c r="J134" s="81"/>
      <c r="K134" s="94"/>
      <c r="L134" s="82"/>
      <c r="M134" s="82"/>
      <c r="N134" s="85" t="str">
        <f aca="true">IF(OR($I134="",$T134=""),"",INDEX(L_TxnSign,$T134)*N($L134)-N($M134))</f>
        <v/>
      </c>
      <c r="O134" s="79" t="str">
        <f aca="true">IF($T134="","",INDEX(L_TxnCounts,$T134)&amp;"")</f>
        <v/>
      </c>
      <c r="P134" s="78"/>
      <c r="Q134" s="79" t="str">
        <f aca="false">IF($A134&amp;$C134&amp;$D134&amp;$I134="","",IF($A134="","Missing ID",IF(COUNTIF($A$6:$A$305,$A134)&gt;1,"Duplicate ID",IF(NOT(ISNUMBER($B134)),"Missing date",IF($R134="","Unknown account",IF($D134="","Missing security",IF($S134="","Unknown security",IF($T134="","Unknown type",IF(AND($L134="",$I134&lt;&gt;"Bonus / Split"),"No amount",IF(N($L134)&lt;0,"Type a positive amount; the sign comes from the type",IF(N($M134)&lt;0,"Type charges as a positive amount",IF(N($B134)&gt;ValDate,"Date after valuation",IF(AND(N($B134)&gt;PrevDate,COUNTIFS(Holdings!$B$6:$B$205,$C134,Holdings!$C$6:$C$205,$D134)=0),"No holding row (needed for Period Change)","OK")))))))))))))</f>
        <v/>
      </c>
      <c r="R134" s="89" t="str">
        <f aca="false">IF($C134="","",IFERROR(MATCH($C134,Accounts!$A$6:$A$55,0),""))</f>
        <v/>
      </c>
      <c r="S134" s="89" t="str">
        <f aca="false">IF($D134="","",IFERROR(MATCH($D134,Securities!$A$6:$A$105,0),""))</f>
        <v/>
      </c>
      <c r="T134" s="89" t="str">
        <f aca="true">IF($I134="","",IFERROR(MATCH($I134,L_TxnType,0),""))</f>
        <v/>
      </c>
    </row>
    <row r="135" customFormat="false" ht="15" hidden="false" customHeight="false" outlineLevel="0" collapsed="false">
      <c r="A135" s="77"/>
      <c r="B135" s="80"/>
      <c r="C135" s="78"/>
      <c r="D135" s="78"/>
      <c r="E135" s="79" t="str">
        <f aca="false">IF($R135="","",INDEX(Accounts!$C$6:$C$55,$R135)&amp;"")</f>
        <v/>
      </c>
      <c r="F135" s="79" t="str">
        <f aca="false">IF($S135="","",INDEX(Securities!$B$6:$B$105,$S135)&amp;"")</f>
        <v/>
      </c>
      <c r="G135" s="79" t="str">
        <f aca="false">IF($S135="","",INDEX(Securities!$E$6:$E$105,$S135)&amp;"")</f>
        <v/>
      </c>
      <c r="H135" s="79" t="str">
        <f aca="false">IF($S135="","",INDEX(Securities!$F$6:$F$105,$S135)&amp;"")</f>
        <v/>
      </c>
      <c r="I135" s="78"/>
      <c r="J135" s="81"/>
      <c r="K135" s="94"/>
      <c r="L135" s="82"/>
      <c r="M135" s="82"/>
      <c r="N135" s="85" t="str">
        <f aca="true">IF(OR($I135="",$T135=""),"",INDEX(L_TxnSign,$T135)*N($L135)-N($M135))</f>
        <v/>
      </c>
      <c r="O135" s="79" t="str">
        <f aca="true">IF($T135="","",INDEX(L_TxnCounts,$T135)&amp;"")</f>
        <v/>
      </c>
      <c r="P135" s="78"/>
      <c r="Q135" s="79" t="str">
        <f aca="false">IF($A135&amp;$C135&amp;$D135&amp;$I135="","",IF($A135="","Missing ID",IF(COUNTIF($A$6:$A$305,$A135)&gt;1,"Duplicate ID",IF(NOT(ISNUMBER($B135)),"Missing date",IF($R135="","Unknown account",IF($D135="","Missing security",IF($S135="","Unknown security",IF($T135="","Unknown type",IF(AND($L135="",$I135&lt;&gt;"Bonus / Split"),"No amount",IF(N($L135)&lt;0,"Type a positive amount; the sign comes from the type",IF(N($M135)&lt;0,"Type charges as a positive amount",IF(N($B135)&gt;ValDate,"Date after valuation",IF(AND(N($B135)&gt;PrevDate,COUNTIFS(Holdings!$B$6:$B$205,$C135,Holdings!$C$6:$C$205,$D135)=0),"No holding row (needed for Period Change)","OK")))))))))))))</f>
        <v/>
      </c>
      <c r="R135" s="89" t="str">
        <f aca="false">IF($C135="","",IFERROR(MATCH($C135,Accounts!$A$6:$A$55,0),""))</f>
        <v/>
      </c>
      <c r="S135" s="89" t="str">
        <f aca="false">IF($D135="","",IFERROR(MATCH($D135,Securities!$A$6:$A$105,0),""))</f>
        <v/>
      </c>
      <c r="T135" s="89" t="str">
        <f aca="true">IF($I135="","",IFERROR(MATCH($I135,L_TxnType,0),""))</f>
        <v/>
      </c>
    </row>
    <row r="136" customFormat="false" ht="15" hidden="false" customHeight="false" outlineLevel="0" collapsed="false">
      <c r="A136" s="77"/>
      <c r="B136" s="80"/>
      <c r="C136" s="78"/>
      <c r="D136" s="78"/>
      <c r="E136" s="79" t="str">
        <f aca="false">IF($R136="","",INDEX(Accounts!$C$6:$C$55,$R136)&amp;"")</f>
        <v/>
      </c>
      <c r="F136" s="79" t="str">
        <f aca="false">IF($S136="","",INDEX(Securities!$B$6:$B$105,$S136)&amp;"")</f>
        <v/>
      </c>
      <c r="G136" s="79" t="str">
        <f aca="false">IF($S136="","",INDEX(Securities!$E$6:$E$105,$S136)&amp;"")</f>
        <v/>
      </c>
      <c r="H136" s="79" t="str">
        <f aca="false">IF($S136="","",INDEX(Securities!$F$6:$F$105,$S136)&amp;"")</f>
        <v/>
      </c>
      <c r="I136" s="78"/>
      <c r="J136" s="81"/>
      <c r="K136" s="94"/>
      <c r="L136" s="82"/>
      <c r="M136" s="82"/>
      <c r="N136" s="85" t="str">
        <f aca="true">IF(OR($I136="",$T136=""),"",INDEX(L_TxnSign,$T136)*N($L136)-N($M136))</f>
        <v/>
      </c>
      <c r="O136" s="79" t="str">
        <f aca="true">IF($T136="","",INDEX(L_TxnCounts,$T136)&amp;"")</f>
        <v/>
      </c>
      <c r="P136" s="78"/>
      <c r="Q136" s="79" t="str">
        <f aca="false">IF($A136&amp;$C136&amp;$D136&amp;$I136="","",IF($A136="","Missing ID",IF(COUNTIF($A$6:$A$305,$A136)&gt;1,"Duplicate ID",IF(NOT(ISNUMBER($B136)),"Missing date",IF($R136="","Unknown account",IF($D136="","Missing security",IF($S136="","Unknown security",IF($T136="","Unknown type",IF(AND($L136="",$I136&lt;&gt;"Bonus / Split"),"No amount",IF(N($L136)&lt;0,"Type a positive amount; the sign comes from the type",IF(N($M136)&lt;0,"Type charges as a positive amount",IF(N($B136)&gt;ValDate,"Date after valuation",IF(AND(N($B136)&gt;PrevDate,COUNTIFS(Holdings!$B$6:$B$205,$C136,Holdings!$C$6:$C$205,$D136)=0),"No holding row (needed for Period Change)","OK")))))))))))))</f>
        <v/>
      </c>
      <c r="R136" s="89" t="str">
        <f aca="false">IF($C136="","",IFERROR(MATCH($C136,Accounts!$A$6:$A$55,0),""))</f>
        <v/>
      </c>
      <c r="S136" s="89" t="str">
        <f aca="false">IF($D136="","",IFERROR(MATCH($D136,Securities!$A$6:$A$105,0),""))</f>
        <v/>
      </c>
      <c r="T136" s="89" t="str">
        <f aca="true">IF($I136="","",IFERROR(MATCH($I136,L_TxnType,0),""))</f>
        <v/>
      </c>
    </row>
    <row r="137" customFormat="false" ht="15" hidden="false" customHeight="false" outlineLevel="0" collapsed="false">
      <c r="A137" s="77"/>
      <c r="B137" s="80"/>
      <c r="C137" s="78"/>
      <c r="D137" s="78"/>
      <c r="E137" s="79" t="str">
        <f aca="false">IF($R137="","",INDEX(Accounts!$C$6:$C$55,$R137)&amp;"")</f>
        <v/>
      </c>
      <c r="F137" s="79" t="str">
        <f aca="false">IF($S137="","",INDEX(Securities!$B$6:$B$105,$S137)&amp;"")</f>
        <v/>
      </c>
      <c r="G137" s="79" t="str">
        <f aca="false">IF($S137="","",INDEX(Securities!$E$6:$E$105,$S137)&amp;"")</f>
        <v/>
      </c>
      <c r="H137" s="79" t="str">
        <f aca="false">IF($S137="","",INDEX(Securities!$F$6:$F$105,$S137)&amp;"")</f>
        <v/>
      </c>
      <c r="I137" s="78"/>
      <c r="J137" s="81"/>
      <c r="K137" s="94"/>
      <c r="L137" s="82"/>
      <c r="M137" s="82"/>
      <c r="N137" s="85" t="str">
        <f aca="true">IF(OR($I137="",$T137=""),"",INDEX(L_TxnSign,$T137)*N($L137)-N($M137))</f>
        <v/>
      </c>
      <c r="O137" s="79" t="str">
        <f aca="true">IF($T137="","",INDEX(L_TxnCounts,$T137)&amp;"")</f>
        <v/>
      </c>
      <c r="P137" s="78"/>
      <c r="Q137" s="79" t="str">
        <f aca="false">IF($A137&amp;$C137&amp;$D137&amp;$I137="","",IF($A137="","Missing ID",IF(COUNTIF($A$6:$A$305,$A137)&gt;1,"Duplicate ID",IF(NOT(ISNUMBER($B137)),"Missing date",IF($R137="","Unknown account",IF($D137="","Missing security",IF($S137="","Unknown security",IF($T137="","Unknown type",IF(AND($L137="",$I137&lt;&gt;"Bonus / Split"),"No amount",IF(N($L137)&lt;0,"Type a positive amount; the sign comes from the type",IF(N($M137)&lt;0,"Type charges as a positive amount",IF(N($B137)&gt;ValDate,"Date after valuation",IF(AND(N($B137)&gt;PrevDate,COUNTIFS(Holdings!$B$6:$B$205,$C137,Holdings!$C$6:$C$205,$D137)=0),"No holding row (needed for Period Change)","OK")))))))))))))</f>
        <v/>
      </c>
      <c r="R137" s="89" t="str">
        <f aca="false">IF($C137="","",IFERROR(MATCH($C137,Accounts!$A$6:$A$55,0),""))</f>
        <v/>
      </c>
      <c r="S137" s="89" t="str">
        <f aca="false">IF($D137="","",IFERROR(MATCH($D137,Securities!$A$6:$A$105,0),""))</f>
        <v/>
      </c>
      <c r="T137" s="89" t="str">
        <f aca="true">IF($I137="","",IFERROR(MATCH($I137,L_TxnType,0),""))</f>
        <v/>
      </c>
    </row>
    <row r="138" customFormat="false" ht="15" hidden="false" customHeight="false" outlineLevel="0" collapsed="false">
      <c r="A138" s="77"/>
      <c r="B138" s="80"/>
      <c r="C138" s="78"/>
      <c r="D138" s="78"/>
      <c r="E138" s="79" t="str">
        <f aca="false">IF($R138="","",INDEX(Accounts!$C$6:$C$55,$R138)&amp;"")</f>
        <v/>
      </c>
      <c r="F138" s="79" t="str">
        <f aca="false">IF($S138="","",INDEX(Securities!$B$6:$B$105,$S138)&amp;"")</f>
        <v/>
      </c>
      <c r="G138" s="79" t="str">
        <f aca="false">IF($S138="","",INDEX(Securities!$E$6:$E$105,$S138)&amp;"")</f>
        <v/>
      </c>
      <c r="H138" s="79" t="str">
        <f aca="false">IF($S138="","",INDEX(Securities!$F$6:$F$105,$S138)&amp;"")</f>
        <v/>
      </c>
      <c r="I138" s="78"/>
      <c r="J138" s="81"/>
      <c r="K138" s="94"/>
      <c r="L138" s="82"/>
      <c r="M138" s="82"/>
      <c r="N138" s="85" t="str">
        <f aca="true">IF(OR($I138="",$T138=""),"",INDEX(L_TxnSign,$T138)*N($L138)-N($M138))</f>
        <v/>
      </c>
      <c r="O138" s="79" t="str">
        <f aca="true">IF($T138="","",INDEX(L_TxnCounts,$T138)&amp;"")</f>
        <v/>
      </c>
      <c r="P138" s="78"/>
      <c r="Q138" s="79" t="str">
        <f aca="false">IF($A138&amp;$C138&amp;$D138&amp;$I138="","",IF($A138="","Missing ID",IF(COUNTIF($A$6:$A$305,$A138)&gt;1,"Duplicate ID",IF(NOT(ISNUMBER($B138)),"Missing date",IF($R138="","Unknown account",IF($D138="","Missing security",IF($S138="","Unknown security",IF($T138="","Unknown type",IF(AND($L138="",$I138&lt;&gt;"Bonus / Split"),"No amount",IF(N($L138)&lt;0,"Type a positive amount; the sign comes from the type",IF(N($M138)&lt;0,"Type charges as a positive amount",IF(N($B138)&gt;ValDate,"Date after valuation",IF(AND(N($B138)&gt;PrevDate,COUNTIFS(Holdings!$B$6:$B$205,$C138,Holdings!$C$6:$C$205,$D138)=0),"No holding row (needed for Period Change)","OK")))))))))))))</f>
        <v/>
      </c>
      <c r="R138" s="89" t="str">
        <f aca="false">IF($C138="","",IFERROR(MATCH($C138,Accounts!$A$6:$A$55,0),""))</f>
        <v/>
      </c>
      <c r="S138" s="89" t="str">
        <f aca="false">IF($D138="","",IFERROR(MATCH($D138,Securities!$A$6:$A$105,0),""))</f>
        <v/>
      </c>
      <c r="T138" s="89" t="str">
        <f aca="true">IF($I138="","",IFERROR(MATCH($I138,L_TxnType,0),""))</f>
        <v/>
      </c>
    </row>
    <row r="139" customFormat="false" ht="15" hidden="false" customHeight="false" outlineLevel="0" collapsed="false">
      <c r="A139" s="77"/>
      <c r="B139" s="80"/>
      <c r="C139" s="78"/>
      <c r="D139" s="78"/>
      <c r="E139" s="79" t="str">
        <f aca="false">IF($R139="","",INDEX(Accounts!$C$6:$C$55,$R139)&amp;"")</f>
        <v/>
      </c>
      <c r="F139" s="79" t="str">
        <f aca="false">IF($S139="","",INDEX(Securities!$B$6:$B$105,$S139)&amp;"")</f>
        <v/>
      </c>
      <c r="G139" s="79" t="str">
        <f aca="false">IF($S139="","",INDEX(Securities!$E$6:$E$105,$S139)&amp;"")</f>
        <v/>
      </c>
      <c r="H139" s="79" t="str">
        <f aca="false">IF($S139="","",INDEX(Securities!$F$6:$F$105,$S139)&amp;"")</f>
        <v/>
      </c>
      <c r="I139" s="78"/>
      <c r="J139" s="81"/>
      <c r="K139" s="94"/>
      <c r="L139" s="82"/>
      <c r="M139" s="82"/>
      <c r="N139" s="85" t="str">
        <f aca="true">IF(OR($I139="",$T139=""),"",INDEX(L_TxnSign,$T139)*N($L139)-N($M139))</f>
        <v/>
      </c>
      <c r="O139" s="79" t="str">
        <f aca="true">IF($T139="","",INDEX(L_TxnCounts,$T139)&amp;"")</f>
        <v/>
      </c>
      <c r="P139" s="78"/>
      <c r="Q139" s="79" t="str">
        <f aca="false">IF($A139&amp;$C139&amp;$D139&amp;$I139="","",IF($A139="","Missing ID",IF(COUNTIF($A$6:$A$305,$A139)&gt;1,"Duplicate ID",IF(NOT(ISNUMBER($B139)),"Missing date",IF($R139="","Unknown account",IF($D139="","Missing security",IF($S139="","Unknown security",IF($T139="","Unknown type",IF(AND($L139="",$I139&lt;&gt;"Bonus / Split"),"No amount",IF(N($L139)&lt;0,"Type a positive amount; the sign comes from the type",IF(N($M139)&lt;0,"Type charges as a positive amount",IF(N($B139)&gt;ValDate,"Date after valuation",IF(AND(N($B139)&gt;PrevDate,COUNTIFS(Holdings!$B$6:$B$205,$C139,Holdings!$C$6:$C$205,$D139)=0),"No holding row (needed for Period Change)","OK")))))))))))))</f>
        <v/>
      </c>
      <c r="R139" s="89" t="str">
        <f aca="false">IF($C139="","",IFERROR(MATCH($C139,Accounts!$A$6:$A$55,0),""))</f>
        <v/>
      </c>
      <c r="S139" s="89" t="str">
        <f aca="false">IF($D139="","",IFERROR(MATCH($D139,Securities!$A$6:$A$105,0),""))</f>
        <v/>
      </c>
      <c r="T139" s="89" t="str">
        <f aca="true">IF($I139="","",IFERROR(MATCH($I139,L_TxnType,0),""))</f>
        <v/>
      </c>
    </row>
    <row r="140" customFormat="false" ht="15" hidden="false" customHeight="false" outlineLevel="0" collapsed="false">
      <c r="A140" s="77"/>
      <c r="B140" s="80"/>
      <c r="C140" s="78"/>
      <c r="D140" s="78"/>
      <c r="E140" s="79" t="str">
        <f aca="false">IF($R140="","",INDEX(Accounts!$C$6:$C$55,$R140)&amp;"")</f>
        <v/>
      </c>
      <c r="F140" s="79" t="str">
        <f aca="false">IF($S140="","",INDEX(Securities!$B$6:$B$105,$S140)&amp;"")</f>
        <v/>
      </c>
      <c r="G140" s="79" t="str">
        <f aca="false">IF($S140="","",INDEX(Securities!$E$6:$E$105,$S140)&amp;"")</f>
        <v/>
      </c>
      <c r="H140" s="79" t="str">
        <f aca="false">IF($S140="","",INDEX(Securities!$F$6:$F$105,$S140)&amp;"")</f>
        <v/>
      </c>
      <c r="I140" s="78"/>
      <c r="J140" s="81"/>
      <c r="K140" s="94"/>
      <c r="L140" s="82"/>
      <c r="M140" s="82"/>
      <c r="N140" s="85" t="str">
        <f aca="true">IF(OR($I140="",$T140=""),"",INDEX(L_TxnSign,$T140)*N($L140)-N($M140))</f>
        <v/>
      </c>
      <c r="O140" s="79" t="str">
        <f aca="true">IF($T140="","",INDEX(L_TxnCounts,$T140)&amp;"")</f>
        <v/>
      </c>
      <c r="P140" s="78"/>
      <c r="Q140" s="79" t="str">
        <f aca="false">IF($A140&amp;$C140&amp;$D140&amp;$I140="","",IF($A140="","Missing ID",IF(COUNTIF($A$6:$A$305,$A140)&gt;1,"Duplicate ID",IF(NOT(ISNUMBER($B140)),"Missing date",IF($R140="","Unknown account",IF($D140="","Missing security",IF($S140="","Unknown security",IF($T140="","Unknown type",IF(AND($L140="",$I140&lt;&gt;"Bonus / Split"),"No amount",IF(N($L140)&lt;0,"Type a positive amount; the sign comes from the type",IF(N($M140)&lt;0,"Type charges as a positive amount",IF(N($B140)&gt;ValDate,"Date after valuation",IF(AND(N($B140)&gt;PrevDate,COUNTIFS(Holdings!$B$6:$B$205,$C140,Holdings!$C$6:$C$205,$D140)=0),"No holding row (needed for Period Change)","OK")))))))))))))</f>
        <v/>
      </c>
      <c r="R140" s="89" t="str">
        <f aca="false">IF($C140="","",IFERROR(MATCH($C140,Accounts!$A$6:$A$55,0),""))</f>
        <v/>
      </c>
      <c r="S140" s="89" t="str">
        <f aca="false">IF($D140="","",IFERROR(MATCH($D140,Securities!$A$6:$A$105,0),""))</f>
        <v/>
      </c>
      <c r="T140" s="89" t="str">
        <f aca="true">IF($I140="","",IFERROR(MATCH($I140,L_TxnType,0),""))</f>
        <v/>
      </c>
    </row>
    <row r="141" customFormat="false" ht="15" hidden="false" customHeight="false" outlineLevel="0" collapsed="false">
      <c r="A141" s="77"/>
      <c r="B141" s="80"/>
      <c r="C141" s="78"/>
      <c r="D141" s="78"/>
      <c r="E141" s="79" t="str">
        <f aca="false">IF($R141="","",INDEX(Accounts!$C$6:$C$55,$R141)&amp;"")</f>
        <v/>
      </c>
      <c r="F141" s="79" t="str">
        <f aca="false">IF($S141="","",INDEX(Securities!$B$6:$B$105,$S141)&amp;"")</f>
        <v/>
      </c>
      <c r="G141" s="79" t="str">
        <f aca="false">IF($S141="","",INDEX(Securities!$E$6:$E$105,$S141)&amp;"")</f>
        <v/>
      </c>
      <c r="H141" s="79" t="str">
        <f aca="false">IF($S141="","",INDEX(Securities!$F$6:$F$105,$S141)&amp;"")</f>
        <v/>
      </c>
      <c r="I141" s="78"/>
      <c r="J141" s="81"/>
      <c r="K141" s="94"/>
      <c r="L141" s="82"/>
      <c r="M141" s="82"/>
      <c r="N141" s="85" t="str">
        <f aca="true">IF(OR($I141="",$T141=""),"",INDEX(L_TxnSign,$T141)*N($L141)-N($M141))</f>
        <v/>
      </c>
      <c r="O141" s="79" t="str">
        <f aca="true">IF($T141="","",INDEX(L_TxnCounts,$T141)&amp;"")</f>
        <v/>
      </c>
      <c r="P141" s="78"/>
      <c r="Q141" s="79" t="str">
        <f aca="false">IF($A141&amp;$C141&amp;$D141&amp;$I141="","",IF($A141="","Missing ID",IF(COUNTIF($A$6:$A$305,$A141)&gt;1,"Duplicate ID",IF(NOT(ISNUMBER($B141)),"Missing date",IF($R141="","Unknown account",IF($D141="","Missing security",IF($S141="","Unknown security",IF($T141="","Unknown type",IF(AND($L141="",$I141&lt;&gt;"Bonus / Split"),"No amount",IF(N($L141)&lt;0,"Type a positive amount; the sign comes from the type",IF(N($M141)&lt;0,"Type charges as a positive amount",IF(N($B141)&gt;ValDate,"Date after valuation",IF(AND(N($B141)&gt;PrevDate,COUNTIFS(Holdings!$B$6:$B$205,$C141,Holdings!$C$6:$C$205,$D141)=0),"No holding row (needed for Period Change)","OK")))))))))))))</f>
        <v/>
      </c>
      <c r="R141" s="89" t="str">
        <f aca="false">IF($C141="","",IFERROR(MATCH($C141,Accounts!$A$6:$A$55,0),""))</f>
        <v/>
      </c>
      <c r="S141" s="89" t="str">
        <f aca="false">IF($D141="","",IFERROR(MATCH($D141,Securities!$A$6:$A$105,0),""))</f>
        <v/>
      </c>
      <c r="T141" s="89" t="str">
        <f aca="true">IF($I141="","",IFERROR(MATCH($I141,L_TxnType,0),""))</f>
        <v/>
      </c>
    </row>
    <row r="142" customFormat="false" ht="15" hidden="false" customHeight="false" outlineLevel="0" collapsed="false">
      <c r="A142" s="77"/>
      <c r="B142" s="80"/>
      <c r="C142" s="78"/>
      <c r="D142" s="78"/>
      <c r="E142" s="79" t="str">
        <f aca="false">IF($R142="","",INDEX(Accounts!$C$6:$C$55,$R142)&amp;"")</f>
        <v/>
      </c>
      <c r="F142" s="79" t="str">
        <f aca="false">IF($S142="","",INDEX(Securities!$B$6:$B$105,$S142)&amp;"")</f>
        <v/>
      </c>
      <c r="G142" s="79" t="str">
        <f aca="false">IF($S142="","",INDEX(Securities!$E$6:$E$105,$S142)&amp;"")</f>
        <v/>
      </c>
      <c r="H142" s="79" t="str">
        <f aca="false">IF($S142="","",INDEX(Securities!$F$6:$F$105,$S142)&amp;"")</f>
        <v/>
      </c>
      <c r="I142" s="78"/>
      <c r="J142" s="81"/>
      <c r="K142" s="94"/>
      <c r="L142" s="82"/>
      <c r="M142" s="82"/>
      <c r="N142" s="85" t="str">
        <f aca="true">IF(OR($I142="",$T142=""),"",INDEX(L_TxnSign,$T142)*N($L142)-N($M142))</f>
        <v/>
      </c>
      <c r="O142" s="79" t="str">
        <f aca="true">IF($T142="","",INDEX(L_TxnCounts,$T142)&amp;"")</f>
        <v/>
      </c>
      <c r="P142" s="78"/>
      <c r="Q142" s="79" t="str">
        <f aca="false">IF($A142&amp;$C142&amp;$D142&amp;$I142="","",IF($A142="","Missing ID",IF(COUNTIF($A$6:$A$305,$A142)&gt;1,"Duplicate ID",IF(NOT(ISNUMBER($B142)),"Missing date",IF($R142="","Unknown account",IF($D142="","Missing security",IF($S142="","Unknown security",IF($T142="","Unknown type",IF(AND($L142="",$I142&lt;&gt;"Bonus / Split"),"No amount",IF(N($L142)&lt;0,"Type a positive amount; the sign comes from the type",IF(N($M142)&lt;0,"Type charges as a positive amount",IF(N($B142)&gt;ValDate,"Date after valuation",IF(AND(N($B142)&gt;PrevDate,COUNTIFS(Holdings!$B$6:$B$205,$C142,Holdings!$C$6:$C$205,$D142)=0),"No holding row (needed for Period Change)","OK")))))))))))))</f>
        <v/>
      </c>
      <c r="R142" s="89" t="str">
        <f aca="false">IF($C142="","",IFERROR(MATCH($C142,Accounts!$A$6:$A$55,0),""))</f>
        <v/>
      </c>
      <c r="S142" s="89" t="str">
        <f aca="false">IF($D142="","",IFERROR(MATCH($D142,Securities!$A$6:$A$105,0),""))</f>
        <v/>
      </c>
      <c r="T142" s="89" t="str">
        <f aca="true">IF($I142="","",IFERROR(MATCH($I142,L_TxnType,0),""))</f>
        <v/>
      </c>
    </row>
    <row r="143" customFormat="false" ht="15" hidden="false" customHeight="false" outlineLevel="0" collapsed="false">
      <c r="A143" s="77"/>
      <c r="B143" s="80"/>
      <c r="C143" s="78"/>
      <c r="D143" s="78"/>
      <c r="E143" s="79" t="str">
        <f aca="false">IF($R143="","",INDEX(Accounts!$C$6:$C$55,$R143)&amp;"")</f>
        <v/>
      </c>
      <c r="F143" s="79" t="str">
        <f aca="false">IF($S143="","",INDEX(Securities!$B$6:$B$105,$S143)&amp;"")</f>
        <v/>
      </c>
      <c r="G143" s="79" t="str">
        <f aca="false">IF($S143="","",INDEX(Securities!$E$6:$E$105,$S143)&amp;"")</f>
        <v/>
      </c>
      <c r="H143" s="79" t="str">
        <f aca="false">IF($S143="","",INDEX(Securities!$F$6:$F$105,$S143)&amp;"")</f>
        <v/>
      </c>
      <c r="I143" s="78"/>
      <c r="J143" s="81"/>
      <c r="K143" s="94"/>
      <c r="L143" s="82"/>
      <c r="M143" s="82"/>
      <c r="N143" s="85" t="str">
        <f aca="true">IF(OR($I143="",$T143=""),"",INDEX(L_TxnSign,$T143)*N($L143)-N($M143))</f>
        <v/>
      </c>
      <c r="O143" s="79" t="str">
        <f aca="true">IF($T143="","",INDEX(L_TxnCounts,$T143)&amp;"")</f>
        <v/>
      </c>
      <c r="P143" s="78"/>
      <c r="Q143" s="79" t="str">
        <f aca="false">IF($A143&amp;$C143&amp;$D143&amp;$I143="","",IF($A143="","Missing ID",IF(COUNTIF($A$6:$A$305,$A143)&gt;1,"Duplicate ID",IF(NOT(ISNUMBER($B143)),"Missing date",IF($R143="","Unknown account",IF($D143="","Missing security",IF($S143="","Unknown security",IF($T143="","Unknown type",IF(AND($L143="",$I143&lt;&gt;"Bonus / Split"),"No amount",IF(N($L143)&lt;0,"Type a positive amount; the sign comes from the type",IF(N($M143)&lt;0,"Type charges as a positive amount",IF(N($B143)&gt;ValDate,"Date after valuation",IF(AND(N($B143)&gt;PrevDate,COUNTIFS(Holdings!$B$6:$B$205,$C143,Holdings!$C$6:$C$205,$D143)=0),"No holding row (needed for Period Change)","OK")))))))))))))</f>
        <v/>
      </c>
      <c r="R143" s="89" t="str">
        <f aca="false">IF($C143="","",IFERROR(MATCH($C143,Accounts!$A$6:$A$55,0),""))</f>
        <v/>
      </c>
      <c r="S143" s="89" t="str">
        <f aca="false">IF($D143="","",IFERROR(MATCH($D143,Securities!$A$6:$A$105,0),""))</f>
        <v/>
      </c>
      <c r="T143" s="89" t="str">
        <f aca="true">IF($I143="","",IFERROR(MATCH($I143,L_TxnType,0),""))</f>
        <v/>
      </c>
    </row>
    <row r="144" customFormat="false" ht="15" hidden="false" customHeight="false" outlineLevel="0" collapsed="false">
      <c r="A144" s="77"/>
      <c r="B144" s="80"/>
      <c r="C144" s="78"/>
      <c r="D144" s="78"/>
      <c r="E144" s="79" t="str">
        <f aca="false">IF($R144="","",INDEX(Accounts!$C$6:$C$55,$R144)&amp;"")</f>
        <v/>
      </c>
      <c r="F144" s="79" t="str">
        <f aca="false">IF($S144="","",INDEX(Securities!$B$6:$B$105,$S144)&amp;"")</f>
        <v/>
      </c>
      <c r="G144" s="79" t="str">
        <f aca="false">IF($S144="","",INDEX(Securities!$E$6:$E$105,$S144)&amp;"")</f>
        <v/>
      </c>
      <c r="H144" s="79" t="str">
        <f aca="false">IF($S144="","",INDEX(Securities!$F$6:$F$105,$S144)&amp;"")</f>
        <v/>
      </c>
      <c r="I144" s="78"/>
      <c r="J144" s="81"/>
      <c r="K144" s="94"/>
      <c r="L144" s="82"/>
      <c r="M144" s="82"/>
      <c r="N144" s="85" t="str">
        <f aca="true">IF(OR($I144="",$T144=""),"",INDEX(L_TxnSign,$T144)*N($L144)-N($M144))</f>
        <v/>
      </c>
      <c r="O144" s="79" t="str">
        <f aca="true">IF($T144="","",INDEX(L_TxnCounts,$T144)&amp;"")</f>
        <v/>
      </c>
      <c r="P144" s="78"/>
      <c r="Q144" s="79" t="str">
        <f aca="false">IF($A144&amp;$C144&amp;$D144&amp;$I144="","",IF($A144="","Missing ID",IF(COUNTIF($A$6:$A$305,$A144)&gt;1,"Duplicate ID",IF(NOT(ISNUMBER($B144)),"Missing date",IF($R144="","Unknown account",IF($D144="","Missing security",IF($S144="","Unknown security",IF($T144="","Unknown type",IF(AND($L144="",$I144&lt;&gt;"Bonus / Split"),"No amount",IF(N($L144)&lt;0,"Type a positive amount; the sign comes from the type",IF(N($M144)&lt;0,"Type charges as a positive amount",IF(N($B144)&gt;ValDate,"Date after valuation",IF(AND(N($B144)&gt;PrevDate,COUNTIFS(Holdings!$B$6:$B$205,$C144,Holdings!$C$6:$C$205,$D144)=0),"No holding row (needed for Period Change)","OK")))))))))))))</f>
        <v/>
      </c>
      <c r="R144" s="89" t="str">
        <f aca="false">IF($C144="","",IFERROR(MATCH($C144,Accounts!$A$6:$A$55,0),""))</f>
        <v/>
      </c>
      <c r="S144" s="89" t="str">
        <f aca="false">IF($D144="","",IFERROR(MATCH($D144,Securities!$A$6:$A$105,0),""))</f>
        <v/>
      </c>
      <c r="T144" s="89" t="str">
        <f aca="true">IF($I144="","",IFERROR(MATCH($I144,L_TxnType,0),""))</f>
        <v/>
      </c>
    </row>
    <row r="145" customFormat="false" ht="15" hidden="false" customHeight="false" outlineLevel="0" collapsed="false">
      <c r="A145" s="77"/>
      <c r="B145" s="80"/>
      <c r="C145" s="78"/>
      <c r="D145" s="78"/>
      <c r="E145" s="79" t="str">
        <f aca="false">IF($R145="","",INDEX(Accounts!$C$6:$C$55,$R145)&amp;"")</f>
        <v/>
      </c>
      <c r="F145" s="79" t="str">
        <f aca="false">IF($S145="","",INDEX(Securities!$B$6:$B$105,$S145)&amp;"")</f>
        <v/>
      </c>
      <c r="G145" s="79" t="str">
        <f aca="false">IF($S145="","",INDEX(Securities!$E$6:$E$105,$S145)&amp;"")</f>
        <v/>
      </c>
      <c r="H145" s="79" t="str">
        <f aca="false">IF($S145="","",INDEX(Securities!$F$6:$F$105,$S145)&amp;"")</f>
        <v/>
      </c>
      <c r="I145" s="78"/>
      <c r="J145" s="81"/>
      <c r="K145" s="94"/>
      <c r="L145" s="82"/>
      <c r="M145" s="82"/>
      <c r="N145" s="85" t="str">
        <f aca="true">IF(OR($I145="",$T145=""),"",INDEX(L_TxnSign,$T145)*N($L145)-N($M145))</f>
        <v/>
      </c>
      <c r="O145" s="79" t="str">
        <f aca="true">IF($T145="","",INDEX(L_TxnCounts,$T145)&amp;"")</f>
        <v/>
      </c>
      <c r="P145" s="78"/>
      <c r="Q145" s="79" t="str">
        <f aca="false">IF($A145&amp;$C145&amp;$D145&amp;$I145="","",IF($A145="","Missing ID",IF(COUNTIF($A$6:$A$305,$A145)&gt;1,"Duplicate ID",IF(NOT(ISNUMBER($B145)),"Missing date",IF($R145="","Unknown account",IF($D145="","Missing security",IF($S145="","Unknown security",IF($T145="","Unknown type",IF(AND($L145="",$I145&lt;&gt;"Bonus / Split"),"No amount",IF(N($L145)&lt;0,"Type a positive amount; the sign comes from the type",IF(N($M145)&lt;0,"Type charges as a positive amount",IF(N($B145)&gt;ValDate,"Date after valuation",IF(AND(N($B145)&gt;PrevDate,COUNTIFS(Holdings!$B$6:$B$205,$C145,Holdings!$C$6:$C$205,$D145)=0),"No holding row (needed for Period Change)","OK")))))))))))))</f>
        <v/>
      </c>
      <c r="R145" s="89" t="str">
        <f aca="false">IF($C145="","",IFERROR(MATCH($C145,Accounts!$A$6:$A$55,0),""))</f>
        <v/>
      </c>
      <c r="S145" s="89" t="str">
        <f aca="false">IF($D145="","",IFERROR(MATCH($D145,Securities!$A$6:$A$105,0),""))</f>
        <v/>
      </c>
      <c r="T145" s="89" t="str">
        <f aca="true">IF($I145="","",IFERROR(MATCH($I145,L_TxnType,0),""))</f>
        <v/>
      </c>
    </row>
    <row r="146" customFormat="false" ht="15" hidden="false" customHeight="false" outlineLevel="0" collapsed="false">
      <c r="A146" s="77"/>
      <c r="B146" s="80"/>
      <c r="C146" s="78"/>
      <c r="D146" s="78"/>
      <c r="E146" s="79" t="str">
        <f aca="false">IF($R146="","",INDEX(Accounts!$C$6:$C$55,$R146)&amp;"")</f>
        <v/>
      </c>
      <c r="F146" s="79" t="str">
        <f aca="false">IF($S146="","",INDEX(Securities!$B$6:$B$105,$S146)&amp;"")</f>
        <v/>
      </c>
      <c r="G146" s="79" t="str">
        <f aca="false">IF($S146="","",INDEX(Securities!$E$6:$E$105,$S146)&amp;"")</f>
        <v/>
      </c>
      <c r="H146" s="79" t="str">
        <f aca="false">IF($S146="","",INDEX(Securities!$F$6:$F$105,$S146)&amp;"")</f>
        <v/>
      </c>
      <c r="I146" s="78"/>
      <c r="J146" s="81"/>
      <c r="K146" s="94"/>
      <c r="L146" s="82"/>
      <c r="M146" s="82"/>
      <c r="N146" s="85" t="str">
        <f aca="true">IF(OR($I146="",$T146=""),"",INDEX(L_TxnSign,$T146)*N($L146)-N($M146))</f>
        <v/>
      </c>
      <c r="O146" s="79" t="str">
        <f aca="true">IF($T146="","",INDEX(L_TxnCounts,$T146)&amp;"")</f>
        <v/>
      </c>
      <c r="P146" s="78"/>
      <c r="Q146" s="79" t="str">
        <f aca="false">IF($A146&amp;$C146&amp;$D146&amp;$I146="","",IF($A146="","Missing ID",IF(COUNTIF($A$6:$A$305,$A146)&gt;1,"Duplicate ID",IF(NOT(ISNUMBER($B146)),"Missing date",IF($R146="","Unknown account",IF($D146="","Missing security",IF($S146="","Unknown security",IF($T146="","Unknown type",IF(AND($L146="",$I146&lt;&gt;"Bonus / Split"),"No amount",IF(N($L146)&lt;0,"Type a positive amount; the sign comes from the type",IF(N($M146)&lt;0,"Type charges as a positive amount",IF(N($B146)&gt;ValDate,"Date after valuation",IF(AND(N($B146)&gt;PrevDate,COUNTIFS(Holdings!$B$6:$B$205,$C146,Holdings!$C$6:$C$205,$D146)=0),"No holding row (needed for Period Change)","OK")))))))))))))</f>
        <v/>
      </c>
      <c r="R146" s="89" t="str">
        <f aca="false">IF($C146="","",IFERROR(MATCH($C146,Accounts!$A$6:$A$55,0),""))</f>
        <v/>
      </c>
      <c r="S146" s="89" t="str">
        <f aca="false">IF($D146="","",IFERROR(MATCH($D146,Securities!$A$6:$A$105,0),""))</f>
        <v/>
      </c>
      <c r="T146" s="89" t="str">
        <f aca="true">IF($I146="","",IFERROR(MATCH($I146,L_TxnType,0),""))</f>
        <v/>
      </c>
    </row>
    <row r="147" customFormat="false" ht="15" hidden="false" customHeight="false" outlineLevel="0" collapsed="false">
      <c r="A147" s="77"/>
      <c r="B147" s="80"/>
      <c r="C147" s="78"/>
      <c r="D147" s="78"/>
      <c r="E147" s="79" t="str">
        <f aca="false">IF($R147="","",INDEX(Accounts!$C$6:$C$55,$R147)&amp;"")</f>
        <v/>
      </c>
      <c r="F147" s="79" t="str">
        <f aca="false">IF($S147="","",INDEX(Securities!$B$6:$B$105,$S147)&amp;"")</f>
        <v/>
      </c>
      <c r="G147" s="79" t="str">
        <f aca="false">IF($S147="","",INDEX(Securities!$E$6:$E$105,$S147)&amp;"")</f>
        <v/>
      </c>
      <c r="H147" s="79" t="str">
        <f aca="false">IF($S147="","",INDEX(Securities!$F$6:$F$105,$S147)&amp;"")</f>
        <v/>
      </c>
      <c r="I147" s="78"/>
      <c r="J147" s="81"/>
      <c r="K147" s="94"/>
      <c r="L147" s="82"/>
      <c r="M147" s="82"/>
      <c r="N147" s="85" t="str">
        <f aca="true">IF(OR($I147="",$T147=""),"",INDEX(L_TxnSign,$T147)*N($L147)-N($M147))</f>
        <v/>
      </c>
      <c r="O147" s="79" t="str">
        <f aca="true">IF($T147="","",INDEX(L_TxnCounts,$T147)&amp;"")</f>
        <v/>
      </c>
      <c r="P147" s="78"/>
      <c r="Q147" s="79" t="str">
        <f aca="false">IF($A147&amp;$C147&amp;$D147&amp;$I147="","",IF($A147="","Missing ID",IF(COUNTIF($A$6:$A$305,$A147)&gt;1,"Duplicate ID",IF(NOT(ISNUMBER($B147)),"Missing date",IF($R147="","Unknown account",IF($D147="","Missing security",IF($S147="","Unknown security",IF($T147="","Unknown type",IF(AND($L147="",$I147&lt;&gt;"Bonus / Split"),"No amount",IF(N($L147)&lt;0,"Type a positive amount; the sign comes from the type",IF(N($M147)&lt;0,"Type charges as a positive amount",IF(N($B147)&gt;ValDate,"Date after valuation",IF(AND(N($B147)&gt;PrevDate,COUNTIFS(Holdings!$B$6:$B$205,$C147,Holdings!$C$6:$C$205,$D147)=0),"No holding row (needed for Period Change)","OK")))))))))))))</f>
        <v/>
      </c>
      <c r="R147" s="89" t="str">
        <f aca="false">IF($C147="","",IFERROR(MATCH($C147,Accounts!$A$6:$A$55,0),""))</f>
        <v/>
      </c>
      <c r="S147" s="89" t="str">
        <f aca="false">IF($D147="","",IFERROR(MATCH($D147,Securities!$A$6:$A$105,0),""))</f>
        <v/>
      </c>
      <c r="T147" s="89" t="str">
        <f aca="true">IF($I147="","",IFERROR(MATCH($I147,L_TxnType,0),""))</f>
        <v/>
      </c>
    </row>
    <row r="148" customFormat="false" ht="15" hidden="false" customHeight="false" outlineLevel="0" collapsed="false">
      <c r="A148" s="77"/>
      <c r="B148" s="80"/>
      <c r="C148" s="78"/>
      <c r="D148" s="78"/>
      <c r="E148" s="79" t="str">
        <f aca="false">IF($R148="","",INDEX(Accounts!$C$6:$C$55,$R148)&amp;"")</f>
        <v/>
      </c>
      <c r="F148" s="79" t="str">
        <f aca="false">IF($S148="","",INDEX(Securities!$B$6:$B$105,$S148)&amp;"")</f>
        <v/>
      </c>
      <c r="G148" s="79" t="str">
        <f aca="false">IF($S148="","",INDEX(Securities!$E$6:$E$105,$S148)&amp;"")</f>
        <v/>
      </c>
      <c r="H148" s="79" t="str">
        <f aca="false">IF($S148="","",INDEX(Securities!$F$6:$F$105,$S148)&amp;"")</f>
        <v/>
      </c>
      <c r="I148" s="78"/>
      <c r="J148" s="81"/>
      <c r="K148" s="94"/>
      <c r="L148" s="82"/>
      <c r="M148" s="82"/>
      <c r="N148" s="85" t="str">
        <f aca="true">IF(OR($I148="",$T148=""),"",INDEX(L_TxnSign,$T148)*N($L148)-N($M148))</f>
        <v/>
      </c>
      <c r="O148" s="79" t="str">
        <f aca="true">IF($T148="","",INDEX(L_TxnCounts,$T148)&amp;"")</f>
        <v/>
      </c>
      <c r="P148" s="78"/>
      <c r="Q148" s="79" t="str">
        <f aca="false">IF($A148&amp;$C148&amp;$D148&amp;$I148="","",IF($A148="","Missing ID",IF(COUNTIF($A$6:$A$305,$A148)&gt;1,"Duplicate ID",IF(NOT(ISNUMBER($B148)),"Missing date",IF($R148="","Unknown account",IF($D148="","Missing security",IF($S148="","Unknown security",IF($T148="","Unknown type",IF(AND($L148="",$I148&lt;&gt;"Bonus / Split"),"No amount",IF(N($L148)&lt;0,"Type a positive amount; the sign comes from the type",IF(N($M148)&lt;0,"Type charges as a positive amount",IF(N($B148)&gt;ValDate,"Date after valuation",IF(AND(N($B148)&gt;PrevDate,COUNTIFS(Holdings!$B$6:$B$205,$C148,Holdings!$C$6:$C$205,$D148)=0),"No holding row (needed for Period Change)","OK")))))))))))))</f>
        <v/>
      </c>
      <c r="R148" s="89" t="str">
        <f aca="false">IF($C148="","",IFERROR(MATCH($C148,Accounts!$A$6:$A$55,0),""))</f>
        <v/>
      </c>
      <c r="S148" s="89" t="str">
        <f aca="false">IF($D148="","",IFERROR(MATCH($D148,Securities!$A$6:$A$105,0),""))</f>
        <v/>
      </c>
      <c r="T148" s="89" t="str">
        <f aca="true">IF($I148="","",IFERROR(MATCH($I148,L_TxnType,0),""))</f>
        <v/>
      </c>
    </row>
    <row r="149" customFormat="false" ht="15" hidden="false" customHeight="false" outlineLevel="0" collapsed="false">
      <c r="A149" s="77"/>
      <c r="B149" s="80"/>
      <c r="C149" s="78"/>
      <c r="D149" s="78"/>
      <c r="E149" s="79" t="str">
        <f aca="false">IF($R149="","",INDEX(Accounts!$C$6:$C$55,$R149)&amp;"")</f>
        <v/>
      </c>
      <c r="F149" s="79" t="str">
        <f aca="false">IF($S149="","",INDEX(Securities!$B$6:$B$105,$S149)&amp;"")</f>
        <v/>
      </c>
      <c r="G149" s="79" t="str">
        <f aca="false">IF($S149="","",INDEX(Securities!$E$6:$E$105,$S149)&amp;"")</f>
        <v/>
      </c>
      <c r="H149" s="79" t="str">
        <f aca="false">IF($S149="","",INDEX(Securities!$F$6:$F$105,$S149)&amp;"")</f>
        <v/>
      </c>
      <c r="I149" s="78"/>
      <c r="J149" s="81"/>
      <c r="K149" s="94"/>
      <c r="L149" s="82"/>
      <c r="M149" s="82"/>
      <c r="N149" s="85" t="str">
        <f aca="true">IF(OR($I149="",$T149=""),"",INDEX(L_TxnSign,$T149)*N($L149)-N($M149))</f>
        <v/>
      </c>
      <c r="O149" s="79" t="str">
        <f aca="true">IF($T149="","",INDEX(L_TxnCounts,$T149)&amp;"")</f>
        <v/>
      </c>
      <c r="P149" s="78"/>
      <c r="Q149" s="79" t="str">
        <f aca="false">IF($A149&amp;$C149&amp;$D149&amp;$I149="","",IF($A149="","Missing ID",IF(COUNTIF($A$6:$A$305,$A149)&gt;1,"Duplicate ID",IF(NOT(ISNUMBER($B149)),"Missing date",IF($R149="","Unknown account",IF($D149="","Missing security",IF($S149="","Unknown security",IF($T149="","Unknown type",IF(AND($L149="",$I149&lt;&gt;"Bonus / Split"),"No amount",IF(N($L149)&lt;0,"Type a positive amount; the sign comes from the type",IF(N($M149)&lt;0,"Type charges as a positive amount",IF(N($B149)&gt;ValDate,"Date after valuation",IF(AND(N($B149)&gt;PrevDate,COUNTIFS(Holdings!$B$6:$B$205,$C149,Holdings!$C$6:$C$205,$D149)=0),"No holding row (needed for Period Change)","OK")))))))))))))</f>
        <v/>
      </c>
      <c r="R149" s="89" t="str">
        <f aca="false">IF($C149="","",IFERROR(MATCH($C149,Accounts!$A$6:$A$55,0),""))</f>
        <v/>
      </c>
      <c r="S149" s="89" t="str">
        <f aca="false">IF($D149="","",IFERROR(MATCH($D149,Securities!$A$6:$A$105,0),""))</f>
        <v/>
      </c>
      <c r="T149" s="89" t="str">
        <f aca="true">IF($I149="","",IFERROR(MATCH($I149,L_TxnType,0),""))</f>
        <v/>
      </c>
    </row>
    <row r="150" customFormat="false" ht="15" hidden="false" customHeight="false" outlineLevel="0" collapsed="false">
      <c r="A150" s="77"/>
      <c r="B150" s="80"/>
      <c r="C150" s="78"/>
      <c r="D150" s="78"/>
      <c r="E150" s="79" t="str">
        <f aca="false">IF($R150="","",INDEX(Accounts!$C$6:$C$55,$R150)&amp;"")</f>
        <v/>
      </c>
      <c r="F150" s="79" t="str">
        <f aca="false">IF($S150="","",INDEX(Securities!$B$6:$B$105,$S150)&amp;"")</f>
        <v/>
      </c>
      <c r="G150" s="79" t="str">
        <f aca="false">IF($S150="","",INDEX(Securities!$E$6:$E$105,$S150)&amp;"")</f>
        <v/>
      </c>
      <c r="H150" s="79" t="str">
        <f aca="false">IF($S150="","",INDEX(Securities!$F$6:$F$105,$S150)&amp;"")</f>
        <v/>
      </c>
      <c r="I150" s="78"/>
      <c r="J150" s="81"/>
      <c r="K150" s="94"/>
      <c r="L150" s="82"/>
      <c r="M150" s="82"/>
      <c r="N150" s="85" t="str">
        <f aca="true">IF(OR($I150="",$T150=""),"",INDEX(L_TxnSign,$T150)*N($L150)-N($M150))</f>
        <v/>
      </c>
      <c r="O150" s="79" t="str">
        <f aca="true">IF($T150="","",INDEX(L_TxnCounts,$T150)&amp;"")</f>
        <v/>
      </c>
      <c r="P150" s="78"/>
      <c r="Q150" s="79" t="str">
        <f aca="false">IF($A150&amp;$C150&amp;$D150&amp;$I150="","",IF($A150="","Missing ID",IF(COUNTIF($A$6:$A$305,$A150)&gt;1,"Duplicate ID",IF(NOT(ISNUMBER($B150)),"Missing date",IF($R150="","Unknown account",IF($D150="","Missing security",IF($S150="","Unknown security",IF($T150="","Unknown type",IF(AND($L150="",$I150&lt;&gt;"Bonus / Split"),"No amount",IF(N($L150)&lt;0,"Type a positive amount; the sign comes from the type",IF(N($M150)&lt;0,"Type charges as a positive amount",IF(N($B150)&gt;ValDate,"Date after valuation",IF(AND(N($B150)&gt;PrevDate,COUNTIFS(Holdings!$B$6:$B$205,$C150,Holdings!$C$6:$C$205,$D150)=0),"No holding row (needed for Period Change)","OK")))))))))))))</f>
        <v/>
      </c>
      <c r="R150" s="89" t="str">
        <f aca="false">IF($C150="","",IFERROR(MATCH($C150,Accounts!$A$6:$A$55,0),""))</f>
        <v/>
      </c>
      <c r="S150" s="89" t="str">
        <f aca="false">IF($D150="","",IFERROR(MATCH($D150,Securities!$A$6:$A$105,0),""))</f>
        <v/>
      </c>
      <c r="T150" s="89" t="str">
        <f aca="true">IF($I150="","",IFERROR(MATCH($I150,L_TxnType,0),""))</f>
        <v/>
      </c>
    </row>
    <row r="151" customFormat="false" ht="15" hidden="false" customHeight="false" outlineLevel="0" collapsed="false">
      <c r="A151" s="77"/>
      <c r="B151" s="80"/>
      <c r="C151" s="78"/>
      <c r="D151" s="78"/>
      <c r="E151" s="79" t="str">
        <f aca="false">IF($R151="","",INDEX(Accounts!$C$6:$C$55,$R151)&amp;"")</f>
        <v/>
      </c>
      <c r="F151" s="79" t="str">
        <f aca="false">IF($S151="","",INDEX(Securities!$B$6:$B$105,$S151)&amp;"")</f>
        <v/>
      </c>
      <c r="G151" s="79" t="str">
        <f aca="false">IF($S151="","",INDEX(Securities!$E$6:$E$105,$S151)&amp;"")</f>
        <v/>
      </c>
      <c r="H151" s="79" t="str">
        <f aca="false">IF($S151="","",INDEX(Securities!$F$6:$F$105,$S151)&amp;"")</f>
        <v/>
      </c>
      <c r="I151" s="78"/>
      <c r="J151" s="81"/>
      <c r="K151" s="94"/>
      <c r="L151" s="82"/>
      <c r="M151" s="82"/>
      <c r="N151" s="85" t="str">
        <f aca="true">IF(OR($I151="",$T151=""),"",INDEX(L_TxnSign,$T151)*N($L151)-N($M151))</f>
        <v/>
      </c>
      <c r="O151" s="79" t="str">
        <f aca="true">IF($T151="","",INDEX(L_TxnCounts,$T151)&amp;"")</f>
        <v/>
      </c>
      <c r="P151" s="78"/>
      <c r="Q151" s="79" t="str">
        <f aca="false">IF($A151&amp;$C151&amp;$D151&amp;$I151="","",IF($A151="","Missing ID",IF(COUNTIF($A$6:$A$305,$A151)&gt;1,"Duplicate ID",IF(NOT(ISNUMBER($B151)),"Missing date",IF($R151="","Unknown account",IF($D151="","Missing security",IF($S151="","Unknown security",IF($T151="","Unknown type",IF(AND($L151="",$I151&lt;&gt;"Bonus / Split"),"No amount",IF(N($L151)&lt;0,"Type a positive amount; the sign comes from the type",IF(N($M151)&lt;0,"Type charges as a positive amount",IF(N($B151)&gt;ValDate,"Date after valuation",IF(AND(N($B151)&gt;PrevDate,COUNTIFS(Holdings!$B$6:$B$205,$C151,Holdings!$C$6:$C$205,$D151)=0),"No holding row (needed for Period Change)","OK")))))))))))))</f>
        <v/>
      </c>
      <c r="R151" s="89" t="str">
        <f aca="false">IF($C151="","",IFERROR(MATCH($C151,Accounts!$A$6:$A$55,0),""))</f>
        <v/>
      </c>
      <c r="S151" s="89" t="str">
        <f aca="false">IF($D151="","",IFERROR(MATCH($D151,Securities!$A$6:$A$105,0),""))</f>
        <v/>
      </c>
      <c r="T151" s="89" t="str">
        <f aca="true">IF($I151="","",IFERROR(MATCH($I151,L_TxnType,0),""))</f>
        <v/>
      </c>
    </row>
    <row r="152" customFormat="false" ht="15" hidden="false" customHeight="false" outlineLevel="0" collapsed="false">
      <c r="A152" s="77"/>
      <c r="B152" s="80"/>
      <c r="C152" s="78"/>
      <c r="D152" s="78"/>
      <c r="E152" s="79" t="str">
        <f aca="false">IF($R152="","",INDEX(Accounts!$C$6:$C$55,$R152)&amp;"")</f>
        <v/>
      </c>
      <c r="F152" s="79" t="str">
        <f aca="false">IF($S152="","",INDEX(Securities!$B$6:$B$105,$S152)&amp;"")</f>
        <v/>
      </c>
      <c r="G152" s="79" t="str">
        <f aca="false">IF($S152="","",INDEX(Securities!$E$6:$E$105,$S152)&amp;"")</f>
        <v/>
      </c>
      <c r="H152" s="79" t="str">
        <f aca="false">IF($S152="","",INDEX(Securities!$F$6:$F$105,$S152)&amp;"")</f>
        <v/>
      </c>
      <c r="I152" s="78"/>
      <c r="J152" s="81"/>
      <c r="K152" s="94"/>
      <c r="L152" s="82"/>
      <c r="M152" s="82"/>
      <c r="N152" s="85" t="str">
        <f aca="true">IF(OR($I152="",$T152=""),"",INDEX(L_TxnSign,$T152)*N($L152)-N($M152))</f>
        <v/>
      </c>
      <c r="O152" s="79" t="str">
        <f aca="true">IF($T152="","",INDEX(L_TxnCounts,$T152)&amp;"")</f>
        <v/>
      </c>
      <c r="P152" s="78"/>
      <c r="Q152" s="79" t="str">
        <f aca="false">IF($A152&amp;$C152&amp;$D152&amp;$I152="","",IF($A152="","Missing ID",IF(COUNTIF($A$6:$A$305,$A152)&gt;1,"Duplicate ID",IF(NOT(ISNUMBER($B152)),"Missing date",IF($R152="","Unknown account",IF($D152="","Missing security",IF($S152="","Unknown security",IF($T152="","Unknown type",IF(AND($L152="",$I152&lt;&gt;"Bonus / Split"),"No amount",IF(N($L152)&lt;0,"Type a positive amount; the sign comes from the type",IF(N($M152)&lt;0,"Type charges as a positive amount",IF(N($B152)&gt;ValDate,"Date after valuation",IF(AND(N($B152)&gt;PrevDate,COUNTIFS(Holdings!$B$6:$B$205,$C152,Holdings!$C$6:$C$205,$D152)=0),"No holding row (needed for Period Change)","OK")))))))))))))</f>
        <v/>
      </c>
      <c r="R152" s="89" t="str">
        <f aca="false">IF($C152="","",IFERROR(MATCH($C152,Accounts!$A$6:$A$55,0),""))</f>
        <v/>
      </c>
      <c r="S152" s="89" t="str">
        <f aca="false">IF($D152="","",IFERROR(MATCH($D152,Securities!$A$6:$A$105,0),""))</f>
        <v/>
      </c>
      <c r="T152" s="89" t="str">
        <f aca="true">IF($I152="","",IFERROR(MATCH($I152,L_TxnType,0),""))</f>
        <v/>
      </c>
    </row>
    <row r="153" customFormat="false" ht="15" hidden="false" customHeight="false" outlineLevel="0" collapsed="false">
      <c r="A153" s="77"/>
      <c r="B153" s="80"/>
      <c r="C153" s="78"/>
      <c r="D153" s="78"/>
      <c r="E153" s="79" t="str">
        <f aca="false">IF($R153="","",INDEX(Accounts!$C$6:$C$55,$R153)&amp;"")</f>
        <v/>
      </c>
      <c r="F153" s="79" t="str">
        <f aca="false">IF($S153="","",INDEX(Securities!$B$6:$B$105,$S153)&amp;"")</f>
        <v/>
      </c>
      <c r="G153" s="79" t="str">
        <f aca="false">IF($S153="","",INDEX(Securities!$E$6:$E$105,$S153)&amp;"")</f>
        <v/>
      </c>
      <c r="H153" s="79" t="str">
        <f aca="false">IF($S153="","",INDEX(Securities!$F$6:$F$105,$S153)&amp;"")</f>
        <v/>
      </c>
      <c r="I153" s="78"/>
      <c r="J153" s="81"/>
      <c r="K153" s="94"/>
      <c r="L153" s="82"/>
      <c r="M153" s="82"/>
      <c r="N153" s="85" t="str">
        <f aca="true">IF(OR($I153="",$T153=""),"",INDEX(L_TxnSign,$T153)*N($L153)-N($M153))</f>
        <v/>
      </c>
      <c r="O153" s="79" t="str">
        <f aca="true">IF($T153="","",INDEX(L_TxnCounts,$T153)&amp;"")</f>
        <v/>
      </c>
      <c r="P153" s="78"/>
      <c r="Q153" s="79" t="str">
        <f aca="false">IF($A153&amp;$C153&amp;$D153&amp;$I153="","",IF($A153="","Missing ID",IF(COUNTIF($A$6:$A$305,$A153)&gt;1,"Duplicate ID",IF(NOT(ISNUMBER($B153)),"Missing date",IF($R153="","Unknown account",IF($D153="","Missing security",IF($S153="","Unknown security",IF($T153="","Unknown type",IF(AND($L153="",$I153&lt;&gt;"Bonus / Split"),"No amount",IF(N($L153)&lt;0,"Type a positive amount; the sign comes from the type",IF(N($M153)&lt;0,"Type charges as a positive amount",IF(N($B153)&gt;ValDate,"Date after valuation",IF(AND(N($B153)&gt;PrevDate,COUNTIFS(Holdings!$B$6:$B$205,$C153,Holdings!$C$6:$C$205,$D153)=0),"No holding row (needed for Period Change)","OK")))))))))))))</f>
        <v/>
      </c>
      <c r="R153" s="89" t="str">
        <f aca="false">IF($C153="","",IFERROR(MATCH($C153,Accounts!$A$6:$A$55,0),""))</f>
        <v/>
      </c>
      <c r="S153" s="89" t="str">
        <f aca="false">IF($D153="","",IFERROR(MATCH($D153,Securities!$A$6:$A$105,0),""))</f>
        <v/>
      </c>
      <c r="T153" s="89" t="str">
        <f aca="true">IF($I153="","",IFERROR(MATCH($I153,L_TxnType,0),""))</f>
        <v/>
      </c>
    </row>
    <row r="154" customFormat="false" ht="15" hidden="false" customHeight="false" outlineLevel="0" collapsed="false">
      <c r="A154" s="77"/>
      <c r="B154" s="80"/>
      <c r="C154" s="78"/>
      <c r="D154" s="78"/>
      <c r="E154" s="79" t="str">
        <f aca="false">IF($R154="","",INDEX(Accounts!$C$6:$C$55,$R154)&amp;"")</f>
        <v/>
      </c>
      <c r="F154" s="79" t="str">
        <f aca="false">IF($S154="","",INDEX(Securities!$B$6:$B$105,$S154)&amp;"")</f>
        <v/>
      </c>
      <c r="G154" s="79" t="str">
        <f aca="false">IF($S154="","",INDEX(Securities!$E$6:$E$105,$S154)&amp;"")</f>
        <v/>
      </c>
      <c r="H154" s="79" t="str">
        <f aca="false">IF($S154="","",INDEX(Securities!$F$6:$F$105,$S154)&amp;"")</f>
        <v/>
      </c>
      <c r="I154" s="78"/>
      <c r="J154" s="81"/>
      <c r="K154" s="94"/>
      <c r="L154" s="82"/>
      <c r="M154" s="82"/>
      <c r="N154" s="85" t="str">
        <f aca="true">IF(OR($I154="",$T154=""),"",INDEX(L_TxnSign,$T154)*N($L154)-N($M154))</f>
        <v/>
      </c>
      <c r="O154" s="79" t="str">
        <f aca="true">IF($T154="","",INDEX(L_TxnCounts,$T154)&amp;"")</f>
        <v/>
      </c>
      <c r="P154" s="78"/>
      <c r="Q154" s="79" t="str">
        <f aca="false">IF($A154&amp;$C154&amp;$D154&amp;$I154="","",IF($A154="","Missing ID",IF(COUNTIF($A$6:$A$305,$A154)&gt;1,"Duplicate ID",IF(NOT(ISNUMBER($B154)),"Missing date",IF($R154="","Unknown account",IF($D154="","Missing security",IF($S154="","Unknown security",IF($T154="","Unknown type",IF(AND($L154="",$I154&lt;&gt;"Bonus / Split"),"No amount",IF(N($L154)&lt;0,"Type a positive amount; the sign comes from the type",IF(N($M154)&lt;0,"Type charges as a positive amount",IF(N($B154)&gt;ValDate,"Date after valuation",IF(AND(N($B154)&gt;PrevDate,COUNTIFS(Holdings!$B$6:$B$205,$C154,Holdings!$C$6:$C$205,$D154)=0),"No holding row (needed for Period Change)","OK")))))))))))))</f>
        <v/>
      </c>
      <c r="R154" s="89" t="str">
        <f aca="false">IF($C154="","",IFERROR(MATCH($C154,Accounts!$A$6:$A$55,0),""))</f>
        <v/>
      </c>
      <c r="S154" s="89" t="str">
        <f aca="false">IF($D154="","",IFERROR(MATCH($D154,Securities!$A$6:$A$105,0),""))</f>
        <v/>
      </c>
      <c r="T154" s="89" t="str">
        <f aca="true">IF($I154="","",IFERROR(MATCH($I154,L_TxnType,0),""))</f>
        <v/>
      </c>
    </row>
    <row r="155" customFormat="false" ht="15" hidden="false" customHeight="false" outlineLevel="0" collapsed="false">
      <c r="A155" s="77"/>
      <c r="B155" s="80"/>
      <c r="C155" s="78"/>
      <c r="D155" s="78"/>
      <c r="E155" s="79" t="str">
        <f aca="false">IF($R155="","",INDEX(Accounts!$C$6:$C$55,$R155)&amp;"")</f>
        <v/>
      </c>
      <c r="F155" s="79" t="str">
        <f aca="false">IF($S155="","",INDEX(Securities!$B$6:$B$105,$S155)&amp;"")</f>
        <v/>
      </c>
      <c r="G155" s="79" t="str">
        <f aca="false">IF($S155="","",INDEX(Securities!$E$6:$E$105,$S155)&amp;"")</f>
        <v/>
      </c>
      <c r="H155" s="79" t="str">
        <f aca="false">IF($S155="","",INDEX(Securities!$F$6:$F$105,$S155)&amp;"")</f>
        <v/>
      </c>
      <c r="I155" s="78"/>
      <c r="J155" s="81"/>
      <c r="K155" s="94"/>
      <c r="L155" s="82"/>
      <c r="M155" s="82"/>
      <c r="N155" s="85" t="str">
        <f aca="true">IF(OR($I155="",$T155=""),"",INDEX(L_TxnSign,$T155)*N($L155)-N($M155))</f>
        <v/>
      </c>
      <c r="O155" s="79" t="str">
        <f aca="true">IF($T155="","",INDEX(L_TxnCounts,$T155)&amp;"")</f>
        <v/>
      </c>
      <c r="P155" s="78"/>
      <c r="Q155" s="79" t="str">
        <f aca="false">IF($A155&amp;$C155&amp;$D155&amp;$I155="","",IF($A155="","Missing ID",IF(COUNTIF($A$6:$A$305,$A155)&gt;1,"Duplicate ID",IF(NOT(ISNUMBER($B155)),"Missing date",IF($R155="","Unknown account",IF($D155="","Missing security",IF($S155="","Unknown security",IF($T155="","Unknown type",IF(AND($L155="",$I155&lt;&gt;"Bonus / Split"),"No amount",IF(N($L155)&lt;0,"Type a positive amount; the sign comes from the type",IF(N($M155)&lt;0,"Type charges as a positive amount",IF(N($B155)&gt;ValDate,"Date after valuation",IF(AND(N($B155)&gt;PrevDate,COUNTIFS(Holdings!$B$6:$B$205,$C155,Holdings!$C$6:$C$205,$D155)=0),"No holding row (needed for Period Change)","OK")))))))))))))</f>
        <v/>
      </c>
      <c r="R155" s="89" t="str">
        <f aca="false">IF($C155="","",IFERROR(MATCH($C155,Accounts!$A$6:$A$55,0),""))</f>
        <v/>
      </c>
      <c r="S155" s="89" t="str">
        <f aca="false">IF($D155="","",IFERROR(MATCH($D155,Securities!$A$6:$A$105,0),""))</f>
        <v/>
      </c>
      <c r="T155" s="89" t="str">
        <f aca="true">IF($I155="","",IFERROR(MATCH($I155,L_TxnType,0),""))</f>
        <v/>
      </c>
    </row>
    <row r="156" customFormat="false" ht="15" hidden="false" customHeight="false" outlineLevel="0" collapsed="false">
      <c r="A156" s="77"/>
      <c r="B156" s="80"/>
      <c r="C156" s="78"/>
      <c r="D156" s="78"/>
      <c r="E156" s="79" t="str">
        <f aca="false">IF($R156="","",INDEX(Accounts!$C$6:$C$55,$R156)&amp;"")</f>
        <v/>
      </c>
      <c r="F156" s="79" t="str">
        <f aca="false">IF($S156="","",INDEX(Securities!$B$6:$B$105,$S156)&amp;"")</f>
        <v/>
      </c>
      <c r="G156" s="79" t="str">
        <f aca="false">IF($S156="","",INDEX(Securities!$E$6:$E$105,$S156)&amp;"")</f>
        <v/>
      </c>
      <c r="H156" s="79" t="str">
        <f aca="false">IF($S156="","",INDEX(Securities!$F$6:$F$105,$S156)&amp;"")</f>
        <v/>
      </c>
      <c r="I156" s="78"/>
      <c r="J156" s="81"/>
      <c r="K156" s="94"/>
      <c r="L156" s="82"/>
      <c r="M156" s="82"/>
      <c r="N156" s="85" t="str">
        <f aca="true">IF(OR($I156="",$T156=""),"",INDEX(L_TxnSign,$T156)*N($L156)-N($M156))</f>
        <v/>
      </c>
      <c r="O156" s="79" t="str">
        <f aca="true">IF($T156="","",INDEX(L_TxnCounts,$T156)&amp;"")</f>
        <v/>
      </c>
      <c r="P156" s="78"/>
      <c r="Q156" s="79" t="str">
        <f aca="false">IF($A156&amp;$C156&amp;$D156&amp;$I156="","",IF($A156="","Missing ID",IF(COUNTIF($A$6:$A$305,$A156)&gt;1,"Duplicate ID",IF(NOT(ISNUMBER($B156)),"Missing date",IF($R156="","Unknown account",IF($D156="","Missing security",IF($S156="","Unknown security",IF($T156="","Unknown type",IF(AND($L156="",$I156&lt;&gt;"Bonus / Split"),"No amount",IF(N($L156)&lt;0,"Type a positive amount; the sign comes from the type",IF(N($M156)&lt;0,"Type charges as a positive amount",IF(N($B156)&gt;ValDate,"Date after valuation",IF(AND(N($B156)&gt;PrevDate,COUNTIFS(Holdings!$B$6:$B$205,$C156,Holdings!$C$6:$C$205,$D156)=0),"No holding row (needed for Period Change)","OK")))))))))))))</f>
        <v/>
      </c>
      <c r="R156" s="89" t="str">
        <f aca="false">IF($C156="","",IFERROR(MATCH($C156,Accounts!$A$6:$A$55,0),""))</f>
        <v/>
      </c>
      <c r="S156" s="89" t="str">
        <f aca="false">IF($D156="","",IFERROR(MATCH($D156,Securities!$A$6:$A$105,0),""))</f>
        <v/>
      </c>
      <c r="T156" s="89" t="str">
        <f aca="true">IF($I156="","",IFERROR(MATCH($I156,L_TxnType,0),""))</f>
        <v/>
      </c>
    </row>
    <row r="157" customFormat="false" ht="15" hidden="false" customHeight="false" outlineLevel="0" collapsed="false">
      <c r="A157" s="77"/>
      <c r="B157" s="80"/>
      <c r="C157" s="78"/>
      <c r="D157" s="78"/>
      <c r="E157" s="79" t="str">
        <f aca="false">IF($R157="","",INDEX(Accounts!$C$6:$C$55,$R157)&amp;"")</f>
        <v/>
      </c>
      <c r="F157" s="79" t="str">
        <f aca="false">IF($S157="","",INDEX(Securities!$B$6:$B$105,$S157)&amp;"")</f>
        <v/>
      </c>
      <c r="G157" s="79" t="str">
        <f aca="false">IF($S157="","",INDEX(Securities!$E$6:$E$105,$S157)&amp;"")</f>
        <v/>
      </c>
      <c r="H157" s="79" t="str">
        <f aca="false">IF($S157="","",INDEX(Securities!$F$6:$F$105,$S157)&amp;"")</f>
        <v/>
      </c>
      <c r="I157" s="78"/>
      <c r="J157" s="81"/>
      <c r="K157" s="94"/>
      <c r="L157" s="82"/>
      <c r="M157" s="82"/>
      <c r="N157" s="85" t="str">
        <f aca="true">IF(OR($I157="",$T157=""),"",INDEX(L_TxnSign,$T157)*N($L157)-N($M157))</f>
        <v/>
      </c>
      <c r="O157" s="79" t="str">
        <f aca="true">IF($T157="","",INDEX(L_TxnCounts,$T157)&amp;"")</f>
        <v/>
      </c>
      <c r="P157" s="78"/>
      <c r="Q157" s="79" t="str">
        <f aca="false">IF($A157&amp;$C157&amp;$D157&amp;$I157="","",IF($A157="","Missing ID",IF(COUNTIF($A$6:$A$305,$A157)&gt;1,"Duplicate ID",IF(NOT(ISNUMBER($B157)),"Missing date",IF($R157="","Unknown account",IF($D157="","Missing security",IF($S157="","Unknown security",IF($T157="","Unknown type",IF(AND($L157="",$I157&lt;&gt;"Bonus / Split"),"No amount",IF(N($L157)&lt;0,"Type a positive amount; the sign comes from the type",IF(N($M157)&lt;0,"Type charges as a positive amount",IF(N($B157)&gt;ValDate,"Date after valuation",IF(AND(N($B157)&gt;PrevDate,COUNTIFS(Holdings!$B$6:$B$205,$C157,Holdings!$C$6:$C$205,$D157)=0),"No holding row (needed for Period Change)","OK")))))))))))))</f>
        <v/>
      </c>
      <c r="R157" s="89" t="str">
        <f aca="false">IF($C157="","",IFERROR(MATCH($C157,Accounts!$A$6:$A$55,0),""))</f>
        <v/>
      </c>
      <c r="S157" s="89" t="str">
        <f aca="false">IF($D157="","",IFERROR(MATCH($D157,Securities!$A$6:$A$105,0),""))</f>
        <v/>
      </c>
      <c r="T157" s="89" t="str">
        <f aca="true">IF($I157="","",IFERROR(MATCH($I157,L_TxnType,0),""))</f>
        <v/>
      </c>
    </row>
    <row r="158" customFormat="false" ht="15" hidden="false" customHeight="false" outlineLevel="0" collapsed="false">
      <c r="A158" s="77"/>
      <c r="B158" s="80"/>
      <c r="C158" s="78"/>
      <c r="D158" s="78"/>
      <c r="E158" s="79" t="str">
        <f aca="false">IF($R158="","",INDEX(Accounts!$C$6:$C$55,$R158)&amp;"")</f>
        <v/>
      </c>
      <c r="F158" s="79" t="str">
        <f aca="false">IF($S158="","",INDEX(Securities!$B$6:$B$105,$S158)&amp;"")</f>
        <v/>
      </c>
      <c r="G158" s="79" t="str">
        <f aca="false">IF($S158="","",INDEX(Securities!$E$6:$E$105,$S158)&amp;"")</f>
        <v/>
      </c>
      <c r="H158" s="79" t="str">
        <f aca="false">IF($S158="","",INDEX(Securities!$F$6:$F$105,$S158)&amp;"")</f>
        <v/>
      </c>
      <c r="I158" s="78"/>
      <c r="J158" s="81"/>
      <c r="K158" s="94"/>
      <c r="L158" s="82"/>
      <c r="M158" s="82"/>
      <c r="N158" s="85" t="str">
        <f aca="true">IF(OR($I158="",$T158=""),"",INDEX(L_TxnSign,$T158)*N($L158)-N($M158))</f>
        <v/>
      </c>
      <c r="O158" s="79" t="str">
        <f aca="true">IF($T158="","",INDEX(L_TxnCounts,$T158)&amp;"")</f>
        <v/>
      </c>
      <c r="P158" s="78"/>
      <c r="Q158" s="79" t="str">
        <f aca="false">IF($A158&amp;$C158&amp;$D158&amp;$I158="","",IF($A158="","Missing ID",IF(COUNTIF($A$6:$A$305,$A158)&gt;1,"Duplicate ID",IF(NOT(ISNUMBER($B158)),"Missing date",IF($R158="","Unknown account",IF($D158="","Missing security",IF($S158="","Unknown security",IF($T158="","Unknown type",IF(AND($L158="",$I158&lt;&gt;"Bonus / Split"),"No amount",IF(N($L158)&lt;0,"Type a positive amount; the sign comes from the type",IF(N($M158)&lt;0,"Type charges as a positive amount",IF(N($B158)&gt;ValDate,"Date after valuation",IF(AND(N($B158)&gt;PrevDate,COUNTIFS(Holdings!$B$6:$B$205,$C158,Holdings!$C$6:$C$205,$D158)=0),"No holding row (needed for Period Change)","OK")))))))))))))</f>
        <v/>
      </c>
      <c r="R158" s="89" t="str">
        <f aca="false">IF($C158="","",IFERROR(MATCH($C158,Accounts!$A$6:$A$55,0),""))</f>
        <v/>
      </c>
      <c r="S158" s="89" t="str">
        <f aca="false">IF($D158="","",IFERROR(MATCH($D158,Securities!$A$6:$A$105,0),""))</f>
        <v/>
      </c>
      <c r="T158" s="89" t="str">
        <f aca="true">IF($I158="","",IFERROR(MATCH($I158,L_TxnType,0),""))</f>
        <v/>
      </c>
    </row>
    <row r="159" customFormat="false" ht="15" hidden="false" customHeight="false" outlineLevel="0" collapsed="false">
      <c r="A159" s="77"/>
      <c r="B159" s="80"/>
      <c r="C159" s="78"/>
      <c r="D159" s="78"/>
      <c r="E159" s="79" t="str">
        <f aca="false">IF($R159="","",INDEX(Accounts!$C$6:$C$55,$R159)&amp;"")</f>
        <v/>
      </c>
      <c r="F159" s="79" t="str">
        <f aca="false">IF($S159="","",INDEX(Securities!$B$6:$B$105,$S159)&amp;"")</f>
        <v/>
      </c>
      <c r="G159" s="79" t="str">
        <f aca="false">IF($S159="","",INDEX(Securities!$E$6:$E$105,$S159)&amp;"")</f>
        <v/>
      </c>
      <c r="H159" s="79" t="str">
        <f aca="false">IF($S159="","",INDEX(Securities!$F$6:$F$105,$S159)&amp;"")</f>
        <v/>
      </c>
      <c r="I159" s="78"/>
      <c r="J159" s="81"/>
      <c r="K159" s="94"/>
      <c r="L159" s="82"/>
      <c r="M159" s="82"/>
      <c r="N159" s="85" t="str">
        <f aca="true">IF(OR($I159="",$T159=""),"",INDEX(L_TxnSign,$T159)*N($L159)-N($M159))</f>
        <v/>
      </c>
      <c r="O159" s="79" t="str">
        <f aca="true">IF($T159="","",INDEX(L_TxnCounts,$T159)&amp;"")</f>
        <v/>
      </c>
      <c r="P159" s="78"/>
      <c r="Q159" s="79" t="str">
        <f aca="false">IF($A159&amp;$C159&amp;$D159&amp;$I159="","",IF($A159="","Missing ID",IF(COUNTIF($A$6:$A$305,$A159)&gt;1,"Duplicate ID",IF(NOT(ISNUMBER($B159)),"Missing date",IF($R159="","Unknown account",IF($D159="","Missing security",IF($S159="","Unknown security",IF($T159="","Unknown type",IF(AND($L159="",$I159&lt;&gt;"Bonus / Split"),"No amount",IF(N($L159)&lt;0,"Type a positive amount; the sign comes from the type",IF(N($M159)&lt;0,"Type charges as a positive amount",IF(N($B159)&gt;ValDate,"Date after valuation",IF(AND(N($B159)&gt;PrevDate,COUNTIFS(Holdings!$B$6:$B$205,$C159,Holdings!$C$6:$C$205,$D159)=0),"No holding row (needed for Period Change)","OK")))))))))))))</f>
        <v/>
      </c>
      <c r="R159" s="89" t="str">
        <f aca="false">IF($C159="","",IFERROR(MATCH($C159,Accounts!$A$6:$A$55,0),""))</f>
        <v/>
      </c>
      <c r="S159" s="89" t="str">
        <f aca="false">IF($D159="","",IFERROR(MATCH($D159,Securities!$A$6:$A$105,0),""))</f>
        <v/>
      </c>
      <c r="T159" s="89" t="str">
        <f aca="true">IF($I159="","",IFERROR(MATCH($I159,L_TxnType,0),""))</f>
        <v/>
      </c>
    </row>
    <row r="160" customFormat="false" ht="15" hidden="false" customHeight="false" outlineLevel="0" collapsed="false">
      <c r="A160" s="77"/>
      <c r="B160" s="80"/>
      <c r="C160" s="78"/>
      <c r="D160" s="78"/>
      <c r="E160" s="79" t="str">
        <f aca="false">IF($R160="","",INDEX(Accounts!$C$6:$C$55,$R160)&amp;"")</f>
        <v/>
      </c>
      <c r="F160" s="79" t="str">
        <f aca="false">IF($S160="","",INDEX(Securities!$B$6:$B$105,$S160)&amp;"")</f>
        <v/>
      </c>
      <c r="G160" s="79" t="str">
        <f aca="false">IF($S160="","",INDEX(Securities!$E$6:$E$105,$S160)&amp;"")</f>
        <v/>
      </c>
      <c r="H160" s="79" t="str">
        <f aca="false">IF($S160="","",INDEX(Securities!$F$6:$F$105,$S160)&amp;"")</f>
        <v/>
      </c>
      <c r="I160" s="78"/>
      <c r="J160" s="81"/>
      <c r="K160" s="94"/>
      <c r="L160" s="82"/>
      <c r="M160" s="82"/>
      <c r="N160" s="85" t="str">
        <f aca="true">IF(OR($I160="",$T160=""),"",INDEX(L_TxnSign,$T160)*N($L160)-N($M160))</f>
        <v/>
      </c>
      <c r="O160" s="79" t="str">
        <f aca="true">IF($T160="","",INDEX(L_TxnCounts,$T160)&amp;"")</f>
        <v/>
      </c>
      <c r="P160" s="78"/>
      <c r="Q160" s="79" t="str">
        <f aca="false">IF($A160&amp;$C160&amp;$D160&amp;$I160="","",IF($A160="","Missing ID",IF(COUNTIF($A$6:$A$305,$A160)&gt;1,"Duplicate ID",IF(NOT(ISNUMBER($B160)),"Missing date",IF($R160="","Unknown account",IF($D160="","Missing security",IF($S160="","Unknown security",IF($T160="","Unknown type",IF(AND($L160="",$I160&lt;&gt;"Bonus / Split"),"No amount",IF(N($L160)&lt;0,"Type a positive amount; the sign comes from the type",IF(N($M160)&lt;0,"Type charges as a positive amount",IF(N($B160)&gt;ValDate,"Date after valuation",IF(AND(N($B160)&gt;PrevDate,COUNTIFS(Holdings!$B$6:$B$205,$C160,Holdings!$C$6:$C$205,$D160)=0),"No holding row (needed for Period Change)","OK")))))))))))))</f>
        <v/>
      </c>
      <c r="R160" s="89" t="str">
        <f aca="false">IF($C160="","",IFERROR(MATCH($C160,Accounts!$A$6:$A$55,0),""))</f>
        <v/>
      </c>
      <c r="S160" s="89" t="str">
        <f aca="false">IF($D160="","",IFERROR(MATCH($D160,Securities!$A$6:$A$105,0),""))</f>
        <v/>
      </c>
      <c r="T160" s="89" t="str">
        <f aca="true">IF($I160="","",IFERROR(MATCH($I160,L_TxnType,0),""))</f>
        <v/>
      </c>
    </row>
    <row r="161" customFormat="false" ht="15" hidden="false" customHeight="false" outlineLevel="0" collapsed="false">
      <c r="A161" s="77"/>
      <c r="B161" s="80"/>
      <c r="C161" s="78"/>
      <c r="D161" s="78"/>
      <c r="E161" s="79" t="str">
        <f aca="false">IF($R161="","",INDEX(Accounts!$C$6:$C$55,$R161)&amp;"")</f>
        <v/>
      </c>
      <c r="F161" s="79" t="str">
        <f aca="false">IF($S161="","",INDEX(Securities!$B$6:$B$105,$S161)&amp;"")</f>
        <v/>
      </c>
      <c r="G161" s="79" t="str">
        <f aca="false">IF($S161="","",INDEX(Securities!$E$6:$E$105,$S161)&amp;"")</f>
        <v/>
      </c>
      <c r="H161" s="79" t="str">
        <f aca="false">IF($S161="","",INDEX(Securities!$F$6:$F$105,$S161)&amp;"")</f>
        <v/>
      </c>
      <c r="I161" s="78"/>
      <c r="J161" s="81"/>
      <c r="K161" s="94"/>
      <c r="L161" s="82"/>
      <c r="M161" s="82"/>
      <c r="N161" s="85" t="str">
        <f aca="true">IF(OR($I161="",$T161=""),"",INDEX(L_TxnSign,$T161)*N($L161)-N($M161))</f>
        <v/>
      </c>
      <c r="O161" s="79" t="str">
        <f aca="true">IF($T161="","",INDEX(L_TxnCounts,$T161)&amp;"")</f>
        <v/>
      </c>
      <c r="P161" s="78"/>
      <c r="Q161" s="79" t="str">
        <f aca="false">IF($A161&amp;$C161&amp;$D161&amp;$I161="","",IF($A161="","Missing ID",IF(COUNTIF($A$6:$A$305,$A161)&gt;1,"Duplicate ID",IF(NOT(ISNUMBER($B161)),"Missing date",IF($R161="","Unknown account",IF($D161="","Missing security",IF($S161="","Unknown security",IF($T161="","Unknown type",IF(AND($L161="",$I161&lt;&gt;"Bonus / Split"),"No amount",IF(N($L161)&lt;0,"Type a positive amount; the sign comes from the type",IF(N($M161)&lt;0,"Type charges as a positive amount",IF(N($B161)&gt;ValDate,"Date after valuation",IF(AND(N($B161)&gt;PrevDate,COUNTIFS(Holdings!$B$6:$B$205,$C161,Holdings!$C$6:$C$205,$D161)=0),"No holding row (needed for Period Change)","OK")))))))))))))</f>
        <v/>
      </c>
      <c r="R161" s="89" t="str">
        <f aca="false">IF($C161="","",IFERROR(MATCH($C161,Accounts!$A$6:$A$55,0),""))</f>
        <v/>
      </c>
      <c r="S161" s="89" t="str">
        <f aca="false">IF($D161="","",IFERROR(MATCH($D161,Securities!$A$6:$A$105,0),""))</f>
        <v/>
      </c>
      <c r="T161" s="89" t="str">
        <f aca="true">IF($I161="","",IFERROR(MATCH($I161,L_TxnType,0),""))</f>
        <v/>
      </c>
    </row>
    <row r="162" customFormat="false" ht="15" hidden="false" customHeight="false" outlineLevel="0" collapsed="false">
      <c r="A162" s="77"/>
      <c r="B162" s="80"/>
      <c r="C162" s="78"/>
      <c r="D162" s="78"/>
      <c r="E162" s="79" t="str">
        <f aca="false">IF($R162="","",INDEX(Accounts!$C$6:$C$55,$R162)&amp;"")</f>
        <v/>
      </c>
      <c r="F162" s="79" t="str">
        <f aca="false">IF($S162="","",INDEX(Securities!$B$6:$B$105,$S162)&amp;"")</f>
        <v/>
      </c>
      <c r="G162" s="79" t="str">
        <f aca="false">IF($S162="","",INDEX(Securities!$E$6:$E$105,$S162)&amp;"")</f>
        <v/>
      </c>
      <c r="H162" s="79" t="str">
        <f aca="false">IF($S162="","",INDEX(Securities!$F$6:$F$105,$S162)&amp;"")</f>
        <v/>
      </c>
      <c r="I162" s="78"/>
      <c r="J162" s="81"/>
      <c r="K162" s="94"/>
      <c r="L162" s="82"/>
      <c r="M162" s="82"/>
      <c r="N162" s="85" t="str">
        <f aca="true">IF(OR($I162="",$T162=""),"",INDEX(L_TxnSign,$T162)*N($L162)-N($M162))</f>
        <v/>
      </c>
      <c r="O162" s="79" t="str">
        <f aca="true">IF($T162="","",INDEX(L_TxnCounts,$T162)&amp;"")</f>
        <v/>
      </c>
      <c r="P162" s="78"/>
      <c r="Q162" s="79" t="str">
        <f aca="false">IF($A162&amp;$C162&amp;$D162&amp;$I162="","",IF($A162="","Missing ID",IF(COUNTIF($A$6:$A$305,$A162)&gt;1,"Duplicate ID",IF(NOT(ISNUMBER($B162)),"Missing date",IF($R162="","Unknown account",IF($D162="","Missing security",IF($S162="","Unknown security",IF($T162="","Unknown type",IF(AND($L162="",$I162&lt;&gt;"Bonus / Split"),"No amount",IF(N($L162)&lt;0,"Type a positive amount; the sign comes from the type",IF(N($M162)&lt;0,"Type charges as a positive amount",IF(N($B162)&gt;ValDate,"Date after valuation",IF(AND(N($B162)&gt;PrevDate,COUNTIFS(Holdings!$B$6:$B$205,$C162,Holdings!$C$6:$C$205,$D162)=0),"No holding row (needed for Period Change)","OK")))))))))))))</f>
        <v/>
      </c>
      <c r="R162" s="89" t="str">
        <f aca="false">IF($C162="","",IFERROR(MATCH($C162,Accounts!$A$6:$A$55,0),""))</f>
        <v/>
      </c>
      <c r="S162" s="89" t="str">
        <f aca="false">IF($D162="","",IFERROR(MATCH($D162,Securities!$A$6:$A$105,0),""))</f>
        <v/>
      </c>
      <c r="T162" s="89" t="str">
        <f aca="true">IF($I162="","",IFERROR(MATCH($I162,L_TxnType,0),""))</f>
        <v/>
      </c>
    </row>
    <row r="163" customFormat="false" ht="15" hidden="false" customHeight="false" outlineLevel="0" collapsed="false">
      <c r="A163" s="77"/>
      <c r="B163" s="80"/>
      <c r="C163" s="78"/>
      <c r="D163" s="78"/>
      <c r="E163" s="79" t="str">
        <f aca="false">IF($R163="","",INDEX(Accounts!$C$6:$C$55,$R163)&amp;"")</f>
        <v/>
      </c>
      <c r="F163" s="79" t="str">
        <f aca="false">IF($S163="","",INDEX(Securities!$B$6:$B$105,$S163)&amp;"")</f>
        <v/>
      </c>
      <c r="G163" s="79" t="str">
        <f aca="false">IF($S163="","",INDEX(Securities!$E$6:$E$105,$S163)&amp;"")</f>
        <v/>
      </c>
      <c r="H163" s="79" t="str">
        <f aca="false">IF($S163="","",INDEX(Securities!$F$6:$F$105,$S163)&amp;"")</f>
        <v/>
      </c>
      <c r="I163" s="78"/>
      <c r="J163" s="81"/>
      <c r="K163" s="94"/>
      <c r="L163" s="82"/>
      <c r="M163" s="82"/>
      <c r="N163" s="85" t="str">
        <f aca="true">IF(OR($I163="",$T163=""),"",INDEX(L_TxnSign,$T163)*N($L163)-N($M163))</f>
        <v/>
      </c>
      <c r="O163" s="79" t="str">
        <f aca="true">IF($T163="","",INDEX(L_TxnCounts,$T163)&amp;"")</f>
        <v/>
      </c>
      <c r="P163" s="78"/>
      <c r="Q163" s="79" t="str">
        <f aca="false">IF($A163&amp;$C163&amp;$D163&amp;$I163="","",IF($A163="","Missing ID",IF(COUNTIF($A$6:$A$305,$A163)&gt;1,"Duplicate ID",IF(NOT(ISNUMBER($B163)),"Missing date",IF($R163="","Unknown account",IF($D163="","Missing security",IF($S163="","Unknown security",IF($T163="","Unknown type",IF(AND($L163="",$I163&lt;&gt;"Bonus / Split"),"No amount",IF(N($L163)&lt;0,"Type a positive amount; the sign comes from the type",IF(N($M163)&lt;0,"Type charges as a positive amount",IF(N($B163)&gt;ValDate,"Date after valuation",IF(AND(N($B163)&gt;PrevDate,COUNTIFS(Holdings!$B$6:$B$205,$C163,Holdings!$C$6:$C$205,$D163)=0),"No holding row (needed for Period Change)","OK")))))))))))))</f>
        <v/>
      </c>
      <c r="R163" s="89" t="str">
        <f aca="false">IF($C163="","",IFERROR(MATCH($C163,Accounts!$A$6:$A$55,0),""))</f>
        <v/>
      </c>
      <c r="S163" s="89" t="str">
        <f aca="false">IF($D163="","",IFERROR(MATCH($D163,Securities!$A$6:$A$105,0),""))</f>
        <v/>
      </c>
      <c r="T163" s="89" t="str">
        <f aca="true">IF($I163="","",IFERROR(MATCH($I163,L_TxnType,0),""))</f>
        <v/>
      </c>
    </row>
    <row r="164" customFormat="false" ht="15" hidden="false" customHeight="false" outlineLevel="0" collapsed="false">
      <c r="A164" s="77"/>
      <c r="B164" s="80"/>
      <c r="C164" s="78"/>
      <c r="D164" s="78"/>
      <c r="E164" s="79" t="str">
        <f aca="false">IF($R164="","",INDEX(Accounts!$C$6:$C$55,$R164)&amp;"")</f>
        <v/>
      </c>
      <c r="F164" s="79" t="str">
        <f aca="false">IF($S164="","",INDEX(Securities!$B$6:$B$105,$S164)&amp;"")</f>
        <v/>
      </c>
      <c r="G164" s="79" t="str">
        <f aca="false">IF($S164="","",INDEX(Securities!$E$6:$E$105,$S164)&amp;"")</f>
        <v/>
      </c>
      <c r="H164" s="79" t="str">
        <f aca="false">IF($S164="","",INDEX(Securities!$F$6:$F$105,$S164)&amp;"")</f>
        <v/>
      </c>
      <c r="I164" s="78"/>
      <c r="J164" s="81"/>
      <c r="K164" s="94"/>
      <c r="L164" s="82"/>
      <c r="M164" s="82"/>
      <c r="N164" s="85" t="str">
        <f aca="true">IF(OR($I164="",$T164=""),"",INDEX(L_TxnSign,$T164)*N($L164)-N($M164))</f>
        <v/>
      </c>
      <c r="O164" s="79" t="str">
        <f aca="true">IF($T164="","",INDEX(L_TxnCounts,$T164)&amp;"")</f>
        <v/>
      </c>
      <c r="P164" s="78"/>
      <c r="Q164" s="79" t="str">
        <f aca="false">IF($A164&amp;$C164&amp;$D164&amp;$I164="","",IF($A164="","Missing ID",IF(COUNTIF($A$6:$A$305,$A164)&gt;1,"Duplicate ID",IF(NOT(ISNUMBER($B164)),"Missing date",IF($R164="","Unknown account",IF($D164="","Missing security",IF($S164="","Unknown security",IF($T164="","Unknown type",IF(AND($L164="",$I164&lt;&gt;"Bonus / Split"),"No amount",IF(N($L164)&lt;0,"Type a positive amount; the sign comes from the type",IF(N($M164)&lt;0,"Type charges as a positive amount",IF(N($B164)&gt;ValDate,"Date after valuation",IF(AND(N($B164)&gt;PrevDate,COUNTIFS(Holdings!$B$6:$B$205,$C164,Holdings!$C$6:$C$205,$D164)=0),"No holding row (needed for Period Change)","OK")))))))))))))</f>
        <v/>
      </c>
      <c r="R164" s="89" t="str">
        <f aca="false">IF($C164="","",IFERROR(MATCH($C164,Accounts!$A$6:$A$55,0),""))</f>
        <v/>
      </c>
      <c r="S164" s="89" t="str">
        <f aca="false">IF($D164="","",IFERROR(MATCH($D164,Securities!$A$6:$A$105,0),""))</f>
        <v/>
      </c>
      <c r="T164" s="89" t="str">
        <f aca="true">IF($I164="","",IFERROR(MATCH($I164,L_TxnType,0),""))</f>
        <v/>
      </c>
    </row>
    <row r="165" customFormat="false" ht="15" hidden="false" customHeight="false" outlineLevel="0" collapsed="false">
      <c r="A165" s="77"/>
      <c r="B165" s="80"/>
      <c r="C165" s="78"/>
      <c r="D165" s="78"/>
      <c r="E165" s="79" t="str">
        <f aca="false">IF($R165="","",INDEX(Accounts!$C$6:$C$55,$R165)&amp;"")</f>
        <v/>
      </c>
      <c r="F165" s="79" t="str">
        <f aca="false">IF($S165="","",INDEX(Securities!$B$6:$B$105,$S165)&amp;"")</f>
        <v/>
      </c>
      <c r="G165" s="79" t="str">
        <f aca="false">IF($S165="","",INDEX(Securities!$E$6:$E$105,$S165)&amp;"")</f>
        <v/>
      </c>
      <c r="H165" s="79" t="str">
        <f aca="false">IF($S165="","",INDEX(Securities!$F$6:$F$105,$S165)&amp;"")</f>
        <v/>
      </c>
      <c r="I165" s="78"/>
      <c r="J165" s="81"/>
      <c r="K165" s="94"/>
      <c r="L165" s="82"/>
      <c r="M165" s="82"/>
      <c r="N165" s="85" t="str">
        <f aca="true">IF(OR($I165="",$T165=""),"",INDEX(L_TxnSign,$T165)*N($L165)-N($M165))</f>
        <v/>
      </c>
      <c r="O165" s="79" t="str">
        <f aca="true">IF($T165="","",INDEX(L_TxnCounts,$T165)&amp;"")</f>
        <v/>
      </c>
      <c r="P165" s="78"/>
      <c r="Q165" s="79" t="str">
        <f aca="false">IF($A165&amp;$C165&amp;$D165&amp;$I165="","",IF($A165="","Missing ID",IF(COUNTIF($A$6:$A$305,$A165)&gt;1,"Duplicate ID",IF(NOT(ISNUMBER($B165)),"Missing date",IF($R165="","Unknown account",IF($D165="","Missing security",IF($S165="","Unknown security",IF($T165="","Unknown type",IF(AND($L165="",$I165&lt;&gt;"Bonus / Split"),"No amount",IF(N($L165)&lt;0,"Type a positive amount; the sign comes from the type",IF(N($M165)&lt;0,"Type charges as a positive amount",IF(N($B165)&gt;ValDate,"Date after valuation",IF(AND(N($B165)&gt;PrevDate,COUNTIFS(Holdings!$B$6:$B$205,$C165,Holdings!$C$6:$C$205,$D165)=0),"No holding row (needed for Period Change)","OK")))))))))))))</f>
        <v/>
      </c>
      <c r="R165" s="89" t="str">
        <f aca="false">IF($C165="","",IFERROR(MATCH($C165,Accounts!$A$6:$A$55,0),""))</f>
        <v/>
      </c>
      <c r="S165" s="89" t="str">
        <f aca="false">IF($D165="","",IFERROR(MATCH($D165,Securities!$A$6:$A$105,0),""))</f>
        <v/>
      </c>
      <c r="T165" s="89" t="str">
        <f aca="true">IF($I165="","",IFERROR(MATCH($I165,L_TxnType,0),""))</f>
        <v/>
      </c>
    </row>
    <row r="166" customFormat="false" ht="15" hidden="false" customHeight="false" outlineLevel="0" collapsed="false">
      <c r="A166" s="77"/>
      <c r="B166" s="80"/>
      <c r="C166" s="78"/>
      <c r="D166" s="78"/>
      <c r="E166" s="79" t="str">
        <f aca="false">IF($R166="","",INDEX(Accounts!$C$6:$C$55,$R166)&amp;"")</f>
        <v/>
      </c>
      <c r="F166" s="79" t="str">
        <f aca="false">IF($S166="","",INDEX(Securities!$B$6:$B$105,$S166)&amp;"")</f>
        <v/>
      </c>
      <c r="G166" s="79" t="str">
        <f aca="false">IF($S166="","",INDEX(Securities!$E$6:$E$105,$S166)&amp;"")</f>
        <v/>
      </c>
      <c r="H166" s="79" t="str">
        <f aca="false">IF($S166="","",INDEX(Securities!$F$6:$F$105,$S166)&amp;"")</f>
        <v/>
      </c>
      <c r="I166" s="78"/>
      <c r="J166" s="81"/>
      <c r="K166" s="94"/>
      <c r="L166" s="82"/>
      <c r="M166" s="82"/>
      <c r="N166" s="85" t="str">
        <f aca="true">IF(OR($I166="",$T166=""),"",INDEX(L_TxnSign,$T166)*N($L166)-N($M166))</f>
        <v/>
      </c>
      <c r="O166" s="79" t="str">
        <f aca="true">IF($T166="","",INDEX(L_TxnCounts,$T166)&amp;"")</f>
        <v/>
      </c>
      <c r="P166" s="78"/>
      <c r="Q166" s="79" t="str">
        <f aca="false">IF($A166&amp;$C166&amp;$D166&amp;$I166="","",IF($A166="","Missing ID",IF(COUNTIF($A$6:$A$305,$A166)&gt;1,"Duplicate ID",IF(NOT(ISNUMBER($B166)),"Missing date",IF($R166="","Unknown account",IF($D166="","Missing security",IF($S166="","Unknown security",IF($T166="","Unknown type",IF(AND($L166="",$I166&lt;&gt;"Bonus / Split"),"No amount",IF(N($L166)&lt;0,"Type a positive amount; the sign comes from the type",IF(N($M166)&lt;0,"Type charges as a positive amount",IF(N($B166)&gt;ValDate,"Date after valuation",IF(AND(N($B166)&gt;PrevDate,COUNTIFS(Holdings!$B$6:$B$205,$C166,Holdings!$C$6:$C$205,$D166)=0),"No holding row (needed for Period Change)","OK")))))))))))))</f>
        <v/>
      </c>
      <c r="R166" s="89" t="str">
        <f aca="false">IF($C166="","",IFERROR(MATCH($C166,Accounts!$A$6:$A$55,0),""))</f>
        <v/>
      </c>
      <c r="S166" s="89" t="str">
        <f aca="false">IF($D166="","",IFERROR(MATCH($D166,Securities!$A$6:$A$105,0),""))</f>
        <v/>
      </c>
      <c r="T166" s="89" t="str">
        <f aca="true">IF($I166="","",IFERROR(MATCH($I166,L_TxnType,0),""))</f>
        <v/>
      </c>
    </row>
    <row r="167" customFormat="false" ht="15" hidden="false" customHeight="false" outlineLevel="0" collapsed="false">
      <c r="A167" s="77"/>
      <c r="B167" s="80"/>
      <c r="C167" s="78"/>
      <c r="D167" s="78"/>
      <c r="E167" s="79" t="str">
        <f aca="false">IF($R167="","",INDEX(Accounts!$C$6:$C$55,$R167)&amp;"")</f>
        <v/>
      </c>
      <c r="F167" s="79" t="str">
        <f aca="false">IF($S167="","",INDEX(Securities!$B$6:$B$105,$S167)&amp;"")</f>
        <v/>
      </c>
      <c r="G167" s="79" t="str">
        <f aca="false">IF($S167="","",INDEX(Securities!$E$6:$E$105,$S167)&amp;"")</f>
        <v/>
      </c>
      <c r="H167" s="79" t="str">
        <f aca="false">IF($S167="","",INDEX(Securities!$F$6:$F$105,$S167)&amp;"")</f>
        <v/>
      </c>
      <c r="I167" s="78"/>
      <c r="J167" s="81"/>
      <c r="K167" s="94"/>
      <c r="L167" s="82"/>
      <c r="M167" s="82"/>
      <c r="N167" s="85" t="str">
        <f aca="true">IF(OR($I167="",$T167=""),"",INDEX(L_TxnSign,$T167)*N($L167)-N($M167))</f>
        <v/>
      </c>
      <c r="O167" s="79" t="str">
        <f aca="true">IF($T167="","",INDEX(L_TxnCounts,$T167)&amp;"")</f>
        <v/>
      </c>
      <c r="P167" s="78"/>
      <c r="Q167" s="79" t="str">
        <f aca="false">IF($A167&amp;$C167&amp;$D167&amp;$I167="","",IF($A167="","Missing ID",IF(COUNTIF($A$6:$A$305,$A167)&gt;1,"Duplicate ID",IF(NOT(ISNUMBER($B167)),"Missing date",IF($R167="","Unknown account",IF($D167="","Missing security",IF($S167="","Unknown security",IF($T167="","Unknown type",IF(AND($L167="",$I167&lt;&gt;"Bonus / Split"),"No amount",IF(N($L167)&lt;0,"Type a positive amount; the sign comes from the type",IF(N($M167)&lt;0,"Type charges as a positive amount",IF(N($B167)&gt;ValDate,"Date after valuation",IF(AND(N($B167)&gt;PrevDate,COUNTIFS(Holdings!$B$6:$B$205,$C167,Holdings!$C$6:$C$205,$D167)=0),"No holding row (needed for Period Change)","OK")))))))))))))</f>
        <v/>
      </c>
      <c r="R167" s="89" t="str">
        <f aca="false">IF($C167="","",IFERROR(MATCH($C167,Accounts!$A$6:$A$55,0),""))</f>
        <v/>
      </c>
      <c r="S167" s="89" t="str">
        <f aca="false">IF($D167="","",IFERROR(MATCH($D167,Securities!$A$6:$A$105,0),""))</f>
        <v/>
      </c>
      <c r="T167" s="89" t="str">
        <f aca="true">IF($I167="","",IFERROR(MATCH($I167,L_TxnType,0),""))</f>
        <v/>
      </c>
    </row>
    <row r="168" customFormat="false" ht="15" hidden="false" customHeight="false" outlineLevel="0" collapsed="false">
      <c r="A168" s="77"/>
      <c r="B168" s="80"/>
      <c r="C168" s="78"/>
      <c r="D168" s="78"/>
      <c r="E168" s="79" t="str">
        <f aca="false">IF($R168="","",INDEX(Accounts!$C$6:$C$55,$R168)&amp;"")</f>
        <v/>
      </c>
      <c r="F168" s="79" t="str">
        <f aca="false">IF($S168="","",INDEX(Securities!$B$6:$B$105,$S168)&amp;"")</f>
        <v/>
      </c>
      <c r="G168" s="79" t="str">
        <f aca="false">IF($S168="","",INDEX(Securities!$E$6:$E$105,$S168)&amp;"")</f>
        <v/>
      </c>
      <c r="H168" s="79" t="str">
        <f aca="false">IF($S168="","",INDEX(Securities!$F$6:$F$105,$S168)&amp;"")</f>
        <v/>
      </c>
      <c r="I168" s="78"/>
      <c r="J168" s="81"/>
      <c r="K168" s="94"/>
      <c r="L168" s="82"/>
      <c r="M168" s="82"/>
      <c r="N168" s="85" t="str">
        <f aca="true">IF(OR($I168="",$T168=""),"",INDEX(L_TxnSign,$T168)*N($L168)-N($M168))</f>
        <v/>
      </c>
      <c r="O168" s="79" t="str">
        <f aca="true">IF($T168="","",INDEX(L_TxnCounts,$T168)&amp;"")</f>
        <v/>
      </c>
      <c r="P168" s="78"/>
      <c r="Q168" s="79" t="str">
        <f aca="false">IF($A168&amp;$C168&amp;$D168&amp;$I168="","",IF($A168="","Missing ID",IF(COUNTIF($A$6:$A$305,$A168)&gt;1,"Duplicate ID",IF(NOT(ISNUMBER($B168)),"Missing date",IF($R168="","Unknown account",IF($D168="","Missing security",IF($S168="","Unknown security",IF($T168="","Unknown type",IF(AND($L168="",$I168&lt;&gt;"Bonus / Split"),"No amount",IF(N($L168)&lt;0,"Type a positive amount; the sign comes from the type",IF(N($M168)&lt;0,"Type charges as a positive amount",IF(N($B168)&gt;ValDate,"Date after valuation",IF(AND(N($B168)&gt;PrevDate,COUNTIFS(Holdings!$B$6:$B$205,$C168,Holdings!$C$6:$C$205,$D168)=0),"No holding row (needed for Period Change)","OK")))))))))))))</f>
        <v/>
      </c>
      <c r="R168" s="89" t="str">
        <f aca="false">IF($C168="","",IFERROR(MATCH($C168,Accounts!$A$6:$A$55,0),""))</f>
        <v/>
      </c>
      <c r="S168" s="89" t="str">
        <f aca="false">IF($D168="","",IFERROR(MATCH($D168,Securities!$A$6:$A$105,0),""))</f>
        <v/>
      </c>
      <c r="T168" s="89" t="str">
        <f aca="true">IF($I168="","",IFERROR(MATCH($I168,L_TxnType,0),""))</f>
        <v/>
      </c>
    </row>
    <row r="169" customFormat="false" ht="15" hidden="false" customHeight="false" outlineLevel="0" collapsed="false">
      <c r="A169" s="77"/>
      <c r="B169" s="80"/>
      <c r="C169" s="78"/>
      <c r="D169" s="78"/>
      <c r="E169" s="79" t="str">
        <f aca="false">IF($R169="","",INDEX(Accounts!$C$6:$C$55,$R169)&amp;"")</f>
        <v/>
      </c>
      <c r="F169" s="79" t="str">
        <f aca="false">IF($S169="","",INDEX(Securities!$B$6:$B$105,$S169)&amp;"")</f>
        <v/>
      </c>
      <c r="G169" s="79" t="str">
        <f aca="false">IF($S169="","",INDEX(Securities!$E$6:$E$105,$S169)&amp;"")</f>
        <v/>
      </c>
      <c r="H169" s="79" t="str">
        <f aca="false">IF($S169="","",INDEX(Securities!$F$6:$F$105,$S169)&amp;"")</f>
        <v/>
      </c>
      <c r="I169" s="78"/>
      <c r="J169" s="81"/>
      <c r="K169" s="94"/>
      <c r="L169" s="82"/>
      <c r="M169" s="82"/>
      <c r="N169" s="85" t="str">
        <f aca="true">IF(OR($I169="",$T169=""),"",INDEX(L_TxnSign,$T169)*N($L169)-N($M169))</f>
        <v/>
      </c>
      <c r="O169" s="79" t="str">
        <f aca="true">IF($T169="","",INDEX(L_TxnCounts,$T169)&amp;"")</f>
        <v/>
      </c>
      <c r="P169" s="78"/>
      <c r="Q169" s="79" t="str">
        <f aca="false">IF($A169&amp;$C169&amp;$D169&amp;$I169="","",IF($A169="","Missing ID",IF(COUNTIF($A$6:$A$305,$A169)&gt;1,"Duplicate ID",IF(NOT(ISNUMBER($B169)),"Missing date",IF($R169="","Unknown account",IF($D169="","Missing security",IF($S169="","Unknown security",IF($T169="","Unknown type",IF(AND($L169="",$I169&lt;&gt;"Bonus / Split"),"No amount",IF(N($L169)&lt;0,"Type a positive amount; the sign comes from the type",IF(N($M169)&lt;0,"Type charges as a positive amount",IF(N($B169)&gt;ValDate,"Date after valuation",IF(AND(N($B169)&gt;PrevDate,COUNTIFS(Holdings!$B$6:$B$205,$C169,Holdings!$C$6:$C$205,$D169)=0),"No holding row (needed for Period Change)","OK")))))))))))))</f>
        <v/>
      </c>
      <c r="R169" s="89" t="str">
        <f aca="false">IF($C169="","",IFERROR(MATCH($C169,Accounts!$A$6:$A$55,0),""))</f>
        <v/>
      </c>
      <c r="S169" s="89" t="str">
        <f aca="false">IF($D169="","",IFERROR(MATCH($D169,Securities!$A$6:$A$105,0),""))</f>
        <v/>
      </c>
      <c r="T169" s="89" t="str">
        <f aca="true">IF($I169="","",IFERROR(MATCH($I169,L_TxnType,0),""))</f>
        <v/>
      </c>
    </row>
    <row r="170" customFormat="false" ht="15" hidden="false" customHeight="false" outlineLevel="0" collapsed="false">
      <c r="A170" s="77"/>
      <c r="B170" s="80"/>
      <c r="C170" s="78"/>
      <c r="D170" s="78"/>
      <c r="E170" s="79" t="str">
        <f aca="false">IF($R170="","",INDEX(Accounts!$C$6:$C$55,$R170)&amp;"")</f>
        <v/>
      </c>
      <c r="F170" s="79" t="str">
        <f aca="false">IF($S170="","",INDEX(Securities!$B$6:$B$105,$S170)&amp;"")</f>
        <v/>
      </c>
      <c r="G170" s="79" t="str">
        <f aca="false">IF($S170="","",INDEX(Securities!$E$6:$E$105,$S170)&amp;"")</f>
        <v/>
      </c>
      <c r="H170" s="79" t="str">
        <f aca="false">IF($S170="","",INDEX(Securities!$F$6:$F$105,$S170)&amp;"")</f>
        <v/>
      </c>
      <c r="I170" s="78"/>
      <c r="J170" s="81"/>
      <c r="K170" s="94"/>
      <c r="L170" s="82"/>
      <c r="M170" s="82"/>
      <c r="N170" s="85" t="str">
        <f aca="true">IF(OR($I170="",$T170=""),"",INDEX(L_TxnSign,$T170)*N($L170)-N($M170))</f>
        <v/>
      </c>
      <c r="O170" s="79" t="str">
        <f aca="true">IF($T170="","",INDEX(L_TxnCounts,$T170)&amp;"")</f>
        <v/>
      </c>
      <c r="P170" s="78"/>
      <c r="Q170" s="79" t="str">
        <f aca="false">IF($A170&amp;$C170&amp;$D170&amp;$I170="","",IF($A170="","Missing ID",IF(COUNTIF($A$6:$A$305,$A170)&gt;1,"Duplicate ID",IF(NOT(ISNUMBER($B170)),"Missing date",IF($R170="","Unknown account",IF($D170="","Missing security",IF($S170="","Unknown security",IF($T170="","Unknown type",IF(AND($L170="",$I170&lt;&gt;"Bonus / Split"),"No amount",IF(N($L170)&lt;0,"Type a positive amount; the sign comes from the type",IF(N($M170)&lt;0,"Type charges as a positive amount",IF(N($B170)&gt;ValDate,"Date after valuation",IF(AND(N($B170)&gt;PrevDate,COUNTIFS(Holdings!$B$6:$B$205,$C170,Holdings!$C$6:$C$205,$D170)=0),"No holding row (needed for Period Change)","OK")))))))))))))</f>
        <v/>
      </c>
      <c r="R170" s="89" t="str">
        <f aca="false">IF($C170="","",IFERROR(MATCH($C170,Accounts!$A$6:$A$55,0),""))</f>
        <v/>
      </c>
      <c r="S170" s="89" t="str">
        <f aca="false">IF($D170="","",IFERROR(MATCH($D170,Securities!$A$6:$A$105,0),""))</f>
        <v/>
      </c>
      <c r="T170" s="89" t="str">
        <f aca="true">IF($I170="","",IFERROR(MATCH($I170,L_TxnType,0),""))</f>
        <v/>
      </c>
    </row>
    <row r="171" customFormat="false" ht="15" hidden="false" customHeight="false" outlineLevel="0" collapsed="false">
      <c r="A171" s="77"/>
      <c r="B171" s="80"/>
      <c r="C171" s="78"/>
      <c r="D171" s="78"/>
      <c r="E171" s="79" t="str">
        <f aca="false">IF($R171="","",INDEX(Accounts!$C$6:$C$55,$R171)&amp;"")</f>
        <v/>
      </c>
      <c r="F171" s="79" t="str">
        <f aca="false">IF($S171="","",INDEX(Securities!$B$6:$B$105,$S171)&amp;"")</f>
        <v/>
      </c>
      <c r="G171" s="79" t="str">
        <f aca="false">IF($S171="","",INDEX(Securities!$E$6:$E$105,$S171)&amp;"")</f>
        <v/>
      </c>
      <c r="H171" s="79" t="str">
        <f aca="false">IF($S171="","",INDEX(Securities!$F$6:$F$105,$S171)&amp;"")</f>
        <v/>
      </c>
      <c r="I171" s="78"/>
      <c r="J171" s="81"/>
      <c r="K171" s="94"/>
      <c r="L171" s="82"/>
      <c r="M171" s="82"/>
      <c r="N171" s="85" t="str">
        <f aca="true">IF(OR($I171="",$T171=""),"",INDEX(L_TxnSign,$T171)*N($L171)-N($M171))</f>
        <v/>
      </c>
      <c r="O171" s="79" t="str">
        <f aca="true">IF($T171="","",INDEX(L_TxnCounts,$T171)&amp;"")</f>
        <v/>
      </c>
      <c r="P171" s="78"/>
      <c r="Q171" s="79" t="str">
        <f aca="false">IF($A171&amp;$C171&amp;$D171&amp;$I171="","",IF($A171="","Missing ID",IF(COUNTIF($A$6:$A$305,$A171)&gt;1,"Duplicate ID",IF(NOT(ISNUMBER($B171)),"Missing date",IF($R171="","Unknown account",IF($D171="","Missing security",IF($S171="","Unknown security",IF($T171="","Unknown type",IF(AND($L171="",$I171&lt;&gt;"Bonus / Split"),"No amount",IF(N($L171)&lt;0,"Type a positive amount; the sign comes from the type",IF(N($M171)&lt;0,"Type charges as a positive amount",IF(N($B171)&gt;ValDate,"Date after valuation",IF(AND(N($B171)&gt;PrevDate,COUNTIFS(Holdings!$B$6:$B$205,$C171,Holdings!$C$6:$C$205,$D171)=0),"No holding row (needed for Period Change)","OK")))))))))))))</f>
        <v/>
      </c>
      <c r="R171" s="89" t="str">
        <f aca="false">IF($C171="","",IFERROR(MATCH($C171,Accounts!$A$6:$A$55,0),""))</f>
        <v/>
      </c>
      <c r="S171" s="89" t="str">
        <f aca="false">IF($D171="","",IFERROR(MATCH($D171,Securities!$A$6:$A$105,0),""))</f>
        <v/>
      </c>
      <c r="T171" s="89" t="str">
        <f aca="true">IF($I171="","",IFERROR(MATCH($I171,L_TxnType,0),""))</f>
        <v/>
      </c>
    </row>
    <row r="172" customFormat="false" ht="15" hidden="false" customHeight="false" outlineLevel="0" collapsed="false">
      <c r="A172" s="77"/>
      <c r="B172" s="80"/>
      <c r="C172" s="78"/>
      <c r="D172" s="78"/>
      <c r="E172" s="79" t="str">
        <f aca="false">IF($R172="","",INDEX(Accounts!$C$6:$C$55,$R172)&amp;"")</f>
        <v/>
      </c>
      <c r="F172" s="79" t="str">
        <f aca="false">IF($S172="","",INDEX(Securities!$B$6:$B$105,$S172)&amp;"")</f>
        <v/>
      </c>
      <c r="G172" s="79" t="str">
        <f aca="false">IF($S172="","",INDEX(Securities!$E$6:$E$105,$S172)&amp;"")</f>
        <v/>
      </c>
      <c r="H172" s="79" t="str">
        <f aca="false">IF($S172="","",INDEX(Securities!$F$6:$F$105,$S172)&amp;"")</f>
        <v/>
      </c>
      <c r="I172" s="78"/>
      <c r="J172" s="81"/>
      <c r="K172" s="94"/>
      <c r="L172" s="82"/>
      <c r="M172" s="82"/>
      <c r="N172" s="85" t="str">
        <f aca="true">IF(OR($I172="",$T172=""),"",INDEX(L_TxnSign,$T172)*N($L172)-N($M172))</f>
        <v/>
      </c>
      <c r="O172" s="79" t="str">
        <f aca="true">IF($T172="","",INDEX(L_TxnCounts,$T172)&amp;"")</f>
        <v/>
      </c>
      <c r="P172" s="78"/>
      <c r="Q172" s="79" t="str">
        <f aca="false">IF($A172&amp;$C172&amp;$D172&amp;$I172="","",IF($A172="","Missing ID",IF(COUNTIF($A$6:$A$305,$A172)&gt;1,"Duplicate ID",IF(NOT(ISNUMBER($B172)),"Missing date",IF($R172="","Unknown account",IF($D172="","Missing security",IF($S172="","Unknown security",IF($T172="","Unknown type",IF(AND($L172="",$I172&lt;&gt;"Bonus / Split"),"No amount",IF(N($L172)&lt;0,"Type a positive amount; the sign comes from the type",IF(N($M172)&lt;0,"Type charges as a positive amount",IF(N($B172)&gt;ValDate,"Date after valuation",IF(AND(N($B172)&gt;PrevDate,COUNTIFS(Holdings!$B$6:$B$205,$C172,Holdings!$C$6:$C$205,$D172)=0),"No holding row (needed for Period Change)","OK")))))))))))))</f>
        <v/>
      </c>
      <c r="R172" s="89" t="str">
        <f aca="false">IF($C172="","",IFERROR(MATCH($C172,Accounts!$A$6:$A$55,0),""))</f>
        <v/>
      </c>
      <c r="S172" s="89" t="str">
        <f aca="false">IF($D172="","",IFERROR(MATCH($D172,Securities!$A$6:$A$105,0),""))</f>
        <v/>
      </c>
      <c r="T172" s="89" t="str">
        <f aca="true">IF($I172="","",IFERROR(MATCH($I172,L_TxnType,0),""))</f>
        <v/>
      </c>
    </row>
    <row r="173" customFormat="false" ht="15" hidden="false" customHeight="false" outlineLevel="0" collapsed="false">
      <c r="A173" s="77"/>
      <c r="B173" s="80"/>
      <c r="C173" s="78"/>
      <c r="D173" s="78"/>
      <c r="E173" s="79" t="str">
        <f aca="false">IF($R173="","",INDEX(Accounts!$C$6:$C$55,$R173)&amp;"")</f>
        <v/>
      </c>
      <c r="F173" s="79" t="str">
        <f aca="false">IF($S173="","",INDEX(Securities!$B$6:$B$105,$S173)&amp;"")</f>
        <v/>
      </c>
      <c r="G173" s="79" t="str">
        <f aca="false">IF($S173="","",INDEX(Securities!$E$6:$E$105,$S173)&amp;"")</f>
        <v/>
      </c>
      <c r="H173" s="79" t="str">
        <f aca="false">IF($S173="","",INDEX(Securities!$F$6:$F$105,$S173)&amp;"")</f>
        <v/>
      </c>
      <c r="I173" s="78"/>
      <c r="J173" s="81"/>
      <c r="K173" s="94"/>
      <c r="L173" s="82"/>
      <c r="M173" s="82"/>
      <c r="N173" s="85" t="str">
        <f aca="true">IF(OR($I173="",$T173=""),"",INDEX(L_TxnSign,$T173)*N($L173)-N($M173))</f>
        <v/>
      </c>
      <c r="O173" s="79" t="str">
        <f aca="true">IF($T173="","",INDEX(L_TxnCounts,$T173)&amp;"")</f>
        <v/>
      </c>
      <c r="P173" s="78"/>
      <c r="Q173" s="79" t="str">
        <f aca="false">IF($A173&amp;$C173&amp;$D173&amp;$I173="","",IF($A173="","Missing ID",IF(COUNTIF($A$6:$A$305,$A173)&gt;1,"Duplicate ID",IF(NOT(ISNUMBER($B173)),"Missing date",IF($R173="","Unknown account",IF($D173="","Missing security",IF($S173="","Unknown security",IF($T173="","Unknown type",IF(AND($L173="",$I173&lt;&gt;"Bonus / Split"),"No amount",IF(N($L173)&lt;0,"Type a positive amount; the sign comes from the type",IF(N($M173)&lt;0,"Type charges as a positive amount",IF(N($B173)&gt;ValDate,"Date after valuation",IF(AND(N($B173)&gt;PrevDate,COUNTIFS(Holdings!$B$6:$B$205,$C173,Holdings!$C$6:$C$205,$D173)=0),"No holding row (needed for Period Change)","OK")))))))))))))</f>
        <v/>
      </c>
      <c r="R173" s="89" t="str">
        <f aca="false">IF($C173="","",IFERROR(MATCH($C173,Accounts!$A$6:$A$55,0),""))</f>
        <v/>
      </c>
      <c r="S173" s="89" t="str">
        <f aca="false">IF($D173="","",IFERROR(MATCH($D173,Securities!$A$6:$A$105,0),""))</f>
        <v/>
      </c>
      <c r="T173" s="89" t="str">
        <f aca="true">IF($I173="","",IFERROR(MATCH($I173,L_TxnType,0),""))</f>
        <v/>
      </c>
    </row>
    <row r="174" customFormat="false" ht="15" hidden="false" customHeight="false" outlineLevel="0" collapsed="false">
      <c r="A174" s="77"/>
      <c r="B174" s="80"/>
      <c r="C174" s="78"/>
      <c r="D174" s="78"/>
      <c r="E174" s="79" t="str">
        <f aca="false">IF($R174="","",INDEX(Accounts!$C$6:$C$55,$R174)&amp;"")</f>
        <v/>
      </c>
      <c r="F174" s="79" t="str">
        <f aca="false">IF($S174="","",INDEX(Securities!$B$6:$B$105,$S174)&amp;"")</f>
        <v/>
      </c>
      <c r="G174" s="79" t="str">
        <f aca="false">IF($S174="","",INDEX(Securities!$E$6:$E$105,$S174)&amp;"")</f>
        <v/>
      </c>
      <c r="H174" s="79" t="str">
        <f aca="false">IF($S174="","",INDEX(Securities!$F$6:$F$105,$S174)&amp;"")</f>
        <v/>
      </c>
      <c r="I174" s="78"/>
      <c r="J174" s="81"/>
      <c r="K174" s="94"/>
      <c r="L174" s="82"/>
      <c r="M174" s="82"/>
      <c r="N174" s="85" t="str">
        <f aca="true">IF(OR($I174="",$T174=""),"",INDEX(L_TxnSign,$T174)*N($L174)-N($M174))</f>
        <v/>
      </c>
      <c r="O174" s="79" t="str">
        <f aca="true">IF($T174="","",INDEX(L_TxnCounts,$T174)&amp;"")</f>
        <v/>
      </c>
      <c r="P174" s="78"/>
      <c r="Q174" s="79" t="str">
        <f aca="false">IF($A174&amp;$C174&amp;$D174&amp;$I174="","",IF($A174="","Missing ID",IF(COUNTIF($A$6:$A$305,$A174)&gt;1,"Duplicate ID",IF(NOT(ISNUMBER($B174)),"Missing date",IF($R174="","Unknown account",IF($D174="","Missing security",IF($S174="","Unknown security",IF($T174="","Unknown type",IF(AND($L174="",$I174&lt;&gt;"Bonus / Split"),"No amount",IF(N($L174)&lt;0,"Type a positive amount; the sign comes from the type",IF(N($M174)&lt;0,"Type charges as a positive amount",IF(N($B174)&gt;ValDate,"Date after valuation",IF(AND(N($B174)&gt;PrevDate,COUNTIFS(Holdings!$B$6:$B$205,$C174,Holdings!$C$6:$C$205,$D174)=0),"No holding row (needed for Period Change)","OK")))))))))))))</f>
        <v/>
      </c>
      <c r="R174" s="89" t="str">
        <f aca="false">IF($C174="","",IFERROR(MATCH($C174,Accounts!$A$6:$A$55,0),""))</f>
        <v/>
      </c>
      <c r="S174" s="89" t="str">
        <f aca="false">IF($D174="","",IFERROR(MATCH($D174,Securities!$A$6:$A$105,0),""))</f>
        <v/>
      </c>
      <c r="T174" s="89" t="str">
        <f aca="true">IF($I174="","",IFERROR(MATCH($I174,L_TxnType,0),""))</f>
        <v/>
      </c>
    </row>
    <row r="175" customFormat="false" ht="15" hidden="false" customHeight="false" outlineLevel="0" collapsed="false">
      <c r="A175" s="77"/>
      <c r="B175" s="80"/>
      <c r="C175" s="78"/>
      <c r="D175" s="78"/>
      <c r="E175" s="79" t="str">
        <f aca="false">IF($R175="","",INDEX(Accounts!$C$6:$C$55,$R175)&amp;"")</f>
        <v/>
      </c>
      <c r="F175" s="79" t="str">
        <f aca="false">IF($S175="","",INDEX(Securities!$B$6:$B$105,$S175)&amp;"")</f>
        <v/>
      </c>
      <c r="G175" s="79" t="str">
        <f aca="false">IF($S175="","",INDEX(Securities!$E$6:$E$105,$S175)&amp;"")</f>
        <v/>
      </c>
      <c r="H175" s="79" t="str">
        <f aca="false">IF($S175="","",INDEX(Securities!$F$6:$F$105,$S175)&amp;"")</f>
        <v/>
      </c>
      <c r="I175" s="78"/>
      <c r="J175" s="81"/>
      <c r="K175" s="94"/>
      <c r="L175" s="82"/>
      <c r="M175" s="82"/>
      <c r="N175" s="85" t="str">
        <f aca="true">IF(OR($I175="",$T175=""),"",INDEX(L_TxnSign,$T175)*N($L175)-N($M175))</f>
        <v/>
      </c>
      <c r="O175" s="79" t="str">
        <f aca="true">IF($T175="","",INDEX(L_TxnCounts,$T175)&amp;"")</f>
        <v/>
      </c>
      <c r="P175" s="78"/>
      <c r="Q175" s="79" t="str">
        <f aca="false">IF($A175&amp;$C175&amp;$D175&amp;$I175="","",IF($A175="","Missing ID",IF(COUNTIF($A$6:$A$305,$A175)&gt;1,"Duplicate ID",IF(NOT(ISNUMBER($B175)),"Missing date",IF($R175="","Unknown account",IF($D175="","Missing security",IF($S175="","Unknown security",IF($T175="","Unknown type",IF(AND($L175="",$I175&lt;&gt;"Bonus / Split"),"No amount",IF(N($L175)&lt;0,"Type a positive amount; the sign comes from the type",IF(N($M175)&lt;0,"Type charges as a positive amount",IF(N($B175)&gt;ValDate,"Date after valuation",IF(AND(N($B175)&gt;PrevDate,COUNTIFS(Holdings!$B$6:$B$205,$C175,Holdings!$C$6:$C$205,$D175)=0),"No holding row (needed for Period Change)","OK")))))))))))))</f>
        <v/>
      </c>
      <c r="R175" s="89" t="str">
        <f aca="false">IF($C175="","",IFERROR(MATCH($C175,Accounts!$A$6:$A$55,0),""))</f>
        <v/>
      </c>
      <c r="S175" s="89" t="str">
        <f aca="false">IF($D175="","",IFERROR(MATCH($D175,Securities!$A$6:$A$105,0),""))</f>
        <v/>
      </c>
      <c r="T175" s="89" t="str">
        <f aca="true">IF($I175="","",IFERROR(MATCH($I175,L_TxnType,0),""))</f>
        <v/>
      </c>
    </row>
    <row r="176" customFormat="false" ht="15" hidden="false" customHeight="false" outlineLevel="0" collapsed="false">
      <c r="A176" s="77"/>
      <c r="B176" s="80"/>
      <c r="C176" s="78"/>
      <c r="D176" s="78"/>
      <c r="E176" s="79" t="str">
        <f aca="false">IF($R176="","",INDEX(Accounts!$C$6:$C$55,$R176)&amp;"")</f>
        <v/>
      </c>
      <c r="F176" s="79" t="str">
        <f aca="false">IF($S176="","",INDEX(Securities!$B$6:$B$105,$S176)&amp;"")</f>
        <v/>
      </c>
      <c r="G176" s="79" t="str">
        <f aca="false">IF($S176="","",INDEX(Securities!$E$6:$E$105,$S176)&amp;"")</f>
        <v/>
      </c>
      <c r="H176" s="79" t="str">
        <f aca="false">IF($S176="","",INDEX(Securities!$F$6:$F$105,$S176)&amp;"")</f>
        <v/>
      </c>
      <c r="I176" s="78"/>
      <c r="J176" s="81"/>
      <c r="K176" s="94"/>
      <c r="L176" s="82"/>
      <c r="M176" s="82"/>
      <c r="N176" s="85" t="str">
        <f aca="true">IF(OR($I176="",$T176=""),"",INDEX(L_TxnSign,$T176)*N($L176)-N($M176))</f>
        <v/>
      </c>
      <c r="O176" s="79" t="str">
        <f aca="true">IF($T176="","",INDEX(L_TxnCounts,$T176)&amp;"")</f>
        <v/>
      </c>
      <c r="P176" s="78"/>
      <c r="Q176" s="79" t="str">
        <f aca="false">IF($A176&amp;$C176&amp;$D176&amp;$I176="","",IF($A176="","Missing ID",IF(COUNTIF($A$6:$A$305,$A176)&gt;1,"Duplicate ID",IF(NOT(ISNUMBER($B176)),"Missing date",IF($R176="","Unknown account",IF($D176="","Missing security",IF($S176="","Unknown security",IF($T176="","Unknown type",IF(AND($L176="",$I176&lt;&gt;"Bonus / Split"),"No amount",IF(N($L176)&lt;0,"Type a positive amount; the sign comes from the type",IF(N($M176)&lt;0,"Type charges as a positive amount",IF(N($B176)&gt;ValDate,"Date after valuation",IF(AND(N($B176)&gt;PrevDate,COUNTIFS(Holdings!$B$6:$B$205,$C176,Holdings!$C$6:$C$205,$D176)=0),"No holding row (needed for Period Change)","OK")))))))))))))</f>
        <v/>
      </c>
      <c r="R176" s="89" t="str">
        <f aca="false">IF($C176="","",IFERROR(MATCH($C176,Accounts!$A$6:$A$55,0),""))</f>
        <v/>
      </c>
      <c r="S176" s="89" t="str">
        <f aca="false">IF($D176="","",IFERROR(MATCH($D176,Securities!$A$6:$A$105,0),""))</f>
        <v/>
      </c>
      <c r="T176" s="89" t="str">
        <f aca="true">IF($I176="","",IFERROR(MATCH($I176,L_TxnType,0),""))</f>
        <v/>
      </c>
    </row>
    <row r="177" customFormat="false" ht="15" hidden="false" customHeight="false" outlineLevel="0" collapsed="false">
      <c r="A177" s="77"/>
      <c r="B177" s="80"/>
      <c r="C177" s="78"/>
      <c r="D177" s="78"/>
      <c r="E177" s="79" t="str">
        <f aca="false">IF($R177="","",INDEX(Accounts!$C$6:$C$55,$R177)&amp;"")</f>
        <v/>
      </c>
      <c r="F177" s="79" t="str">
        <f aca="false">IF($S177="","",INDEX(Securities!$B$6:$B$105,$S177)&amp;"")</f>
        <v/>
      </c>
      <c r="G177" s="79" t="str">
        <f aca="false">IF($S177="","",INDEX(Securities!$E$6:$E$105,$S177)&amp;"")</f>
        <v/>
      </c>
      <c r="H177" s="79" t="str">
        <f aca="false">IF($S177="","",INDEX(Securities!$F$6:$F$105,$S177)&amp;"")</f>
        <v/>
      </c>
      <c r="I177" s="78"/>
      <c r="J177" s="81"/>
      <c r="K177" s="94"/>
      <c r="L177" s="82"/>
      <c r="M177" s="82"/>
      <c r="N177" s="85" t="str">
        <f aca="true">IF(OR($I177="",$T177=""),"",INDEX(L_TxnSign,$T177)*N($L177)-N($M177))</f>
        <v/>
      </c>
      <c r="O177" s="79" t="str">
        <f aca="true">IF($T177="","",INDEX(L_TxnCounts,$T177)&amp;"")</f>
        <v/>
      </c>
      <c r="P177" s="78"/>
      <c r="Q177" s="79" t="str">
        <f aca="false">IF($A177&amp;$C177&amp;$D177&amp;$I177="","",IF($A177="","Missing ID",IF(COUNTIF($A$6:$A$305,$A177)&gt;1,"Duplicate ID",IF(NOT(ISNUMBER($B177)),"Missing date",IF($R177="","Unknown account",IF($D177="","Missing security",IF($S177="","Unknown security",IF($T177="","Unknown type",IF(AND($L177="",$I177&lt;&gt;"Bonus / Split"),"No amount",IF(N($L177)&lt;0,"Type a positive amount; the sign comes from the type",IF(N($M177)&lt;0,"Type charges as a positive amount",IF(N($B177)&gt;ValDate,"Date after valuation",IF(AND(N($B177)&gt;PrevDate,COUNTIFS(Holdings!$B$6:$B$205,$C177,Holdings!$C$6:$C$205,$D177)=0),"No holding row (needed for Period Change)","OK")))))))))))))</f>
        <v/>
      </c>
      <c r="R177" s="89" t="str">
        <f aca="false">IF($C177="","",IFERROR(MATCH($C177,Accounts!$A$6:$A$55,0),""))</f>
        <v/>
      </c>
      <c r="S177" s="89" t="str">
        <f aca="false">IF($D177="","",IFERROR(MATCH($D177,Securities!$A$6:$A$105,0),""))</f>
        <v/>
      </c>
      <c r="T177" s="89" t="str">
        <f aca="true">IF($I177="","",IFERROR(MATCH($I177,L_TxnType,0),""))</f>
        <v/>
      </c>
    </row>
    <row r="178" customFormat="false" ht="15" hidden="false" customHeight="false" outlineLevel="0" collapsed="false">
      <c r="A178" s="77"/>
      <c r="B178" s="80"/>
      <c r="C178" s="78"/>
      <c r="D178" s="78"/>
      <c r="E178" s="79" t="str">
        <f aca="false">IF($R178="","",INDEX(Accounts!$C$6:$C$55,$R178)&amp;"")</f>
        <v/>
      </c>
      <c r="F178" s="79" t="str">
        <f aca="false">IF($S178="","",INDEX(Securities!$B$6:$B$105,$S178)&amp;"")</f>
        <v/>
      </c>
      <c r="G178" s="79" t="str">
        <f aca="false">IF($S178="","",INDEX(Securities!$E$6:$E$105,$S178)&amp;"")</f>
        <v/>
      </c>
      <c r="H178" s="79" t="str">
        <f aca="false">IF($S178="","",INDEX(Securities!$F$6:$F$105,$S178)&amp;"")</f>
        <v/>
      </c>
      <c r="I178" s="78"/>
      <c r="J178" s="81"/>
      <c r="K178" s="94"/>
      <c r="L178" s="82"/>
      <c r="M178" s="82"/>
      <c r="N178" s="85" t="str">
        <f aca="true">IF(OR($I178="",$T178=""),"",INDEX(L_TxnSign,$T178)*N($L178)-N($M178))</f>
        <v/>
      </c>
      <c r="O178" s="79" t="str">
        <f aca="true">IF($T178="","",INDEX(L_TxnCounts,$T178)&amp;"")</f>
        <v/>
      </c>
      <c r="P178" s="78"/>
      <c r="Q178" s="79" t="str">
        <f aca="false">IF($A178&amp;$C178&amp;$D178&amp;$I178="","",IF($A178="","Missing ID",IF(COUNTIF($A$6:$A$305,$A178)&gt;1,"Duplicate ID",IF(NOT(ISNUMBER($B178)),"Missing date",IF($R178="","Unknown account",IF($D178="","Missing security",IF($S178="","Unknown security",IF($T178="","Unknown type",IF(AND($L178="",$I178&lt;&gt;"Bonus / Split"),"No amount",IF(N($L178)&lt;0,"Type a positive amount; the sign comes from the type",IF(N($M178)&lt;0,"Type charges as a positive amount",IF(N($B178)&gt;ValDate,"Date after valuation",IF(AND(N($B178)&gt;PrevDate,COUNTIFS(Holdings!$B$6:$B$205,$C178,Holdings!$C$6:$C$205,$D178)=0),"No holding row (needed for Period Change)","OK")))))))))))))</f>
        <v/>
      </c>
      <c r="R178" s="89" t="str">
        <f aca="false">IF($C178="","",IFERROR(MATCH($C178,Accounts!$A$6:$A$55,0),""))</f>
        <v/>
      </c>
      <c r="S178" s="89" t="str">
        <f aca="false">IF($D178="","",IFERROR(MATCH($D178,Securities!$A$6:$A$105,0),""))</f>
        <v/>
      </c>
      <c r="T178" s="89" t="str">
        <f aca="true">IF($I178="","",IFERROR(MATCH($I178,L_TxnType,0),""))</f>
        <v/>
      </c>
    </row>
    <row r="179" customFormat="false" ht="15" hidden="false" customHeight="false" outlineLevel="0" collapsed="false">
      <c r="A179" s="77"/>
      <c r="B179" s="80"/>
      <c r="C179" s="78"/>
      <c r="D179" s="78"/>
      <c r="E179" s="79" t="str">
        <f aca="false">IF($R179="","",INDEX(Accounts!$C$6:$C$55,$R179)&amp;"")</f>
        <v/>
      </c>
      <c r="F179" s="79" t="str">
        <f aca="false">IF($S179="","",INDEX(Securities!$B$6:$B$105,$S179)&amp;"")</f>
        <v/>
      </c>
      <c r="G179" s="79" t="str">
        <f aca="false">IF($S179="","",INDEX(Securities!$E$6:$E$105,$S179)&amp;"")</f>
        <v/>
      </c>
      <c r="H179" s="79" t="str">
        <f aca="false">IF($S179="","",INDEX(Securities!$F$6:$F$105,$S179)&amp;"")</f>
        <v/>
      </c>
      <c r="I179" s="78"/>
      <c r="J179" s="81"/>
      <c r="K179" s="94"/>
      <c r="L179" s="82"/>
      <c r="M179" s="82"/>
      <c r="N179" s="85" t="str">
        <f aca="true">IF(OR($I179="",$T179=""),"",INDEX(L_TxnSign,$T179)*N($L179)-N($M179))</f>
        <v/>
      </c>
      <c r="O179" s="79" t="str">
        <f aca="true">IF($T179="","",INDEX(L_TxnCounts,$T179)&amp;"")</f>
        <v/>
      </c>
      <c r="P179" s="78"/>
      <c r="Q179" s="79" t="str">
        <f aca="false">IF($A179&amp;$C179&amp;$D179&amp;$I179="","",IF($A179="","Missing ID",IF(COUNTIF($A$6:$A$305,$A179)&gt;1,"Duplicate ID",IF(NOT(ISNUMBER($B179)),"Missing date",IF($R179="","Unknown account",IF($D179="","Missing security",IF($S179="","Unknown security",IF($T179="","Unknown type",IF(AND($L179="",$I179&lt;&gt;"Bonus / Split"),"No amount",IF(N($L179)&lt;0,"Type a positive amount; the sign comes from the type",IF(N($M179)&lt;0,"Type charges as a positive amount",IF(N($B179)&gt;ValDate,"Date after valuation",IF(AND(N($B179)&gt;PrevDate,COUNTIFS(Holdings!$B$6:$B$205,$C179,Holdings!$C$6:$C$205,$D179)=0),"No holding row (needed for Period Change)","OK")))))))))))))</f>
        <v/>
      </c>
      <c r="R179" s="89" t="str">
        <f aca="false">IF($C179="","",IFERROR(MATCH($C179,Accounts!$A$6:$A$55,0),""))</f>
        <v/>
      </c>
      <c r="S179" s="89" t="str">
        <f aca="false">IF($D179="","",IFERROR(MATCH($D179,Securities!$A$6:$A$105,0),""))</f>
        <v/>
      </c>
      <c r="T179" s="89" t="str">
        <f aca="true">IF($I179="","",IFERROR(MATCH($I179,L_TxnType,0),""))</f>
        <v/>
      </c>
    </row>
    <row r="180" customFormat="false" ht="15" hidden="false" customHeight="false" outlineLevel="0" collapsed="false">
      <c r="A180" s="77"/>
      <c r="B180" s="80"/>
      <c r="C180" s="78"/>
      <c r="D180" s="78"/>
      <c r="E180" s="79" t="str">
        <f aca="false">IF($R180="","",INDEX(Accounts!$C$6:$C$55,$R180)&amp;"")</f>
        <v/>
      </c>
      <c r="F180" s="79" t="str">
        <f aca="false">IF($S180="","",INDEX(Securities!$B$6:$B$105,$S180)&amp;"")</f>
        <v/>
      </c>
      <c r="G180" s="79" t="str">
        <f aca="false">IF($S180="","",INDEX(Securities!$E$6:$E$105,$S180)&amp;"")</f>
        <v/>
      </c>
      <c r="H180" s="79" t="str">
        <f aca="false">IF($S180="","",INDEX(Securities!$F$6:$F$105,$S180)&amp;"")</f>
        <v/>
      </c>
      <c r="I180" s="78"/>
      <c r="J180" s="81"/>
      <c r="K180" s="94"/>
      <c r="L180" s="82"/>
      <c r="M180" s="82"/>
      <c r="N180" s="85" t="str">
        <f aca="true">IF(OR($I180="",$T180=""),"",INDEX(L_TxnSign,$T180)*N($L180)-N($M180))</f>
        <v/>
      </c>
      <c r="O180" s="79" t="str">
        <f aca="true">IF($T180="","",INDEX(L_TxnCounts,$T180)&amp;"")</f>
        <v/>
      </c>
      <c r="P180" s="78"/>
      <c r="Q180" s="79" t="str">
        <f aca="false">IF($A180&amp;$C180&amp;$D180&amp;$I180="","",IF($A180="","Missing ID",IF(COUNTIF($A$6:$A$305,$A180)&gt;1,"Duplicate ID",IF(NOT(ISNUMBER($B180)),"Missing date",IF($R180="","Unknown account",IF($D180="","Missing security",IF($S180="","Unknown security",IF($T180="","Unknown type",IF(AND($L180="",$I180&lt;&gt;"Bonus / Split"),"No amount",IF(N($L180)&lt;0,"Type a positive amount; the sign comes from the type",IF(N($M180)&lt;0,"Type charges as a positive amount",IF(N($B180)&gt;ValDate,"Date after valuation",IF(AND(N($B180)&gt;PrevDate,COUNTIFS(Holdings!$B$6:$B$205,$C180,Holdings!$C$6:$C$205,$D180)=0),"No holding row (needed for Period Change)","OK")))))))))))))</f>
        <v/>
      </c>
      <c r="R180" s="89" t="str">
        <f aca="false">IF($C180="","",IFERROR(MATCH($C180,Accounts!$A$6:$A$55,0),""))</f>
        <v/>
      </c>
      <c r="S180" s="89" t="str">
        <f aca="false">IF($D180="","",IFERROR(MATCH($D180,Securities!$A$6:$A$105,0),""))</f>
        <v/>
      </c>
      <c r="T180" s="89" t="str">
        <f aca="true">IF($I180="","",IFERROR(MATCH($I180,L_TxnType,0),""))</f>
        <v/>
      </c>
    </row>
    <row r="181" customFormat="false" ht="15" hidden="false" customHeight="false" outlineLevel="0" collapsed="false">
      <c r="A181" s="77"/>
      <c r="B181" s="80"/>
      <c r="C181" s="78"/>
      <c r="D181" s="78"/>
      <c r="E181" s="79" t="str">
        <f aca="false">IF($R181="","",INDEX(Accounts!$C$6:$C$55,$R181)&amp;"")</f>
        <v/>
      </c>
      <c r="F181" s="79" t="str">
        <f aca="false">IF($S181="","",INDEX(Securities!$B$6:$B$105,$S181)&amp;"")</f>
        <v/>
      </c>
      <c r="G181" s="79" t="str">
        <f aca="false">IF($S181="","",INDEX(Securities!$E$6:$E$105,$S181)&amp;"")</f>
        <v/>
      </c>
      <c r="H181" s="79" t="str">
        <f aca="false">IF($S181="","",INDEX(Securities!$F$6:$F$105,$S181)&amp;"")</f>
        <v/>
      </c>
      <c r="I181" s="78"/>
      <c r="J181" s="81"/>
      <c r="K181" s="94"/>
      <c r="L181" s="82"/>
      <c r="M181" s="82"/>
      <c r="N181" s="85" t="str">
        <f aca="true">IF(OR($I181="",$T181=""),"",INDEX(L_TxnSign,$T181)*N($L181)-N($M181))</f>
        <v/>
      </c>
      <c r="O181" s="79" t="str">
        <f aca="true">IF($T181="","",INDEX(L_TxnCounts,$T181)&amp;"")</f>
        <v/>
      </c>
      <c r="P181" s="78"/>
      <c r="Q181" s="79" t="str">
        <f aca="false">IF($A181&amp;$C181&amp;$D181&amp;$I181="","",IF($A181="","Missing ID",IF(COUNTIF($A$6:$A$305,$A181)&gt;1,"Duplicate ID",IF(NOT(ISNUMBER($B181)),"Missing date",IF($R181="","Unknown account",IF($D181="","Missing security",IF($S181="","Unknown security",IF($T181="","Unknown type",IF(AND($L181="",$I181&lt;&gt;"Bonus / Split"),"No amount",IF(N($L181)&lt;0,"Type a positive amount; the sign comes from the type",IF(N($M181)&lt;0,"Type charges as a positive amount",IF(N($B181)&gt;ValDate,"Date after valuation",IF(AND(N($B181)&gt;PrevDate,COUNTIFS(Holdings!$B$6:$B$205,$C181,Holdings!$C$6:$C$205,$D181)=0),"No holding row (needed for Period Change)","OK")))))))))))))</f>
        <v/>
      </c>
      <c r="R181" s="89" t="str">
        <f aca="false">IF($C181="","",IFERROR(MATCH($C181,Accounts!$A$6:$A$55,0),""))</f>
        <v/>
      </c>
      <c r="S181" s="89" t="str">
        <f aca="false">IF($D181="","",IFERROR(MATCH($D181,Securities!$A$6:$A$105,0),""))</f>
        <v/>
      </c>
      <c r="T181" s="89" t="str">
        <f aca="true">IF($I181="","",IFERROR(MATCH($I181,L_TxnType,0),""))</f>
        <v/>
      </c>
    </row>
    <row r="182" customFormat="false" ht="15" hidden="false" customHeight="false" outlineLevel="0" collapsed="false">
      <c r="A182" s="77"/>
      <c r="B182" s="80"/>
      <c r="C182" s="78"/>
      <c r="D182" s="78"/>
      <c r="E182" s="79" t="str">
        <f aca="false">IF($R182="","",INDEX(Accounts!$C$6:$C$55,$R182)&amp;"")</f>
        <v/>
      </c>
      <c r="F182" s="79" t="str">
        <f aca="false">IF($S182="","",INDEX(Securities!$B$6:$B$105,$S182)&amp;"")</f>
        <v/>
      </c>
      <c r="G182" s="79" t="str">
        <f aca="false">IF($S182="","",INDEX(Securities!$E$6:$E$105,$S182)&amp;"")</f>
        <v/>
      </c>
      <c r="H182" s="79" t="str">
        <f aca="false">IF($S182="","",INDEX(Securities!$F$6:$F$105,$S182)&amp;"")</f>
        <v/>
      </c>
      <c r="I182" s="78"/>
      <c r="J182" s="81"/>
      <c r="K182" s="94"/>
      <c r="L182" s="82"/>
      <c r="M182" s="82"/>
      <c r="N182" s="85" t="str">
        <f aca="true">IF(OR($I182="",$T182=""),"",INDEX(L_TxnSign,$T182)*N($L182)-N($M182))</f>
        <v/>
      </c>
      <c r="O182" s="79" t="str">
        <f aca="true">IF($T182="","",INDEX(L_TxnCounts,$T182)&amp;"")</f>
        <v/>
      </c>
      <c r="P182" s="78"/>
      <c r="Q182" s="79" t="str">
        <f aca="false">IF($A182&amp;$C182&amp;$D182&amp;$I182="","",IF($A182="","Missing ID",IF(COUNTIF($A$6:$A$305,$A182)&gt;1,"Duplicate ID",IF(NOT(ISNUMBER($B182)),"Missing date",IF($R182="","Unknown account",IF($D182="","Missing security",IF($S182="","Unknown security",IF($T182="","Unknown type",IF(AND($L182="",$I182&lt;&gt;"Bonus / Split"),"No amount",IF(N($L182)&lt;0,"Type a positive amount; the sign comes from the type",IF(N($M182)&lt;0,"Type charges as a positive amount",IF(N($B182)&gt;ValDate,"Date after valuation",IF(AND(N($B182)&gt;PrevDate,COUNTIFS(Holdings!$B$6:$B$205,$C182,Holdings!$C$6:$C$205,$D182)=0),"No holding row (needed for Period Change)","OK")))))))))))))</f>
        <v/>
      </c>
      <c r="R182" s="89" t="str">
        <f aca="false">IF($C182="","",IFERROR(MATCH($C182,Accounts!$A$6:$A$55,0),""))</f>
        <v/>
      </c>
      <c r="S182" s="89" t="str">
        <f aca="false">IF($D182="","",IFERROR(MATCH($D182,Securities!$A$6:$A$105,0),""))</f>
        <v/>
      </c>
      <c r="T182" s="89" t="str">
        <f aca="true">IF($I182="","",IFERROR(MATCH($I182,L_TxnType,0),""))</f>
        <v/>
      </c>
    </row>
    <row r="183" customFormat="false" ht="15" hidden="false" customHeight="false" outlineLevel="0" collapsed="false">
      <c r="A183" s="77"/>
      <c r="B183" s="80"/>
      <c r="C183" s="78"/>
      <c r="D183" s="78"/>
      <c r="E183" s="79" t="str">
        <f aca="false">IF($R183="","",INDEX(Accounts!$C$6:$C$55,$R183)&amp;"")</f>
        <v/>
      </c>
      <c r="F183" s="79" t="str">
        <f aca="false">IF($S183="","",INDEX(Securities!$B$6:$B$105,$S183)&amp;"")</f>
        <v/>
      </c>
      <c r="G183" s="79" t="str">
        <f aca="false">IF($S183="","",INDEX(Securities!$E$6:$E$105,$S183)&amp;"")</f>
        <v/>
      </c>
      <c r="H183" s="79" t="str">
        <f aca="false">IF($S183="","",INDEX(Securities!$F$6:$F$105,$S183)&amp;"")</f>
        <v/>
      </c>
      <c r="I183" s="78"/>
      <c r="J183" s="81"/>
      <c r="K183" s="94"/>
      <c r="L183" s="82"/>
      <c r="M183" s="82"/>
      <c r="N183" s="85" t="str">
        <f aca="true">IF(OR($I183="",$T183=""),"",INDEX(L_TxnSign,$T183)*N($L183)-N($M183))</f>
        <v/>
      </c>
      <c r="O183" s="79" t="str">
        <f aca="true">IF($T183="","",INDEX(L_TxnCounts,$T183)&amp;"")</f>
        <v/>
      </c>
      <c r="P183" s="78"/>
      <c r="Q183" s="79" t="str">
        <f aca="false">IF($A183&amp;$C183&amp;$D183&amp;$I183="","",IF($A183="","Missing ID",IF(COUNTIF($A$6:$A$305,$A183)&gt;1,"Duplicate ID",IF(NOT(ISNUMBER($B183)),"Missing date",IF($R183="","Unknown account",IF($D183="","Missing security",IF($S183="","Unknown security",IF($T183="","Unknown type",IF(AND($L183="",$I183&lt;&gt;"Bonus / Split"),"No amount",IF(N($L183)&lt;0,"Type a positive amount; the sign comes from the type",IF(N($M183)&lt;0,"Type charges as a positive amount",IF(N($B183)&gt;ValDate,"Date after valuation",IF(AND(N($B183)&gt;PrevDate,COUNTIFS(Holdings!$B$6:$B$205,$C183,Holdings!$C$6:$C$205,$D183)=0),"No holding row (needed for Period Change)","OK")))))))))))))</f>
        <v/>
      </c>
      <c r="R183" s="89" t="str">
        <f aca="false">IF($C183="","",IFERROR(MATCH($C183,Accounts!$A$6:$A$55,0),""))</f>
        <v/>
      </c>
      <c r="S183" s="89" t="str">
        <f aca="false">IF($D183="","",IFERROR(MATCH($D183,Securities!$A$6:$A$105,0),""))</f>
        <v/>
      </c>
      <c r="T183" s="89" t="str">
        <f aca="true">IF($I183="","",IFERROR(MATCH($I183,L_TxnType,0),""))</f>
        <v/>
      </c>
    </row>
    <row r="184" customFormat="false" ht="15" hidden="false" customHeight="false" outlineLevel="0" collapsed="false">
      <c r="A184" s="77"/>
      <c r="B184" s="80"/>
      <c r="C184" s="78"/>
      <c r="D184" s="78"/>
      <c r="E184" s="79" t="str">
        <f aca="false">IF($R184="","",INDEX(Accounts!$C$6:$C$55,$R184)&amp;"")</f>
        <v/>
      </c>
      <c r="F184" s="79" t="str">
        <f aca="false">IF($S184="","",INDEX(Securities!$B$6:$B$105,$S184)&amp;"")</f>
        <v/>
      </c>
      <c r="G184" s="79" t="str">
        <f aca="false">IF($S184="","",INDEX(Securities!$E$6:$E$105,$S184)&amp;"")</f>
        <v/>
      </c>
      <c r="H184" s="79" t="str">
        <f aca="false">IF($S184="","",INDEX(Securities!$F$6:$F$105,$S184)&amp;"")</f>
        <v/>
      </c>
      <c r="I184" s="78"/>
      <c r="J184" s="81"/>
      <c r="K184" s="94"/>
      <c r="L184" s="82"/>
      <c r="M184" s="82"/>
      <c r="N184" s="85" t="str">
        <f aca="true">IF(OR($I184="",$T184=""),"",INDEX(L_TxnSign,$T184)*N($L184)-N($M184))</f>
        <v/>
      </c>
      <c r="O184" s="79" t="str">
        <f aca="true">IF($T184="","",INDEX(L_TxnCounts,$T184)&amp;"")</f>
        <v/>
      </c>
      <c r="P184" s="78"/>
      <c r="Q184" s="79" t="str">
        <f aca="false">IF($A184&amp;$C184&amp;$D184&amp;$I184="","",IF($A184="","Missing ID",IF(COUNTIF($A$6:$A$305,$A184)&gt;1,"Duplicate ID",IF(NOT(ISNUMBER($B184)),"Missing date",IF($R184="","Unknown account",IF($D184="","Missing security",IF($S184="","Unknown security",IF($T184="","Unknown type",IF(AND($L184="",$I184&lt;&gt;"Bonus / Split"),"No amount",IF(N($L184)&lt;0,"Type a positive amount; the sign comes from the type",IF(N($M184)&lt;0,"Type charges as a positive amount",IF(N($B184)&gt;ValDate,"Date after valuation",IF(AND(N($B184)&gt;PrevDate,COUNTIFS(Holdings!$B$6:$B$205,$C184,Holdings!$C$6:$C$205,$D184)=0),"No holding row (needed for Period Change)","OK")))))))))))))</f>
        <v/>
      </c>
      <c r="R184" s="89" t="str">
        <f aca="false">IF($C184="","",IFERROR(MATCH($C184,Accounts!$A$6:$A$55,0),""))</f>
        <v/>
      </c>
      <c r="S184" s="89" t="str">
        <f aca="false">IF($D184="","",IFERROR(MATCH($D184,Securities!$A$6:$A$105,0),""))</f>
        <v/>
      </c>
      <c r="T184" s="89" t="str">
        <f aca="true">IF($I184="","",IFERROR(MATCH($I184,L_TxnType,0),""))</f>
        <v/>
      </c>
    </row>
    <row r="185" customFormat="false" ht="15" hidden="false" customHeight="false" outlineLevel="0" collapsed="false">
      <c r="A185" s="77"/>
      <c r="B185" s="80"/>
      <c r="C185" s="78"/>
      <c r="D185" s="78"/>
      <c r="E185" s="79" t="str">
        <f aca="false">IF($R185="","",INDEX(Accounts!$C$6:$C$55,$R185)&amp;"")</f>
        <v/>
      </c>
      <c r="F185" s="79" t="str">
        <f aca="false">IF($S185="","",INDEX(Securities!$B$6:$B$105,$S185)&amp;"")</f>
        <v/>
      </c>
      <c r="G185" s="79" t="str">
        <f aca="false">IF($S185="","",INDEX(Securities!$E$6:$E$105,$S185)&amp;"")</f>
        <v/>
      </c>
      <c r="H185" s="79" t="str">
        <f aca="false">IF($S185="","",INDEX(Securities!$F$6:$F$105,$S185)&amp;"")</f>
        <v/>
      </c>
      <c r="I185" s="78"/>
      <c r="J185" s="81"/>
      <c r="K185" s="94"/>
      <c r="L185" s="82"/>
      <c r="M185" s="82"/>
      <c r="N185" s="85" t="str">
        <f aca="true">IF(OR($I185="",$T185=""),"",INDEX(L_TxnSign,$T185)*N($L185)-N($M185))</f>
        <v/>
      </c>
      <c r="O185" s="79" t="str">
        <f aca="true">IF($T185="","",INDEX(L_TxnCounts,$T185)&amp;"")</f>
        <v/>
      </c>
      <c r="P185" s="78"/>
      <c r="Q185" s="79" t="str">
        <f aca="false">IF($A185&amp;$C185&amp;$D185&amp;$I185="","",IF($A185="","Missing ID",IF(COUNTIF($A$6:$A$305,$A185)&gt;1,"Duplicate ID",IF(NOT(ISNUMBER($B185)),"Missing date",IF($R185="","Unknown account",IF($D185="","Missing security",IF($S185="","Unknown security",IF($T185="","Unknown type",IF(AND($L185="",$I185&lt;&gt;"Bonus / Split"),"No amount",IF(N($L185)&lt;0,"Type a positive amount; the sign comes from the type",IF(N($M185)&lt;0,"Type charges as a positive amount",IF(N($B185)&gt;ValDate,"Date after valuation",IF(AND(N($B185)&gt;PrevDate,COUNTIFS(Holdings!$B$6:$B$205,$C185,Holdings!$C$6:$C$205,$D185)=0),"No holding row (needed for Period Change)","OK")))))))))))))</f>
        <v/>
      </c>
      <c r="R185" s="89" t="str">
        <f aca="false">IF($C185="","",IFERROR(MATCH($C185,Accounts!$A$6:$A$55,0),""))</f>
        <v/>
      </c>
      <c r="S185" s="89" t="str">
        <f aca="false">IF($D185="","",IFERROR(MATCH($D185,Securities!$A$6:$A$105,0),""))</f>
        <v/>
      </c>
      <c r="T185" s="89" t="str">
        <f aca="true">IF($I185="","",IFERROR(MATCH($I185,L_TxnType,0),""))</f>
        <v/>
      </c>
    </row>
    <row r="186" customFormat="false" ht="15" hidden="false" customHeight="false" outlineLevel="0" collapsed="false">
      <c r="A186" s="77"/>
      <c r="B186" s="80"/>
      <c r="C186" s="78"/>
      <c r="D186" s="78"/>
      <c r="E186" s="79" t="str">
        <f aca="false">IF($R186="","",INDEX(Accounts!$C$6:$C$55,$R186)&amp;"")</f>
        <v/>
      </c>
      <c r="F186" s="79" t="str">
        <f aca="false">IF($S186="","",INDEX(Securities!$B$6:$B$105,$S186)&amp;"")</f>
        <v/>
      </c>
      <c r="G186" s="79" t="str">
        <f aca="false">IF($S186="","",INDEX(Securities!$E$6:$E$105,$S186)&amp;"")</f>
        <v/>
      </c>
      <c r="H186" s="79" t="str">
        <f aca="false">IF($S186="","",INDEX(Securities!$F$6:$F$105,$S186)&amp;"")</f>
        <v/>
      </c>
      <c r="I186" s="78"/>
      <c r="J186" s="81"/>
      <c r="K186" s="94"/>
      <c r="L186" s="82"/>
      <c r="M186" s="82"/>
      <c r="N186" s="85" t="str">
        <f aca="true">IF(OR($I186="",$T186=""),"",INDEX(L_TxnSign,$T186)*N($L186)-N($M186))</f>
        <v/>
      </c>
      <c r="O186" s="79" t="str">
        <f aca="true">IF($T186="","",INDEX(L_TxnCounts,$T186)&amp;"")</f>
        <v/>
      </c>
      <c r="P186" s="78"/>
      <c r="Q186" s="79" t="str">
        <f aca="false">IF($A186&amp;$C186&amp;$D186&amp;$I186="","",IF($A186="","Missing ID",IF(COUNTIF($A$6:$A$305,$A186)&gt;1,"Duplicate ID",IF(NOT(ISNUMBER($B186)),"Missing date",IF($R186="","Unknown account",IF($D186="","Missing security",IF($S186="","Unknown security",IF($T186="","Unknown type",IF(AND($L186="",$I186&lt;&gt;"Bonus / Split"),"No amount",IF(N($L186)&lt;0,"Type a positive amount; the sign comes from the type",IF(N($M186)&lt;0,"Type charges as a positive amount",IF(N($B186)&gt;ValDate,"Date after valuation",IF(AND(N($B186)&gt;PrevDate,COUNTIFS(Holdings!$B$6:$B$205,$C186,Holdings!$C$6:$C$205,$D186)=0),"No holding row (needed for Period Change)","OK")))))))))))))</f>
        <v/>
      </c>
      <c r="R186" s="89" t="str">
        <f aca="false">IF($C186="","",IFERROR(MATCH($C186,Accounts!$A$6:$A$55,0),""))</f>
        <v/>
      </c>
      <c r="S186" s="89" t="str">
        <f aca="false">IF($D186="","",IFERROR(MATCH($D186,Securities!$A$6:$A$105,0),""))</f>
        <v/>
      </c>
      <c r="T186" s="89" t="str">
        <f aca="true">IF($I186="","",IFERROR(MATCH($I186,L_TxnType,0),""))</f>
        <v/>
      </c>
    </row>
    <row r="187" customFormat="false" ht="15" hidden="false" customHeight="false" outlineLevel="0" collapsed="false">
      <c r="A187" s="77"/>
      <c r="B187" s="80"/>
      <c r="C187" s="78"/>
      <c r="D187" s="78"/>
      <c r="E187" s="79" t="str">
        <f aca="false">IF($R187="","",INDEX(Accounts!$C$6:$C$55,$R187)&amp;"")</f>
        <v/>
      </c>
      <c r="F187" s="79" t="str">
        <f aca="false">IF($S187="","",INDEX(Securities!$B$6:$B$105,$S187)&amp;"")</f>
        <v/>
      </c>
      <c r="G187" s="79" t="str">
        <f aca="false">IF($S187="","",INDEX(Securities!$E$6:$E$105,$S187)&amp;"")</f>
        <v/>
      </c>
      <c r="H187" s="79" t="str">
        <f aca="false">IF($S187="","",INDEX(Securities!$F$6:$F$105,$S187)&amp;"")</f>
        <v/>
      </c>
      <c r="I187" s="78"/>
      <c r="J187" s="81"/>
      <c r="K187" s="94"/>
      <c r="L187" s="82"/>
      <c r="M187" s="82"/>
      <c r="N187" s="85" t="str">
        <f aca="true">IF(OR($I187="",$T187=""),"",INDEX(L_TxnSign,$T187)*N($L187)-N($M187))</f>
        <v/>
      </c>
      <c r="O187" s="79" t="str">
        <f aca="true">IF($T187="","",INDEX(L_TxnCounts,$T187)&amp;"")</f>
        <v/>
      </c>
      <c r="P187" s="78"/>
      <c r="Q187" s="79" t="str">
        <f aca="false">IF($A187&amp;$C187&amp;$D187&amp;$I187="","",IF($A187="","Missing ID",IF(COUNTIF($A$6:$A$305,$A187)&gt;1,"Duplicate ID",IF(NOT(ISNUMBER($B187)),"Missing date",IF($R187="","Unknown account",IF($D187="","Missing security",IF($S187="","Unknown security",IF($T187="","Unknown type",IF(AND($L187="",$I187&lt;&gt;"Bonus / Split"),"No amount",IF(N($L187)&lt;0,"Type a positive amount; the sign comes from the type",IF(N($M187)&lt;0,"Type charges as a positive amount",IF(N($B187)&gt;ValDate,"Date after valuation",IF(AND(N($B187)&gt;PrevDate,COUNTIFS(Holdings!$B$6:$B$205,$C187,Holdings!$C$6:$C$205,$D187)=0),"No holding row (needed for Period Change)","OK")))))))))))))</f>
        <v/>
      </c>
      <c r="R187" s="89" t="str">
        <f aca="false">IF($C187="","",IFERROR(MATCH($C187,Accounts!$A$6:$A$55,0),""))</f>
        <v/>
      </c>
      <c r="S187" s="89" t="str">
        <f aca="false">IF($D187="","",IFERROR(MATCH($D187,Securities!$A$6:$A$105,0),""))</f>
        <v/>
      </c>
      <c r="T187" s="89" t="str">
        <f aca="true">IF($I187="","",IFERROR(MATCH($I187,L_TxnType,0),""))</f>
        <v/>
      </c>
    </row>
    <row r="188" customFormat="false" ht="15" hidden="false" customHeight="false" outlineLevel="0" collapsed="false">
      <c r="A188" s="77"/>
      <c r="B188" s="80"/>
      <c r="C188" s="78"/>
      <c r="D188" s="78"/>
      <c r="E188" s="79" t="str">
        <f aca="false">IF($R188="","",INDEX(Accounts!$C$6:$C$55,$R188)&amp;"")</f>
        <v/>
      </c>
      <c r="F188" s="79" t="str">
        <f aca="false">IF($S188="","",INDEX(Securities!$B$6:$B$105,$S188)&amp;"")</f>
        <v/>
      </c>
      <c r="G188" s="79" t="str">
        <f aca="false">IF($S188="","",INDEX(Securities!$E$6:$E$105,$S188)&amp;"")</f>
        <v/>
      </c>
      <c r="H188" s="79" t="str">
        <f aca="false">IF($S188="","",INDEX(Securities!$F$6:$F$105,$S188)&amp;"")</f>
        <v/>
      </c>
      <c r="I188" s="78"/>
      <c r="J188" s="81"/>
      <c r="K188" s="94"/>
      <c r="L188" s="82"/>
      <c r="M188" s="82"/>
      <c r="N188" s="85" t="str">
        <f aca="true">IF(OR($I188="",$T188=""),"",INDEX(L_TxnSign,$T188)*N($L188)-N($M188))</f>
        <v/>
      </c>
      <c r="O188" s="79" t="str">
        <f aca="true">IF($T188="","",INDEX(L_TxnCounts,$T188)&amp;"")</f>
        <v/>
      </c>
      <c r="P188" s="78"/>
      <c r="Q188" s="79" t="str">
        <f aca="false">IF($A188&amp;$C188&amp;$D188&amp;$I188="","",IF($A188="","Missing ID",IF(COUNTIF($A$6:$A$305,$A188)&gt;1,"Duplicate ID",IF(NOT(ISNUMBER($B188)),"Missing date",IF($R188="","Unknown account",IF($D188="","Missing security",IF($S188="","Unknown security",IF($T188="","Unknown type",IF(AND($L188="",$I188&lt;&gt;"Bonus / Split"),"No amount",IF(N($L188)&lt;0,"Type a positive amount; the sign comes from the type",IF(N($M188)&lt;0,"Type charges as a positive amount",IF(N($B188)&gt;ValDate,"Date after valuation",IF(AND(N($B188)&gt;PrevDate,COUNTIFS(Holdings!$B$6:$B$205,$C188,Holdings!$C$6:$C$205,$D188)=0),"No holding row (needed for Period Change)","OK")))))))))))))</f>
        <v/>
      </c>
      <c r="R188" s="89" t="str">
        <f aca="false">IF($C188="","",IFERROR(MATCH($C188,Accounts!$A$6:$A$55,0),""))</f>
        <v/>
      </c>
      <c r="S188" s="89" t="str">
        <f aca="false">IF($D188="","",IFERROR(MATCH($D188,Securities!$A$6:$A$105,0),""))</f>
        <v/>
      </c>
      <c r="T188" s="89" t="str">
        <f aca="true">IF($I188="","",IFERROR(MATCH($I188,L_TxnType,0),""))</f>
        <v/>
      </c>
    </row>
    <row r="189" customFormat="false" ht="15" hidden="false" customHeight="false" outlineLevel="0" collapsed="false">
      <c r="A189" s="77"/>
      <c r="B189" s="80"/>
      <c r="C189" s="78"/>
      <c r="D189" s="78"/>
      <c r="E189" s="79" t="str">
        <f aca="false">IF($R189="","",INDEX(Accounts!$C$6:$C$55,$R189)&amp;"")</f>
        <v/>
      </c>
      <c r="F189" s="79" t="str">
        <f aca="false">IF($S189="","",INDEX(Securities!$B$6:$B$105,$S189)&amp;"")</f>
        <v/>
      </c>
      <c r="G189" s="79" t="str">
        <f aca="false">IF($S189="","",INDEX(Securities!$E$6:$E$105,$S189)&amp;"")</f>
        <v/>
      </c>
      <c r="H189" s="79" t="str">
        <f aca="false">IF($S189="","",INDEX(Securities!$F$6:$F$105,$S189)&amp;"")</f>
        <v/>
      </c>
      <c r="I189" s="78"/>
      <c r="J189" s="81"/>
      <c r="K189" s="94"/>
      <c r="L189" s="82"/>
      <c r="M189" s="82"/>
      <c r="N189" s="85" t="str">
        <f aca="true">IF(OR($I189="",$T189=""),"",INDEX(L_TxnSign,$T189)*N($L189)-N($M189))</f>
        <v/>
      </c>
      <c r="O189" s="79" t="str">
        <f aca="true">IF($T189="","",INDEX(L_TxnCounts,$T189)&amp;"")</f>
        <v/>
      </c>
      <c r="P189" s="78"/>
      <c r="Q189" s="79" t="str">
        <f aca="false">IF($A189&amp;$C189&amp;$D189&amp;$I189="","",IF($A189="","Missing ID",IF(COUNTIF($A$6:$A$305,$A189)&gt;1,"Duplicate ID",IF(NOT(ISNUMBER($B189)),"Missing date",IF($R189="","Unknown account",IF($D189="","Missing security",IF($S189="","Unknown security",IF($T189="","Unknown type",IF(AND($L189="",$I189&lt;&gt;"Bonus / Split"),"No amount",IF(N($L189)&lt;0,"Type a positive amount; the sign comes from the type",IF(N($M189)&lt;0,"Type charges as a positive amount",IF(N($B189)&gt;ValDate,"Date after valuation",IF(AND(N($B189)&gt;PrevDate,COUNTIFS(Holdings!$B$6:$B$205,$C189,Holdings!$C$6:$C$205,$D189)=0),"No holding row (needed for Period Change)","OK")))))))))))))</f>
        <v/>
      </c>
      <c r="R189" s="89" t="str">
        <f aca="false">IF($C189="","",IFERROR(MATCH($C189,Accounts!$A$6:$A$55,0),""))</f>
        <v/>
      </c>
      <c r="S189" s="89" t="str">
        <f aca="false">IF($D189="","",IFERROR(MATCH($D189,Securities!$A$6:$A$105,0),""))</f>
        <v/>
      </c>
      <c r="T189" s="89" t="str">
        <f aca="true">IF($I189="","",IFERROR(MATCH($I189,L_TxnType,0),""))</f>
        <v/>
      </c>
    </row>
    <row r="190" customFormat="false" ht="15" hidden="false" customHeight="false" outlineLevel="0" collapsed="false">
      <c r="A190" s="77"/>
      <c r="B190" s="80"/>
      <c r="C190" s="78"/>
      <c r="D190" s="78"/>
      <c r="E190" s="79" t="str">
        <f aca="false">IF($R190="","",INDEX(Accounts!$C$6:$C$55,$R190)&amp;"")</f>
        <v/>
      </c>
      <c r="F190" s="79" t="str">
        <f aca="false">IF($S190="","",INDEX(Securities!$B$6:$B$105,$S190)&amp;"")</f>
        <v/>
      </c>
      <c r="G190" s="79" t="str">
        <f aca="false">IF($S190="","",INDEX(Securities!$E$6:$E$105,$S190)&amp;"")</f>
        <v/>
      </c>
      <c r="H190" s="79" t="str">
        <f aca="false">IF($S190="","",INDEX(Securities!$F$6:$F$105,$S190)&amp;"")</f>
        <v/>
      </c>
      <c r="I190" s="78"/>
      <c r="J190" s="81"/>
      <c r="K190" s="94"/>
      <c r="L190" s="82"/>
      <c r="M190" s="82"/>
      <c r="N190" s="85" t="str">
        <f aca="true">IF(OR($I190="",$T190=""),"",INDEX(L_TxnSign,$T190)*N($L190)-N($M190))</f>
        <v/>
      </c>
      <c r="O190" s="79" t="str">
        <f aca="true">IF($T190="","",INDEX(L_TxnCounts,$T190)&amp;"")</f>
        <v/>
      </c>
      <c r="P190" s="78"/>
      <c r="Q190" s="79" t="str">
        <f aca="false">IF($A190&amp;$C190&amp;$D190&amp;$I190="","",IF($A190="","Missing ID",IF(COUNTIF($A$6:$A$305,$A190)&gt;1,"Duplicate ID",IF(NOT(ISNUMBER($B190)),"Missing date",IF($R190="","Unknown account",IF($D190="","Missing security",IF($S190="","Unknown security",IF($T190="","Unknown type",IF(AND($L190="",$I190&lt;&gt;"Bonus / Split"),"No amount",IF(N($L190)&lt;0,"Type a positive amount; the sign comes from the type",IF(N($M190)&lt;0,"Type charges as a positive amount",IF(N($B190)&gt;ValDate,"Date after valuation",IF(AND(N($B190)&gt;PrevDate,COUNTIFS(Holdings!$B$6:$B$205,$C190,Holdings!$C$6:$C$205,$D190)=0),"No holding row (needed for Period Change)","OK")))))))))))))</f>
        <v/>
      </c>
      <c r="R190" s="89" t="str">
        <f aca="false">IF($C190="","",IFERROR(MATCH($C190,Accounts!$A$6:$A$55,0),""))</f>
        <v/>
      </c>
      <c r="S190" s="89" t="str">
        <f aca="false">IF($D190="","",IFERROR(MATCH($D190,Securities!$A$6:$A$105,0),""))</f>
        <v/>
      </c>
      <c r="T190" s="89" t="str">
        <f aca="true">IF($I190="","",IFERROR(MATCH($I190,L_TxnType,0),""))</f>
        <v/>
      </c>
    </row>
    <row r="191" customFormat="false" ht="15" hidden="false" customHeight="false" outlineLevel="0" collapsed="false">
      <c r="A191" s="77"/>
      <c r="B191" s="80"/>
      <c r="C191" s="78"/>
      <c r="D191" s="78"/>
      <c r="E191" s="79" t="str">
        <f aca="false">IF($R191="","",INDEX(Accounts!$C$6:$C$55,$R191)&amp;"")</f>
        <v/>
      </c>
      <c r="F191" s="79" t="str">
        <f aca="false">IF($S191="","",INDEX(Securities!$B$6:$B$105,$S191)&amp;"")</f>
        <v/>
      </c>
      <c r="G191" s="79" t="str">
        <f aca="false">IF($S191="","",INDEX(Securities!$E$6:$E$105,$S191)&amp;"")</f>
        <v/>
      </c>
      <c r="H191" s="79" t="str">
        <f aca="false">IF($S191="","",INDEX(Securities!$F$6:$F$105,$S191)&amp;"")</f>
        <v/>
      </c>
      <c r="I191" s="78"/>
      <c r="J191" s="81"/>
      <c r="K191" s="94"/>
      <c r="L191" s="82"/>
      <c r="M191" s="82"/>
      <c r="N191" s="85" t="str">
        <f aca="true">IF(OR($I191="",$T191=""),"",INDEX(L_TxnSign,$T191)*N($L191)-N($M191))</f>
        <v/>
      </c>
      <c r="O191" s="79" t="str">
        <f aca="true">IF($T191="","",INDEX(L_TxnCounts,$T191)&amp;"")</f>
        <v/>
      </c>
      <c r="P191" s="78"/>
      <c r="Q191" s="79" t="str">
        <f aca="false">IF($A191&amp;$C191&amp;$D191&amp;$I191="","",IF($A191="","Missing ID",IF(COUNTIF($A$6:$A$305,$A191)&gt;1,"Duplicate ID",IF(NOT(ISNUMBER($B191)),"Missing date",IF($R191="","Unknown account",IF($D191="","Missing security",IF($S191="","Unknown security",IF($T191="","Unknown type",IF(AND($L191="",$I191&lt;&gt;"Bonus / Split"),"No amount",IF(N($L191)&lt;0,"Type a positive amount; the sign comes from the type",IF(N($M191)&lt;0,"Type charges as a positive amount",IF(N($B191)&gt;ValDate,"Date after valuation",IF(AND(N($B191)&gt;PrevDate,COUNTIFS(Holdings!$B$6:$B$205,$C191,Holdings!$C$6:$C$205,$D191)=0),"No holding row (needed for Period Change)","OK")))))))))))))</f>
        <v/>
      </c>
      <c r="R191" s="89" t="str">
        <f aca="false">IF($C191="","",IFERROR(MATCH($C191,Accounts!$A$6:$A$55,0),""))</f>
        <v/>
      </c>
      <c r="S191" s="89" t="str">
        <f aca="false">IF($D191="","",IFERROR(MATCH($D191,Securities!$A$6:$A$105,0),""))</f>
        <v/>
      </c>
      <c r="T191" s="89" t="str">
        <f aca="true">IF($I191="","",IFERROR(MATCH($I191,L_TxnType,0),""))</f>
        <v/>
      </c>
    </row>
    <row r="192" customFormat="false" ht="15" hidden="false" customHeight="false" outlineLevel="0" collapsed="false">
      <c r="A192" s="77"/>
      <c r="B192" s="80"/>
      <c r="C192" s="78"/>
      <c r="D192" s="78"/>
      <c r="E192" s="79" t="str">
        <f aca="false">IF($R192="","",INDEX(Accounts!$C$6:$C$55,$R192)&amp;"")</f>
        <v/>
      </c>
      <c r="F192" s="79" t="str">
        <f aca="false">IF($S192="","",INDEX(Securities!$B$6:$B$105,$S192)&amp;"")</f>
        <v/>
      </c>
      <c r="G192" s="79" t="str">
        <f aca="false">IF($S192="","",INDEX(Securities!$E$6:$E$105,$S192)&amp;"")</f>
        <v/>
      </c>
      <c r="H192" s="79" t="str">
        <f aca="false">IF($S192="","",INDEX(Securities!$F$6:$F$105,$S192)&amp;"")</f>
        <v/>
      </c>
      <c r="I192" s="78"/>
      <c r="J192" s="81"/>
      <c r="K192" s="94"/>
      <c r="L192" s="82"/>
      <c r="M192" s="82"/>
      <c r="N192" s="85" t="str">
        <f aca="true">IF(OR($I192="",$T192=""),"",INDEX(L_TxnSign,$T192)*N($L192)-N($M192))</f>
        <v/>
      </c>
      <c r="O192" s="79" t="str">
        <f aca="true">IF($T192="","",INDEX(L_TxnCounts,$T192)&amp;"")</f>
        <v/>
      </c>
      <c r="P192" s="78"/>
      <c r="Q192" s="79" t="str">
        <f aca="false">IF($A192&amp;$C192&amp;$D192&amp;$I192="","",IF($A192="","Missing ID",IF(COUNTIF($A$6:$A$305,$A192)&gt;1,"Duplicate ID",IF(NOT(ISNUMBER($B192)),"Missing date",IF($R192="","Unknown account",IF($D192="","Missing security",IF($S192="","Unknown security",IF($T192="","Unknown type",IF(AND($L192="",$I192&lt;&gt;"Bonus / Split"),"No amount",IF(N($L192)&lt;0,"Type a positive amount; the sign comes from the type",IF(N($M192)&lt;0,"Type charges as a positive amount",IF(N($B192)&gt;ValDate,"Date after valuation",IF(AND(N($B192)&gt;PrevDate,COUNTIFS(Holdings!$B$6:$B$205,$C192,Holdings!$C$6:$C$205,$D192)=0),"No holding row (needed for Period Change)","OK")))))))))))))</f>
        <v/>
      </c>
      <c r="R192" s="89" t="str">
        <f aca="false">IF($C192="","",IFERROR(MATCH($C192,Accounts!$A$6:$A$55,0),""))</f>
        <v/>
      </c>
      <c r="S192" s="89" t="str">
        <f aca="false">IF($D192="","",IFERROR(MATCH($D192,Securities!$A$6:$A$105,0),""))</f>
        <v/>
      </c>
      <c r="T192" s="89" t="str">
        <f aca="true">IF($I192="","",IFERROR(MATCH($I192,L_TxnType,0),""))</f>
        <v/>
      </c>
    </row>
    <row r="193" customFormat="false" ht="15" hidden="false" customHeight="false" outlineLevel="0" collapsed="false">
      <c r="A193" s="77"/>
      <c r="B193" s="80"/>
      <c r="C193" s="78"/>
      <c r="D193" s="78"/>
      <c r="E193" s="79" t="str">
        <f aca="false">IF($R193="","",INDEX(Accounts!$C$6:$C$55,$R193)&amp;"")</f>
        <v/>
      </c>
      <c r="F193" s="79" t="str">
        <f aca="false">IF($S193="","",INDEX(Securities!$B$6:$B$105,$S193)&amp;"")</f>
        <v/>
      </c>
      <c r="G193" s="79" t="str">
        <f aca="false">IF($S193="","",INDEX(Securities!$E$6:$E$105,$S193)&amp;"")</f>
        <v/>
      </c>
      <c r="H193" s="79" t="str">
        <f aca="false">IF($S193="","",INDEX(Securities!$F$6:$F$105,$S193)&amp;"")</f>
        <v/>
      </c>
      <c r="I193" s="78"/>
      <c r="J193" s="81"/>
      <c r="K193" s="94"/>
      <c r="L193" s="82"/>
      <c r="M193" s="82"/>
      <c r="N193" s="85" t="str">
        <f aca="true">IF(OR($I193="",$T193=""),"",INDEX(L_TxnSign,$T193)*N($L193)-N($M193))</f>
        <v/>
      </c>
      <c r="O193" s="79" t="str">
        <f aca="true">IF($T193="","",INDEX(L_TxnCounts,$T193)&amp;"")</f>
        <v/>
      </c>
      <c r="P193" s="78"/>
      <c r="Q193" s="79" t="str">
        <f aca="false">IF($A193&amp;$C193&amp;$D193&amp;$I193="","",IF($A193="","Missing ID",IF(COUNTIF($A$6:$A$305,$A193)&gt;1,"Duplicate ID",IF(NOT(ISNUMBER($B193)),"Missing date",IF($R193="","Unknown account",IF($D193="","Missing security",IF($S193="","Unknown security",IF($T193="","Unknown type",IF(AND($L193="",$I193&lt;&gt;"Bonus / Split"),"No amount",IF(N($L193)&lt;0,"Type a positive amount; the sign comes from the type",IF(N($M193)&lt;0,"Type charges as a positive amount",IF(N($B193)&gt;ValDate,"Date after valuation",IF(AND(N($B193)&gt;PrevDate,COUNTIFS(Holdings!$B$6:$B$205,$C193,Holdings!$C$6:$C$205,$D193)=0),"No holding row (needed for Period Change)","OK")))))))))))))</f>
        <v/>
      </c>
      <c r="R193" s="89" t="str">
        <f aca="false">IF($C193="","",IFERROR(MATCH($C193,Accounts!$A$6:$A$55,0),""))</f>
        <v/>
      </c>
      <c r="S193" s="89" t="str">
        <f aca="false">IF($D193="","",IFERROR(MATCH($D193,Securities!$A$6:$A$105,0),""))</f>
        <v/>
      </c>
      <c r="T193" s="89" t="str">
        <f aca="true">IF($I193="","",IFERROR(MATCH($I193,L_TxnType,0),""))</f>
        <v/>
      </c>
    </row>
    <row r="194" customFormat="false" ht="15" hidden="false" customHeight="false" outlineLevel="0" collapsed="false">
      <c r="A194" s="77"/>
      <c r="B194" s="80"/>
      <c r="C194" s="78"/>
      <c r="D194" s="78"/>
      <c r="E194" s="79" t="str">
        <f aca="false">IF($R194="","",INDEX(Accounts!$C$6:$C$55,$R194)&amp;"")</f>
        <v/>
      </c>
      <c r="F194" s="79" t="str">
        <f aca="false">IF($S194="","",INDEX(Securities!$B$6:$B$105,$S194)&amp;"")</f>
        <v/>
      </c>
      <c r="G194" s="79" t="str">
        <f aca="false">IF($S194="","",INDEX(Securities!$E$6:$E$105,$S194)&amp;"")</f>
        <v/>
      </c>
      <c r="H194" s="79" t="str">
        <f aca="false">IF($S194="","",INDEX(Securities!$F$6:$F$105,$S194)&amp;"")</f>
        <v/>
      </c>
      <c r="I194" s="78"/>
      <c r="J194" s="81"/>
      <c r="K194" s="94"/>
      <c r="L194" s="82"/>
      <c r="M194" s="82"/>
      <c r="N194" s="85" t="str">
        <f aca="true">IF(OR($I194="",$T194=""),"",INDEX(L_TxnSign,$T194)*N($L194)-N($M194))</f>
        <v/>
      </c>
      <c r="O194" s="79" t="str">
        <f aca="true">IF($T194="","",INDEX(L_TxnCounts,$T194)&amp;"")</f>
        <v/>
      </c>
      <c r="P194" s="78"/>
      <c r="Q194" s="79" t="str">
        <f aca="false">IF($A194&amp;$C194&amp;$D194&amp;$I194="","",IF($A194="","Missing ID",IF(COUNTIF($A$6:$A$305,$A194)&gt;1,"Duplicate ID",IF(NOT(ISNUMBER($B194)),"Missing date",IF($R194="","Unknown account",IF($D194="","Missing security",IF($S194="","Unknown security",IF($T194="","Unknown type",IF(AND($L194="",$I194&lt;&gt;"Bonus / Split"),"No amount",IF(N($L194)&lt;0,"Type a positive amount; the sign comes from the type",IF(N($M194)&lt;0,"Type charges as a positive amount",IF(N($B194)&gt;ValDate,"Date after valuation",IF(AND(N($B194)&gt;PrevDate,COUNTIFS(Holdings!$B$6:$B$205,$C194,Holdings!$C$6:$C$205,$D194)=0),"No holding row (needed for Period Change)","OK")))))))))))))</f>
        <v/>
      </c>
      <c r="R194" s="89" t="str">
        <f aca="false">IF($C194="","",IFERROR(MATCH($C194,Accounts!$A$6:$A$55,0),""))</f>
        <v/>
      </c>
      <c r="S194" s="89" t="str">
        <f aca="false">IF($D194="","",IFERROR(MATCH($D194,Securities!$A$6:$A$105,0),""))</f>
        <v/>
      </c>
      <c r="T194" s="89" t="str">
        <f aca="true">IF($I194="","",IFERROR(MATCH($I194,L_TxnType,0),""))</f>
        <v/>
      </c>
    </row>
    <row r="195" customFormat="false" ht="15" hidden="false" customHeight="false" outlineLevel="0" collapsed="false">
      <c r="A195" s="77"/>
      <c r="B195" s="80"/>
      <c r="C195" s="78"/>
      <c r="D195" s="78"/>
      <c r="E195" s="79" t="str">
        <f aca="false">IF($R195="","",INDEX(Accounts!$C$6:$C$55,$R195)&amp;"")</f>
        <v/>
      </c>
      <c r="F195" s="79" t="str">
        <f aca="false">IF($S195="","",INDEX(Securities!$B$6:$B$105,$S195)&amp;"")</f>
        <v/>
      </c>
      <c r="G195" s="79" t="str">
        <f aca="false">IF($S195="","",INDEX(Securities!$E$6:$E$105,$S195)&amp;"")</f>
        <v/>
      </c>
      <c r="H195" s="79" t="str">
        <f aca="false">IF($S195="","",INDEX(Securities!$F$6:$F$105,$S195)&amp;"")</f>
        <v/>
      </c>
      <c r="I195" s="78"/>
      <c r="J195" s="81"/>
      <c r="K195" s="94"/>
      <c r="L195" s="82"/>
      <c r="M195" s="82"/>
      <c r="N195" s="85" t="str">
        <f aca="true">IF(OR($I195="",$T195=""),"",INDEX(L_TxnSign,$T195)*N($L195)-N($M195))</f>
        <v/>
      </c>
      <c r="O195" s="79" t="str">
        <f aca="true">IF($T195="","",INDEX(L_TxnCounts,$T195)&amp;"")</f>
        <v/>
      </c>
      <c r="P195" s="78"/>
      <c r="Q195" s="79" t="str">
        <f aca="false">IF($A195&amp;$C195&amp;$D195&amp;$I195="","",IF($A195="","Missing ID",IF(COUNTIF($A$6:$A$305,$A195)&gt;1,"Duplicate ID",IF(NOT(ISNUMBER($B195)),"Missing date",IF($R195="","Unknown account",IF($D195="","Missing security",IF($S195="","Unknown security",IF($T195="","Unknown type",IF(AND($L195="",$I195&lt;&gt;"Bonus / Split"),"No amount",IF(N($L195)&lt;0,"Type a positive amount; the sign comes from the type",IF(N($M195)&lt;0,"Type charges as a positive amount",IF(N($B195)&gt;ValDate,"Date after valuation",IF(AND(N($B195)&gt;PrevDate,COUNTIFS(Holdings!$B$6:$B$205,$C195,Holdings!$C$6:$C$205,$D195)=0),"No holding row (needed for Period Change)","OK")))))))))))))</f>
        <v/>
      </c>
      <c r="R195" s="89" t="str">
        <f aca="false">IF($C195="","",IFERROR(MATCH($C195,Accounts!$A$6:$A$55,0),""))</f>
        <v/>
      </c>
      <c r="S195" s="89" t="str">
        <f aca="false">IF($D195="","",IFERROR(MATCH($D195,Securities!$A$6:$A$105,0),""))</f>
        <v/>
      </c>
      <c r="T195" s="89" t="str">
        <f aca="true">IF($I195="","",IFERROR(MATCH($I195,L_TxnType,0),""))</f>
        <v/>
      </c>
    </row>
    <row r="196" customFormat="false" ht="15" hidden="false" customHeight="false" outlineLevel="0" collapsed="false">
      <c r="A196" s="77"/>
      <c r="B196" s="80"/>
      <c r="C196" s="78"/>
      <c r="D196" s="78"/>
      <c r="E196" s="79" t="str">
        <f aca="false">IF($R196="","",INDEX(Accounts!$C$6:$C$55,$R196)&amp;"")</f>
        <v/>
      </c>
      <c r="F196" s="79" t="str">
        <f aca="false">IF($S196="","",INDEX(Securities!$B$6:$B$105,$S196)&amp;"")</f>
        <v/>
      </c>
      <c r="G196" s="79" t="str">
        <f aca="false">IF($S196="","",INDEX(Securities!$E$6:$E$105,$S196)&amp;"")</f>
        <v/>
      </c>
      <c r="H196" s="79" t="str">
        <f aca="false">IF($S196="","",INDEX(Securities!$F$6:$F$105,$S196)&amp;"")</f>
        <v/>
      </c>
      <c r="I196" s="78"/>
      <c r="J196" s="81"/>
      <c r="K196" s="94"/>
      <c r="L196" s="82"/>
      <c r="M196" s="82"/>
      <c r="N196" s="85" t="str">
        <f aca="true">IF(OR($I196="",$T196=""),"",INDEX(L_TxnSign,$T196)*N($L196)-N($M196))</f>
        <v/>
      </c>
      <c r="O196" s="79" t="str">
        <f aca="true">IF($T196="","",INDEX(L_TxnCounts,$T196)&amp;"")</f>
        <v/>
      </c>
      <c r="P196" s="78"/>
      <c r="Q196" s="79" t="str">
        <f aca="false">IF($A196&amp;$C196&amp;$D196&amp;$I196="","",IF($A196="","Missing ID",IF(COUNTIF($A$6:$A$305,$A196)&gt;1,"Duplicate ID",IF(NOT(ISNUMBER($B196)),"Missing date",IF($R196="","Unknown account",IF($D196="","Missing security",IF($S196="","Unknown security",IF($T196="","Unknown type",IF(AND($L196="",$I196&lt;&gt;"Bonus / Split"),"No amount",IF(N($L196)&lt;0,"Type a positive amount; the sign comes from the type",IF(N($M196)&lt;0,"Type charges as a positive amount",IF(N($B196)&gt;ValDate,"Date after valuation",IF(AND(N($B196)&gt;PrevDate,COUNTIFS(Holdings!$B$6:$B$205,$C196,Holdings!$C$6:$C$205,$D196)=0),"No holding row (needed for Period Change)","OK")))))))))))))</f>
        <v/>
      </c>
      <c r="R196" s="89" t="str">
        <f aca="false">IF($C196="","",IFERROR(MATCH($C196,Accounts!$A$6:$A$55,0),""))</f>
        <v/>
      </c>
      <c r="S196" s="89" t="str">
        <f aca="false">IF($D196="","",IFERROR(MATCH($D196,Securities!$A$6:$A$105,0),""))</f>
        <v/>
      </c>
      <c r="T196" s="89" t="str">
        <f aca="true">IF($I196="","",IFERROR(MATCH($I196,L_TxnType,0),""))</f>
        <v/>
      </c>
    </row>
    <row r="197" customFormat="false" ht="15" hidden="false" customHeight="false" outlineLevel="0" collapsed="false">
      <c r="A197" s="77"/>
      <c r="B197" s="80"/>
      <c r="C197" s="78"/>
      <c r="D197" s="78"/>
      <c r="E197" s="79" t="str">
        <f aca="false">IF($R197="","",INDEX(Accounts!$C$6:$C$55,$R197)&amp;"")</f>
        <v/>
      </c>
      <c r="F197" s="79" t="str">
        <f aca="false">IF($S197="","",INDEX(Securities!$B$6:$B$105,$S197)&amp;"")</f>
        <v/>
      </c>
      <c r="G197" s="79" t="str">
        <f aca="false">IF($S197="","",INDEX(Securities!$E$6:$E$105,$S197)&amp;"")</f>
        <v/>
      </c>
      <c r="H197" s="79" t="str">
        <f aca="false">IF($S197="","",INDEX(Securities!$F$6:$F$105,$S197)&amp;"")</f>
        <v/>
      </c>
      <c r="I197" s="78"/>
      <c r="J197" s="81"/>
      <c r="K197" s="94"/>
      <c r="L197" s="82"/>
      <c r="M197" s="82"/>
      <c r="N197" s="85" t="str">
        <f aca="true">IF(OR($I197="",$T197=""),"",INDEX(L_TxnSign,$T197)*N($L197)-N($M197))</f>
        <v/>
      </c>
      <c r="O197" s="79" t="str">
        <f aca="true">IF($T197="","",INDEX(L_TxnCounts,$T197)&amp;"")</f>
        <v/>
      </c>
      <c r="P197" s="78"/>
      <c r="Q197" s="79" t="str">
        <f aca="false">IF($A197&amp;$C197&amp;$D197&amp;$I197="","",IF($A197="","Missing ID",IF(COUNTIF($A$6:$A$305,$A197)&gt;1,"Duplicate ID",IF(NOT(ISNUMBER($B197)),"Missing date",IF($R197="","Unknown account",IF($D197="","Missing security",IF($S197="","Unknown security",IF($T197="","Unknown type",IF(AND($L197="",$I197&lt;&gt;"Bonus / Split"),"No amount",IF(N($L197)&lt;0,"Type a positive amount; the sign comes from the type",IF(N($M197)&lt;0,"Type charges as a positive amount",IF(N($B197)&gt;ValDate,"Date after valuation",IF(AND(N($B197)&gt;PrevDate,COUNTIFS(Holdings!$B$6:$B$205,$C197,Holdings!$C$6:$C$205,$D197)=0),"No holding row (needed for Period Change)","OK")))))))))))))</f>
        <v/>
      </c>
      <c r="R197" s="89" t="str">
        <f aca="false">IF($C197="","",IFERROR(MATCH($C197,Accounts!$A$6:$A$55,0),""))</f>
        <v/>
      </c>
      <c r="S197" s="89" t="str">
        <f aca="false">IF($D197="","",IFERROR(MATCH($D197,Securities!$A$6:$A$105,0),""))</f>
        <v/>
      </c>
      <c r="T197" s="89" t="str">
        <f aca="true">IF($I197="","",IFERROR(MATCH($I197,L_TxnType,0),""))</f>
        <v/>
      </c>
    </row>
    <row r="198" customFormat="false" ht="15" hidden="false" customHeight="false" outlineLevel="0" collapsed="false">
      <c r="A198" s="77"/>
      <c r="B198" s="80"/>
      <c r="C198" s="78"/>
      <c r="D198" s="78"/>
      <c r="E198" s="79" t="str">
        <f aca="false">IF($R198="","",INDEX(Accounts!$C$6:$C$55,$R198)&amp;"")</f>
        <v/>
      </c>
      <c r="F198" s="79" t="str">
        <f aca="false">IF($S198="","",INDEX(Securities!$B$6:$B$105,$S198)&amp;"")</f>
        <v/>
      </c>
      <c r="G198" s="79" t="str">
        <f aca="false">IF($S198="","",INDEX(Securities!$E$6:$E$105,$S198)&amp;"")</f>
        <v/>
      </c>
      <c r="H198" s="79" t="str">
        <f aca="false">IF($S198="","",INDEX(Securities!$F$6:$F$105,$S198)&amp;"")</f>
        <v/>
      </c>
      <c r="I198" s="78"/>
      <c r="J198" s="81"/>
      <c r="K198" s="94"/>
      <c r="L198" s="82"/>
      <c r="M198" s="82"/>
      <c r="N198" s="85" t="str">
        <f aca="true">IF(OR($I198="",$T198=""),"",INDEX(L_TxnSign,$T198)*N($L198)-N($M198))</f>
        <v/>
      </c>
      <c r="O198" s="79" t="str">
        <f aca="true">IF($T198="","",INDEX(L_TxnCounts,$T198)&amp;"")</f>
        <v/>
      </c>
      <c r="P198" s="78"/>
      <c r="Q198" s="79" t="str">
        <f aca="false">IF($A198&amp;$C198&amp;$D198&amp;$I198="","",IF($A198="","Missing ID",IF(COUNTIF($A$6:$A$305,$A198)&gt;1,"Duplicate ID",IF(NOT(ISNUMBER($B198)),"Missing date",IF($R198="","Unknown account",IF($D198="","Missing security",IF($S198="","Unknown security",IF($T198="","Unknown type",IF(AND($L198="",$I198&lt;&gt;"Bonus / Split"),"No amount",IF(N($L198)&lt;0,"Type a positive amount; the sign comes from the type",IF(N($M198)&lt;0,"Type charges as a positive amount",IF(N($B198)&gt;ValDate,"Date after valuation",IF(AND(N($B198)&gt;PrevDate,COUNTIFS(Holdings!$B$6:$B$205,$C198,Holdings!$C$6:$C$205,$D198)=0),"No holding row (needed for Period Change)","OK")))))))))))))</f>
        <v/>
      </c>
      <c r="R198" s="89" t="str">
        <f aca="false">IF($C198="","",IFERROR(MATCH($C198,Accounts!$A$6:$A$55,0),""))</f>
        <v/>
      </c>
      <c r="S198" s="89" t="str">
        <f aca="false">IF($D198="","",IFERROR(MATCH($D198,Securities!$A$6:$A$105,0),""))</f>
        <v/>
      </c>
      <c r="T198" s="89" t="str">
        <f aca="true">IF($I198="","",IFERROR(MATCH($I198,L_TxnType,0),""))</f>
        <v/>
      </c>
    </row>
    <row r="199" customFormat="false" ht="15" hidden="false" customHeight="false" outlineLevel="0" collapsed="false">
      <c r="A199" s="77"/>
      <c r="B199" s="80"/>
      <c r="C199" s="78"/>
      <c r="D199" s="78"/>
      <c r="E199" s="79" t="str">
        <f aca="false">IF($R199="","",INDEX(Accounts!$C$6:$C$55,$R199)&amp;"")</f>
        <v/>
      </c>
      <c r="F199" s="79" t="str">
        <f aca="false">IF($S199="","",INDEX(Securities!$B$6:$B$105,$S199)&amp;"")</f>
        <v/>
      </c>
      <c r="G199" s="79" t="str">
        <f aca="false">IF($S199="","",INDEX(Securities!$E$6:$E$105,$S199)&amp;"")</f>
        <v/>
      </c>
      <c r="H199" s="79" t="str">
        <f aca="false">IF($S199="","",INDEX(Securities!$F$6:$F$105,$S199)&amp;"")</f>
        <v/>
      </c>
      <c r="I199" s="78"/>
      <c r="J199" s="81"/>
      <c r="K199" s="94"/>
      <c r="L199" s="82"/>
      <c r="M199" s="82"/>
      <c r="N199" s="85" t="str">
        <f aca="true">IF(OR($I199="",$T199=""),"",INDEX(L_TxnSign,$T199)*N($L199)-N($M199))</f>
        <v/>
      </c>
      <c r="O199" s="79" t="str">
        <f aca="true">IF($T199="","",INDEX(L_TxnCounts,$T199)&amp;"")</f>
        <v/>
      </c>
      <c r="P199" s="78"/>
      <c r="Q199" s="79" t="str">
        <f aca="false">IF($A199&amp;$C199&amp;$D199&amp;$I199="","",IF($A199="","Missing ID",IF(COUNTIF($A$6:$A$305,$A199)&gt;1,"Duplicate ID",IF(NOT(ISNUMBER($B199)),"Missing date",IF($R199="","Unknown account",IF($D199="","Missing security",IF($S199="","Unknown security",IF($T199="","Unknown type",IF(AND($L199="",$I199&lt;&gt;"Bonus / Split"),"No amount",IF(N($L199)&lt;0,"Type a positive amount; the sign comes from the type",IF(N($M199)&lt;0,"Type charges as a positive amount",IF(N($B199)&gt;ValDate,"Date after valuation",IF(AND(N($B199)&gt;PrevDate,COUNTIFS(Holdings!$B$6:$B$205,$C199,Holdings!$C$6:$C$205,$D199)=0),"No holding row (needed for Period Change)","OK")))))))))))))</f>
        <v/>
      </c>
      <c r="R199" s="89" t="str">
        <f aca="false">IF($C199="","",IFERROR(MATCH($C199,Accounts!$A$6:$A$55,0),""))</f>
        <v/>
      </c>
      <c r="S199" s="89" t="str">
        <f aca="false">IF($D199="","",IFERROR(MATCH($D199,Securities!$A$6:$A$105,0),""))</f>
        <v/>
      </c>
      <c r="T199" s="89" t="str">
        <f aca="true">IF($I199="","",IFERROR(MATCH($I199,L_TxnType,0),""))</f>
        <v/>
      </c>
    </row>
    <row r="200" customFormat="false" ht="15" hidden="false" customHeight="false" outlineLevel="0" collapsed="false">
      <c r="A200" s="77"/>
      <c r="B200" s="80"/>
      <c r="C200" s="78"/>
      <c r="D200" s="78"/>
      <c r="E200" s="79" t="str">
        <f aca="false">IF($R200="","",INDEX(Accounts!$C$6:$C$55,$R200)&amp;"")</f>
        <v/>
      </c>
      <c r="F200" s="79" t="str">
        <f aca="false">IF($S200="","",INDEX(Securities!$B$6:$B$105,$S200)&amp;"")</f>
        <v/>
      </c>
      <c r="G200" s="79" t="str">
        <f aca="false">IF($S200="","",INDEX(Securities!$E$6:$E$105,$S200)&amp;"")</f>
        <v/>
      </c>
      <c r="H200" s="79" t="str">
        <f aca="false">IF($S200="","",INDEX(Securities!$F$6:$F$105,$S200)&amp;"")</f>
        <v/>
      </c>
      <c r="I200" s="78"/>
      <c r="J200" s="81"/>
      <c r="K200" s="94"/>
      <c r="L200" s="82"/>
      <c r="M200" s="82"/>
      <c r="N200" s="85" t="str">
        <f aca="true">IF(OR($I200="",$T200=""),"",INDEX(L_TxnSign,$T200)*N($L200)-N($M200))</f>
        <v/>
      </c>
      <c r="O200" s="79" t="str">
        <f aca="true">IF($T200="","",INDEX(L_TxnCounts,$T200)&amp;"")</f>
        <v/>
      </c>
      <c r="P200" s="78"/>
      <c r="Q200" s="79" t="str">
        <f aca="false">IF($A200&amp;$C200&amp;$D200&amp;$I200="","",IF($A200="","Missing ID",IF(COUNTIF($A$6:$A$305,$A200)&gt;1,"Duplicate ID",IF(NOT(ISNUMBER($B200)),"Missing date",IF($R200="","Unknown account",IF($D200="","Missing security",IF($S200="","Unknown security",IF($T200="","Unknown type",IF(AND($L200="",$I200&lt;&gt;"Bonus / Split"),"No amount",IF(N($L200)&lt;0,"Type a positive amount; the sign comes from the type",IF(N($M200)&lt;0,"Type charges as a positive amount",IF(N($B200)&gt;ValDate,"Date after valuation",IF(AND(N($B200)&gt;PrevDate,COUNTIFS(Holdings!$B$6:$B$205,$C200,Holdings!$C$6:$C$205,$D200)=0),"No holding row (needed for Period Change)","OK")))))))))))))</f>
        <v/>
      </c>
      <c r="R200" s="89" t="str">
        <f aca="false">IF($C200="","",IFERROR(MATCH($C200,Accounts!$A$6:$A$55,0),""))</f>
        <v/>
      </c>
      <c r="S200" s="89" t="str">
        <f aca="false">IF($D200="","",IFERROR(MATCH($D200,Securities!$A$6:$A$105,0),""))</f>
        <v/>
      </c>
      <c r="T200" s="89" t="str">
        <f aca="true">IF($I200="","",IFERROR(MATCH($I200,L_TxnType,0),""))</f>
        <v/>
      </c>
    </row>
    <row r="201" customFormat="false" ht="15" hidden="false" customHeight="false" outlineLevel="0" collapsed="false">
      <c r="A201" s="77"/>
      <c r="B201" s="80"/>
      <c r="C201" s="78"/>
      <c r="D201" s="78"/>
      <c r="E201" s="79" t="str">
        <f aca="false">IF($R201="","",INDEX(Accounts!$C$6:$C$55,$R201)&amp;"")</f>
        <v/>
      </c>
      <c r="F201" s="79" t="str">
        <f aca="false">IF($S201="","",INDEX(Securities!$B$6:$B$105,$S201)&amp;"")</f>
        <v/>
      </c>
      <c r="G201" s="79" t="str">
        <f aca="false">IF($S201="","",INDEX(Securities!$E$6:$E$105,$S201)&amp;"")</f>
        <v/>
      </c>
      <c r="H201" s="79" t="str">
        <f aca="false">IF($S201="","",INDEX(Securities!$F$6:$F$105,$S201)&amp;"")</f>
        <v/>
      </c>
      <c r="I201" s="78"/>
      <c r="J201" s="81"/>
      <c r="K201" s="94"/>
      <c r="L201" s="82"/>
      <c r="M201" s="82"/>
      <c r="N201" s="85" t="str">
        <f aca="true">IF(OR($I201="",$T201=""),"",INDEX(L_TxnSign,$T201)*N($L201)-N($M201))</f>
        <v/>
      </c>
      <c r="O201" s="79" t="str">
        <f aca="true">IF($T201="","",INDEX(L_TxnCounts,$T201)&amp;"")</f>
        <v/>
      </c>
      <c r="P201" s="78"/>
      <c r="Q201" s="79" t="str">
        <f aca="false">IF($A201&amp;$C201&amp;$D201&amp;$I201="","",IF($A201="","Missing ID",IF(COUNTIF($A$6:$A$305,$A201)&gt;1,"Duplicate ID",IF(NOT(ISNUMBER($B201)),"Missing date",IF($R201="","Unknown account",IF($D201="","Missing security",IF($S201="","Unknown security",IF($T201="","Unknown type",IF(AND($L201="",$I201&lt;&gt;"Bonus / Split"),"No amount",IF(N($L201)&lt;0,"Type a positive amount; the sign comes from the type",IF(N($M201)&lt;0,"Type charges as a positive amount",IF(N($B201)&gt;ValDate,"Date after valuation",IF(AND(N($B201)&gt;PrevDate,COUNTIFS(Holdings!$B$6:$B$205,$C201,Holdings!$C$6:$C$205,$D201)=0),"No holding row (needed for Period Change)","OK")))))))))))))</f>
        <v/>
      </c>
      <c r="R201" s="89" t="str">
        <f aca="false">IF($C201="","",IFERROR(MATCH($C201,Accounts!$A$6:$A$55,0),""))</f>
        <v/>
      </c>
      <c r="S201" s="89" t="str">
        <f aca="false">IF($D201="","",IFERROR(MATCH($D201,Securities!$A$6:$A$105,0),""))</f>
        <v/>
      </c>
      <c r="T201" s="89" t="str">
        <f aca="true">IF($I201="","",IFERROR(MATCH($I201,L_TxnType,0),""))</f>
        <v/>
      </c>
    </row>
    <row r="202" customFormat="false" ht="15" hidden="false" customHeight="false" outlineLevel="0" collapsed="false">
      <c r="A202" s="77"/>
      <c r="B202" s="80"/>
      <c r="C202" s="78"/>
      <c r="D202" s="78"/>
      <c r="E202" s="79" t="str">
        <f aca="false">IF($R202="","",INDEX(Accounts!$C$6:$C$55,$R202)&amp;"")</f>
        <v/>
      </c>
      <c r="F202" s="79" t="str">
        <f aca="false">IF($S202="","",INDEX(Securities!$B$6:$B$105,$S202)&amp;"")</f>
        <v/>
      </c>
      <c r="G202" s="79" t="str">
        <f aca="false">IF($S202="","",INDEX(Securities!$E$6:$E$105,$S202)&amp;"")</f>
        <v/>
      </c>
      <c r="H202" s="79" t="str">
        <f aca="false">IF($S202="","",INDEX(Securities!$F$6:$F$105,$S202)&amp;"")</f>
        <v/>
      </c>
      <c r="I202" s="78"/>
      <c r="J202" s="81"/>
      <c r="K202" s="94"/>
      <c r="L202" s="82"/>
      <c r="M202" s="82"/>
      <c r="N202" s="85" t="str">
        <f aca="true">IF(OR($I202="",$T202=""),"",INDEX(L_TxnSign,$T202)*N($L202)-N($M202))</f>
        <v/>
      </c>
      <c r="O202" s="79" t="str">
        <f aca="true">IF($T202="","",INDEX(L_TxnCounts,$T202)&amp;"")</f>
        <v/>
      </c>
      <c r="P202" s="78"/>
      <c r="Q202" s="79" t="str">
        <f aca="false">IF($A202&amp;$C202&amp;$D202&amp;$I202="","",IF($A202="","Missing ID",IF(COUNTIF($A$6:$A$305,$A202)&gt;1,"Duplicate ID",IF(NOT(ISNUMBER($B202)),"Missing date",IF($R202="","Unknown account",IF($D202="","Missing security",IF($S202="","Unknown security",IF($T202="","Unknown type",IF(AND($L202="",$I202&lt;&gt;"Bonus / Split"),"No amount",IF(N($L202)&lt;0,"Type a positive amount; the sign comes from the type",IF(N($M202)&lt;0,"Type charges as a positive amount",IF(N($B202)&gt;ValDate,"Date after valuation",IF(AND(N($B202)&gt;PrevDate,COUNTIFS(Holdings!$B$6:$B$205,$C202,Holdings!$C$6:$C$205,$D202)=0),"No holding row (needed for Period Change)","OK")))))))))))))</f>
        <v/>
      </c>
      <c r="R202" s="89" t="str">
        <f aca="false">IF($C202="","",IFERROR(MATCH($C202,Accounts!$A$6:$A$55,0),""))</f>
        <v/>
      </c>
      <c r="S202" s="89" t="str">
        <f aca="false">IF($D202="","",IFERROR(MATCH($D202,Securities!$A$6:$A$105,0),""))</f>
        <v/>
      </c>
      <c r="T202" s="89" t="str">
        <f aca="true">IF($I202="","",IFERROR(MATCH($I202,L_TxnType,0),""))</f>
        <v/>
      </c>
    </row>
    <row r="203" customFormat="false" ht="15" hidden="false" customHeight="false" outlineLevel="0" collapsed="false">
      <c r="A203" s="77"/>
      <c r="B203" s="80"/>
      <c r="C203" s="78"/>
      <c r="D203" s="78"/>
      <c r="E203" s="79" t="str">
        <f aca="false">IF($R203="","",INDEX(Accounts!$C$6:$C$55,$R203)&amp;"")</f>
        <v/>
      </c>
      <c r="F203" s="79" t="str">
        <f aca="false">IF($S203="","",INDEX(Securities!$B$6:$B$105,$S203)&amp;"")</f>
        <v/>
      </c>
      <c r="G203" s="79" t="str">
        <f aca="false">IF($S203="","",INDEX(Securities!$E$6:$E$105,$S203)&amp;"")</f>
        <v/>
      </c>
      <c r="H203" s="79" t="str">
        <f aca="false">IF($S203="","",INDEX(Securities!$F$6:$F$105,$S203)&amp;"")</f>
        <v/>
      </c>
      <c r="I203" s="78"/>
      <c r="J203" s="81"/>
      <c r="K203" s="94"/>
      <c r="L203" s="82"/>
      <c r="M203" s="82"/>
      <c r="N203" s="85" t="str">
        <f aca="true">IF(OR($I203="",$T203=""),"",INDEX(L_TxnSign,$T203)*N($L203)-N($M203))</f>
        <v/>
      </c>
      <c r="O203" s="79" t="str">
        <f aca="true">IF($T203="","",INDEX(L_TxnCounts,$T203)&amp;"")</f>
        <v/>
      </c>
      <c r="P203" s="78"/>
      <c r="Q203" s="79" t="str">
        <f aca="false">IF($A203&amp;$C203&amp;$D203&amp;$I203="","",IF($A203="","Missing ID",IF(COUNTIF($A$6:$A$305,$A203)&gt;1,"Duplicate ID",IF(NOT(ISNUMBER($B203)),"Missing date",IF($R203="","Unknown account",IF($D203="","Missing security",IF($S203="","Unknown security",IF($T203="","Unknown type",IF(AND($L203="",$I203&lt;&gt;"Bonus / Split"),"No amount",IF(N($L203)&lt;0,"Type a positive amount; the sign comes from the type",IF(N($M203)&lt;0,"Type charges as a positive amount",IF(N($B203)&gt;ValDate,"Date after valuation",IF(AND(N($B203)&gt;PrevDate,COUNTIFS(Holdings!$B$6:$B$205,$C203,Holdings!$C$6:$C$205,$D203)=0),"No holding row (needed for Period Change)","OK")))))))))))))</f>
        <v/>
      </c>
      <c r="R203" s="89" t="str">
        <f aca="false">IF($C203="","",IFERROR(MATCH($C203,Accounts!$A$6:$A$55,0),""))</f>
        <v/>
      </c>
      <c r="S203" s="89" t="str">
        <f aca="false">IF($D203="","",IFERROR(MATCH($D203,Securities!$A$6:$A$105,0),""))</f>
        <v/>
      </c>
      <c r="T203" s="89" t="str">
        <f aca="true">IF($I203="","",IFERROR(MATCH($I203,L_TxnType,0),""))</f>
        <v/>
      </c>
    </row>
    <row r="204" customFormat="false" ht="15" hidden="false" customHeight="false" outlineLevel="0" collapsed="false">
      <c r="A204" s="77"/>
      <c r="B204" s="80"/>
      <c r="C204" s="78"/>
      <c r="D204" s="78"/>
      <c r="E204" s="79" t="str">
        <f aca="false">IF($R204="","",INDEX(Accounts!$C$6:$C$55,$R204)&amp;"")</f>
        <v/>
      </c>
      <c r="F204" s="79" t="str">
        <f aca="false">IF($S204="","",INDEX(Securities!$B$6:$B$105,$S204)&amp;"")</f>
        <v/>
      </c>
      <c r="G204" s="79" t="str">
        <f aca="false">IF($S204="","",INDEX(Securities!$E$6:$E$105,$S204)&amp;"")</f>
        <v/>
      </c>
      <c r="H204" s="79" t="str">
        <f aca="false">IF($S204="","",INDEX(Securities!$F$6:$F$105,$S204)&amp;"")</f>
        <v/>
      </c>
      <c r="I204" s="78"/>
      <c r="J204" s="81"/>
      <c r="K204" s="94"/>
      <c r="L204" s="82"/>
      <c r="M204" s="82"/>
      <c r="N204" s="85" t="str">
        <f aca="true">IF(OR($I204="",$T204=""),"",INDEX(L_TxnSign,$T204)*N($L204)-N($M204))</f>
        <v/>
      </c>
      <c r="O204" s="79" t="str">
        <f aca="true">IF($T204="","",INDEX(L_TxnCounts,$T204)&amp;"")</f>
        <v/>
      </c>
      <c r="P204" s="78"/>
      <c r="Q204" s="79" t="str">
        <f aca="false">IF($A204&amp;$C204&amp;$D204&amp;$I204="","",IF($A204="","Missing ID",IF(COUNTIF($A$6:$A$305,$A204)&gt;1,"Duplicate ID",IF(NOT(ISNUMBER($B204)),"Missing date",IF($R204="","Unknown account",IF($D204="","Missing security",IF($S204="","Unknown security",IF($T204="","Unknown type",IF(AND($L204="",$I204&lt;&gt;"Bonus / Split"),"No amount",IF(N($L204)&lt;0,"Type a positive amount; the sign comes from the type",IF(N($M204)&lt;0,"Type charges as a positive amount",IF(N($B204)&gt;ValDate,"Date after valuation",IF(AND(N($B204)&gt;PrevDate,COUNTIFS(Holdings!$B$6:$B$205,$C204,Holdings!$C$6:$C$205,$D204)=0),"No holding row (needed for Period Change)","OK")))))))))))))</f>
        <v/>
      </c>
      <c r="R204" s="89" t="str">
        <f aca="false">IF($C204="","",IFERROR(MATCH($C204,Accounts!$A$6:$A$55,0),""))</f>
        <v/>
      </c>
      <c r="S204" s="89" t="str">
        <f aca="false">IF($D204="","",IFERROR(MATCH($D204,Securities!$A$6:$A$105,0),""))</f>
        <v/>
      </c>
      <c r="T204" s="89" t="str">
        <f aca="true">IF($I204="","",IFERROR(MATCH($I204,L_TxnType,0),""))</f>
        <v/>
      </c>
    </row>
    <row r="205" customFormat="false" ht="15" hidden="false" customHeight="false" outlineLevel="0" collapsed="false">
      <c r="A205" s="77"/>
      <c r="B205" s="80"/>
      <c r="C205" s="78"/>
      <c r="D205" s="78"/>
      <c r="E205" s="79" t="str">
        <f aca="false">IF($R205="","",INDEX(Accounts!$C$6:$C$55,$R205)&amp;"")</f>
        <v/>
      </c>
      <c r="F205" s="79" t="str">
        <f aca="false">IF($S205="","",INDEX(Securities!$B$6:$B$105,$S205)&amp;"")</f>
        <v/>
      </c>
      <c r="G205" s="79" t="str">
        <f aca="false">IF($S205="","",INDEX(Securities!$E$6:$E$105,$S205)&amp;"")</f>
        <v/>
      </c>
      <c r="H205" s="79" t="str">
        <f aca="false">IF($S205="","",INDEX(Securities!$F$6:$F$105,$S205)&amp;"")</f>
        <v/>
      </c>
      <c r="I205" s="78"/>
      <c r="J205" s="81"/>
      <c r="K205" s="94"/>
      <c r="L205" s="82"/>
      <c r="M205" s="82"/>
      <c r="N205" s="85" t="str">
        <f aca="true">IF(OR($I205="",$T205=""),"",INDEX(L_TxnSign,$T205)*N($L205)-N($M205))</f>
        <v/>
      </c>
      <c r="O205" s="79" t="str">
        <f aca="true">IF($T205="","",INDEX(L_TxnCounts,$T205)&amp;"")</f>
        <v/>
      </c>
      <c r="P205" s="78"/>
      <c r="Q205" s="79" t="str">
        <f aca="false">IF($A205&amp;$C205&amp;$D205&amp;$I205="","",IF($A205="","Missing ID",IF(COUNTIF($A$6:$A$305,$A205)&gt;1,"Duplicate ID",IF(NOT(ISNUMBER($B205)),"Missing date",IF($R205="","Unknown account",IF($D205="","Missing security",IF($S205="","Unknown security",IF($T205="","Unknown type",IF(AND($L205="",$I205&lt;&gt;"Bonus / Split"),"No amount",IF(N($L205)&lt;0,"Type a positive amount; the sign comes from the type",IF(N($M205)&lt;0,"Type charges as a positive amount",IF(N($B205)&gt;ValDate,"Date after valuation",IF(AND(N($B205)&gt;PrevDate,COUNTIFS(Holdings!$B$6:$B$205,$C205,Holdings!$C$6:$C$205,$D205)=0),"No holding row (needed for Period Change)","OK")))))))))))))</f>
        <v/>
      </c>
      <c r="R205" s="89" t="str">
        <f aca="false">IF($C205="","",IFERROR(MATCH($C205,Accounts!$A$6:$A$55,0),""))</f>
        <v/>
      </c>
      <c r="S205" s="89" t="str">
        <f aca="false">IF($D205="","",IFERROR(MATCH($D205,Securities!$A$6:$A$105,0),""))</f>
        <v/>
      </c>
      <c r="T205" s="89" t="str">
        <f aca="true">IF($I205="","",IFERROR(MATCH($I205,L_TxnType,0),""))</f>
        <v/>
      </c>
    </row>
    <row r="206" customFormat="false" ht="15" hidden="false" customHeight="false" outlineLevel="0" collapsed="false">
      <c r="A206" s="77"/>
      <c r="B206" s="80"/>
      <c r="C206" s="78"/>
      <c r="D206" s="78"/>
      <c r="E206" s="79" t="str">
        <f aca="false">IF($R206="","",INDEX(Accounts!$C$6:$C$55,$R206)&amp;"")</f>
        <v/>
      </c>
      <c r="F206" s="79" t="str">
        <f aca="false">IF($S206="","",INDEX(Securities!$B$6:$B$105,$S206)&amp;"")</f>
        <v/>
      </c>
      <c r="G206" s="79" t="str">
        <f aca="false">IF($S206="","",INDEX(Securities!$E$6:$E$105,$S206)&amp;"")</f>
        <v/>
      </c>
      <c r="H206" s="79" t="str">
        <f aca="false">IF($S206="","",INDEX(Securities!$F$6:$F$105,$S206)&amp;"")</f>
        <v/>
      </c>
      <c r="I206" s="78"/>
      <c r="J206" s="81"/>
      <c r="K206" s="94"/>
      <c r="L206" s="82"/>
      <c r="M206" s="82"/>
      <c r="N206" s="85" t="str">
        <f aca="true">IF(OR($I206="",$T206=""),"",INDEX(L_TxnSign,$T206)*N($L206)-N($M206))</f>
        <v/>
      </c>
      <c r="O206" s="79" t="str">
        <f aca="true">IF($T206="","",INDEX(L_TxnCounts,$T206)&amp;"")</f>
        <v/>
      </c>
      <c r="P206" s="78"/>
      <c r="Q206" s="79" t="str">
        <f aca="false">IF($A206&amp;$C206&amp;$D206&amp;$I206="","",IF($A206="","Missing ID",IF(COUNTIF($A$6:$A$305,$A206)&gt;1,"Duplicate ID",IF(NOT(ISNUMBER($B206)),"Missing date",IF($R206="","Unknown account",IF($D206="","Missing security",IF($S206="","Unknown security",IF($T206="","Unknown type",IF(AND($L206="",$I206&lt;&gt;"Bonus / Split"),"No amount",IF(N($L206)&lt;0,"Type a positive amount; the sign comes from the type",IF(N($M206)&lt;0,"Type charges as a positive amount",IF(N($B206)&gt;ValDate,"Date after valuation",IF(AND(N($B206)&gt;PrevDate,COUNTIFS(Holdings!$B$6:$B$205,$C206,Holdings!$C$6:$C$205,$D206)=0),"No holding row (needed for Period Change)","OK")))))))))))))</f>
        <v/>
      </c>
      <c r="R206" s="89" t="str">
        <f aca="false">IF($C206="","",IFERROR(MATCH($C206,Accounts!$A$6:$A$55,0),""))</f>
        <v/>
      </c>
      <c r="S206" s="89" t="str">
        <f aca="false">IF($D206="","",IFERROR(MATCH($D206,Securities!$A$6:$A$105,0),""))</f>
        <v/>
      </c>
      <c r="T206" s="89" t="str">
        <f aca="true">IF($I206="","",IFERROR(MATCH($I206,L_TxnType,0),""))</f>
        <v/>
      </c>
    </row>
    <row r="207" customFormat="false" ht="15" hidden="false" customHeight="false" outlineLevel="0" collapsed="false">
      <c r="A207" s="77"/>
      <c r="B207" s="80"/>
      <c r="C207" s="78"/>
      <c r="D207" s="78"/>
      <c r="E207" s="79" t="str">
        <f aca="false">IF($R207="","",INDEX(Accounts!$C$6:$C$55,$R207)&amp;"")</f>
        <v/>
      </c>
      <c r="F207" s="79" t="str">
        <f aca="false">IF($S207="","",INDEX(Securities!$B$6:$B$105,$S207)&amp;"")</f>
        <v/>
      </c>
      <c r="G207" s="79" t="str">
        <f aca="false">IF($S207="","",INDEX(Securities!$E$6:$E$105,$S207)&amp;"")</f>
        <v/>
      </c>
      <c r="H207" s="79" t="str">
        <f aca="false">IF($S207="","",INDEX(Securities!$F$6:$F$105,$S207)&amp;"")</f>
        <v/>
      </c>
      <c r="I207" s="78"/>
      <c r="J207" s="81"/>
      <c r="K207" s="94"/>
      <c r="L207" s="82"/>
      <c r="M207" s="82"/>
      <c r="N207" s="85" t="str">
        <f aca="true">IF(OR($I207="",$T207=""),"",INDEX(L_TxnSign,$T207)*N($L207)-N($M207))</f>
        <v/>
      </c>
      <c r="O207" s="79" t="str">
        <f aca="true">IF($T207="","",INDEX(L_TxnCounts,$T207)&amp;"")</f>
        <v/>
      </c>
      <c r="P207" s="78"/>
      <c r="Q207" s="79" t="str">
        <f aca="false">IF($A207&amp;$C207&amp;$D207&amp;$I207="","",IF($A207="","Missing ID",IF(COUNTIF($A$6:$A$305,$A207)&gt;1,"Duplicate ID",IF(NOT(ISNUMBER($B207)),"Missing date",IF($R207="","Unknown account",IF($D207="","Missing security",IF($S207="","Unknown security",IF($T207="","Unknown type",IF(AND($L207="",$I207&lt;&gt;"Bonus / Split"),"No amount",IF(N($L207)&lt;0,"Type a positive amount; the sign comes from the type",IF(N($M207)&lt;0,"Type charges as a positive amount",IF(N($B207)&gt;ValDate,"Date after valuation",IF(AND(N($B207)&gt;PrevDate,COUNTIFS(Holdings!$B$6:$B$205,$C207,Holdings!$C$6:$C$205,$D207)=0),"No holding row (needed for Period Change)","OK")))))))))))))</f>
        <v/>
      </c>
      <c r="R207" s="89" t="str">
        <f aca="false">IF($C207="","",IFERROR(MATCH($C207,Accounts!$A$6:$A$55,0),""))</f>
        <v/>
      </c>
      <c r="S207" s="89" t="str">
        <f aca="false">IF($D207="","",IFERROR(MATCH($D207,Securities!$A$6:$A$105,0),""))</f>
        <v/>
      </c>
      <c r="T207" s="89" t="str">
        <f aca="true">IF($I207="","",IFERROR(MATCH($I207,L_TxnType,0),""))</f>
        <v/>
      </c>
    </row>
    <row r="208" customFormat="false" ht="15" hidden="false" customHeight="false" outlineLevel="0" collapsed="false">
      <c r="A208" s="77"/>
      <c r="B208" s="80"/>
      <c r="C208" s="78"/>
      <c r="D208" s="78"/>
      <c r="E208" s="79" t="str">
        <f aca="false">IF($R208="","",INDEX(Accounts!$C$6:$C$55,$R208)&amp;"")</f>
        <v/>
      </c>
      <c r="F208" s="79" t="str">
        <f aca="false">IF($S208="","",INDEX(Securities!$B$6:$B$105,$S208)&amp;"")</f>
        <v/>
      </c>
      <c r="G208" s="79" t="str">
        <f aca="false">IF($S208="","",INDEX(Securities!$E$6:$E$105,$S208)&amp;"")</f>
        <v/>
      </c>
      <c r="H208" s="79" t="str">
        <f aca="false">IF($S208="","",INDEX(Securities!$F$6:$F$105,$S208)&amp;"")</f>
        <v/>
      </c>
      <c r="I208" s="78"/>
      <c r="J208" s="81"/>
      <c r="K208" s="94"/>
      <c r="L208" s="82"/>
      <c r="M208" s="82"/>
      <c r="N208" s="85" t="str">
        <f aca="true">IF(OR($I208="",$T208=""),"",INDEX(L_TxnSign,$T208)*N($L208)-N($M208))</f>
        <v/>
      </c>
      <c r="O208" s="79" t="str">
        <f aca="true">IF($T208="","",INDEX(L_TxnCounts,$T208)&amp;"")</f>
        <v/>
      </c>
      <c r="P208" s="78"/>
      <c r="Q208" s="79" t="str">
        <f aca="false">IF($A208&amp;$C208&amp;$D208&amp;$I208="","",IF($A208="","Missing ID",IF(COUNTIF($A$6:$A$305,$A208)&gt;1,"Duplicate ID",IF(NOT(ISNUMBER($B208)),"Missing date",IF($R208="","Unknown account",IF($D208="","Missing security",IF($S208="","Unknown security",IF($T208="","Unknown type",IF(AND($L208="",$I208&lt;&gt;"Bonus / Split"),"No amount",IF(N($L208)&lt;0,"Type a positive amount; the sign comes from the type",IF(N($M208)&lt;0,"Type charges as a positive amount",IF(N($B208)&gt;ValDate,"Date after valuation",IF(AND(N($B208)&gt;PrevDate,COUNTIFS(Holdings!$B$6:$B$205,$C208,Holdings!$C$6:$C$205,$D208)=0),"No holding row (needed for Period Change)","OK")))))))))))))</f>
        <v/>
      </c>
      <c r="R208" s="89" t="str">
        <f aca="false">IF($C208="","",IFERROR(MATCH($C208,Accounts!$A$6:$A$55,0),""))</f>
        <v/>
      </c>
      <c r="S208" s="89" t="str">
        <f aca="false">IF($D208="","",IFERROR(MATCH($D208,Securities!$A$6:$A$105,0),""))</f>
        <v/>
      </c>
      <c r="T208" s="89" t="str">
        <f aca="true">IF($I208="","",IFERROR(MATCH($I208,L_TxnType,0),""))</f>
        <v/>
      </c>
    </row>
    <row r="209" customFormat="false" ht="15" hidden="false" customHeight="false" outlineLevel="0" collapsed="false">
      <c r="A209" s="77"/>
      <c r="B209" s="80"/>
      <c r="C209" s="78"/>
      <c r="D209" s="78"/>
      <c r="E209" s="79" t="str">
        <f aca="false">IF($R209="","",INDEX(Accounts!$C$6:$C$55,$R209)&amp;"")</f>
        <v/>
      </c>
      <c r="F209" s="79" t="str">
        <f aca="false">IF($S209="","",INDEX(Securities!$B$6:$B$105,$S209)&amp;"")</f>
        <v/>
      </c>
      <c r="G209" s="79" t="str">
        <f aca="false">IF($S209="","",INDEX(Securities!$E$6:$E$105,$S209)&amp;"")</f>
        <v/>
      </c>
      <c r="H209" s="79" t="str">
        <f aca="false">IF($S209="","",INDEX(Securities!$F$6:$F$105,$S209)&amp;"")</f>
        <v/>
      </c>
      <c r="I209" s="78"/>
      <c r="J209" s="81"/>
      <c r="K209" s="94"/>
      <c r="L209" s="82"/>
      <c r="M209" s="82"/>
      <c r="N209" s="85" t="str">
        <f aca="true">IF(OR($I209="",$T209=""),"",INDEX(L_TxnSign,$T209)*N($L209)-N($M209))</f>
        <v/>
      </c>
      <c r="O209" s="79" t="str">
        <f aca="true">IF($T209="","",INDEX(L_TxnCounts,$T209)&amp;"")</f>
        <v/>
      </c>
      <c r="P209" s="78"/>
      <c r="Q209" s="79" t="str">
        <f aca="false">IF($A209&amp;$C209&amp;$D209&amp;$I209="","",IF($A209="","Missing ID",IF(COUNTIF($A$6:$A$305,$A209)&gt;1,"Duplicate ID",IF(NOT(ISNUMBER($B209)),"Missing date",IF($R209="","Unknown account",IF($D209="","Missing security",IF($S209="","Unknown security",IF($T209="","Unknown type",IF(AND($L209="",$I209&lt;&gt;"Bonus / Split"),"No amount",IF(N($L209)&lt;0,"Type a positive amount; the sign comes from the type",IF(N($M209)&lt;0,"Type charges as a positive amount",IF(N($B209)&gt;ValDate,"Date after valuation",IF(AND(N($B209)&gt;PrevDate,COUNTIFS(Holdings!$B$6:$B$205,$C209,Holdings!$C$6:$C$205,$D209)=0),"No holding row (needed for Period Change)","OK")))))))))))))</f>
        <v/>
      </c>
      <c r="R209" s="89" t="str">
        <f aca="false">IF($C209="","",IFERROR(MATCH($C209,Accounts!$A$6:$A$55,0),""))</f>
        <v/>
      </c>
      <c r="S209" s="89" t="str">
        <f aca="false">IF($D209="","",IFERROR(MATCH($D209,Securities!$A$6:$A$105,0),""))</f>
        <v/>
      </c>
      <c r="T209" s="89" t="str">
        <f aca="true">IF($I209="","",IFERROR(MATCH($I209,L_TxnType,0),""))</f>
        <v/>
      </c>
    </row>
    <row r="210" customFormat="false" ht="15" hidden="false" customHeight="false" outlineLevel="0" collapsed="false">
      <c r="A210" s="77"/>
      <c r="B210" s="80"/>
      <c r="C210" s="78"/>
      <c r="D210" s="78"/>
      <c r="E210" s="79" t="str">
        <f aca="false">IF($R210="","",INDEX(Accounts!$C$6:$C$55,$R210)&amp;"")</f>
        <v/>
      </c>
      <c r="F210" s="79" t="str">
        <f aca="false">IF($S210="","",INDEX(Securities!$B$6:$B$105,$S210)&amp;"")</f>
        <v/>
      </c>
      <c r="G210" s="79" t="str">
        <f aca="false">IF($S210="","",INDEX(Securities!$E$6:$E$105,$S210)&amp;"")</f>
        <v/>
      </c>
      <c r="H210" s="79" t="str">
        <f aca="false">IF($S210="","",INDEX(Securities!$F$6:$F$105,$S210)&amp;"")</f>
        <v/>
      </c>
      <c r="I210" s="78"/>
      <c r="J210" s="81"/>
      <c r="K210" s="94"/>
      <c r="L210" s="82"/>
      <c r="M210" s="82"/>
      <c r="N210" s="85" t="str">
        <f aca="true">IF(OR($I210="",$T210=""),"",INDEX(L_TxnSign,$T210)*N($L210)-N($M210))</f>
        <v/>
      </c>
      <c r="O210" s="79" t="str">
        <f aca="true">IF($T210="","",INDEX(L_TxnCounts,$T210)&amp;"")</f>
        <v/>
      </c>
      <c r="P210" s="78"/>
      <c r="Q210" s="79" t="str">
        <f aca="false">IF($A210&amp;$C210&amp;$D210&amp;$I210="","",IF($A210="","Missing ID",IF(COUNTIF($A$6:$A$305,$A210)&gt;1,"Duplicate ID",IF(NOT(ISNUMBER($B210)),"Missing date",IF($R210="","Unknown account",IF($D210="","Missing security",IF($S210="","Unknown security",IF($T210="","Unknown type",IF(AND($L210="",$I210&lt;&gt;"Bonus / Split"),"No amount",IF(N($L210)&lt;0,"Type a positive amount; the sign comes from the type",IF(N($M210)&lt;0,"Type charges as a positive amount",IF(N($B210)&gt;ValDate,"Date after valuation",IF(AND(N($B210)&gt;PrevDate,COUNTIFS(Holdings!$B$6:$B$205,$C210,Holdings!$C$6:$C$205,$D210)=0),"No holding row (needed for Period Change)","OK")))))))))))))</f>
        <v/>
      </c>
      <c r="R210" s="89" t="str">
        <f aca="false">IF($C210="","",IFERROR(MATCH($C210,Accounts!$A$6:$A$55,0),""))</f>
        <v/>
      </c>
      <c r="S210" s="89" t="str">
        <f aca="false">IF($D210="","",IFERROR(MATCH($D210,Securities!$A$6:$A$105,0),""))</f>
        <v/>
      </c>
      <c r="T210" s="89" t="str">
        <f aca="true">IF($I210="","",IFERROR(MATCH($I210,L_TxnType,0),""))</f>
        <v/>
      </c>
    </row>
    <row r="211" customFormat="false" ht="15" hidden="false" customHeight="false" outlineLevel="0" collapsed="false">
      <c r="A211" s="77"/>
      <c r="B211" s="80"/>
      <c r="C211" s="78"/>
      <c r="D211" s="78"/>
      <c r="E211" s="79" t="str">
        <f aca="false">IF($R211="","",INDEX(Accounts!$C$6:$C$55,$R211)&amp;"")</f>
        <v/>
      </c>
      <c r="F211" s="79" t="str">
        <f aca="false">IF($S211="","",INDEX(Securities!$B$6:$B$105,$S211)&amp;"")</f>
        <v/>
      </c>
      <c r="G211" s="79" t="str">
        <f aca="false">IF($S211="","",INDEX(Securities!$E$6:$E$105,$S211)&amp;"")</f>
        <v/>
      </c>
      <c r="H211" s="79" t="str">
        <f aca="false">IF($S211="","",INDEX(Securities!$F$6:$F$105,$S211)&amp;"")</f>
        <v/>
      </c>
      <c r="I211" s="78"/>
      <c r="J211" s="81"/>
      <c r="K211" s="94"/>
      <c r="L211" s="82"/>
      <c r="M211" s="82"/>
      <c r="N211" s="85" t="str">
        <f aca="true">IF(OR($I211="",$T211=""),"",INDEX(L_TxnSign,$T211)*N($L211)-N($M211))</f>
        <v/>
      </c>
      <c r="O211" s="79" t="str">
        <f aca="true">IF($T211="","",INDEX(L_TxnCounts,$T211)&amp;"")</f>
        <v/>
      </c>
      <c r="P211" s="78"/>
      <c r="Q211" s="79" t="str">
        <f aca="false">IF($A211&amp;$C211&amp;$D211&amp;$I211="","",IF($A211="","Missing ID",IF(COUNTIF($A$6:$A$305,$A211)&gt;1,"Duplicate ID",IF(NOT(ISNUMBER($B211)),"Missing date",IF($R211="","Unknown account",IF($D211="","Missing security",IF($S211="","Unknown security",IF($T211="","Unknown type",IF(AND($L211="",$I211&lt;&gt;"Bonus / Split"),"No amount",IF(N($L211)&lt;0,"Type a positive amount; the sign comes from the type",IF(N($M211)&lt;0,"Type charges as a positive amount",IF(N($B211)&gt;ValDate,"Date after valuation",IF(AND(N($B211)&gt;PrevDate,COUNTIFS(Holdings!$B$6:$B$205,$C211,Holdings!$C$6:$C$205,$D211)=0),"No holding row (needed for Period Change)","OK")))))))))))))</f>
        <v/>
      </c>
      <c r="R211" s="89" t="str">
        <f aca="false">IF($C211="","",IFERROR(MATCH($C211,Accounts!$A$6:$A$55,0),""))</f>
        <v/>
      </c>
      <c r="S211" s="89" t="str">
        <f aca="false">IF($D211="","",IFERROR(MATCH($D211,Securities!$A$6:$A$105,0),""))</f>
        <v/>
      </c>
      <c r="T211" s="89" t="str">
        <f aca="true">IF($I211="","",IFERROR(MATCH($I211,L_TxnType,0),""))</f>
        <v/>
      </c>
    </row>
    <row r="212" customFormat="false" ht="15" hidden="false" customHeight="false" outlineLevel="0" collapsed="false">
      <c r="A212" s="77"/>
      <c r="B212" s="80"/>
      <c r="C212" s="78"/>
      <c r="D212" s="78"/>
      <c r="E212" s="79" t="str">
        <f aca="false">IF($R212="","",INDEX(Accounts!$C$6:$C$55,$R212)&amp;"")</f>
        <v/>
      </c>
      <c r="F212" s="79" t="str">
        <f aca="false">IF($S212="","",INDEX(Securities!$B$6:$B$105,$S212)&amp;"")</f>
        <v/>
      </c>
      <c r="G212" s="79" t="str">
        <f aca="false">IF($S212="","",INDEX(Securities!$E$6:$E$105,$S212)&amp;"")</f>
        <v/>
      </c>
      <c r="H212" s="79" t="str">
        <f aca="false">IF($S212="","",INDEX(Securities!$F$6:$F$105,$S212)&amp;"")</f>
        <v/>
      </c>
      <c r="I212" s="78"/>
      <c r="J212" s="81"/>
      <c r="K212" s="94"/>
      <c r="L212" s="82"/>
      <c r="M212" s="82"/>
      <c r="N212" s="85" t="str">
        <f aca="true">IF(OR($I212="",$T212=""),"",INDEX(L_TxnSign,$T212)*N($L212)-N($M212))</f>
        <v/>
      </c>
      <c r="O212" s="79" t="str">
        <f aca="true">IF($T212="","",INDEX(L_TxnCounts,$T212)&amp;"")</f>
        <v/>
      </c>
      <c r="P212" s="78"/>
      <c r="Q212" s="79" t="str">
        <f aca="false">IF($A212&amp;$C212&amp;$D212&amp;$I212="","",IF($A212="","Missing ID",IF(COUNTIF($A$6:$A$305,$A212)&gt;1,"Duplicate ID",IF(NOT(ISNUMBER($B212)),"Missing date",IF($R212="","Unknown account",IF($D212="","Missing security",IF($S212="","Unknown security",IF($T212="","Unknown type",IF(AND($L212="",$I212&lt;&gt;"Bonus / Split"),"No amount",IF(N($L212)&lt;0,"Type a positive amount; the sign comes from the type",IF(N($M212)&lt;0,"Type charges as a positive amount",IF(N($B212)&gt;ValDate,"Date after valuation",IF(AND(N($B212)&gt;PrevDate,COUNTIFS(Holdings!$B$6:$B$205,$C212,Holdings!$C$6:$C$205,$D212)=0),"No holding row (needed for Period Change)","OK")))))))))))))</f>
        <v/>
      </c>
      <c r="R212" s="89" t="str">
        <f aca="false">IF($C212="","",IFERROR(MATCH($C212,Accounts!$A$6:$A$55,0),""))</f>
        <v/>
      </c>
      <c r="S212" s="89" t="str">
        <f aca="false">IF($D212="","",IFERROR(MATCH($D212,Securities!$A$6:$A$105,0),""))</f>
        <v/>
      </c>
      <c r="T212" s="89" t="str">
        <f aca="true">IF($I212="","",IFERROR(MATCH($I212,L_TxnType,0),""))</f>
        <v/>
      </c>
    </row>
    <row r="213" customFormat="false" ht="15" hidden="false" customHeight="false" outlineLevel="0" collapsed="false">
      <c r="A213" s="77"/>
      <c r="B213" s="80"/>
      <c r="C213" s="78"/>
      <c r="D213" s="78"/>
      <c r="E213" s="79" t="str">
        <f aca="false">IF($R213="","",INDEX(Accounts!$C$6:$C$55,$R213)&amp;"")</f>
        <v/>
      </c>
      <c r="F213" s="79" t="str">
        <f aca="false">IF($S213="","",INDEX(Securities!$B$6:$B$105,$S213)&amp;"")</f>
        <v/>
      </c>
      <c r="G213" s="79" t="str">
        <f aca="false">IF($S213="","",INDEX(Securities!$E$6:$E$105,$S213)&amp;"")</f>
        <v/>
      </c>
      <c r="H213" s="79" t="str">
        <f aca="false">IF($S213="","",INDEX(Securities!$F$6:$F$105,$S213)&amp;"")</f>
        <v/>
      </c>
      <c r="I213" s="78"/>
      <c r="J213" s="81"/>
      <c r="K213" s="94"/>
      <c r="L213" s="82"/>
      <c r="M213" s="82"/>
      <c r="N213" s="85" t="str">
        <f aca="true">IF(OR($I213="",$T213=""),"",INDEX(L_TxnSign,$T213)*N($L213)-N($M213))</f>
        <v/>
      </c>
      <c r="O213" s="79" t="str">
        <f aca="true">IF($T213="","",INDEX(L_TxnCounts,$T213)&amp;"")</f>
        <v/>
      </c>
      <c r="P213" s="78"/>
      <c r="Q213" s="79" t="str">
        <f aca="false">IF($A213&amp;$C213&amp;$D213&amp;$I213="","",IF($A213="","Missing ID",IF(COUNTIF($A$6:$A$305,$A213)&gt;1,"Duplicate ID",IF(NOT(ISNUMBER($B213)),"Missing date",IF($R213="","Unknown account",IF($D213="","Missing security",IF($S213="","Unknown security",IF($T213="","Unknown type",IF(AND($L213="",$I213&lt;&gt;"Bonus / Split"),"No amount",IF(N($L213)&lt;0,"Type a positive amount; the sign comes from the type",IF(N($M213)&lt;0,"Type charges as a positive amount",IF(N($B213)&gt;ValDate,"Date after valuation",IF(AND(N($B213)&gt;PrevDate,COUNTIFS(Holdings!$B$6:$B$205,$C213,Holdings!$C$6:$C$205,$D213)=0),"No holding row (needed for Period Change)","OK")))))))))))))</f>
        <v/>
      </c>
      <c r="R213" s="89" t="str">
        <f aca="false">IF($C213="","",IFERROR(MATCH($C213,Accounts!$A$6:$A$55,0),""))</f>
        <v/>
      </c>
      <c r="S213" s="89" t="str">
        <f aca="false">IF($D213="","",IFERROR(MATCH($D213,Securities!$A$6:$A$105,0),""))</f>
        <v/>
      </c>
      <c r="T213" s="89" t="str">
        <f aca="true">IF($I213="","",IFERROR(MATCH($I213,L_TxnType,0),""))</f>
        <v/>
      </c>
    </row>
    <row r="214" customFormat="false" ht="15" hidden="false" customHeight="false" outlineLevel="0" collapsed="false">
      <c r="A214" s="77"/>
      <c r="B214" s="80"/>
      <c r="C214" s="78"/>
      <c r="D214" s="78"/>
      <c r="E214" s="79" t="str">
        <f aca="false">IF($R214="","",INDEX(Accounts!$C$6:$C$55,$R214)&amp;"")</f>
        <v/>
      </c>
      <c r="F214" s="79" t="str">
        <f aca="false">IF($S214="","",INDEX(Securities!$B$6:$B$105,$S214)&amp;"")</f>
        <v/>
      </c>
      <c r="G214" s="79" t="str">
        <f aca="false">IF($S214="","",INDEX(Securities!$E$6:$E$105,$S214)&amp;"")</f>
        <v/>
      </c>
      <c r="H214" s="79" t="str">
        <f aca="false">IF($S214="","",INDEX(Securities!$F$6:$F$105,$S214)&amp;"")</f>
        <v/>
      </c>
      <c r="I214" s="78"/>
      <c r="J214" s="81"/>
      <c r="K214" s="94"/>
      <c r="L214" s="82"/>
      <c r="M214" s="82"/>
      <c r="N214" s="85" t="str">
        <f aca="true">IF(OR($I214="",$T214=""),"",INDEX(L_TxnSign,$T214)*N($L214)-N($M214))</f>
        <v/>
      </c>
      <c r="O214" s="79" t="str">
        <f aca="true">IF($T214="","",INDEX(L_TxnCounts,$T214)&amp;"")</f>
        <v/>
      </c>
      <c r="P214" s="78"/>
      <c r="Q214" s="79" t="str">
        <f aca="false">IF($A214&amp;$C214&amp;$D214&amp;$I214="","",IF($A214="","Missing ID",IF(COUNTIF($A$6:$A$305,$A214)&gt;1,"Duplicate ID",IF(NOT(ISNUMBER($B214)),"Missing date",IF($R214="","Unknown account",IF($D214="","Missing security",IF($S214="","Unknown security",IF($T214="","Unknown type",IF(AND($L214="",$I214&lt;&gt;"Bonus / Split"),"No amount",IF(N($L214)&lt;0,"Type a positive amount; the sign comes from the type",IF(N($M214)&lt;0,"Type charges as a positive amount",IF(N($B214)&gt;ValDate,"Date after valuation",IF(AND(N($B214)&gt;PrevDate,COUNTIFS(Holdings!$B$6:$B$205,$C214,Holdings!$C$6:$C$205,$D214)=0),"No holding row (needed for Period Change)","OK")))))))))))))</f>
        <v/>
      </c>
      <c r="R214" s="89" t="str">
        <f aca="false">IF($C214="","",IFERROR(MATCH($C214,Accounts!$A$6:$A$55,0),""))</f>
        <v/>
      </c>
      <c r="S214" s="89" t="str">
        <f aca="false">IF($D214="","",IFERROR(MATCH($D214,Securities!$A$6:$A$105,0),""))</f>
        <v/>
      </c>
      <c r="T214" s="89" t="str">
        <f aca="true">IF($I214="","",IFERROR(MATCH($I214,L_TxnType,0),""))</f>
        <v/>
      </c>
    </row>
    <row r="215" customFormat="false" ht="15" hidden="false" customHeight="false" outlineLevel="0" collapsed="false">
      <c r="A215" s="77"/>
      <c r="B215" s="80"/>
      <c r="C215" s="78"/>
      <c r="D215" s="78"/>
      <c r="E215" s="79" t="str">
        <f aca="false">IF($R215="","",INDEX(Accounts!$C$6:$C$55,$R215)&amp;"")</f>
        <v/>
      </c>
      <c r="F215" s="79" t="str">
        <f aca="false">IF($S215="","",INDEX(Securities!$B$6:$B$105,$S215)&amp;"")</f>
        <v/>
      </c>
      <c r="G215" s="79" t="str">
        <f aca="false">IF($S215="","",INDEX(Securities!$E$6:$E$105,$S215)&amp;"")</f>
        <v/>
      </c>
      <c r="H215" s="79" t="str">
        <f aca="false">IF($S215="","",INDEX(Securities!$F$6:$F$105,$S215)&amp;"")</f>
        <v/>
      </c>
      <c r="I215" s="78"/>
      <c r="J215" s="81"/>
      <c r="K215" s="94"/>
      <c r="L215" s="82"/>
      <c r="M215" s="82"/>
      <c r="N215" s="85" t="str">
        <f aca="true">IF(OR($I215="",$T215=""),"",INDEX(L_TxnSign,$T215)*N($L215)-N($M215))</f>
        <v/>
      </c>
      <c r="O215" s="79" t="str">
        <f aca="true">IF($T215="","",INDEX(L_TxnCounts,$T215)&amp;"")</f>
        <v/>
      </c>
      <c r="P215" s="78"/>
      <c r="Q215" s="79" t="str">
        <f aca="false">IF($A215&amp;$C215&amp;$D215&amp;$I215="","",IF($A215="","Missing ID",IF(COUNTIF($A$6:$A$305,$A215)&gt;1,"Duplicate ID",IF(NOT(ISNUMBER($B215)),"Missing date",IF($R215="","Unknown account",IF($D215="","Missing security",IF($S215="","Unknown security",IF($T215="","Unknown type",IF(AND($L215="",$I215&lt;&gt;"Bonus / Split"),"No amount",IF(N($L215)&lt;0,"Type a positive amount; the sign comes from the type",IF(N($M215)&lt;0,"Type charges as a positive amount",IF(N($B215)&gt;ValDate,"Date after valuation",IF(AND(N($B215)&gt;PrevDate,COUNTIFS(Holdings!$B$6:$B$205,$C215,Holdings!$C$6:$C$205,$D215)=0),"No holding row (needed for Period Change)","OK")))))))))))))</f>
        <v/>
      </c>
      <c r="R215" s="89" t="str">
        <f aca="false">IF($C215="","",IFERROR(MATCH($C215,Accounts!$A$6:$A$55,0),""))</f>
        <v/>
      </c>
      <c r="S215" s="89" t="str">
        <f aca="false">IF($D215="","",IFERROR(MATCH($D215,Securities!$A$6:$A$105,0),""))</f>
        <v/>
      </c>
      <c r="T215" s="89" t="str">
        <f aca="true">IF($I215="","",IFERROR(MATCH($I215,L_TxnType,0),""))</f>
        <v/>
      </c>
    </row>
    <row r="216" customFormat="false" ht="15" hidden="false" customHeight="false" outlineLevel="0" collapsed="false">
      <c r="A216" s="77"/>
      <c r="B216" s="80"/>
      <c r="C216" s="78"/>
      <c r="D216" s="78"/>
      <c r="E216" s="79" t="str">
        <f aca="false">IF($R216="","",INDEX(Accounts!$C$6:$C$55,$R216)&amp;"")</f>
        <v/>
      </c>
      <c r="F216" s="79" t="str">
        <f aca="false">IF($S216="","",INDEX(Securities!$B$6:$B$105,$S216)&amp;"")</f>
        <v/>
      </c>
      <c r="G216" s="79" t="str">
        <f aca="false">IF($S216="","",INDEX(Securities!$E$6:$E$105,$S216)&amp;"")</f>
        <v/>
      </c>
      <c r="H216" s="79" t="str">
        <f aca="false">IF($S216="","",INDEX(Securities!$F$6:$F$105,$S216)&amp;"")</f>
        <v/>
      </c>
      <c r="I216" s="78"/>
      <c r="J216" s="81"/>
      <c r="K216" s="94"/>
      <c r="L216" s="82"/>
      <c r="M216" s="82"/>
      <c r="N216" s="85" t="str">
        <f aca="true">IF(OR($I216="",$T216=""),"",INDEX(L_TxnSign,$T216)*N($L216)-N($M216))</f>
        <v/>
      </c>
      <c r="O216" s="79" t="str">
        <f aca="true">IF($T216="","",INDEX(L_TxnCounts,$T216)&amp;"")</f>
        <v/>
      </c>
      <c r="P216" s="78"/>
      <c r="Q216" s="79" t="str">
        <f aca="false">IF($A216&amp;$C216&amp;$D216&amp;$I216="","",IF($A216="","Missing ID",IF(COUNTIF($A$6:$A$305,$A216)&gt;1,"Duplicate ID",IF(NOT(ISNUMBER($B216)),"Missing date",IF($R216="","Unknown account",IF($D216="","Missing security",IF($S216="","Unknown security",IF($T216="","Unknown type",IF(AND($L216="",$I216&lt;&gt;"Bonus / Split"),"No amount",IF(N($L216)&lt;0,"Type a positive amount; the sign comes from the type",IF(N($M216)&lt;0,"Type charges as a positive amount",IF(N($B216)&gt;ValDate,"Date after valuation",IF(AND(N($B216)&gt;PrevDate,COUNTIFS(Holdings!$B$6:$B$205,$C216,Holdings!$C$6:$C$205,$D216)=0),"No holding row (needed for Period Change)","OK")))))))))))))</f>
        <v/>
      </c>
      <c r="R216" s="89" t="str">
        <f aca="false">IF($C216="","",IFERROR(MATCH($C216,Accounts!$A$6:$A$55,0),""))</f>
        <v/>
      </c>
      <c r="S216" s="89" t="str">
        <f aca="false">IF($D216="","",IFERROR(MATCH($D216,Securities!$A$6:$A$105,0),""))</f>
        <v/>
      </c>
      <c r="T216" s="89" t="str">
        <f aca="true">IF($I216="","",IFERROR(MATCH($I216,L_TxnType,0),""))</f>
        <v/>
      </c>
    </row>
    <row r="217" customFormat="false" ht="15" hidden="false" customHeight="false" outlineLevel="0" collapsed="false">
      <c r="A217" s="77"/>
      <c r="B217" s="80"/>
      <c r="C217" s="78"/>
      <c r="D217" s="78"/>
      <c r="E217" s="79" t="str">
        <f aca="false">IF($R217="","",INDEX(Accounts!$C$6:$C$55,$R217)&amp;"")</f>
        <v/>
      </c>
      <c r="F217" s="79" t="str">
        <f aca="false">IF($S217="","",INDEX(Securities!$B$6:$B$105,$S217)&amp;"")</f>
        <v/>
      </c>
      <c r="G217" s="79" t="str">
        <f aca="false">IF($S217="","",INDEX(Securities!$E$6:$E$105,$S217)&amp;"")</f>
        <v/>
      </c>
      <c r="H217" s="79" t="str">
        <f aca="false">IF($S217="","",INDEX(Securities!$F$6:$F$105,$S217)&amp;"")</f>
        <v/>
      </c>
      <c r="I217" s="78"/>
      <c r="J217" s="81"/>
      <c r="K217" s="94"/>
      <c r="L217" s="82"/>
      <c r="M217" s="82"/>
      <c r="N217" s="85" t="str">
        <f aca="true">IF(OR($I217="",$T217=""),"",INDEX(L_TxnSign,$T217)*N($L217)-N($M217))</f>
        <v/>
      </c>
      <c r="O217" s="79" t="str">
        <f aca="true">IF($T217="","",INDEX(L_TxnCounts,$T217)&amp;"")</f>
        <v/>
      </c>
      <c r="P217" s="78"/>
      <c r="Q217" s="79" t="str">
        <f aca="false">IF($A217&amp;$C217&amp;$D217&amp;$I217="","",IF($A217="","Missing ID",IF(COUNTIF($A$6:$A$305,$A217)&gt;1,"Duplicate ID",IF(NOT(ISNUMBER($B217)),"Missing date",IF($R217="","Unknown account",IF($D217="","Missing security",IF($S217="","Unknown security",IF($T217="","Unknown type",IF(AND($L217="",$I217&lt;&gt;"Bonus / Split"),"No amount",IF(N($L217)&lt;0,"Type a positive amount; the sign comes from the type",IF(N($M217)&lt;0,"Type charges as a positive amount",IF(N($B217)&gt;ValDate,"Date after valuation",IF(AND(N($B217)&gt;PrevDate,COUNTIFS(Holdings!$B$6:$B$205,$C217,Holdings!$C$6:$C$205,$D217)=0),"No holding row (needed for Period Change)","OK")))))))))))))</f>
        <v/>
      </c>
      <c r="R217" s="89" t="str">
        <f aca="false">IF($C217="","",IFERROR(MATCH($C217,Accounts!$A$6:$A$55,0),""))</f>
        <v/>
      </c>
      <c r="S217" s="89" t="str">
        <f aca="false">IF($D217="","",IFERROR(MATCH($D217,Securities!$A$6:$A$105,0),""))</f>
        <v/>
      </c>
      <c r="T217" s="89" t="str">
        <f aca="true">IF($I217="","",IFERROR(MATCH($I217,L_TxnType,0),""))</f>
        <v/>
      </c>
    </row>
    <row r="218" customFormat="false" ht="15" hidden="false" customHeight="false" outlineLevel="0" collapsed="false">
      <c r="A218" s="77"/>
      <c r="B218" s="80"/>
      <c r="C218" s="78"/>
      <c r="D218" s="78"/>
      <c r="E218" s="79" t="str">
        <f aca="false">IF($R218="","",INDEX(Accounts!$C$6:$C$55,$R218)&amp;"")</f>
        <v/>
      </c>
      <c r="F218" s="79" t="str">
        <f aca="false">IF($S218="","",INDEX(Securities!$B$6:$B$105,$S218)&amp;"")</f>
        <v/>
      </c>
      <c r="G218" s="79" t="str">
        <f aca="false">IF($S218="","",INDEX(Securities!$E$6:$E$105,$S218)&amp;"")</f>
        <v/>
      </c>
      <c r="H218" s="79" t="str">
        <f aca="false">IF($S218="","",INDEX(Securities!$F$6:$F$105,$S218)&amp;"")</f>
        <v/>
      </c>
      <c r="I218" s="78"/>
      <c r="J218" s="81"/>
      <c r="K218" s="94"/>
      <c r="L218" s="82"/>
      <c r="M218" s="82"/>
      <c r="N218" s="85" t="str">
        <f aca="true">IF(OR($I218="",$T218=""),"",INDEX(L_TxnSign,$T218)*N($L218)-N($M218))</f>
        <v/>
      </c>
      <c r="O218" s="79" t="str">
        <f aca="true">IF($T218="","",INDEX(L_TxnCounts,$T218)&amp;"")</f>
        <v/>
      </c>
      <c r="P218" s="78"/>
      <c r="Q218" s="79" t="str">
        <f aca="false">IF($A218&amp;$C218&amp;$D218&amp;$I218="","",IF($A218="","Missing ID",IF(COUNTIF($A$6:$A$305,$A218)&gt;1,"Duplicate ID",IF(NOT(ISNUMBER($B218)),"Missing date",IF($R218="","Unknown account",IF($D218="","Missing security",IF($S218="","Unknown security",IF($T218="","Unknown type",IF(AND($L218="",$I218&lt;&gt;"Bonus / Split"),"No amount",IF(N($L218)&lt;0,"Type a positive amount; the sign comes from the type",IF(N($M218)&lt;0,"Type charges as a positive amount",IF(N($B218)&gt;ValDate,"Date after valuation",IF(AND(N($B218)&gt;PrevDate,COUNTIFS(Holdings!$B$6:$B$205,$C218,Holdings!$C$6:$C$205,$D218)=0),"No holding row (needed for Period Change)","OK")))))))))))))</f>
        <v/>
      </c>
      <c r="R218" s="89" t="str">
        <f aca="false">IF($C218="","",IFERROR(MATCH($C218,Accounts!$A$6:$A$55,0),""))</f>
        <v/>
      </c>
      <c r="S218" s="89" t="str">
        <f aca="false">IF($D218="","",IFERROR(MATCH($D218,Securities!$A$6:$A$105,0),""))</f>
        <v/>
      </c>
      <c r="T218" s="89" t="str">
        <f aca="true">IF($I218="","",IFERROR(MATCH($I218,L_TxnType,0),""))</f>
        <v/>
      </c>
    </row>
    <row r="219" customFormat="false" ht="15" hidden="false" customHeight="false" outlineLevel="0" collapsed="false">
      <c r="A219" s="77"/>
      <c r="B219" s="80"/>
      <c r="C219" s="78"/>
      <c r="D219" s="78"/>
      <c r="E219" s="79" t="str">
        <f aca="false">IF($R219="","",INDEX(Accounts!$C$6:$C$55,$R219)&amp;"")</f>
        <v/>
      </c>
      <c r="F219" s="79" t="str">
        <f aca="false">IF($S219="","",INDEX(Securities!$B$6:$B$105,$S219)&amp;"")</f>
        <v/>
      </c>
      <c r="G219" s="79" t="str">
        <f aca="false">IF($S219="","",INDEX(Securities!$E$6:$E$105,$S219)&amp;"")</f>
        <v/>
      </c>
      <c r="H219" s="79" t="str">
        <f aca="false">IF($S219="","",INDEX(Securities!$F$6:$F$105,$S219)&amp;"")</f>
        <v/>
      </c>
      <c r="I219" s="78"/>
      <c r="J219" s="81"/>
      <c r="K219" s="94"/>
      <c r="L219" s="82"/>
      <c r="M219" s="82"/>
      <c r="N219" s="85" t="str">
        <f aca="true">IF(OR($I219="",$T219=""),"",INDEX(L_TxnSign,$T219)*N($L219)-N($M219))</f>
        <v/>
      </c>
      <c r="O219" s="79" t="str">
        <f aca="true">IF($T219="","",INDEX(L_TxnCounts,$T219)&amp;"")</f>
        <v/>
      </c>
      <c r="P219" s="78"/>
      <c r="Q219" s="79" t="str">
        <f aca="false">IF($A219&amp;$C219&amp;$D219&amp;$I219="","",IF($A219="","Missing ID",IF(COUNTIF($A$6:$A$305,$A219)&gt;1,"Duplicate ID",IF(NOT(ISNUMBER($B219)),"Missing date",IF($R219="","Unknown account",IF($D219="","Missing security",IF($S219="","Unknown security",IF($T219="","Unknown type",IF(AND($L219="",$I219&lt;&gt;"Bonus / Split"),"No amount",IF(N($L219)&lt;0,"Type a positive amount; the sign comes from the type",IF(N($M219)&lt;0,"Type charges as a positive amount",IF(N($B219)&gt;ValDate,"Date after valuation",IF(AND(N($B219)&gt;PrevDate,COUNTIFS(Holdings!$B$6:$B$205,$C219,Holdings!$C$6:$C$205,$D219)=0),"No holding row (needed for Period Change)","OK")))))))))))))</f>
        <v/>
      </c>
      <c r="R219" s="89" t="str">
        <f aca="false">IF($C219="","",IFERROR(MATCH($C219,Accounts!$A$6:$A$55,0),""))</f>
        <v/>
      </c>
      <c r="S219" s="89" t="str">
        <f aca="false">IF($D219="","",IFERROR(MATCH($D219,Securities!$A$6:$A$105,0),""))</f>
        <v/>
      </c>
      <c r="T219" s="89" t="str">
        <f aca="true">IF($I219="","",IFERROR(MATCH($I219,L_TxnType,0),""))</f>
        <v/>
      </c>
    </row>
    <row r="220" customFormat="false" ht="15" hidden="false" customHeight="false" outlineLevel="0" collapsed="false">
      <c r="A220" s="77"/>
      <c r="B220" s="80"/>
      <c r="C220" s="78"/>
      <c r="D220" s="78"/>
      <c r="E220" s="79" t="str">
        <f aca="false">IF($R220="","",INDEX(Accounts!$C$6:$C$55,$R220)&amp;"")</f>
        <v/>
      </c>
      <c r="F220" s="79" t="str">
        <f aca="false">IF($S220="","",INDEX(Securities!$B$6:$B$105,$S220)&amp;"")</f>
        <v/>
      </c>
      <c r="G220" s="79" t="str">
        <f aca="false">IF($S220="","",INDEX(Securities!$E$6:$E$105,$S220)&amp;"")</f>
        <v/>
      </c>
      <c r="H220" s="79" t="str">
        <f aca="false">IF($S220="","",INDEX(Securities!$F$6:$F$105,$S220)&amp;"")</f>
        <v/>
      </c>
      <c r="I220" s="78"/>
      <c r="J220" s="81"/>
      <c r="K220" s="94"/>
      <c r="L220" s="82"/>
      <c r="M220" s="82"/>
      <c r="N220" s="85" t="str">
        <f aca="true">IF(OR($I220="",$T220=""),"",INDEX(L_TxnSign,$T220)*N($L220)-N($M220))</f>
        <v/>
      </c>
      <c r="O220" s="79" t="str">
        <f aca="true">IF($T220="","",INDEX(L_TxnCounts,$T220)&amp;"")</f>
        <v/>
      </c>
      <c r="P220" s="78"/>
      <c r="Q220" s="79" t="str">
        <f aca="false">IF($A220&amp;$C220&amp;$D220&amp;$I220="","",IF($A220="","Missing ID",IF(COUNTIF($A$6:$A$305,$A220)&gt;1,"Duplicate ID",IF(NOT(ISNUMBER($B220)),"Missing date",IF($R220="","Unknown account",IF($D220="","Missing security",IF($S220="","Unknown security",IF($T220="","Unknown type",IF(AND($L220="",$I220&lt;&gt;"Bonus / Split"),"No amount",IF(N($L220)&lt;0,"Type a positive amount; the sign comes from the type",IF(N($M220)&lt;0,"Type charges as a positive amount",IF(N($B220)&gt;ValDate,"Date after valuation",IF(AND(N($B220)&gt;PrevDate,COUNTIFS(Holdings!$B$6:$B$205,$C220,Holdings!$C$6:$C$205,$D220)=0),"No holding row (needed for Period Change)","OK")))))))))))))</f>
        <v/>
      </c>
      <c r="R220" s="89" t="str">
        <f aca="false">IF($C220="","",IFERROR(MATCH($C220,Accounts!$A$6:$A$55,0),""))</f>
        <v/>
      </c>
      <c r="S220" s="89" t="str">
        <f aca="false">IF($D220="","",IFERROR(MATCH($D220,Securities!$A$6:$A$105,0),""))</f>
        <v/>
      </c>
      <c r="T220" s="89" t="str">
        <f aca="true">IF($I220="","",IFERROR(MATCH($I220,L_TxnType,0),""))</f>
        <v/>
      </c>
    </row>
    <row r="221" customFormat="false" ht="15" hidden="false" customHeight="false" outlineLevel="0" collapsed="false">
      <c r="A221" s="77"/>
      <c r="B221" s="80"/>
      <c r="C221" s="78"/>
      <c r="D221" s="78"/>
      <c r="E221" s="79" t="str">
        <f aca="false">IF($R221="","",INDEX(Accounts!$C$6:$C$55,$R221)&amp;"")</f>
        <v/>
      </c>
      <c r="F221" s="79" t="str">
        <f aca="false">IF($S221="","",INDEX(Securities!$B$6:$B$105,$S221)&amp;"")</f>
        <v/>
      </c>
      <c r="G221" s="79" t="str">
        <f aca="false">IF($S221="","",INDEX(Securities!$E$6:$E$105,$S221)&amp;"")</f>
        <v/>
      </c>
      <c r="H221" s="79" t="str">
        <f aca="false">IF($S221="","",INDEX(Securities!$F$6:$F$105,$S221)&amp;"")</f>
        <v/>
      </c>
      <c r="I221" s="78"/>
      <c r="J221" s="81"/>
      <c r="K221" s="94"/>
      <c r="L221" s="82"/>
      <c r="M221" s="82"/>
      <c r="N221" s="85" t="str">
        <f aca="true">IF(OR($I221="",$T221=""),"",INDEX(L_TxnSign,$T221)*N($L221)-N($M221))</f>
        <v/>
      </c>
      <c r="O221" s="79" t="str">
        <f aca="true">IF($T221="","",INDEX(L_TxnCounts,$T221)&amp;"")</f>
        <v/>
      </c>
      <c r="P221" s="78"/>
      <c r="Q221" s="79" t="str">
        <f aca="false">IF($A221&amp;$C221&amp;$D221&amp;$I221="","",IF($A221="","Missing ID",IF(COUNTIF($A$6:$A$305,$A221)&gt;1,"Duplicate ID",IF(NOT(ISNUMBER($B221)),"Missing date",IF($R221="","Unknown account",IF($D221="","Missing security",IF($S221="","Unknown security",IF($T221="","Unknown type",IF(AND($L221="",$I221&lt;&gt;"Bonus / Split"),"No amount",IF(N($L221)&lt;0,"Type a positive amount; the sign comes from the type",IF(N($M221)&lt;0,"Type charges as a positive amount",IF(N($B221)&gt;ValDate,"Date after valuation",IF(AND(N($B221)&gt;PrevDate,COUNTIFS(Holdings!$B$6:$B$205,$C221,Holdings!$C$6:$C$205,$D221)=0),"No holding row (needed for Period Change)","OK")))))))))))))</f>
        <v/>
      </c>
      <c r="R221" s="89" t="str">
        <f aca="false">IF($C221="","",IFERROR(MATCH($C221,Accounts!$A$6:$A$55,0),""))</f>
        <v/>
      </c>
      <c r="S221" s="89" t="str">
        <f aca="false">IF($D221="","",IFERROR(MATCH($D221,Securities!$A$6:$A$105,0),""))</f>
        <v/>
      </c>
      <c r="T221" s="89" t="str">
        <f aca="true">IF($I221="","",IFERROR(MATCH($I221,L_TxnType,0),""))</f>
        <v/>
      </c>
    </row>
    <row r="222" customFormat="false" ht="15" hidden="false" customHeight="false" outlineLevel="0" collapsed="false">
      <c r="A222" s="77"/>
      <c r="B222" s="80"/>
      <c r="C222" s="78"/>
      <c r="D222" s="78"/>
      <c r="E222" s="79" t="str">
        <f aca="false">IF($R222="","",INDEX(Accounts!$C$6:$C$55,$R222)&amp;"")</f>
        <v/>
      </c>
      <c r="F222" s="79" t="str">
        <f aca="false">IF($S222="","",INDEX(Securities!$B$6:$B$105,$S222)&amp;"")</f>
        <v/>
      </c>
      <c r="G222" s="79" t="str">
        <f aca="false">IF($S222="","",INDEX(Securities!$E$6:$E$105,$S222)&amp;"")</f>
        <v/>
      </c>
      <c r="H222" s="79" t="str">
        <f aca="false">IF($S222="","",INDEX(Securities!$F$6:$F$105,$S222)&amp;"")</f>
        <v/>
      </c>
      <c r="I222" s="78"/>
      <c r="J222" s="81"/>
      <c r="K222" s="94"/>
      <c r="L222" s="82"/>
      <c r="M222" s="82"/>
      <c r="N222" s="85" t="str">
        <f aca="true">IF(OR($I222="",$T222=""),"",INDEX(L_TxnSign,$T222)*N($L222)-N($M222))</f>
        <v/>
      </c>
      <c r="O222" s="79" t="str">
        <f aca="true">IF($T222="","",INDEX(L_TxnCounts,$T222)&amp;"")</f>
        <v/>
      </c>
      <c r="P222" s="78"/>
      <c r="Q222" s="79" t="str">
        <f aca="false">IF($A222&amp;$C222&amp;$D222&amp;$I222="","",IF($A222="","Missing ID",IF(COUNTIF($A$6:$A$305,$A222)&gt;1,"Duplicate ID",IF(NOT(ISNUMBER($B222)),"Missing date",IF($R222="","Unknown account",IF($D222="","Missing security",IF($S222="","Unknown security",IF($T222="","Unknown type",IF(AND($L222="",$I222&lt;&gt;"Bonus / Split"),"No amount",IF(N($L222)&lt;0,"Type a positive amount; the sign comes from the type",IF(N($M222)&lt;0,"Type charges as a positive amount",IF(N($B222)&gt;ValDate,"Date after valuation",IF(AND(N($B222)&gt;PrevDate,COUNTIFS(Holdings!$B$6:$B$205,$C222,Holdings!$C$6:$C$205,$D222)=0),"No holding row (needed for Period Change)","OK")))))))))))))</f>
        <v/>
      </c>
      <c r="R222" s="89" t="str">
        <f aca="false">IF($C222="","",IFERROR(MATCH($C222,Accounts!$A$6:$A$55,0),""))</f>
        <v/>
      </c>
      <c r="S222" s="89" t="str">
        <f aca="false">IF($D222="","",IFERROR(MATCH($D222,Securities!$A$6:$A$105,0),""))</f>
        <v/>
      </c>
      <c r="T222" s="89" t="str">
        <f aca="true">IF($I222="","",IFERROR(MATCH($I222,L_TxnType,0),""))</f>
        <v/>
      </c>
    </row>
    <row r="223" customFormat="false" ht="15" hidden="false" customHeight="false" outlineLevel="0" collapsed="false">
      <c r="A223" s="77"/>
      <c r="B223" s="80"/>
      <c r="C223" s="78"/>
      <c r="D223" s="78"/>
      <c r="E223" s="79" t="str">
        <f aca="false">IF($R223="","",INDEX(Accounts!$C$6:$C$55,$R223)&amp;"")</f>
        <v/>
      </c>
      <c r="F223" s="79" t="str">
        <f aca="false">IF($S223="","",INDEX(Securities!$B$6:$B$105,$S223)&amp;"")</f>
        <v/>
      </c>
      <c r="G223" s="79" t="str">
        <f aca="false">IF($S223="","",INDEX(Securities!$E$6:$E$105,$S223)&amp;"")</f>
        <v/>
      </c>
      <c r="H223" s="79" t="str">
        <f aca="false">IF($S223="","",INDEX(Securities!$F$6:$F$105,$S223)&amp;"")</f>
        <v/>
      </c>
      <c r="I223" s="78"/>
      <c r="J223" s="81"/>
      <c r="K223" s="94"/>
      <c r="L223" s="82"/>
      <c r="M223" s="82"/>
      <c r="N223" s="85" t="str">
        <f aca="true">IF(OR($I223="",$T223=""),"",INDEX(L_TxnSign,$T223)*N($L223)-N($M223))</f>
        <v/>
      </c>
      <c r="O223" s="79" t="str">
        <f aca="true">IF($T223="","",INDEX(L_TxnCounts,$T223)&amp;"")</f>
        <v/>
      </c>
      <c r="P223" s="78"/>
      <c r="Q223" s="79" t="str">
        <f aca="false">IF($A223&amp;$C223&amp;$D223&amp;$I223="","",IF($A223="","Missing ID",IF(COUNTIF($A$6:$A$305,$A223)&gt;1,"Duplicate ID",IF(NOT(ISNUMBER($B223)),"Missing date",IF($R223="","Unknown account",IF($D223="","Missing security",IF($S223="","Unknown security",IF($T223="","Unknown type",IF(AND($L223="",$I223&lt;&gt;"Bonus / Split"),"No amount",IF(N($L223)&lt;0,"Type a positive amount; the sign comes from the type",IF(N($M223)&lt;0,"Type charges as a positive amount",IF(N($B223)&gt;ValDate,"Date after valuation",IF(AND(N($B223)&gt;PrevDate,COUNTIFS(Holdings!$B$6:$B$205,$C223,Holdings!$C$6:$C$205,$D223)=0),"No holding row (needed for Period Change)","OK")))))))))))))</f>
        <v/>
      </c>
      <c r="R223" s="89" t="str">
        <f aca="false">IF($C223="","",IFERROR(MATCH($C223,Accounts!$A$6:$A$55,0),""))</f>
        <v/>
      </c>
      <c r="S223" s="89" t="str">
        <f aca="false">IF($D223="","",IFERROR(MATCH($D223,Securities!$A$6:$A$105,0),""))</f>
        <v/>
      </c>
      <c r="T223" s="89" t="str">
        <f aca="true">IF($I223="","",IFERROR(MATCH($I223,L_TxnType,0),""))</f>
        <v/>
      </c>
    </row>
    <row r="224" customFormat="false" ht="15" hidden="false" customHeight="false" outlineLevel="0" collapsed="false">
      <c r="A224" s="77"/>
      <c r="B224" s="80"/>
      <c r="C224" s="78"/>
      <c r="D224" s="78"/>
      <c r="E224" s="79" t="str">
        <f aca="false">IF($R224="","",INDEX(Accounts!$C$6:$C$55,$R224)&amp;"")</f>
        <v/>
      </c>
      <c r="F224" s="79" t="str">
        <f aca="false">IF($S224="","",INDEX(Securities!$B$6:$B$105,$S224)&amp;"")</f>
        <v/>
      </c>
      <c r="G224" s="79" t="str">
        <f aca="false">IF($S224="","",INDEX(Securities!$E$6:$E$105,$S224)&amp;"")</f>
        <v/>
      </c>
      <c r="H224" s="79" t="str">
        <f aca="false">IF($S224="","",INDEX(Securities!$F$6:$F$105,$S224)&amp;"")</f>
        <v/>
      </c>
      <c r="I224" s="78"/>
      <c r="J224" s="81"/>
      <c r="K224" s="94"/>
      <c r="L224" s="82"/>
      <c r="M224" s="82"/>
      <c r="N224" s="85" t="str">
        <f aca="true">IF(OR($I224="",$T224=""),"",INDEX(L_TxnSign,$T224)*N($L224)-N($M224))</f>
        <v/>
      </c>
      <c r="O224" s="79" t="str">
        <f aca="true">IF($T224="","",INDEX(L_TxnCounts,$T224)&amp;"")</f>
        <v/>
      </c>
      <c r="P224" s="78"/>
      <c r="Q224" s="79" t="str">
        <f aca="false">IF($A224&amp;$C224&amp;$D224&amp;$I224="","",IF($A224="","Missing ID",IF(COUNTIF($A$6:$A$305,$A224)&gt;1,"Duplicate ID",IF(NOT(ISNUMBER($B224)),"Missing date",IF($R224="","Unknown account",IF($D224="","Missing security",IF($S224="","Unknown security",IF($T224="","Unknown type",IF(AND($L224="",$I224&lt;&gt;"Bonus / Split"),"No amount",IF(N($L224)&lt;0,"Type a positive amount; the sign comes from the type",IF(N($M224)&lt;0,"Type charges as a positive amount",IF(N($B224)&gt;ValDate,"Date after valuation",IF(AND(N($B224)&gt;PrevDate,COUNTIFS(Holdings!$B$6:$B$205,$C224,Holdings!$C$6:$C$205,$D224)=0),"No holding row (needed for Period Change)","OK")))))))))))))</f>
        <v/>
      </c>
      <c r="R224" s="89" t="str">
        <f aca="false">IF($C224="","",IFERROR(MATCH($C224,Accounts!$A$6:$A$55,0),""))</f>
        <v/>
      </c>
      <c r="S224" s="89" t="str">
        <f aca="false">IF($D224="","",IFERROR(MATCH($D224,Securities!$A$6:$A$105,0),""))</f>
        <v/>
      </c>
      <c r="T224" s="89" t="str">
        <f aca="true">IF($I224="","",IFERROR(MATCH($I224,L_TxnType,0),""))</f>
        <v/>
      </c>
    </row>
    <row r="225" customFormat="false" ht="15" hidden="false" customHeight="false" outlineLevel="0" collapsed="false">
      <c r="A225" s="77"/>
      <c r="B225" s="80"/>
      <c r="C225" s="78"/>
      <c r="D225" s="78"/>
      <c r="E225" s="79" t="str">
        <f aca="false">IF($R225="","",INDEX(Accounts!$C$6:$C$55,$R225)&amp;"")</f>
        <v/>
      </c>
      <c r="F225" s="79" t="str">
        <f aca="false">IF($S225="","",INDEX(Securities!$B$6:$B$105,$S225)&amp;"")</f>
        <v/>
      </c>
      <c r="G225" s="79" t="str">
        <f aca="false">IF($S225="","",INDEX(Securities!$E$6:$E$105,$S225)&amp;"")</f>
        <v/>
      </c>
      <c r="H225" s="79" t="str">
        <f aca="false">IF($S225="","",INDEX(Securities!$F$6:$F$105,$S225)&amp;"")</f>
        <v/>
      </c>
      <c r="I225" s="78"/>
      <c r="J225" s="81"/>
      <c r="K225" s="94"/>
      <c r="L225" s="82"/>
      <c r="M225" s="82"/>
      <c r="N225" s="85" t="str">
        <f aca="true">IF(OR($I225="",$T225=""),"",INDEX(L_TxnSign,$T225)*N($L225)-N($M225))</f>
        <v/>
      </c>
      <c r="O225" s="79" t="str">
        <f aca="true">IF($T225="","",INDEX(L_TxnCounts,$T225)&amp;"")</f>
        <v/>
      </c>
      <c r="P225" s="78"/>
      <c r="Q225" s="79" t="str">
        <f aca="false">IF($A225&amp;$C225&amp;$D225&amp;$I225="","",IF($A225="","Missing ID",IF(COUNTIF($A$6:$A$305,$A225)&gt;1,"Duplicate ID",IF(NOT(ISNUMBER($B225)),"Missing date",IF($R225="","Unknown account",IF($D225="","Missing security",IF($S225="","Unknown security",IF($T225="","Unknown type",IF(AND($L225="",$I225&lt;&gt;"Bonus / Split"),"No amount",IF(N($L225)&lt;0,"Type a positive amount; the sign comes from the type",IF(N($M225)&lt;0,"Type charges as a positive amount",IF(N($B225)&gt;ValDate,"Date after valuation",IF(AND(N($B225)&gt;PrevDate,COUNTIFS(Holdings!$B$6:$B$205,$C225,Holdings!$C$6:$C$205,$D225)=0),"No holding row (needed for Period Change)","OK")))))))))))))</f>
        <v/>
      </c>
      <c r="R225" s="89" t="str">
        <f aca="false">IF($C225="","",IFERROR(MATCH($C225,Accounts!$A$6:$A$55,0),""))</f>
        <v/>
      </c>
      <c r="S225" s="89" t="str">
        <f aca="false">IF($D225="","",IFERROR(MATCH($D225,Securities!$A$6:$A$105,0),""))</f>
        <v/>
      </c>
      <c r="T225" s="89" t="str">
        <f aca="true">IF($I225="","",IFERROR(MATCH($I225,L_TxnType,0),""))</f>
        <v/>
      </c>
    </row>
    <row r="226" customFormat="false" ht="15" hidden="false" customHeight="false" outlineLevel="0" collapsed="false">
      <c r="A226" s="77"/>
      <c r="B226" s="80"/>
      <c r="C226" s="78"/>
      <c r="D226" s="78"/>
      <c r="E226" s="79" t="str">
        <f aca="false">IF($R226="","",INDEX(Accounts!$C$6:$C$55,$R226)&amp;"")</f>
        <v/>
      </c>
      <c r="F226" s="79" t="str">
        <f aca="false">IF($S226="","",INDEX(Securities!$B$6:$B$105,$S226)&amp;"")</f>
        <v/>
      </c>
      <c r="G226" s="79" t="str">
        <f aca="false">IF($S226="","",INDEX(Securities!$E$6:$E$105,$S226)&amp;"")</f>
        <v/>
      </c>
      <c r="H226" s="79" t="str">
        <f aca="false">IF($S226="","",INDEX(Securities!$F$6:$F$105,$S226)&amp;"")</f>
        <v/>
      </c>
      <c r="I226" s="78"/>
      <c r="J226" s="81"/>
      <c r="K226" s="94"/>
      <c r="L226" s="82"/>
      <c r="M226" s="82"/>
      <c r="N226" s="85" t="str">
        <f aca="true">IF(OR($I226="",$T226=""),"",INDEX(L_TxnSign,$T226)*N($L226)-N($M226))</f>
        <v/>
      </c>
      <c r="O226" s="79" t="str">
        <f aca="true">IF($T226="","",INDEX(L_TxnCounts,$T226)&amp;"")</f>
        <v/>
      </c>
      <c r="P226" s="78"/>
      <c r="Q226" s="79" t="str">
        <f aca="false">IF($A226&amp;$C226&amp;$D226&amp;$I226="","",IF($A226="","Missing ID",IF(COUNTIF($A$6:$A$305,$A226)&gt;1,"Duplicate ID",IF(NOT(ISNUMBER($B226)),"Missing date",IF($R226="","Unknown account",IF($D226="","Missing security",IF($S226="","Unknown security",IF($T226="","Unknown type",IF(AND($L226="",$I226&lt;&gt;"Bonus / Split"),"No amount",IF(N($L226)&lt;0,"Type a positive amount; the sign comes from the type",IF(N($M226)&lt;0,"Type charges as a positive amount",IF(N($B226)&gt;ValDate,"Date after valuation",IF(AND(N($B226)&gt;PrevDate,COUNTIFS(Holdings!$B$6:$B$205,$C226,Holdings!$C$6:$C$205,$D226)=0),"No holding row (needed for Period Change)","OK")))))))))))))</f>
        <v/>
      </c>
      <c r="R226" s="89" t="str">
        <f aca="false">IF($C226="","",IFERROR(MATCH($C226,Accounts!$A$6:$A$55,0),""))</f>
        <v/>
      </c>
      <c r="S226" s="89" t="str">
        <f aca="false">IF($D226="","",IFERROR(MATCH($D226,Securities!$A$6:$A$105,0),""))</f>
        <v/>
      </c>
      <c r="T226" s="89" t="str">
        <f aca="true">IF($I226="","",IFERROR(MATCH($I226,L_TxnType,0),""))</f>
        <v/>
      </c>
    </row>
    <row r="227" customFormat="false" ht="15" hidden="false" customHeight="false" outlineLevel="0" collapsed="false">
      <c r="A227" s="77"/>
      <c r="B227" s="80"/>
      <c r="C227" s="78"/>
      <c r="D227" s="78"/>
      <c r="E227" s="79" t="str">
        <f aca="false">IF($R227="","",INDEX(Accounts!$C$6:$C$55,$R227)&amp;"")</f>
        <v/>
      </c>
      <c r="F227" s="79" t="str">
        <f aca="false">IF($S227="","",INDEX(Securities!$B$6:$B$105,$S227)&amp;"")</f>
        <v/>
      </c>
      <c r="G227" s="79" t="str">
        <f aca="false">IF($S227="","",INDEX(Securities!$E$6:$E$105,$S227)&amp;"")</f>
        <v/>
      </c>
      <c r="H227" s="79" t="str">
        <f aca="false">IF($S227="","",INDEX(Securities!$F$6:$F$105,$S227)&amp;"")</f>
        <v/>
      </c>
      <c r="I227" s="78"/>
      <c r="J227" s="81"/>
      <c r="K227" s="94"/>
      <c r="L227" s="82"/>
      <c r="M227" s="82"/>
      <c r="N227" s="85" t="str">
        <f aca="true">IF(OR($I227="",$T227=""),"",INDEX(L_TxnSign,$T227)*N($L227)-N($M227))</f>
        <v/>
      </c>
      <c r="O227" s="79" t="str">
        <f aca="true">IF($T227="","",INDEX(L_TxnCounts,$T227)&amp;"")</f>
        <v/>
      </c>
      <c r="P227" s="78"/>
      <c r="Q227" s="79" t="str">
        <f aca="false">IF($A227&amp;$C227&amp;$D227&amp;$I227="","",IF($A227="","Missing ID",IF(COUNTIF($A$6:$A$305,$A227)&gt;1,"Duplicate ID",IF(NOT(ISNUMBER($B227)),"Missing date",IF($R227="","Unknown account",IF($D227="","Missing security",IF($S227="","Unknown security",IF($T227="","Unknown type",IF(AND($L227="",$I227&lt;&gt;"Bonus / Split"),"No amount",IF(N($L227)&lt;0,"Type a positive amount; the sign comes from the type",IF(N($M227)&lt;0,"Type charges as a positive amount",IF(N($B227)&gt;ValDate,"Date after valuation",IF(AND(N($B227)&gt;PrevDate,COUNTIFS(Holdings!$B$6:$B$205,$C227,Holdings!$C$6:$C$205,$D227)=0),"No holding row (needed for Period Change)","OK")))))))))))))</f>
        <v/>
      </c>
      <c r="R227" s="89" t="str">
        <f aca="false">IF($C227="","",IFERROR(MATCH($C227,Accounts!$A$6:$A$55,0),""))</f>
        <v/>
      </c>
      <c r="S227" s="89" t="str">
        <f aca="false">IF($D227="","",IFERROR(MATCH($D227,Securities!$A$6:$A$105,0),""))</f>
        <v/>
      </c>
      <c r="T227" s="89" t="str">
        <f aca="true">IF($I227="","",IFERROR(MATCH($I227,L_TxnType,0),""))</f>
        <v/>
      </c>
    </row>
    <row r="228" customFormat="false" ht="15" hidden="false" customHeight="false" outlineLevel="0" collapsed="false">
      <c r="A228" s="77"/>
      <c r="B228" s="80"/>
      <c r="C228" s="78"/>
      <c r="D228" s="78"/>
      <c r="E228" s="79" t="str">
        <f aca="false">IF($R228="","",INDEX(Accounts!$C$6:$C$55,$R228)&amp;"")</f>
        <v/>
      </c>
      <c r="F228" s="79" t="str">
        <f aca="false">IF($S228="","",INDEX(Securities!$B$6:$B$105,$S228)&amp;"")</f>
        <v/>
      </c>
      <c r="G228" s="79" t="str">
        <f aca="false">IF($S228="","",INDEX(Securities!$E$6:$E$105,$S228)&amp;"")</f>
        <v/>
      </c>
      <c r="H228" s="79" t="str">
        <f aca="false">IF($S228="","",INDEX(Securities!$F$6:$F$105,$S228)&amp;"")</f>
        <v/>
      </c>
      <c r="I228" s="78"/>
      <c r="J228" s="81"/>
      <c r="K228" s="94"/>
      <c r="L228" s="82"/>
      <c r="M228" s="82"/>
      <c r="N228" s="85" t="str">
        <f aca="true">IF(OR($I228="",$T228=""),"",INDEX(L_TxnSign,$T228)*N($L228)-N($M228))</f>
        <v/>
      </c>
      <c r="O228" s="79" t="str">
        <f aca="true">IF($T228="","",INDEX(L_TxnCounts,$T228)&amp;"")</f>
        <v/>
      </c>
      <c r="P228" s="78"/>
      <c r="Q228" s="79" t="str">
        <f aca="false">IF($A228&amp;$C228&amp;$D228&amp;$I228="","",IF($A228="","Missing ID",IF(COUNTIF($A$6:$A$305,$A228)&gt;1,"Duplicate ID",IF(NOT(ISNUMBER($B228)),"Missing date",IF($R228="","Unknown account",IF($D228="","Missing security",IF($S228="","Unknown security",IF($T228="","Unknown type",IF(AND($L228="",$I228&lt;&gt;"Bonus / Split"),"No amount",IF(N($L228)&lt;0,"Type a positive amount; the sign comes from the type",IF(N($M228)&lt;0,"Type charges as a positive amount",IF(N($B228)&gt;ValDate,"Date after valuation",IF(AND(N($B228)&gt;PrevDate,COUNTIFS(Holdings!$B$6:$B$205,$C228,Holdings!$C$6:$C$205,$D228)=0),"No holding row (needed for Period Change)","OK")))))))))))))</f>
        <v/>
      </c>
      <c r="R228" s="89" t="str">
        <f aca="false">IF($C228="","",IFERROR(MATCH($C228,Accounts!$A$6:$A$55,0),""))</f>
        <v/>
      </c>
      <c r="S228" s="89" t="str">
        <f aca="false">IF($D228="","",IFERROR(MATCH($D228,Securities!$A$6:$A$105,0),""))</f>
        <v/>
      </c>
      <c r="T228" s="89" t="str">
        <f aca="true">IF($I228="","",IFERROR(MATCH($I228,L_TxnType,0),""))</f>
        <v/>
      </c>
    </row>
    <row r="229" customFormat="false" ht="15" hidden="false" customHeight="false" outlineLevel="0" collapsed="false">
      <c r="A229" s="77"/>
      <c r="B229" s="80"/>
      <c r="C229" s="78"/>
      <c r="D229" s="78"/>
      <c r="E229" s="79" t="str">
        <f aca="false">IF($R229="","",INDEX(Accounts!$C$6:$C$55,$R229)&amp;"")</f>
        <v/>
      </c>
      <c r="F229" s="79" t="str">
        <f aca="false">IF($S229="","",INDEX(Securities!$B$6:$B$105,$S229)&amp;"")</f>
        <v/>
      </c>
      <c r="G229" s="79" t="str">
        <f aca="false">IF($S229="","",INDEX(Securities!$E$6:$E$105,$S229)&amp;"")</f>
        <v/>
      </c>
      <c r="H229" s="79" t="str">
        <f aca="false">IF($S229="","",INDEX(Securities!$F$6:$F$105,$S229)&amp;"")</f>
        <v/>
      </c>
      <c r="I229" s="78"/>
      <c r="J229" s="81"/>
      <c r="K229" s="94"/>
      <c r="L229" s="82"/>
      <c r="M229" s="82"/>
      <c r="N229" s="85" t="str">
        <f aca="true">IF(OR($I229="",$T229=""),"",INDEX(L_TxnSign,$T229)*N($L229)-N($M229))</f>
        <v/>
      </c>
      <c r="O229" s="79" t="str">
        <f aca="true">IF($T229="","",INDEX(L_TxnCounts,$T229)&amp;"")</f>
        <v/>
      </c>
      <c r="P229" s="78"/>
      <c r="Q229" s="79" t="str">
        <f aca="false">IF($A229&amp;$C229&amp;$D229&amp;$I229="","",IF($A229="","Missing ID",IF(COUNTIF($A$6:$A$305,$A229)&gt;1,"Duplicate ID",IF(NOT(ISNUMBER($B229)),"Missing date",IF($R229="","Unknown account",IF($D229="","Missing security",IF($S229="","Unknown security",IF($T229="","Unknown type",IF(AND($L229="",$I229&lt;&gt;"Bonus / Split"),"No amount",IF(N($L229)&lt;0,"Type a positive amount; the sign comes from the type",IF(N($M229)&lt;0,"Type charges as a positive amount",IF(N($B229)&gt;ValDate,"Date after valuation",IF(AND(N($B229)&gt;PrevDate,COUNTIFS(Holdings!$B$6:$B$205,$C229,Holdings!$C$6:$C$205,$D229)=0),"No holding row (needed for Period Change)","OK")))))))))))))</f>
        <v/>
      </c>
      <c r="R229" s="89" t="str">
        <f aca="false">IF($C229="","",IFERROR(MATCH($C229,Accounts!$A$6:$A$55,0),""))</f>
        <v/>
      </c>
      <c r="S229" s="89" t="str">
        <f aca="false">IF($D229="","",IFERROR(MATCH($D229,Securities!$A$6:$A$105,0),""))</f>
        <v/>
      </c>
      <c r="T229" s="89" t="str">
        <f aca="true">IF($I229="","",IFERROR(MATCH($I229,L_TxnType,0),""))</f>
        <v/>
      </c>
    </row>
    <row r="230" customFormat="false" ht="15" hidden="false" customHeight="false" outlineLevel="0" collapsed="false">
      <c r="A230" s="77"/>
      <c r="B230" s="80"/>
      <c r="C230" s="78"/>
      <c r="D230" s="78"/>
      <c r="E230" s="79" t="str">
        <f aca="false">IF($R230="","",INDEX(Accounts!$C$6:$C$55,$R230)&amp;"")</f>
        <v/>
      </c>
      <c r="F230" s="79" t="str">
        <f aca="false">IF($S230="","",INDEX(Securities!$B$6:$B$105,$S230)&amp;"")</f>
        <v/>
      </c>
      <c r="G230" s="79" t="str">
        <f aca="false">IF($S230="","",INDEX(Securities!$E$6:$E$105,$S230)&amp;"")</f>
        <v/>
      </c>
      <c r="H230" s="79" t="str">
        <f aca="false">IF($S230="","",INDEX(Securities!$F$6:$F$105,$S230)&amp;"")</f>
        <v/>
      </c>
      <c r="I230" s="78"/>
      <c r="J230" s="81"/>
      <c r="K230" s="94"/>
      <c r="L230" s="82"/>
      <c r="M230" s="82"/>
      <c r="N230" s="85" t="str">
        <f aca="true">IF(OR($I230="",$T230=""),"",INDEX(L_TxnSign,$T230)*N($L230)-N($M230))</f>
        <v/>
      </c>
      <c r="O230" s="79" t="str">
        <f aca="true">IF($T230="","",INDEX(L_TxnCounts,$T230)&amp;"")</f>
        <v/>
      </c>
      <c r="P230" s="78"/>
      <c r="Q230" s="79" t="str">
        <f aca="false">IF($A230&amp;$C230&amp;$D230&amp;$I230="","",IF($A230="","Missing ID",IF(COUNTIF($A$6:$A$305,$A230)&gt;1,"Duplicate ID",IF(NOT(ISNUMBER($B230)),"Missing date",IF($R230="","Unknown account",IF($D230="","Missing security",IF($S230="","Unknown security",IF($T230="","Unknown type",IF(AND($L230="",$I230&lt;&gt;"Bonus / Split"),"No amount",IF(N($L230)&lt;0,"Type a positive amount; the sign comes from the type",IF(N($M230)&lt;0,"Type charges as a positive amount",IF(N($B230)&gt;ValDate,"Date after valuation",IF(AND(N($B230)&gt;PrevDate,COUNTIFS(Holdings!$B$6:$B$205,$C230,Holdings!$C$6:$C$205,$D230)=0),"No holding row (needed for Period Change)","OK")))))))))))))</f>
        <v/>
      </c>
      <c r="R230" s="89" t="str">
        <f aca="false">IF($C230="","",IFERROR(MATCH($C230,Accounts!$A$6:$A$55,0),""))</f>
        <v/>
      </c>
      <c r="S230" s="89" t="str">
        <f aca="false">IF($D230="","",IFERROR(MATCH($D230,Securities!$A$6:$A$105,0),""))</f>
        <v/>
      </c>
      <c r="T230" s="89" t="str">
        <f aca="true">IF($I230="","",IFERROR(MATCH($I230,L_TxnType,0),""))</f>
        <v/>
      </c>
    </row>
    <row r="231" customFormat="false" ht="15" hidden="false" customHeight="false" outlineLevel="0" collapsed="false">
      <c r="A231" s="77"/>
      <c r="B231" s="80"/>
      <c r="C231" s="78"/>
      <c r="D231" s="78"/>
      <c r="E231" s="79" t="str">
        <f aca="false">IF($R231="","",INDEX(Accounts!$C$6:$C$55,$R231)&amp;"")</f>
        <v/>
      </c>
      <c r="F231" s="79" t="str">
        <f aca="false">IF($S231="","",INDEX(Securities!$B$6:$B$105,$S231)&amp;"")</f>
        <v/>
      </c>
      <c r="G231" s="79" t="str">
        <f aca="false">IF($S231="","",INDEX(Securities!$E$6:$E$105,$S231)&amp;"")</f>
        <v/>
      </c>
      <c r="H231" s="79" t="str">
        <f aca="false">IF($S231="","",INDEX(Securities!$F$6:$F$105,$S231)&amp;"")</f>
        <v/>
      </c>
      <c r="I231" s="78"/>
      <c r="J231" s="81"/>
      <c r="K231" s="94"/>
      <c r="L231" s="82"/>
      <c r="M231" s="82"/>
      <c r="N231" s="85" t="str">
        <f aca="true">IF(OR($I231="",$T231=""),"",INDEX(L_TxnSign,$T231)*N($L231)-N($M231))</f>
        <v/>
      </c>
      <c r="O231" s="79" t="str">
        <f aca="true">IF($T231="","",INDEX(L_TxnCounts,$T231)&amp;"")</f>
        <v/>
      </c>
      <c r="P231" s="78"/>
      <c r="Q231" s="79" t="str">
        <f aca="false">IF($A231&amp;$C231&amp;$D231&amp;$I231="","",IF($A231="","Missing ID",IF(COUNTIF($A$6:$A$305,$A231)&gt;1,"Duplicate ID",IF(NOT(ISNUMBER($B231)),"Missing date",IF($R231="","Unknown account",IF($D231="","Missing security",IF($S231="","Unknown security",IF($T231="","Unknown type",IF(AND($L231="",$I231&lt;&gt;"Bonus / Split"),"No amount",IF(N($L231)&lt;0,"Type a positive amount; the sign comes from the type",IF(N($M231)&lt;0,"Type charges as a positive amount",IF(N($B231)&gt;ValDate,"Date after valuation",IF(AND(N($B231)&gt;PrevDate,COUNTIFS(Holdings!$B$6:$B$205,$C231,Holdings!$C$6:$C$205,$D231)=0),"No holding row (needed for Period Change)","OK")))))))))))))</f>
        <v/>
      </c>
      <c r="R231" s="89" t="str">
        <f aca="false">IF($C231="","",IFERROR(MATCH($C231,Accounts!$A$6:$A$55,0),""))</f>
        <v/>
      </c>
      <c r="S231" s="89" t="str">
        <f aca="false">IF($D231="","",IFERROR(MATCH($D231,Securities!$A$6:$A$105,0),""))</f>
        <v/>
      </c>
      <c r="T231" s="89" t="str">
        <f aca="true">IF($I231="","",IFERROR(MATCH($I231,L_TxnType,0),""))</f>
        <v/>
      </c>
    </row>
    <row r="232" customFormat="false" ht="15" hidden="false" customHeight="false" outlineLevel="0" collapsed="false">
      <c r="A232" s="77"/>
      <c r="B232" s="80"/>
      <c r="C232" s="78"/>
      <c r="D232" s="78"/>
      <c r="E232" s="79" t="str">
        <f aca="false">IF($R232="","",INDEX(Accounts!$C$6:$C$55,$R232)&amp;"")</f>
        <v/>
      </c>
      <c r="F232" s="79" t="str">
        <f aca="false">IF($S232="","",INDEX(Securities!$B$6:$B$105,$S232)&amp;"")</f>
        <v/>
      </c>
      <c r="G232" s="79" t="str">
        <f aca="false">IF($S232="","",INDEX(Securities!$E$6:$E$105,$S232)&amp;"")</f>
        <v/>
      </c>
      <c r="H232" s="79" t="str">
        <f aca="false">IF($S232="","",INDEX(Securities!$F$6:$F$105,$S232)&amp;"")</f>
        <v/>
      </c>
      <c r="I232" s="78"/>
      <c r="J232" s="81"/>
      <c r="K232" s="94"/>
      <c r="L232" s="82"/>
      <c r="M232" s="82"/>
      <c r="N232" s="85" t="str">
        <f aca="true">IF(OR($I232="",$T232=""),"",INDEX(L_TxnSign,$T232)*N($L232)-N($M232))</f>
        <v/>
      </c>
      <c r="O232" s="79" t="str">
        <f aca="true">IF($T232="","",INDEX(L_TxnCounts,$T232)&amp;"")</f>
        <v/>
      </c>
      <c r="P232" s="78"/>
      <c r="Q232" s="79" t="str">
        <f aca="false">IF($A232&amp;$C232&amp;$D232&amp;$I232="","",IF($A232="","Missing ID",IF(COUNTIF($A$6:$A$305,$A232)&gt;1,"Duplicate ID",IF(NOT(ISNUMBER($B232)),"Missing date",IF($R232="","Unknown account",IF($D232="","Missing security",IF($S232="","Unknown security",IF($T232="","Unknown type",IF(AND($L232="",$I232&lt;&gt;"Bonus / Split"),"No amount",IF(N($L232)&lt;0,"Type a positive amount; the sign comes from the type",IF(N($M232)&lt;0,"Type charges as a positive amount",IF(N($B232)&gt;ValDate,"Date after valuation",IF(AND(N($B232)&gt;PrevDate,COUNTIFS(Holdings!$B$6:$B$205,$C232,Holdings!$C$6:$C$205,$D232)=0),"No holding row (needed for Period Change)","OK")))))))))))))</f>
        <v/>
      </c>
      <c r="R232" s="89" t="str">
        <f aca="false">IF($C232="","",IFERROR(MATCH($C232,Accounts!$A$6:$A$55,0),""))</f>
        <v/>
      </c>
      <c r="S232" s="89" t="str">
        <f aca="false">IF($D232="","",IFERROR(MATCH($D232,Securities!$A$6:$A$105,0),""))</f>
        <v/>
      </c>
      <c r="T232" s="89" t="str">
        <f aca="true">IF($I232="","",IFERROR(MATCH($I232,L_TxnType,0),""))</f>
        <v/>
      </c>
    </row>
    <row r="233" customFormat="false" ht="15" hidden="false" customHeight="false" outlineLevel="0" collapsed="false">
      <c r="A233" s="77"/>
      <c r="B233" s="80"/>
      <c r="C233" s="78"/>
      <c r="D233" s="78"/>
      <c r="E233" s="79" t="str">
        <f aca="false">IF($R233="","",INDEX(Accounts!$C$6:$C$55,$R233)&amp;"")</f>
        <v/>
      </c>
      <c r="F233" s="79" t="str">
        <f aca="false">IF($S233="","",INDEX(Securities!$B$6:$B$105,$S233)&amp;"")</f>
        <v/>
      </c>
      <c r="G233" s="79" t="str">
        <f aca="false">IF($S233="","",INDEX(Securities!$E$6:$E$105,$S233)&amp;"")</f>
        <v/>
      </c>
      <c r="H233" s="79" t="str">
        <f aca="false">IF($S233="","",INDEX(Securities!$F$6:$F$105,$S233)&amp;"")</f>
        <v/>
      </c>
      <c r="I233" s="78"/>
      <c r="J233" s="81"/>
      <c r="K233" s="94"/>
      <c r="L233" s="82"/>
      <c r="M233" s="82"/>
      <c r="N233" s="85" t="str">
        <f aca="true">IF(OR($I233="",$T233=""),"",INDEX(L_TxnSign,$T233)*N($L233)-N($M233))</f>
        <v/>
      </c>
      <c r="O233" s="79" t="str">
        <f aca="true">IF($T233="","",INDEX(L_TxnCounts,$T233)&amp;"")</f>
        <v/>
      </c>
      <c r="P233" s="78"/>
      <c r="Q233" s="79" t="str">
        <f aca="false">IF($A233&amp;$C233&amp;$D233&amp;$I233="","",IF($A233="","Missing ID",IF(COUNTIF($A$6:$A$305,$A233)&gt;1,"Duplicate ID",IF(NOT(ISNUMBER($B233)),"Missing date",IF($R233="","Unknown account",IF($D233="","Missing security",IF($S233="","Unknown security",IF($T233="","Unknown type",IF(AND($L233="",$I233&lt;&gt;"Bonus / Split"),"No amount",IF(N($L233)&lt;0,"Type a positive amount; the sign comes from the type",IF(N($M233)&lt;0,"Type charges as a positive amount",IF(N($B233)&gt;ValDate,"Date after valuation",IF(AND(N($B233)&gt;PrevDate,COUNTIFS(Holdings!$B$6:$B$205,$C233,Holdings!$C$6:$C$205,$D233)=0),"No holding row (needed for Period Change)","OK")))))))))))))</f>
        <v/>
      </c>
      <c r="R233" s="89" t="str">
        <f aca="false">IF($C233="","",IFERROR(MATCH($C233,Accounts!$A$6:$A$55,0),""))</f>
        <v/>
      </c>
      <c r="S233" s="89" t="str">
        <f aca="false">IF($D233="","",IFERROR(MATCH($D233,Securities!$A$6:$A$105,0),""))</f>
        <v/>
      </c>
      <c r="T233" s="89" t="str">
        <f aca="true">IF($I233="","",IFERROR(MATCH($I233,L_TxnType,0),""))</f>
        <v/>
      </c>
    </row>
    <row r="234" customFormat="false" ht="15" hidden="false" customHeight="false" outlineLevel="0" collapsed="false">
      <c r="A234" s="77"/>
      <c r="B234" s="80"/>
      <c r="C234" s="78"/>
      <c r="D234" s="78"/>
      <c r="E234" s="79" t="str">
        <f aca="false">IF($R234="","",INDEX(Accounts!$C$6:$C$55,$R234)&amp;"")</f>
        <v/>
      </c>
      <c r="F234" s="79" t="str">
        <f aca="false">IF($S234="","",INDEX(Securities!$B$6:$B$105,$S234)&amp;"")</f>
        <v/>
      </c>
      <c r="G234" s="79" t="str">
        <f aca="false">IF($S234="","",INDEX(Securities!$E$6:$E$105,$S234)&amp;"")</f>
        <v/>
      </c>
      <c r="H234" s="79" t="str">
        <f aca="false">IF($S234="","",INDEX(Securities!$F$6:$F$105,$S234)&amp;"")</f>
        <v/>
      </c>
      <c r="I234" s="78"/>
      <c r="J234" s="81"/>
      <c r="K234" s="94"/>
      <c r="L234" s="82"/>
      <c r="M234" s="82"/>
      <c r="N234" s="85" t="str">
        <f aca="true">IF(OR($I234="",$T234=""),"",INDEX(L_TxnSign,$T234)*N($L234)-N($M234))</f>
        <v/>
      </c>
      <c r="O234" s="79" t="str">
        <f aca="true">IF($T234="","",INDEX(L_TxnCounts,$T234)&amp;"")</f>
        <v/>
      </c>
      <c r="P234" s="78"/>
      <c r="Q234" s="79" t="str">
        <f aca="false">IF($A234&amp;$C234&amp;$D234&amp;$I234="","",IF($A234="","Missing ID",IF(COUNTIF($A$6:$A$305,$A234)&gt;1,"Duplicate ID",IF(NOT(ISNUMBER($B234)),"Missing date",IF($R234="","Unknown account",IF($D234="","Missing security",IF($S234="","Unknown security",IF($T234="","Unknown type",IF(AND($L234="",$I234&lt;&gt;"Bonus / Split"),"No amount",IF(N($L234)&lt;0,"Type a positive amount; the sign comes from the type",IF(N($M234)&lt;0,"Type charges as a positive amount",IF(N($B234)&gt;ValDate,"Date after valuation",IF(AND(N($B234)&gt;PrevDate,COUNTIFS(Holdings!$B$6:$B$205,$C234,Holdings!$C$6:$C$205,$D234)=0),"No holding row (needed for Period Change)","OK")))))))))))))</f>
        <v/>
      </c>
      <c r="R234" s="89" t="str">
        <f aca="false">IF($C234="","",IFERROR(MATCH($C234,Accounts!$A$6:$A$55,0),""))</f>
        <v/>
      </c>
      <c r="S234" s="89" t="str">
        <f aca="false">IF($D234="","",IFERROR(MATCH($D234,Securities!$A$6:$A$105,0),""))</f>
        <v/>
      </c>
      <c r="T234" s="89" t="str">
        <f aca="true">IF($I234="","",IFERROR(MATCH($I234,L_TxnType,0),""))</f>
        <v/>
      </c>
    </row>
    <row r="235" customFormat="false" ht="15" hidden="false" customHeight="false" outlineLevel="0" collapsed="false">
      <c r="A235" s="77"/>
      <c r="B235" s="80"/>
      <c r="C235" s="78"/>
      <c r="D235" s="78"/>
      <c r="E235" s="79" t="str">
        <f aca="false">IF($R235="","",INDEX(Accounts!$C$6:$C$55,$R235)&amp;"")</f>
        <v/>
      </c>
      <c r="F235" s="79" t="str">
        <f aca="false">IF($S235="","",INDEX(Securities!$B$6:$B$105,$S235)&amp;"")</f>
        <v/>
      </c>
      <c r="G235" s="79" t="str">
        <f aca="false">IF($S235="","",INDEX(Securities!$E$6:$E$105,$S235)&amp;"")</f>
        <v/>
      </c>
      <c r="H235" s="79" t="str">
        <f aca="false">IF($S235="","",INDEX(Securities!$F$6:$F$105,$S235)&amp;"")</f>
        <v/>
      </c>
      <c r="I235" s="78"/>
      <c r="J235" s="81"/>
      <c r="K235" s="94"/>
      <c r="L235" s="82"/>
      <c r="M235" s="82"/>
      <c r="N235" s="85" t="str">
        <f aca="true">IF(OR($I235="",$T235=""),"",INDEX(L_TxnSign,$T235)*N($L235)-N($M235))</f>
        <v/>
      </c>
      <c r="O235" s="79" t="str">
        <f aca="true">IF($T235="","",INDEX(L_TxnCounts,$T235)&amp;"")</f>
        <v/>
      </c>
      <c r="P235" s="78"/>
      <c r="Q235" s="79" t="str">
        <f aca="false">IF($A235&amp;$C235&amp;$D235&amp;$I235="","",IF($A235="","Missing ID",IF(COUNTIF($A$6:$A$305,$A235)&gt;1,"Duplicate ID",IF(NOT(ISNUMBER($B235)),"Missing date",IF($R235="","Unknown account",IF($D235="","Missing security",IF($S235="","Unknown security",IF($T235="","Unknown type",IF(AND($L235="",$I235&lt;&gt;"Bonus / Split"),"No amount",IF(N($L235)&lt;0,"Type a positive amount; the sign comes from the type",IF(N($M235)&lt;0,"Type charges as a positive amount",IF(N($B235)&gt;ValDate,"Date after valuation",IF(AND(N($B235)&gt;PrevDate,COUNTIFS(Holdings!$B$6:$B$205,$C235,Holdings!$C$6:$C$205,$D235)=0),"No holding row (needed for Period Change)","OK")))))))))))))</f>
        <v/>
      </c>
      <c r="R235" s="89" t="str">
        <f aca="false">IF($C235="","",IFERROR(MATCH($C235,Accounts!$A$6:$A$55,0),""))</f>
        <v/>
      </c>
      <c r="S235" s="89" t="str">
        <f aca="false">IF($D235="","",IFERROR(MATCH($D235,Securities!$A$6:$A$105,0),""))</f>
        <v/>
      </c>
      <c r="T235" s="89" t="str">
        <f aca="true">IF($I235="","",IFERROR(MATCH($I235,L_TxnType,0),""))</f>
        <v/>
      </c>
    </row>
    <row r="236" customFormat="false" ht="15" hidden="false" customHeight="false" outlineLevel="0" collapsed="false">
      <c r="A236" s="77"/>
      <c r="B236" s="80"/>
      <c r="C236" s="78"/>
      <c r="D236" s="78"/>
      <c r="E236" s="79" t="str">
        <f aca="false">IF($R236="","",INDEX(Accounts!$C$6:$C$55,$R236)&amp;"")</f>
        <v/>
      </c>
      <c r="F236" s="79" t="str">
        <f aca="false">IF($S236="","",INDEX(Securities!$B$6:$B$105,$S236)&amp;"")</f>
        <v/>
      </c>
      <c r="G236" s="79" t="str">
        <f aca="false">IF($S236="","",INDEX(Securities!$E$6:$E$105,$S236)&amp;"")</f>
        <v/>
      </c>
      <c r="H236" s="79" t="str">
        <f aca="false">IF($S236="","",INDEX(Securities!$F$6:$F$105,$S236)&amp;"")</f>
        <v/>
      </c>
      <c r="I236" s="78"/>
      <c r="J236" s="81"/>
      <c r="K236" s="94"/>
      <c r="L236" s="82"/>
      <c r="M236" s="82"/>
      <c r="N236" s="85" t="str">
        <f aca="true">IF(OR($I236="",$T236=""),"",INDEX(L_TxnSign,$T236)*N($L236)-N($M236))</f>
        <v/>
      </c>
      <c r="O236" s="79" t="str">
        <f aca="true">IF($T236="","",INDEX(L_TxnCounts,$T236)&amp;"")</f>
        <v/>
      </c>
      <c r="P236" s="78"/>
      <c r="Q236" s="79" t="str">
        <f aca="false">IF($A236&amp;$C236&amp;$D236&amp;$I236="","",IF($A236="","Missing ID",IF(COUNTIF($A$6:$A$305,$A236)&gt;1,"Duplicate ID",IF(NOT(ISNUMBER($B236)),"Missing date",IF($R236="","Unknown account",IF($D236="","Missing security",IF($S236="","Unknown security",IF($T236="","Unknown type",IF(AND($L236="",$I236&lt;&gt;"Bonus / Split"),"No amount",IF(N($L236)&lt;0,"Type a positive amount; the sign comes from the type",IF(N($M236)&lt;0,"Type charges as a positive amount",IF(N($B236)&gt;ValDate,"Date after valuation",IF(AND(N($B236)&gt;PrevDate,COUNTIFS(Holdings!$B$6:$B$205,$C236,Holdings!$C$6:$C$205,$D236)=0),"No holding row (needed for Period Change)","OK")))))))))))))</f>
        <v/>
      </c>
      <c r="R236" s="89" t="str">
        <f aca="false">IF($C236="","",IFERROR(MATCH($C236,Accounts!$A$6:$A$55,0),""))</f>
        <v/>
      </c>
      <c r="S236" s="89" t="str">
        <f aca="false">IF($D236="","",IFERROR(MATCH($D236,Securities!$A$6:$A$105,0),""))</f>
        <v/>
      </c>
      <c r="T236" s="89" t="str">
        <f aca="true">IF($I236="","",IFERROR(MATCH($I236,L_TxnType,0),""))</f>
        <v/>
      </c>
    </row>
    <row r="237" customFormat="false" ht="15" hidden="false" customHeight="false" outlineLevel="0" collapsed="false">
      <c r="A237" s="77"/>
      <c r="B237" s="80"/>
      <c r="C237" s="78"/>
      <c r="D237" s="78"/>
      <c r="E237" s="79" t="str">
        <f aca="false">IF($R237="","",INDEX(Accounts!$C$6:$C$55,$R237)&amp;"")</f>
        <v/>
      </c>
      <c r="F237" s="79" t="str">
        <f aca="false">IF($S237="","",INDEX(Securities!$B$6:$B$105,$S237)&amp;"")</f>
        <v/>
      </c>
      <c r="G237" s="79" t="str">
        <f aca="false">IF($S237="","",INDEX(Securities!$E$6:$E$105,$S237)&amp;"")</f>
        <v/>
      </c>
      <c r="H237" s="79" t="str">
        <f aca="false">IF($S237="","",INDEX(Securities!$F$6:$F$105,$S237)&amp;"")</f>
        <v/>
      </c>
      <c r="I237" s="78"/>
      <c r="J237" s="81"/>
      <c r="K237" s="94"/>
      <c r="L237" s="82"/>
      <c r="M237" s="82"/>
      <c r="N237" s="85" t="str">
        <f aca="true">IF(OR($I237="",$T237=""),"",INDEX(L_TxnSign,$T237)*N($L237)-N($M237))</f>
        <v/>
      </c>
      <c r="O237" s="79" t="str">
        <f aca="true">IF($T237="","",INDEX(L_TxnCounts,$T237)&amp;"")</f>
        <v/>
      </c>
      <c r="P237" s="78"/>
      <c r="Q237" s="79" t="str">
        <f aca="false">IF($A237&amp;$C237&amp;$D237&amp;$I237="","",IF($A237="","Missing ID",IF(COUNTIF($A$6:$A$305,$A237)&gt;1,"Duplicate ID",IF(NOT(ISNUMBER($B237)),"Missing date",IF($R237="","Unknown account",IF($D237="","Missing security",IF($S237="","Unknown security",IF($T237="","Unknown type",IF(AND($L237="",$I237&lt;&gt;"Bonus / Split"),"No amount",IF(N($L237)&lt;0,"Type a positive amount; the sign comes from the type",IF(N($M237)&lt;0,"Type charges as a positive amount",IF(N($B237)&gt;ValDate,"Date after valuation",IF(AND(N($B237)&gt;PrevDate,COUNTIFS(Holdings!$B$6:$B$205,$C237,Holdings!$C$6:$C$205,$D237)=0),"No holding row (needed for Period Change)","OK")))))))))))))</f>
        <v/>
      </c>
      <c r="R237" s="89" t="str">
        <f aca="false">IF($C237="","",IFERROR(MATCH($C237,Accounts!$A$6:$A$55,0),""))</f>
        <v/>
      </c>
      <c r="S237" s="89" t="str">
        <f aca="false">IF($D237="","",IFERROR(MATCH($D237,Securities!$A$6:$A$105,0),""))</f>
        <v/>
      </c>
      <c r="T237" s="89" t="str">
        <f aca="true">IF($I237="","",IFERROR(MATCH($I237,L_TxnType,0),""))</f>
        <v/>
      </c>
    </row>
    <row r="238" customFormat="false" ht="15" hidden="false" customHeight="false" outlineLevel="0" collapsed="false">
      <c r="A238" s="77"/>
      <c r="B238" s="80"/>
      <c r="C238" s="78"/>
      <c r="D238" s="78"/>
      <c r="E238" s="79" t="str">
        <f aca="false">IF($R238="","",INDEX(Accounts!$C$6:$C$55,$R238)&amp;"")</f>
        <v/>
      </c>
      <c r="F238" s="79" t="str">
        <f aca="false">IF($S238="","",INDEX(Securities!$B$6:$B$105,$S238)&amp;"")</f>
        <v/>
      </c>
      <c r="G238" s="79" t="str">
        <f aca="false">IF($S238="","",INDEX(Securities!$E$6:$E$105,$S238)&amp;"")</f>
        <v/>
      </c>
      <c r="H238" s="79" t="str">
        <f aca="false">IF($S238="","",INDEX(Securities!$F$6:$F$105,$S238)&amp;"")</f>
        <v/>
      </c>
      <c r="I238" s="78"/>
      <c r="J238" s="81"/>
      <c r="K238" s="94"/>
      <c r="L238" s="82"/>
      <c r="M238" s="82"/>
      <c r="N238" s="85" t="str">
        <f aca="true">IF(OR($I238="",$T238=""),"",INDEX(L_TxnSign,$T238)*N($L238)-N($M238))</f>
        <v/>
      </c>
      <c r="O238" s="79" t="str">
        <f aca="true">IF($T238="","",INDEX(L_TxnCounts,$T238)&amp;"")</f>
        <v/>
      </c>
      <c r="P238" s="78"/>
      <c r="Q238" s="79" t="str">
        <f aca="false">IF($A238&amp;$C238&amp;$D238&amp;$I238="","",IF($A238="","Missing ID",IF(COUNTIF($A$6:$A$305,$A238)&gt;1,"Duplicate ID",IF(NOT(ISNUMBER($B238)),"Missing date",IF($R238="","Unknown account",IF($D238="","Missing security",IF($S238="","Unknown security",IF($T238="","Unknown type",IF(AND($L238="",$I238&lt;&gt;"Bonus / Split"),"No amount",IF(N($L238)&lt;0,"Type a positive amount; the sign comes from the type",IF(N($M238)&lt;0,"Type charges as a positive amount",IF(N($B238)&gt;ValDate,"Date after valuation",IF(AND(N($B238)&gt;PrevDate,COUNTIFS(Holdings!$B$6:$B$205,$C238,Holdings!$C$6:$C$205,$D238)=0),"No holding row (needed for Period Change)","OK")))))))))))))</f>
        <v/>
      </c>
      <c r="R238" s="89" t="str">
        <f aca="false">IF($C238="","",IFERROR(MATCH($C238,Accounts!$A$6:$A$55,0),""))</f>
        <v/>
      </c>
      <c r="S238" s="89" t="str">
        <f aca="false">IF($D238="","",IFERROR(MATCH($D238,Securities!$A$6:$A$105,0),""))</f>
        <v/>
      </c>
      <c r="T238" s="89" t="str">
        <f aca="true">IF($I238="","",IFERROR(MATCH($I238,L_TxnType,0),""))</f>
        <v/>
      </c>
    </row>
    <row r="239" customFormat="false" ht="15" hidden="false" customHeight="false" outlineLevel="0" collapsed="false">
      <c r="A239" s="77"/>
      <c r="B239" s="80"/>
      <c r="C239" s="78"/>
      <c r="D239" s="78"/>
      <c r="E239" s="79" t="str">
        <f aca="false">IF($R239="","",INDEX(Accounts!$C$6:$C$55,$R239)&amp;"")</f>
        <v/>
      </c>
      <c r="F239" s="79" t="str">
        <f aca="false">IF($S239="","",INDEX(Securities!$B$6:$B$105,$S239)&amp;"")</f>
        <v/>
      </c>
      <c r="G239" s="79" t="str">
        <f aca="false">IF($S239="","",INDEX(Securities!$E$6:$E$105,$S239)&amp;"")</f>
        <v/>
      </c>
      <c r="H239" s="79" t="str">
        <f aca="false">IF($S239="","",INDEX(Securities!$F$6:$F$105,$S239)&amp;"")</f>
        <v/>
      </c>
      <c r="I239" s="78"/>
      <c r="J239" s="81"/>
      <c r="K239" s="94"/>
      <c r="L239" s="82"/>
      <c r="M239" s="82"/>
      <c r="N239" s="85" t="str">
        <f aca="true">IF(OR($I239="",$T239=""),"",INDEX(L_TxnSign,$T239)*N($L239)-N($M239))</f>
        <v/>
      </c>
      <c r="O239" s="79" t="str">
        <f aca="true">IF($T239="","",INDEX(L_TxnCounts,$T239)&amp;"")</f>
        <v/>
      </c>
      <c r="P239" s="78"/>
      <c r="Q239" s="79" t="str">
        <f aca="false">IF($A239&amp;$C239&amp;$D239&amp;$I239="","",IF($A239="","Missing ID",IF(COUNTIF($A$6:$A$305,$A239)&gt;1,"Duplicate ID",IF(NOT(ISNUMBER($B239)),"Missing date",IF($R239="","Unknown account",IF($D239="","Missing security",IF($S239="","Unknown security",IF($T239="","Unknown type",IF(AND($L239="",$I239&lt;&gt;"Bonus / Split"),"No amount",IF(N($L239)&lt;0,"Type a positive amount; the sign comes from the type",IF(N($M239)&lt;0,"Type charges as a positive amount",IF(N($B239)&gt;ValDate,"Date after valuation",IF(AND(N($B239)&gt;PrevDate,COUNTIFS(Holdings!$B$6:$B$205,$C239,Holdings!$C$6:$C$205,$D239)=0),"No holding row (needed for Period Change)","OK")))))))))))))</f>
        <v/>
      </c>
      <c r="R239" s="89" t="str">
        <f aca="false">IF($C239="","",IFERROR(MATCH($C239,Accounts!$A$6:$A$55,0),""))</f>
        <v/>
      </c>
      <c r="S239" s="89" t="str">
        <f aca="false">IF($D239="","",IFERROR(MATCH($D239,Securities!$A$6:$A$105,0),""))</f>
        <v/>
      </c>
      <c r="T239" s="89" t="str">
        <f aca="true">IF($I239="","",IFERROR(MATCH($I239,L_TxnType,0),""))</f>
        <v/>
      </c>
    </row>
    <row r="240" customFormat="false" ht="15" hidden="false" customHeight="false" outlineLevel="0" collapsed="false">
      <c r="A240" s="77"/>
      <c r="B240" s="80"/>
      <c r="C240" s="78"/>
      <c r="D240" s="78"/>
      <c r="E240" s="79" t="str">
        <f aca="false">IF($R240="","",INDEX(Accounts!$C$6:$C$55,$R240)&amp;"")</f>
        <v/>
      </c>
      <c r="F240" s="79" t="str">
        <f aca="false">IF($S240="","",INDEX(Securities!$B$6:$B$105,$S240)&amp;"")</f>
        <v/>
      </c>
      <c r="G240" s="79" t="str">
        <f aca="false">IF($S240="","",INDEX(Securities!$E$6:$E$105,$S240)&amp;"")</f>
        <v/>
      </c>
      <c r="H240" s="79" t="str">
        <f aca="false">IF($S240="","",INDEX(Securities!$F$6:$F$105,$S240)&amp;"")</f>
        <v/>
      </c>
      <c r="I240" s="78"/>
      <c r="J240" s="81"/>
      <c r="K240" s="94"/>
      <c r="L240" s="82"/>
      <c r="M240" s="82"/>
      <c r="N240" s="85" t="str">
        <f aca="true">IF(OR($I240="",$T240=""),"",INDEX(L_TxnSign,$T240)*N($L240)-N($M240))</f>
        <v/>
      </c>
      <c r="O240" s="79" t="str">
        <f aca="true">IF($T240="","",INDEX(L_TxnCounts,$T240)&amp;"")</f>
        <v/>
      </c>
      <c r="P240" s="78"/>
      <c r="Q240" s="79" t="str">
        <f aca="false">IF($A240&amp;$C240&amp;$D240&amp;$I240="","",IF($A240="","Missing ID",IF(COUNTIF($A$6:$A$305,$A240)&gt;1,"Duplicate ID",IF(NOT(ISNUMBER($B240)),"Missing date",IF($R240="","Unknown account",IF($D240="","Missing security",IF($S240="","Unknown security",IF($T240="","Unknown type",IF(AND($L240="",$I240&lt;&gt;"Bonus / Split"),"No amount",IF(N($L240)&lt;0,"Type a positive amount; the sign comes from the type",IF(N($M240)&lt;0,"Type charges as a positive amount",IF(N($B240)&gt;ValDate,"Date after valuation",IF(AND(N($B240)&gt;PrevDate,COUNTIFS(Holdings!$B$6:$B$205,$C240,Holdings!$C$6:$C$205,$D240)=0),"No holding row (needed for Period Change)","OK")))))))))))))</f>
        <v/>
      </c>
      <c r="R240" s="89" t="str">
        <f aca="false">IF($C240="","",IFERROR(MATCH($C240,Accounts!$A$6:$A$55,0),""))</f>
        <v/>
      </c>
      <c r="S240" s="89" t="str">
        <f aca="false">IF($D240="","",IFERROR(MATCH($D240,Securities!$A$6:$A$105,0),""))</f>
        <v/>
      </c>
      <c r="T240" s="89" t="str">
        <f aca="true">IF($I240="","",IFERROR(MATCH($I240,L_TxnType,0),""))</f>
        <v/>
      </c>
    </row>
    <row r="241" customFormat="false" ht="15" hidden="false" customHeight="false" outlineLevel="0" collapsed="false">
      <c r="A241" s="77"/>
      <c r="B241" s="80"/>
      <c r="C241" s="78"/>
      <c r="D241" s="78"/>
      <c r="E241" s="79" t="str">
        <f aca="false">IF($R241="","",INDEX(Accounts!$C$6:$C$55,$R241)&amp;"")</f>
        <v/>
      </c>
      <c r="F241" s="79" t="str">
        <f aca="false">IF($S241="","",INDEX(Securities!$B$6:$B$105,$S241)&amp;"")</f>
        <v/>
      </c>
      <c r="G241" s="79" t="str">
        <f aca="false">IF($S241="","",INDEX(Securities!$E$6:$E$105,$S241)&amp;"")</f>
        <v/>
      </c>
      <c r="H241" s="79" t="str">
        <f aca="false">IF($S241="","",INDEX(Securities!$F$6:$F$105,$S241)&amp;"")</f>
        <v/>
      </c>
      <c r="I241" s="78"/>
      <c r="J241" s="81"/>
      <c r="K241" s="94"/>
      <c r="L241" s="82"/>
      <c r="M241" s="82"/>
      <c r="N241" s="85" t="str">
        <f aca="true">IF(OR($I241="",$T241=""),"",INDEX(L_TxnSign,$T241)*N($L241)-N($M241))</f>
        <v/>
      </c>
      <c r="O241" s="79" t="str">
        <f aca="true">IF($T241="","",INDEX(L_TxnCounts,$T241)&amp;"")</f>
        <v/>
      </c>
      <c r="P241" s="78"/>
      <c r="Q241" s="79" t="str">
        <f aca="false">IF($A241&amp;$C241&amp;$D241&amp;$I241="","",IF($A241="","Missing ID",IF(COUNTIF($A$6:$A$305,$A241)&gt;1,"Duplicate ID",IF(NOT(ISNUMBER($B241)),"Missing date",IF($R241="","Unknown account",IF($D241="","Missing security",IF($S241="","Unknown security",IF($T241="","Unknown type",IF(AND($L241="",$I241&lt;&gt;"Bonus / Split"),"No amount",IF(N($L241)&lt;0,"Type a positive amount; the sign comes from the type",IF(N($M241)&lt;0,"Type charges as a positive amount",IF(N($B241)&gt;ValDate,"Date after valuation",IF(AND(N($B241)&gt;PrevDate,COUNTIFS(Holdings!$B$6:$B$205,$C241,Holdings!$C$6:$C$205,$D241)=0),"No holding row (needed for Period Change)","OK")))))))))))))</f>
        <v/>
      </c>
      <c r="R241" s="89" t="str">
        <f aca="false">IF($C241="","",IFERROR(MATCH($C241,Accounts!$A$6:$A$55,0),""))</f>
        <v/>
      </c>
      <c r="S241" s="89" t="str">
        <f aca="false">IF($D241="","",IFERROR(MATCH($D241,Securities!$A$6:$A$105,0),""))</f>
        <v/>
      </c>
      <c r="T241" s="89" t="str">
        <f aca="true">IF($I241="","",IFERROR(MATCH($I241,L_TxnType,0),""))</f>
        <v/>
      </c>
    </row>
    <row r="242" customFormat="false" ht="15" hidden="false" customHeight="false" outlineLevel="0" collapsed="false">
      <c r="A242" s="77"/>
      <c r="B242" s="80"/>
      <c r="C242" s="78"/>
      <c r="D242" s="78"/>
      <c r="E242" s="79" t="str">
        <f aca="false">IF($R242="","",INDEX(Accounts!$C$6:$C$55,$R242)&amp;"")</f>
        <v/>
      </c>
      <c r="F242" s="79" t="str">
        <f aca="false">IF($S242="","",INDEX(Securities!$B$6:$B$105,$S242)&amp;"")</f>
        <v/>
      </c>
      <c r="G242" s="79" t="str">
        <f aca="false">IF($S242="","",INDEX(Securities!$E$6:$E$105,$S242)&amp;"")</f>
        <v/>
      </c>
      <c r="H242" s="79" t="str">
        <f aca="false">IF($S242="","",INDEX(Securities!$F$6:$F$105,$S242)&amp;"")</f>
        <v/>
      </c>
      <c r="I242" s="78"/>
      <c r="J242" s="81"/>
      <c r="K242" s="94"/>
      <c r="L242" s="82"/>
      <c r="M242" s="82"/>
      <c r="N242" s="85" t="str">
        <f aca="true">IF(OR($I242="",$T242=""),"",INDEX(L_TxnSign,$T242)*N($L242)-N($M242))</f>
        <v/>
      </c>
      <c r="O242" s="79" t="str">
        <f aca="true">IF($T242="","",INDEX(L_TxnCounts,$T242)&amp;"")</f>
        <v/>
      </c>
      <c r="P242" s="78"/>
      <c r="Q242" s="79" t="str">
        <f aca="false">IF($A242&amp;$C242&amp;$D242&amp;$I242="","",IF($A242="","Missing ID",IF(COUNTIF($A$6:$A$305,$A242)&gt;1,"Duplicate ID",IF(NOT(ISNUMBER($B242)),"Missing date",IF($R242="","Unknown account",IF($D242="","Missing security",IF($S242="","Unknown security",IF($T242="","Unknown type",IF(AND($L242="",$I242&lt;&gt;"Bonus / Split"),"No amount",IF(N($L242)&lt;0,"Type a positive amount; the sign comes from the type",IF(N($M242)&lt;0,"Type charges as a positive amount",IF(N($B242)&gt;ValDate,"Date after valuation",IF(AND(N($B242)&gt;PrevDate,COUNTIFS(Holdings!$B$6:$B$205,$C242,Holdings!$C$6:$C$205,$D242)=0),"No holding row (needed for Period Change)","OK")))))))))))))</f>
        <v/>
      </c>
      <c r="R242" s="89" t="str">
        <f aca="false">IF($C242="","",IFERROR(MATCH($C242,Accounts!$A$6:$A$55,0),""))</f>
        <v/>
      </c>
      <c r="S242" s="89" t="str">
        <f aca="false">IF($D242="","",IFERROR(MATCH($D242,Securities!$A$6:$A$105,0),""))</f>
        <v/>
      </c>
      <c r="T242" s="89" t="str">
        <f aca="true">IF($I242="","",IFERROR(MATCH($I242,L_TxnType,0),""))</f>
        <v/>
      </c>
    </row>
    <row r="243" customFormat="false" ht="15" hidden="false" customHeight="false" outlineLevel="0" collapsed="false">
      <c r="A243" s="77"/>
      <c r="B243" s="80"/>
      <c r="C243" s="78"/>
      <c r="D243" s="78"/>
      <c r="E243" s="79" t="str">
        <f aca="false">IF($R243="","",INDEX(Accounts!$C$6:$C$55,$R243)&amp;"")</f>
        <v/>
      </c>
      <c r="F243" s="79" t="str">
        <f aca="false">IF($S243="","",INDEX(Securities!$B$6:$B$105,$S243)&amp;"")</f>
        <v/>
      </c>
      <c r="G243" s="79" t="str">
        <f aca="false">IF($S243="","",INDEX(Securities!$E$6:$E$105,$S243)&amp;"")</f>
        <v/>
      </c>
      <c r="H243" s="79" t="str">
        <f aca="false">IF($S243="","",INDEX(Securities!$F$6:$F$105,$S243)&amp;"")</f>
        <v/>
      </c>
      <c r="I243" s="78"/>
      <c r="J243" s="81"/>
      <c r="K243" s="94"/>
      <c r="L243" s="82"/>
      <c r="M243" s="82"/>
      <c r="N243" s="85" t="str">
        <f aca="true">IF(OR($I243="",$T243=""),"",INDEX(L_TxnSign,$T243)*N($L243)-N($M243))</f>
        <v/>
      </c>
      <c r="O243" s="79" t="str">
        <f aca="true">IF($T243="","",INDEX(L_TxnCounts,$T243)&amp;"")</f>
        <v/>
      </c>
      <c r="P243" s="78"/>
      <c r="Q243" s="79" t="str">
        <f aca="false">IF($A243&amp;$C243&amp;$D243&amp;$I243="","",IF($A243="","Missing ID",IF(COUNTIF($A$6:$A$305,$A243)&gt;1,"Duplicate ID",IF(NOT(ISNUMBER($B243)),"Missing date",IF($R243="","Unknown account",IF($D243="","Missing security",IF($S243="","Unknown security",IF($T243="","Unknown type",IF(AND($L243="",$I243&lt;&gt;"Bonus / Split"),"No amount",IF(N($L243)&lt;0,"Type a positive amount; the sign comes from the type",IF(N($M243)&lt;0,"Type charges as a positive amount",IF(N($B243)&gt;ValDate,"Date after valuation",IF(AND(N($B243)&gt;PrevDate,COUNTIFS(Holdings!$B$6:$B$205,$C243,Holdings!$C$6:$C$205,$D243)=0),"No holding row (needed for Period Change)","OK")))))))))))))</f>
        <v/>
      </c>
      <c r="R243" s="89" t="str">
        <f aca="false">IF($C243="","",IFERROR(MATCH($C243,Accounts!$A$6:$A$55,0),""))</f>
        <v/>
      </c>
      <c r="S243" s="89" t="str">
        <f aca="false">IF($D243="","",IFERROR(MATCH($D243,Securities!$A$6:$A$105,0),""))</f>
        <v/>
      </c>
      <c r="T243" s="89" t="str">
        <f aca="true">IF($I243="","",IFERROR(MATCH($I243,L_TxnType,0),""))</f>
        <v/>
      </c>
    </row>
    <row r="244" customFormat="false" ht="15" hidden="false" customHeight="false" outlineLevel="0" collapsed="false">
      <c r="A244" s="77"/>
      <c r="B244" s="80"/>
      <c r="C244" s="78"/>
      <c r="D244" s="78"/>
      <c r="E244" s="79" t="str">
        <f aca="false">IF($R244="","",INDEX(Accounts!$C$6:$C$55,$R244)&amp;"")</f>
        <v/>
      </c>
      <c r="F244" s="79" t="str">
        <f aca="false">IF($S244="","",INDEX(Securities!$B$6:$B$105,$S244)&amp;"")</f>
        <v/>
      </c>
      <c r="G244" s="79" t="str">
        <f aca="false">IF($S244="","",INDEX(Securities!$E$6:$E$105,$S244)&amp;"")</f>
        <v/>
      </c>
      <c r="H244" s="79" t="str">
        <f aca="false">IF($S244="","",INDEX(Securities!$F$6:$F$105,$S244)&amp;"")</f>
        <v/>
      </c>
      <c r="I244" s="78"/>
      <c r="J244" s="81"/>
      <c r="K244" s="94"/>
      <c r="L244" s="82"/>
      <c r="M244" s="82"/>
      <c r="N244" s="85" t="str">
        <f aca="true">IF(OR($I244="",$T244=""),"",INDEX(L_TxnSign,$T244)*N($L244)-N($M244))</f>
        <v/>
      </c>
      <c r="O244" s="79" t="str">
        <f aca="true">IF($T244="","",INDEX(L_TxnCounts,$T244)&amp;"")</f>
        <v/>
      </c>
      <c r="P244" s="78"/>
      <c r="Q244" s="79" t="str">
        <f aca="false">IF($A244&amp;$C244&amp;$D244&amp;$I244="","",IF($A244="","Missing ID",IF(COUNTIF($A$6:$A$305,$A244)&gt;1,"Duplicate ID",IF(NOT(ISNUMBER($B244)),"Missing date",IF($R244="","Unknown account",IF($D244="","Missing security",IF($S244="","Unknown security",IF($T244="","Unknown type",IF(AND($L244="",$I244&lt;&gt;"Bonus / Split"),"No amount",IF(N($L244)&lt;0,"Type a positive amount; the sign comes from the type",IF(N($M244)&lt;0,"Type charges as a positive amount",IF(N($B244)&gt;ValDate,"Date after valuation",IF(AND(N($B244)&gt;PrevDate,COUNTIFS(Holdings!$B$6:$B$205,$C244,Holdings!$C$6:$C$205,$D244)=0),"No holding row (needed for Period Change)","OK")))))))))))))</f>
        <v/>
      </c>
      <c r="R244" s="89" t="str">
        <f aca="false">IF($C244="","",IFERROR(MATCH($C244,Accounts!$A$6:$A$55,0),""))</f>
        <v/>
      </c>
      <c r="S244" s="89" t="str">
        <f aca="false">IF($D244="","",IFERROR(MATCH($D244,Securities!$A$6:$A$105,0),""))</f>
        <v/>
      </c>
      <c r="T244" s="89" t="str">
        <f aca="true">IF($I244="","",IFERROR(MATCH($I244,L_TxnType,0),""))</f>
        <v/>
      </c>
    </row>
    <row r="245" customFormat="false" ht="15" hidden="false" customHeight="false" outlineLevel="0" collapsed="false">
      <c r="A245" s="77"/>
      <c r="B245" s="80"/>
      <c r="C245" s="78"/>
      <c r="D245" s="78"/>
      <c r="E245" s="79" t="str">
        <f aca="false">IF($R245="","",INDEX(Accounts!$C$6:$C$55,$R245)&amp;"")</f>
        <v/>
      </c>
      <c r="F245" s="79" t="str">
        <f aca="false">IF($S245="","",INDEX(Securities!$B$6:$B$105,$S245)&amp;"")</f>
        <v/>
      </c>
      <c r="G245" s="79" t="str">
        <f aca="false">IF($S245="","",INDEX(Securities!$E$6:$E$105,$S245)&amp;"")</f>
        <v/>
      </c>
      <c r="H245" s="79" t="str">
        <f aca="false">IF($S245="","",INDEX(Securities!$F$6:$F$105,$S245)&amp;"")</f>
        <v/>
      </c>
      <c r="I245" s="78"/>
      <c r="J245" s="81"/>
      <c r="K245" s="94"/>
      <c r="L245" s="82"/>
      <c r="M245" s="82"/>
      <c r="N245" s="85" t="str">
        <f aca="true">IF(OR($I245="",$T245=""),"",INDEX(L_TxnSign,$T245)*N($L245)-N($M245))</f>
        <v/>
      </c>
      <c r="O245" s="79" t="str">
        <f aca="true">IF($T245="","",INDEX(L_TxnCounts,$T245)&amp;"")</f>
        <v/>
      </c>
      <c r="P245" s="78"/>
      <c r="Q245" s="79" t="str">
        <f aca="false">IF($A245&amp;$C245&amp;$D245&amp;$I245="","",IF($A245="","Missing ID",IF(COUNTIF($A$6:$A$305,$A245)&gt;1,"Duplicate ID",IF(NOT(ISNUMBER($B245)),"Missing date",IF($R245="","Unknown account",IF($D245="","Missing security",IF($S245="","Unknown security",IF($T245="","Unknown type",IF(AND($L245="",$I245&lt;&gt;"Bonus / Split"),"No amount",IF(N($L245)&lt;0,"Type a positive amount; the sign comes from the type",IF(N($M245)&lt;0,"Type charges as a positive amount",IF(N($B245)&gt;ValDate,"Date after valuation",IF(AND(N($B245)&gt;PrevDate,COUNTIFS(Holdings!$B$6:$B$205,$C245,Holdings!$C$6:$C$205,$D245)=0),"No holding row (needed for Period Change)","OK")))))))))))))</f>
        <v/>
      </c>
      <c r="R245" s="89" t="str">
        <f aca="false">IF($C245="","",IFERROR(MATCH($C245,Accounts!$A$6:$A$55,0),""))</f>
        <v/>
      </c>
      <c r="S245" s="89" t="str">
        <f aca="false">IF($D245="","",IFERROR(MATCH($D245,Securities!$A$6:$A$105,0),""))</f>
        <v/>
      </c>
      <c r="T245" s="89" t="str">
        <f aca="true">IF($I245="","",IFERROR(MATCH($I245,L_TxnType,0),""))</f>
        <v/>
      </c>
    </row>
    <row r="246" customFormat="false" ht="15" hidden="false" customHeight="false" outlineLevel="0" collapsed="false">
      <c r="A246" s="77"/>
      <c r="B246" s="80"/>
      <c r="C246" s="78"/>
      <c r="D246" s="78"/>
      <c r="E246" s="79" t="str">
        <f aca="false">IF($R246="","",INDEX(Accounts!$C$6:$C$55,$R246)&amp;"")</f>
        <v/>
      </c>
      <c r="F246" s="79" t="str">
        <f aca="false">IF($S246="","",INDEX(Securities!$B$6:$B$105,$S246)&amp;"")</f>
        <v/>
      </c>
      <c r="G246" s="79" t="str">
        <f aca="false">IF($S246="","",INDEX(Securities!$E$6:$E$105,$S246)&amp;"")</f>
        <v/>
      </c>
      <c r="H246" s="79" t="str">
        <f aca="false">IF($S246="","",INDEX(Securities!$F$6:$F$105,$S246)&amp;"")</f>
        <v/>
      </c>
      <c r="I246" s="78"/>
      <c r="J246" s="81"/>
      <c r="K246" s="94"/>
      <c r="L246" s="82"/>
      <c r="M246" s="82"/>
      <c r="N246" s="85" t="str">
        <f aca="true">IF(OR($I246="",$T246=""),"",INDEX(L_TxnSign,$T246)*N($L246)-N($M246))</f>
        <v/>
      </c>
      <c r="O246" s="79" t="str">
        <f aca="true">IF($T246="","",INDEX(L_TxnCounts,$T246)&amp;"")</f>
        <v/>
      </c>
      <c r="P246" s="78"/>
      <c r="Q246" s="79" t="str">
        <f aca="false">IF($A246&amp;$C246&amp;$D246&amp;$I246="","",IF($A246="","Missing ID",IF(COUNTIF($A$6:$A$305,$A246)&gt;1,"Duplicate ID",IF(NOT(ISNUMBER($B246)),"Missing date",IF($R246="","Unknown account",IF($D246="","Missing security",IF($S246="","Unknown security",IF($T246="","Unknown type",IF(AND($L246="",$I246&lt;&gt;"Bonus / Split"),"No amount",IF(N($L246)&lt;0,"Type a positive amount; the sign comes from the type",IF(N($M246)&lt;0,"Type charges as a positive amount",IF(N($B246)&gt;ValDate,"Date after valuation",IF(AND(N($B246)&gt;PrevDate,COUNTIFS(Holdings!$B$6:$B$205,$C246,Holdings!$C$6:$C$205,$D246)=0),"No holding row (needed for Period Change)","OK")))))))))))))</f>
        <v/>
      </c>
      <c r="R246" s="89" t="str">
        <f aca="false">IF($C246="","",IFERROR(MATCH($C246,Accounts!$A$6:$A$55,0),""))</f>
        <v/>
      </c>
      <c r="S246" s="89" t="str">
        <f aca="false">IF($D246="","",IFERROR(MATCH($D246,Securities!$A$6:$A$105,0),""))</f>
        <v/>
      </c>
      <c r="T246" s="89" t="str">
        <f aca="true">IF($I246="","",IFERROR(MATCH($I246,L_TxnType,0),""))</f>
        <v/>
      </c>
    </row>
    <row r="247" customFormat="false" ht="15" hidden="false" customHeight="false" outlineLevel="0" collapsed="false">
      <c r="A247" s="77"/>
      <c r="B247" s="80"/>
      <c r="C247" s="78"/>
      <c r="D247" s="78"/>
      <c r="E247" s="79" t="str">
        <f aca="false">IF($R247="","",INDEX(Accounts!$C$6:$C$55,$R247)&amp;"")</f>
        <v/>
      </c>
      <c r="F247" s="79" t="str">
        <f aca="false">IF($S247="","",INDEX(Securities!$B$6:$B$105,$S247)&amp;"")</f>
        <v/>
      </c>
      <c r="G247" s="79" t="str">
        <f aca="false">IF($S247="","",INDEX(Securities!$E$6:$E$105,$S247)&amp;"")</f>
        <v/>
      </c>
      <c r="H247" s="79" t="str">
        <f aca="false">IF($S247="","",INDEX(Securities!$F$6:$F$105,$S247)&amp;"")</f>
        <v/>
      </c>
      <c r="I247" s="78"/>
      <c r="J247" s="81"/>
      <c r="K247" s="94"/>
      <c r="L247" s="82"/>
      <c r="M247" s="82"/>
      <c r="N247" s="85" t="str">
        <f aca="true">IF(OR($I247="",$T247=""),"",INDEX(L_TxnSign,$T247)*N($L247)-N($M247))</f>
        <v/>
      </c>
      <c r="O247" s="79" t="str">
        <f aca="true">IF($T247="","",INDEX(L_TxnCounts,$T247)&amp;"")</f>
        <v/>
      </c>
      <c r="P247" s="78"/>
      <c r="Q247" s="79" t="str">
        <f aca="false">IF($A247&amp;$C247&amp;$D247&amp;$I247="","",IF($A247="","Missing ID",IF(COUNTIF($A$6:$A$305,$A247)&gt;1,"Duplicate ID",IF(NOT(ISNUMBER($B247)),"Missing date",IF($R247="","Unknown account",IF($D247="","Missing security",IF($S247="","Unknown security",IF($T247="","Unknown type",IF(AND($L247="",$I247&lt;&gt;"Bonus / Split"),"No amount",IF(N($L247)&lt;0,"Type a positive amount; the sign comes from the type",IF(N($M247)&lt;0,"Type charges as a positive amount",IF(N($B247)&gt;ValDate,"Date after valuation",IF(AND(N($B247)&gt;PrevDate,COUNTIFS(Holdings!$B$6:$B$205,$C247,Holdings!$C$6:$C$205,$D247)=0),"No holding row (needed for Period Change)","OK")))))))))))))</f>
        <v/>
      </c>
      <c r="R247" s="89" t="str">
        <f aca="false">IF($C247="","",IFERROR(MATCH($C247,Accounts!$A$6:$A$55,0),""))</f>
        <v/>
      </c>
      <c r="S247" s="89" t="str">
        <f aca="false">IF($D247="","",IFERROR(MATCH($D247,Securities!$A$6:$A$105,0),""))</f>
        <v/>
      </c>
      <c r="T247" s="89" t="str">
        <f aca="true">IF($I247="","",IFERROR(MATCH($I247,L_TxnType,0),""))</f>
        <v/>
      </c>
    </row>
    <row r="248" customFormat="false" ht="15" hidden="false" customHeight="false" outlineLevel="0" collapsed="false">
      <c r="A248" s="77"/>
      <c r="B248" s="80"/>
      <c r="C248" s="78"/>
      <c r="D248" s="78"/>
      <c r="E248" s="79" t="str">
        <f aca="false">IF($R248="","",INDEX(Accounts!$C$6:$C$55,$R248)&amp;"")</f>
        <v/>
      </c>
      <c r="F248" s="79" t="str">
        <f aca="false">IF($S248="","",INDEX(Securities!$B$6:$B$105,$S248)&amp;"")</f>
        <v/>
      </c>
      <c r="G248" s="79" t="str">
        <f aca="false">IF($S248="","",INDEX(Securities!$E$6:$E$105,$S248)&amp;"")</f>
        <v/>
      </c>
      <c r="H248" s="79" t="str">
        <f aca="false">IF($S248="","",INDEX(Securities!$F$6:$F$105,$S248)&amp;"")</f>
        <v/>
      </c>
      <c r="I248" s="78"/>
      <c r="J248" s="81"/>
      <c r="K248" s="94"/>
      <c r="L248" s="82"/>
      <c r="M248" s="82"/>
      <c r="N248" s="85" t="str">
        <f aca="true">IF(OR($I248="",$T248=""),"",INDEX(L_TxnSign,$T248)*N($L248)-N($M248))</f>
        <v/>
      </c>
      <c r="O248" s="79" t="str">
        <f aca="true">IF($T248="","",INDEX(L_TxnCounts,$T248)&amp;"")</f>
        <v/>
      </c>
      <c r="P248" s="78"/>
      <c r="Q248" s="79" t="str">
        <f aca="false">IF($A248&amp;$C248&amp;$D248&amp;$I248="","",IF($A248="","Missing ID",IF(COUNTIF($A$6:$A$305,$A248)&gt;1,"Duplicate ID",IF(NOT(ISNUMBER($B248)),"Missing date",IF($R248="","Unknown account",IF($D248="","Missing security",IF($S248="","Unknown security",IF($T248="","Unknown type",IF(AND($L248="",$I248&lt;&gt;"Bonus / Split"),"No amount",IF(N($L248)&lt;0,"Type a positive amount; the sign comes from the type",IF(N($M248)&lt;0,"Type charges as a positive amount",IF(N($B248)&gt;ValDate,"Date after valuation",IF(AND(N($B248)&gt;PrevDate,COUNTIFS(Holdings!$B$6:$B$205,$C248,Holdings!$C$6:$C$205,$D248)=0),"No holding row (needed for Period Change)","OK")))))))))))))</f>
        <v/>
      </c>
      <c r="R248" s="89" t="str">
        <f aca="false">IF($C248="","",IFERROR(MATCH($C248,Accounts!$A$6:$A$55,0),""))</f>
        <v/>
      </c>
      <c r="S248" s="89" t="str">
        <f aca="false">IF($D248="","",IFERROR(MATCH($D248,Securities!$A$6:$A$105,0),""))</f>
        <v/>
      </c>
      <c r="T248" s="89" t="str">
        <f aca="true">IF($I248="","",IFERROR(MATCH($I248,L_TxnType,0),""))</f>
        <v/>
      </c>
    </row>
    <row r="249" customFormat="false" ht="15" hidden="false" customHeight="false" outlineLevel="0" collapsed="false">
      <c r="A249" s="77"/>
      <c r="B249" s="80"/>
      <c r="C249" s="78"/>
      <c r="D249" s="78"/>
      <c r="E249" s="79" t="str">
        <f aca="false">IF($R249="","",INDEX(Accounts!$C$6:$C$55,$R249)&amp;"")</f>
        <v/>
      </c>
      <c r="F249" s="79" t="str">
        <f aca="false">IF($S249="","",INDEX(Securities!$B$6:$B$105,$S249)&amp;"")</f>
        <v/>
      </c>
      <c r="G249" s="79" t="str">
        <f aca="false">IF($S249="","",INDEX(Securities!$E$6:$E$105,$S249)&amp;"")</f>
        <v/>
      </c>
      <c r="H249" s="79" t="str">
        <f aca="false">IF($S249="","",INDEX(Securities!$F$6:$F$105,$S249)&amp;"")</f>
        <v/>
      </c>
      <c r="I249" s="78"/>
      <c r="J249" s="81"/>
      <c r="K249" s="94"/>
      <c r="L249" s="82"/>
      <c r="M249" s="82"/>
      <c r="N249" s="85" t="str">
        <f aca="true">IF(OR($I249="",$T249=""),"",INDEX(L_TxnSign,$T249)*N($L249)-N($M249))</f>
        <v/>
      </c>
      <c r="O249" s="79" t="str">
        <f aca="true">IF($T249="","",INDEX(L_TxnCounts,$T249)&amp;"")</f>
        <v/>
      </c>
      <c r="P249" s="78"/>
      <c r="Q249" s="79" t="str">
        <f aca="false">IF($A249&amp;$C249&amp;$D249&amp;$I249="","",IF($A249="","Missing ID",IF(COUNTIF($A$6:$A$305,$A249)&gt;1,"Duplicate ID",IF(NOT(ISNUMBER($B249)),"Missing date",IF($R249="","Unknown account",IF($D249="","Missing security",IF($S249="","Unknown security",IF($T249="","Unknown type",IF(AND($L249="",$I249&lt;&gt;"Bonus / Split"),"No amount",IF(N($L249)&lt;0,"Type a positive amount; the sign comes from the type",IF(N($M249)&lt;0,"Type charges as a positive amount",IF(N($B249)&gt;ValDate,"Date after valuation",IF(AND(N($B249)&gt;PrevDate,COUNTIFS(Holdings!$B$6:$B$205,$C249,Holdings!$C$6:$C$205,$D249)=0),"No holding row (needed for Period Change)","OK")))))))))))))</f>
        <v/>
      </c>
      <c r="R249" s="89" t="str">
        <f aca="false">IF($C249="","",IFERROR(MATCH($C249,Accounts!$A$6:$A$55,0),""))</f>
        <v/>
      </c>
      <c r="S249" s="89" t="str">
        <f aca="false">IF($D249="","",IFERROR(MATCH($D249,Securities!$A$6:$A$105,0),""))</f>
        <v/>
      </c>
      <c r="T249" s="89" t="str">
        <f aca="true">IF($I249="","",IFERROR(MATCH($I249,L_TxnType,0),""))</f>
        <v/>
      </c>
    </row>
    <row r="250" customFormat="false" ht="15" hidden="false" customHeight="false" outlineLevel="0" collapsed="false">
      <c r="A250" s="77"/>
      <c r="B250" s="80"/>
      <c r="C250" s="78"/>
      <c r="D250" s="78"/>
      <c r="E250" s="79" t="str">
        <f aca="false">IF($R250="","",INDEX(Accounts!$C$6:$C$55,$R250)&amp;"")</f>
        <v/>
      </c>
      <c r="F250" s="79" t="str">
        <f aca="false">IF($S250="","",INDEX(Securities!$B$6:$B$105,$S250)&amp;"")</f>
        <v/>
      </c>
      <c r="G250" s="79" t="str">
        <f aca="false">IF($S250="","",INDEX(Securities!$E$6:$E$105,$S250)&amp;"")</f>
        <v/>
      </c>
      <c r="H250" s="79" t="str">
        <f aca="false">IF($S250="","",INDEX(Securities!$F$6:$F$105,$S250)&amp;"")</f>
        <v/>
      </c>
      <c r="I250" s="78"/>
      <c r="J250" s="81"/>
      <c r="K250" s="94"/>
      <c r="L250" s="82"/>
      <c r="M250" s="82"/>
      <c r="N250" s="85" t="str">
        <f aca="true">IF(OR($I250="",$T250=""),"",INDEX(L_TxnSign,$T250)*N($L250)-N($M250))</f>
        <v/>
      </c>
      <c r="O250" s="79" t="str">
        <f aca="true">IF($T250="","",INDEX(L_TxnCounts,$T250)&amp;"")</f>
        <v/>
      </c>
      <c r="P250" s="78"/>
      <c r="Q250" s="79" t="str">
        <f aca="false">IF($A250&amp;$C250&amp;$D250&amp;$I250="","",IF($A250="","Missing ID",IF(COUNTIF($A$6:$A$305,$A250)&gt;1,"Duplicate ID",IF(NOT(ISNUMBER($B250)),"Missing date",IF($R250="","Unknown account",IF($D250="","Missing security",IF($S250="","Unknown security",IF($T250="","Unknown type",IF(AND($L250="",$I250&lt;&gt;"Bonus / Split"),"No amount",IF(N($L250)&lt;0,"Type a positive amount; the sign comes from the type",IF(N($M250)&lt;0,"Type charges as a positive amount",IF(N($B250)&gt;ValDate,"Date after valuation",IF(AND(N($B250)&gt;PrevDate,COUNTIFS(Holdings!$B$6:$B$205,$C250,Holdings!$C$6:$C$205,$D250)=0),"No holding row (needed for Period Change)","OK")))))))))))))</f>
        <v/>
      </c>
      <c r="R250" s="89" t="str">
        <f aca="false">IF($C250="","",IFERROR(MATCH($C250,Accounts!$A$6:$A$55,0),""))</f>
        <v/>
      </c>
      <c r="S250" s="89" t="str">
        <f aca="false">IF($D250="","",IFERROR(MATCH($D250,Securities!$A$6:$A$105,0),""))</f>
        <v/>
      </c>
      <c r="T250" s="89" t="str">
        <f aca="true">IF($I250="","",IFERROR(MATCH($I250,L_TxnType,0),""))</f>
        <v/>
      </c>
    </row>
    <row r="251" customFormat="false" ht="15" hidden="false" customHeight="false" outlineLevel="0" collapsed="false">
      <c r="A251" s="77"/>
      <c r="B251" s="80"/>
      <c r="C251" s="78"/>
      <c r="D251" s="78"/>
      <c r="E251" s="79" t="str">
        <f aca="false">IF($R251="","",INDEX(Accounts!$C$6:$C$55,$R251)&amp;"")</f>
        <v/>
      </c>
      <c r="F251" s="79" t="str">
        <f aca="false">IF($S251="","",INDEX(Securities!$B$6:$B$105,$S251)&amp;"")</f>
        <v/>
      </c>
      <c r="G251" s="79" t="str">
        <f aca="false">IF($S251="","",INDEX(Securities!$E$6:$E$105,$S251)&amp;"")</f>
        <v/>
      </c>
      <c r="H251" s="79" t="str">
        <f aca="false">IF($S251="","",INDEX(Securities!$F$6:$F$105,$S251)&amp;"")</f>
        <v/>
      </c>
      <c r="I251" s="78"/>
      <c r="J251" s="81"/>
      <c r="K251" s="94"/>
      <c r="L251" s="82"/>
      <c r="M251" s="82"/>
      <c r="N251" s="85" t="str">
        <f aca="true">IF(OR($I251="",$T251=""),"",INDEX(L_TxnSign,$T251)*N($L251)-N($M251))</f>
        <v/>
      </c>
      <c r="O251" s="79" t="str">
        <f aca="true">IF($T251="","",INDEX(L_TxnCounts,$T251)&amp;"")</f>
        <v/>
      </c>
      <c r="P251" s="78"/>
      <c r="Q251" s="79" t="str">
        <f aca="false">IF($A251&amp;$C251&amp;$D251&amp;$I251="","",IF($A251="","Missing ID",IF(COUNTIF($A$6:$A$305,$A251)&gt;1,"Duplicate ID",IF(NOT(ISNUMBER($B251)),"Missing date",IF($R251="","Unknown account",IF($D251="","Missing security",IF($S251="","Unknown security",IF($T251="","Unknown type",IF(AND($L251="",$I251&lt;&gt;"Bonus / Split"),"No amount",IF(N($L251)&lt;0,"Type a positive amount; the sign comes from the type",IF(N($M251)&lt;0,"Type charges as a positive amount",IF(N($B251)&gt;ValDate,"Date after valuation",IF(AND(N($B251)&gt;PrevDate,COUNTIFS(Holdings!$B$6:$B$205,$C251,Holdings!$C$6:$C$205,$D251)=0),"No holding row (needed for Period Change)","OK")))))))))))))</f>
        <v/>
      </c>
      <c r="R251" s="89" t="str">
        <f aca="false">IF($C251="","",IFERROR(MATCH($C251,Accounts!$A$6:$A$55,0),""))</f>
        <v/>
      </c>
      <c r="S251" s="89" t="str">
        <f aca="false">IF($D251="","",IFERROR(MATCH($D251,Securities!$A$6:$A$105,0),""))</f>
        <v/>
      </c>
      <c r="T251" s="89" t="str">
        <f aca="true">IF($I251="","",IFERROR(MATCH($I251,L_TxnType,0),""))</f>
        <v/>
      </c>
    </row>
    <row r="252" customFormat="false" ht="15" hidden="false" customHeight="false" outlineLevel="0" collapsed="false">
      <c r="A252" s="77"/>
      <c r="B252" s="80"/>
      <c r="C252" s="78"/>
      <c r="D252" s="78"/>
      <c r="E252" s="79" t="str">
        <f aca="false">IF($R252="","",INDEX(Accounts!$C$6:$C$55,$R252)&amp;"")</f>
        <v/>
      </c>
      <c r="F252" s="79" t="str">
        <f aca="false">IF($S252="","",INDEX(Securities!$B$6:$B$105,$S252)&amp;"")</f>
        <v/>
      </c>
      <c r="G252" s="79" t="str">
        <f aca="false">IF($S252="","",INDEX(Securities!$E$6:$E$105,$S252)&amp;"")</f>
        <v/>
      </c>
      <c r="H252" s="79" t="str">
        <f aca="false">IF($S252="","",INDEX(Securities!$F$6:$F$105,$S252)&amp;"")</f>
        <v/>
      </c>
      <c r="I252" s="78"/>
      <c r="J252" s="81"/>
      <c r="K252" s="94"/>
      <c r="L252" s="82"/>
      <c r="M252" s="82"/>
      <c r="N252" s="85" t="str">
        <f aca="true">IF(OR($I252="",$T252=""),"",INDEX(L_TxnSign,$T252)*N($L252)-N($M252))</f>
        <v/>
      </c>
      <c r="O252" s="79" t="str">
        <f aca="true">IF($T252="","",INDEX(L_TxnCounts,$T252)&amp;"")</f>
        <v/>
      </c>
      <c r="P252" s="78"/>
      <c r="Q252" s="79" t="str">
        <f aca="false">IF($A252&amp;$C252&amp;$D252&amp;$I252="","",IF($A252="","Missing ID",IF(COUNTIF($A$6:$A$305,$A252)&gt;1,"Duplicate ID",IF(NOT(ISNUMBER($B252)),"Missing date",IF($R252="","Unknown account",IF($D252="","Missing security",IF($S252="","Unknown security",IF($T252="","Unknown type",IF(AND($L252="",$I252&lt;&gt;"Bonus / Split"),"No amount",IF(N($L252)&lt;0,"Type a positive amount; the sign comes from the type",IF(N($M252)&lt;0,"Type charges as a positive amount",IF(N($B252)&gt;ValDate,"Date after valuation",IF(AND(N($B252)&gt;PrevDate,COUNTIFS(Holdings!$B$6:$B$205,$C252,Holdings!$C$6:$C$205,$D252)=0),"No holding row (needed for Period Change)","OK")))))))))))))</f>
        <v/>
      </c>
      <c r="R252" s="89" t="str">
        <f aca="false">IF($C252="","",IFERROR(MATCH($C252,Accounts!$A$6:$A$55,0),""))</f>
        <v/>
      </c>
      <c r="S252" s="89" t="str">
        <f aca="false">IF($D252="","",IFERROR(MATCH($D252,Securities!$A$6:$A$105,0),""))</f>
        <v/>
      </c>
      <c r="T252" s="89" t="str">
        <f aca="true">IF($I252="","",IFERROR(MATCH($I252,L_TxnType,0),""))</f>
        <v/>
      </c>
    </row>
    <row r="253" customFormat="false" ht="15" hidden="false" customHeight="false" outlineLevel="0" collapsed="false">
      <c r="A253" s="77"/>
      <c r="B253" s="80"/>
      <c r="C253" s="78"/>
      <c r="D253" s="78"/>
      <c r="E253" s="79" t="str">
        <f aca="false">IF($R253="","",INDEX(Accounts!$C$6:$C$55,$R253)&amp;"")</f>
        <v/>
      </c>
      <c r="F253" s="79" t="str">
        <f aca="false">IF($S253="","",INDEX(Securities!$B$6:$B$105,$S253)&amp;"")</f>
        <v/>
      </c>
      <c r="G253" s="79" t="str">
        <f aca="false">IF($S253="","",INDEX(Securities!$E$6:$E$105,$S253)&amp;"")</f>
        <v/>
      </c>
      <c r="H253" s="79" t="str">
        <f aca="false">IF($S253="","",INDEX(Securities!$F$6:$F$105,$S253)&amp;"")</f>
        <v/>
      </c>
      <c r="I253" s="78"/>
      <c r="J253" s="81"/>
      <c r="K253" s="94"/>
      <c r="L253" s="82"/>
      <c r="M253" s="82"/>
      <c r="N253" s="85" t="str">
        <f aca="true">IF(OR($I253="",$T253=""),"",INDEX(L_TxnSign,$T253)*N($L253)-N($M253))</f>
        <v/>
      </c>
      <c r="O253" s="79" t="str">
        <f aca="true">IF($T253="","",INDEX(L_TxnCounts,$T253)&amp;"")</f>
        <v/>
      </c>
      <c r="P253" s="78"/>
      <c r="Q253" s="79" t="str">
        <f aca="false">IF($A253&amp;$C253&amp;$D253&amp;$I253="","",IF($A253="","Missing ID",IF(COUNTIF($A$6:$A$305,$A253)&gt;1,"Duplicate ID",IF(NOT(ISNUMBER($B253)),"Missing date",IF($R253="","Unknown account",IF($D253="","Missing security",IF($S253="","Unknown security",IF($T253="","Unknown type",IF(AND($L253="",$I253&lt;&gt;"Bonus / Split"),"No amount",IF(N($L253)&lt;0,"Type a positive amount; the sign comes from the type",IF(N($M253)&lt;0,"Type charges as a positive amount",IF(N($B253)&gt;ValDate,"Date after valuation",IF(AND(N($B253)&gt;PrevDate,COUNTIFS(Holdings!$B$6:$B$205,$C253,Holdings!$C$6:$C$205,$D253)=0),"No holding row (needed for Period Change)","OK")))))))))))))</f>
        <v/>
      </c>
      <c r="R253" s="89" t="str">
        <f aca="false">IF($C253="","",IFERROR(MATCH($C253,Accounts!$A$6:$A$55,0),""))</f>
        <v/>
      </c>
      <c r="S253" s="89" t="str">
        <f aca="false">IF($D253="","",IFERROR(MATCH($D253,Securities!$A$6:$A$105,0),""))</f>
        <v/>
      </c>
      <c r="T253" s="89" t="str">
        <f aca="true">IF($I253="","",IFERROR(MATCH($I253,L_TxnType,0),""))</f>
        <v/>
      </c>
    </row>
    <row r="254" customFormat="false" ht="15" hidden="false" customHeight="false" outlineLevel="0" collapsed="false">
      <c r="A254" s="77"/>
      <c r="B254" s="80"/>
      <c r="C254" s="78"/>
      <c r="D254" s="78"/>
      <c r="E254" s="79" t="str">
        <f aca="false">IF($R254="","",INDEX(Accounts!$C$6:$C$55,$R254)&amp;"")</f>
        <v/>
      </c>
      <c r="F254" s="79" t="str">
        <f aca="false">IF($S254="","",INDEX(Securities!$B$6:$B$105,$S254)&amp;"")</f>
        <v/>
      </c>
      <c r="G254" s="79" t="str">
        <f aca="false">IF($S254="","",INDEX(Securities!$E$6:$E$105,$S254)&amp;"")</f>
        <v/>
      </c>
      <c r="H254" s="79" t="str">
        <f aca="false">IF($S254="","",INDEX(Securities!$F$6:$F$105,$S254)&amp;"")</f>
        <v/>
      </c>
      <c r="I254" s="78"/>
      <c r="J254" s="81"/>
      <c r="K254" s="94"/>
      <c r="L254" s="82"/>
      <c r="M254" s="82"/>
      <c r="N254" s="85" t="str">
        <f aca="true">IF(OR($I254="",$T254=""),"",INDEX(L_TxnSign,$T254)*N($L254)-N($M254))</f>
        <v/>
      </c>
      <c r="O254" s="79" t="str">
        <f aca="true">IF($T254="","",INDEX(L_TxnCounts,$T254)&amp;"")</f>
        <v/>
      </c>
      <c r="P254" s="78"/>
      <c r="Q254" s="79" t="str">
        <f aca="false">IF($A254&amp;$C254&amp;$D254&amp;$I254="","",IF($A254="","Missing ID",IF(COUNTIF($A$6:$A$305,$A254)&gt;1,"Duplicate ID",IF(NOT(ISNUMBER($B254)),"Missing date",IF($R254="","Unknown account",IF($D254="","Missing security",IF($S254="","Unknown security",IF($T254="","Unknown type",IF(AND($L254="",$I254&lt;&gt;"Bonus / Split"),"No amount",IF(N($L254)&lt;0,"Type a positive amount; the sign comes from the type",IF(N($M254)&lt;0,"Type charges as a positive amount",IF(N($B254)&gt;ValDate,"Date after valuation",IF(AND(N($B254)&gt;PrevDate,COUNTIFS(Holdings!$B$6:$B$205,$C254,Holdings!$C$6:$C$205,$D254)=0),"No holding row (needed for Period Change)","OK")))))))))))))</f>
        <v/>
      </c>
      <c r="R254" s="89" t="str">
        <f aca="false">IF($C254="","",IFERROR(MATCH($C254,Accounts!$A$6:$A$55,0),""))</f>
        <v/>
      </c>
      <c r="S254" s="89" t="str">
        <f aca="false">IF($D254="","",IFERROR(MATCH($D254,Securities!$A$6:$A$105,0),""))</f>
        <v/>
      </c>
      <c r="T254" s="89" t="str">
        <f aca="true">IF($I254="","",IFERROR(MATCH($I254,L_TxnType,0),""))</f>
        <v/>
      </c>
    </row>
    <row r="255" customFormat="false" ht="15" hidden="false" customHeight="false" outlineLevel="0" collapsed="false">
      <c r="A255" s="77"/>
      <c r="B255" s="80"/>
      <c r="C255" s="78"/>
      <c r="D255" s="78"/>
      <c r="E255" s="79" t="str">
        <f aca="false">IF($R255="","",INDEX(Accounts!$C$6:$C$55,$R255)&amp;"")</f>
        <v/>
      </c>
      <c r="F255" s="79" t="str">
        <f aca="false">IF($S255="","",INDEX(Securities!$B$6:$B$105,$S255)&amp;"")</f>
        <v/>
      </c>
      <c r="G255" s="79" t="str">
        <f aca="false">IF($S255="","",INDEX(Securities!$E$6:$E$105,$S255)&amp;"")</f>
        <v/>
      </c>
      <c r="H255" s="79" t="str">
        <f aca="false">IF($S255="","",INDEX(Securities!$F$6:$F$105,$S255)&amp;"")</f>
        <v/>
      </c>
      <c r="I255" s="78"/>
      <c r="J255" s="81"/>
      <c r="K255" s="94"/>
      <c r="L255" s="82"/>
      <c r="M255" s="82"/>
      <c r="N255" s="85" t="str">
        <f aca="true">IF(OR($I255="",$T255=""),"",INDEX(L_TxnSign,$T255)*N($L255)-N($M255))</f>
        <v/>
      </c>
      <c r="O255" s="79" t="str">
        <f aca="true">IF($T255="","",INDEX(L_TxnCounts,$T255)&amp;"")</f>
        <v/>
      </c>
      <c r="P255" s="78"/>
      <c r="Q255" s="79" t="str">
        <f aca="false">IF($A255&amp;$C255&amp;$D255&amp;$I255="","",IF($A255="","Missing ID",IF(COUNTIF($A$6:$A$305,$A255)&gt;1,"Duplicate ID",IF(NOT(ISNUMBER($B255)),"Missing date",IF($R255="","Unknown account",IF($D255="","Missing security",IF($S255="","Unknown security",IF($T255="","Unknown type",IF(AND($L255="",$I255&lt;&gt;"Bonus / Split"),"No amount",IF(N($L255)&lt;0,"Type a positive amount; the sign comes from the type",IF(N($M255)&lt;0,"Type charges as a positive amount",IF(N($B255)&gt;ValDate,"Date after valuation",IF(AND(N($B255)&gt;PrevDate,COUNTIFS(Holdings!$B$6:$B$205,$C255,Holdings!$C$6:$C$205,$D255)=0),"No holding row (needed for Period Change)","OK")))))))))))))</f>
        <v/>
      </c>
      <c r="R255" s="89" t="str">
        <f aca="false">IF($C255="","",IFERROR(MATCH($C255,Accounts!$A$6:$A$55,0),""))</f>
        <v/>
      </c>
      <c r="S255" s="89" t="str">
        <f aca="false">IF($D255="","",IFERROR(MATCH($D255,Securities!$A$6:$A$105,0),""))</f>
        <v/>
      </c>
      <c r="T255" s="89" t="str">
        <f aca="true">IF($I255="","",IFERROR(MATCH($I255,L_TxnType,0),""))</f>
        <v/>
      </c>
    </row>
    <row r="256" customFormat="false" ht="15" hidden="false" customHeight="false" outlineLevel="0" collapsed="false">
      <c r="A256" s="77"/>
      <c r="B256" s="80"/>
      <c r="C256" s="78"/>
      <c r="D256" s="78"/>
      <c r="E256" s="79" t="str">
        <f aca="false">IF($R256="","",INDEX(Accounts!$C$6:$C$55,$R256)&amp;"")</f>
        <v/>
      </c>
      <c r="F256" s="79" t="str">
        <f aca="false">IF($S256="","",INDEX(Securities!$B$6:$B$105,$S256)&amp;"")</f>
        <v/>
      </c>
      <c r="G256" s="79" t="str">
        <f aca="false">IF($S256="","",INDEX(Securities!$E$6:$E$105,$S256)&amp;"")</f>
        <v/>
      </c>
      <c r="H256" s="79" t="str">
        <f aca="false">IF($S256="","",INDEX(Securities!$F$6:$F$105,$S256)&amp;"")</f>
        <v/>
      </c>
      <c r="I256" s="78"/>
      <c r="J256" s="81"/>
      <c r="K256" s="94"/>
      <c r="L256" s="82"/>
      <c r="M256" s="82"/>
      <c r="N256" s="85" t="str">
        <f aca="true">IF(OR($I256="",$T256=""),"",INDEX(L_TxnSign,$T256)*N($L256)-N($M256))</f>
        <v/>
      </c>
      <c r="O256" s="79" t="str">
        <f aca="true">IF($T256="","",INDEX(L_TxnCounts,$T256)&amp;"")</f>
        <v/>
      </c>
      <c r="P256" s="78"/>
      <c r="Q256" s="79" t="str">
        <f aca="false">IF($A256&amp;$C256&amp;$D256&amp;$I256="","",IF($A256="","Missing ID",IF(COUNTIF($A$6:$A$305,$A256)&gt;1,"Duplicate ID",IF(NOT(ISNUMBER($B256)),"Missing date",IF($R256="","Unknown account",IF($D256="","Missing security",IF($S256="","Unknown security",IF($T256="","Unknown type",IF(AND($L256="",$I256&lt;&gt;"Bonus / Split"),"No amount",IF(N($L256)&lt;0,"Type a positive amount; the sign comes from the type",IF(N($M256)&lt;0,"Type charges as a positive amount",IF(N($B256)&gt;ValDate,"Date after valuation",IF(AND(N($B256)&gt;PrevDate,COUNTIFS(Holdings!$B$6:$B$205,$C256,Holdings!$C$6:$C$205,$D256)=0),"No holding row (needed for Period Change)","OK")))))))))))))</f>
        <v/>
      </c>
      <c r="R256" s="89" t="str">
        <f aca="false">IF($C256="","",IFERROR(MATCH($C256,Accounts!$A$6:$A$55,0),""))</f>
        <v/>
      </c>
      <c r="S256" s="89" t="str">
        <f aca="false">IF($D256="","",IFERROR(MATCH($D256,Securities!$A$6:$A$105,0),""))</f>
        <v/>
      </c>
      <c r="T256" s="89" t="str">
        <f aca="true">IF($I256="","",IFERROR(MATCH($I256,L_TxnType,0),""))</f>
        <v/>
      </c>
    </row>
    <row r="257" customFormat="false" ht="15" hidden="false" customHeight="false" outlineLevel="0" collapsed="false">
      <c r="A257" s="77"/>
      <c r="B257" s="80"/>
      <c r="C257" s="78"/>
      <c r="D257" s="78"/>
      <c r="E257" s="79" t="str">
        <f aca="false">IF($R257="","",INDEX(Accounts!$C$6:$C$55,$R257)&amp;"")</f>
        <v/>
      </c>
      <c r="F257" s="79" t="str">
        <f aca="false">IF($S257="","",INDEX(Securities!$B$6:$B$105,$S257)&amp;"")</f>
        <v/>
      </c>
      <c r="G257" s="79" t="str">
        <f aca="false">IF($S257="","",INDEX(Securities!$E$6:$E$105,$S257)&amp;"")</f>
        <v/>
      </c>
      <c r="H257" s="79" t="str">
        <f aca="false">IF($S257="","",INDEX(Securities!$F$6:$F$105,$S257)&amp;"")</f>
        <v/>
      </c>
      <c r="I257" s="78"/>
      <c r="J257" s="81"/>
      <c r="K257" s="94"/>
      <c r="L257" s="82"/>
      <c r="M257" s="82"/>
      <c r="N257" s="85" t="str">
        <f aca="true">IF(OR($I257="",$T257=""),"",INDEX(L_TxnSign,$T257)*N($L257)-N($M257))</f>
        <v/>
      </c>
      <c r="O257" s="79" t="str">
        <f aca="true">IF($T257="","",INDEX(L_TxnCounts,$T257)&amp;"")</f>
        <v/>
      </c>
      <c r="P257" s="78"/>
      <c r="Q257" s="79" t="str">
        <f aca="false">IF($A257&amp;$C257&amp;$D257&amp;$I257="","",IF($A257="","Missing ID",IF(COUNTIF($A$6:$A$305,$A257)&gt;1,"Duplicate ID",IF(NOT(ISNUMBER($B257)),"Missing date",IF($R257="","Unknown account",IF($D257="","Missing security",IF($S257="","Unknown security",IF($T257="","Unknown type",IF(AND($L257="",$I257&lt;&gt;"Bonus / Split"),"No amount",IF(N($L257)&lt;0,"Type a positive amount; the sign comes from the type",IF(N($M257)&lt;0,"Type charges as a positive amount",IF(N($B257)&gt;ValDate,"Date after valuation",IF(AND(N($B257)&gt;PrevDate,COUNTIFS(Holdings!$B$6:$B$205,$C257,Holdings!$C$6:$C$205,$D257)=0),"No holding row (needed for Period Change)","OK")))))))))))))</f>
        <v/>
      </c>
      <c r="R257" s="89" t="str">
        <f aca="false">IF($C257="","",IFERROR(MATCH($C257,Accounts!$A$6:$A$55,0),""))</f>
        <v/>
      </c>
      <c r="S257" s="89" t="str">
        <f aca="false">IF($D257="","",IFERROR(MATCH($D257,Securities!$A$6:$A$105,0),""))</f>
        <v/>
      </c>
      <c r="T257" s="89" t="str">
        <f aca="true">IF($I257="","",IFERROR(MATCH($I257,L_TxnType,0),""))</f>
        <v/>
      </c>
    </row>
    <row r="258" customFormat="false" ht="15" hidden="false" customHeight="false" outlineLevel="0" collapsed="false">
      <c r="A258" s="77"/>
      <c r="B258" s="80"/>
      <c r="C258" s="78"/>
      <c r="D258" s="78"/>
      <c r="E258" s="79" t="str">
        <f aca="false">IF($R258="","",INDEX(Accounts!$C$6:$C$55,$R258)&amp;"")</f>
        <v/>
      </c>
      <c r="F258" s="79" t="str">
        <f aca="false">IF($S258="","",INDEX(Securities!$B$6:$B$105,$S258)&amp;"")</f>
        <v/>
      </c>
      <c r="G258" s="79" t="str">
        <f aca="false">IF($S258="","",INDEX(Securities!$E$6:$E$105,$S258)&amp;"")</f>
        <v/>
      </c>
      <c r="H258" s="79" t="str">
        <f aca="false">IF($S258="","",INDEX(Securities!$F$6:$F$105,$S258)&amp;"")</f>
        <v/>
      </c>
      <c r="I258" s="78"/>
      <c r="J258" s="81"/>
      <c r="K258" s="94"/>
      <c r="L258" s="82"/>
      <c r="M258" s="82"/>
      <c r="N258" s="85" t="str">
        <f aca="true">IF(OR($I258="",$T258=""),"",INDEX(L_TxnSign,$T258)*N($L258)-N($M258))</f>
        <v/>
      </c>
      <c r="O258" s="79" t="str">
        <f aca="true">IF($T258="","",INDEX(L_TxnCounts,$T258)&amp;"")</f>
        <v/>
      </c>
      <c r="P258" s="78"/>
      <c r="Q258" s="79" t="str">
        <f aca="false">IF($A258&amp;$C258&amp;$D258&amp;$I258="","",IF($A258="","Missing ID",IF(COUNTIF($A$6:$A$305,$A258)&gt;1,"Duplicate ID",IF(NOT(ISNUMBER($B258)),"Missing date",IF($R258="","Unknown account",IF($D258="","Missing security",IF($S258="","Unknown security",IF($T258="","Unknown type",IF(AND($L258="",$I258&lt;&gt;"Bonus / Split"),"No amount",IF(N($L258)&lt;0,"Type a positive amount; the sign comes from the type",IF(N($M258)&lt;0,"Type charges as a positive amount",IF(N($B258)&gt;ValDate,"Date after valuation",IF(AND(N($B258)&gt;PrevDate,COUNTIFS(Holdings!$B$6:$B$205,$C258,Holdings!$C$6:$C$205,$D258)=0),"No holding row (needed for Period Change)","OK")))))))))))))</f>
        <v/>
      </c>
      <c r="R258" s="89" t="str">
        <f aca="false">IF($C258="","",IFERROR(MATCH($C258,Accounts!$A$6:$A$55,0),""))</f>
        <v/>
      </c>
      <c r="S258" s="89" t="str">
        <f aca="false">IF($D258="","",IFERROR(MATCH($D258,Securities!$A$6:$A$105,0),""))</f>
        <v/>
      </c>
      <c r="T258" s="89" t="str">
        <f aca="true">IF($I258="","",IFERROR(MATCH($I258,L_TxnType,0),""))</f>
        <v/>
      </c>
    </row>
    <row r="259" customFormat="false" ht="15" hidden="false" customHeight="false" outlineLevel="0" collapsed="false">
      <c r="A259" s="77"/>
      <c r="B259" s="80"/>
      <c r="C259" s="78"/>
      <c r="D259" s="78"/>
      <c r="E259" s="79" t="str">
        <f aca="false">IF($R259="","",INDEX(Accounts!$C$6:$C$55,$R259)&amp;"")</f>
        <v/>
      </c>
      <c r="F259" s="79" t="str">
        <f aca="false">IF($S259="","",INDEX(Securities!$B$6:$B$105,$S259)&amp;"")</f>
        <v/>
      </c>
      <c r="G259" s="79" t="str">
        <f aca="false">IF($S259="","",INDEX(Securities!$E$6:$E$105,$S259)&amp;"")</f>
        <v/>
      </c>
      <c r="H259" s="79" t="str">
        <f aca="false">IF($S259="","",INDEX(Securities!$F$6:$F$105,$S259)&amp;"")</f>
        <v/>
      </c>
      <c r="I259" s="78"/>
      <c r="J259" s="81"/>
      <c r="K259" s="94"/>
      <c r="L259" s="82"/>
      <c r="M259" s="82"/>
      <c r="N259" s="85" t="str">
        <f aca="true">IF(OR($I259="",$T259=""),"",INDEX(L_TxnSign,$T259)*N($L259)-N($M259))</f>
        <v/>
      </c>
      <c r="O259" s="79" t="str">
        <f aca="true">IF($T259="","",INDEX(L_TxnCounts,$T259)&amp;"")</f>
        <v/>
      </c>
      <c r="P259" s="78"/>
      <c r="Q259" s="79" t="str">
        <f aca="false">IF($A259&amp;$C259&amp;$D259&amp;$I259="","",IF($A259="","Missing ID",IF(COUNTIF($A$6:$A$305,$A259)&gt;1,"Duplicate ID",IF(NOT(ISNUMBER($B259)),"Missing date",IF($R259="","Unknown account",IF($D259="","Missing security",IF($S259="","Unknown security",IF($T259="","Unknown type",IF(AND($L259="",$I259&lt;&gt;"Bonus / Split"),"No amount",IF(N($L259)&lt;0,"Type a positive amount; the sign comes from the type",IF(N($M259)&lt;0,"Type charges as a positive amount",IF(N($B259)&gt;ValDate,"Date after valuation",IF(AND(N($B259)&gt;PrevDate,COUNTIFS(Holdings!$B$6:$B$205,$C259,Holdings!$C$6:$C$205,$D259)=0),"No holding row (needed for Period Change)","OK")))))))))))))</f>
        <v/>
      </c>
      <c r="R259" s="89" t="str">
        <f aca="false">IF($C259="","",IFERROR(MATCH($C259,Accounts!$A$6:$A$55,0),""))</f>
        <v/>
      </c>
      <c r="S259" s="89" t="str">
        <f aca="false">IF($D259="","",IFERROR(MATCH($D259,Securities!$A$6:$A$105,0),""))</f>
        <v/>
      </c>
      <c r="T259" s="89" t="str">
        <f aca="true">IF($I259="","",IFERROR(MATCH($I259,L_TxnType,0),""))</f>
        <v/>
      </c>
    </row>
    <row r="260" customFormat="false" ht="15" hidden="false" customHeight="false" outlineLevel="0" collapsed="false">
      <c r="A260" s="77"/>
      <c r="B260" s="80"/>
      <c r="C260" s="78"/>
      <c r="D260" s="78"/>
      <c r="E260" s="79" t="str">
        <f aca="false">IF($R260="","",INDEX(Accounts!$C$6:$C$55,$R260)&amp;"")</f>
        <v/>
      </c>
      <c r="F260" s="79" t="str">
        <f aca="false">IF($S260="","",INDEX(Securities!$B$6:$B$105,$S260)&amp;"")</f>
        <v/>
      </c>
      <c r="G260" s="79" t="str">
        <f aca="false">IF($S260="","",INDEX(Securities!$E$6:$E$105,$S260)&amp;"")</f>
        <v/>
      </c>
      <c r="H260" s="79" t="str">
        <f aca="false">IF($S260="","",INDEX(Securities!$F$6:$F$105,$S260)&amp;"")</f>
        <v/>
      </c>
      <c r="I260" s="78"/>
      <c r="J260" s="81"/>
      <c r="K260" s="94"/>
      <c r="L260" s="82"/>
      <c r="M260" s="82"/>
      <c r="N260" s="85" t="str">
        <f aca="true">IF(OR($I260="",$T260=""),"",INDEX(L_TxnSign,$T260)*N($L260)-N($M260))</f>
        <v/>
      </c>
      <c r="O260" s="79" t="str">
        <f aca="true">IF($T260="","",INDEX(L_TxnCounts,$T260)&amp;"")</f>
        <v/>
      </c>
      <c r="P260" s="78"/>
      <c r="Q260" s="79" t="str">
        <f aca="false">IF($A260&amp;$C260&amp;$D260&amp;$I260="","",IF($A260="","Missing ID",IF(COUNTIF($A$6:$A$305,$A260)&gt;1,"Duplicate ID",IF(NOT(ISNUMBER($B260)),"Missing date",IF($R260="","Unknown account",IF($D260="","Missing security",IF($S260="","Unknown security",IF($T260="","Unknown type",IF(AND($L260="",$I260&lt;&gt;"Bonus / Split"),"No amount",IF(N($L260)&lt;0,"Type a positive amount; the sign comes from the type",IF(N($M260)&lt;0,"Type charges as a positive amount",IF(N($B260)&gt;ValDate,"Date after valuation",IF(AND(N($B260)&gt;PrevDate,COUNTIFS(Holdings!$B$6:$B$205,$C260,Holdings!$C$6:$C$205,$D260)=0),"No holding row (needed for Period Change)","OK")))))))))))))</f>
        <v/>
      </c>
      <c r="R260" s="89" t="str">
        <f aca="false">IF($C260="","",IFERROR(MATCH($C260,Accounts!$A$6:$A$55,0),""))</f>
        <v/>
      </c>
      <c r="S260" s="89" t="str">
        <f aca="false">IF($D260="","",IFERROR(MATCH($D260,Securities!$A$6:$A$105,0),""))</f>
        <v/>
      </c>
      <c r="T260" s="89" t="str">
        <f aca="true">IF($I260="","",IFERROR(MATCH($I260,L_TxnType,0),""))</f>
        <v/>
      </c>
    </row>
    <row r="261" customFormat="false" ht="15" hidden="false" customHeight="false" outlineLevel="0" collapsed="false">
      <c r="A261" s="77"/>
      <c r="B261" s="80"/>
      <c r="C261" s="78"/>
      <c r="D261" s="78"/>
      <c r="E261" s="79" t="str">
        <f aca="false">IF($R261="","",INDEX(Accounts!$C$6:$C$55,$R261)&amp;"")</f>
        <v/>
      </c>
      <c r="F261" s="79" t="str">
        <f aca="false">IF($S261="","",INDEX(Securities!$B$6:$B$105,$S261)&amp;"")</f>
        <v/>
      </c>
      <c r="G261" s="79" t="str">
        <f aca="false">IF($S261="","",INDEX(Securities!$E$6:$E$105,$S261)&amp;"")</f>
        <v/>
      </c>
      <c r="H261" s="79" t="str">
        <f aca="false">IF($S261="","",INDEX(Securities!$F$6:$F$105,$S261)&amp;"")</f>
        <v/>
      </c>
      <c r="I261" s="78"/>
      <c r="J261" s="81"/>
      <c r="K261" s="94"/>
      <c r="L261" s="82"/>
      <c r="M261" s="82"/>
      <c r="N261" s="85" t="str">
        <f aca="true">IF(OR($I261="",$T261=""),"",INDEX(L_TxnSign,$T261)*N($L261)-N($M261))</f>
        <v/>
      </c>
      <c r="O261" s="79" t="str">
        <f aca="true">IF($T261="","",INDEX(L_TxnCounts,$T261)&amp;"")</f>
        <v/>
      </c>
      <c r="P261" s="78"/>
      <c r="Q261" s="79" t="str">
        <f aca="false">IF($A261&amp;$C261&amp;$D261&amp;$I261="","",IF($A261="","Missing ID",IF(COUNTIF($A$6:$A$305,$A261)&gt;1,"Duplicate ID",IF(NOT(ISNUMBER($B261)),"Missing date",IF($R261="","Unknown account",IF($D261="","Missing security",IF($S261="","Unknown security",IF($T261="","Unknown type",IF(AND($L261="",$I261&lt;&gt;"Bonus / Split"),"No amount",IF(N($L261)&lt;0,"Type a positive amount; the sign comes from the type",IF(N($M261)&lt;0,"Type charges as a positive amount",IF(N($B261)&gt;ValDate,"Date after valuation",IF(AND(N($B261)&gt;PrevDate,COUNTIFS(Holdings!$B$6:$B$205,$C261,Holdings!$C$6:$C$205,$D261)=0),"No holding row (needed for Period Change)","OK")))))))))))))</f>
        <v/>
      </c>
      <c r="R261" s="89" t="str">
        <f aca="false">IF($C261="","",IFERROR(MATCH($C261,Accounts!$A$6:$A$55,0),""))</f>
        <v/>
      </c>
      <c r="S261" s="89" t="str">
        <f aca="false">IF($D261="","",IFERROR(MATCH($D261,Securities!$A$6:$A$105,0),""))</f>
        <v/>
      </c>
      <c r="T261" s="89" t="str">
        <f aca="true">IF($I261="","",IFERROR(MATCH($I261,L_TxnType,0),""))</f>
        <v/>
      </c>
    </row>
    <row r="262" customFormat="false" ht="15" hidden="false" customHeight="false" outlineLevel="0" collapsed="false">
      <c r="A262" s="77"/>
      <c r="B262" s="80"/>
      <c r="C262" s="78"/>
      <c r="D262" s="78"/>
      <c r="E262" s="79" t="str">
        <f aca="false">IF($R262="","",INDEX(Accounts!$C$6:$C$55,$R262)&amp;"")</f>
        <v/>
      </c>
      <c r="F262" s="79" t="str">
        <f aca="false">IF($S262="","",INDEX(Securities!$B$6:$B$105,$S262)&amp;"")</f>
        <v/>
      </c>
      <c r="G262" s="79" t="str">
        <f aca="false">IF($S262="","",INDEX(Securities!$E$6:$E$105,$S262)&amp;"")</f>
        <v/>
      </c>
      <c r="H262" s="79" t="str">
        <f aca="false">IF($S262="","",INDEX(Securities!$F$6:$F$105,$S262)&amp;"")</f>
        <v/>
      </c>
      <c r="I262" s="78"/>
      <c r="J262" s="81"/>
      <c r="K262" s="94"/>
      <c r="L262" s="82"/>
      <c r="M262" s="82"/>
      <c r="N262" s="85" t="str">
        <f aca="true">IF(OR($I262="",$T262=""),"",INDEX(L_TxnSign,$T262)*N($L262)-N($M262))</f>
        <v/>
      </c>
      <c r="O262" s="79" t="str">
        <f aca="true">IF($T262="","",INDEX(L_TxnCounts,$T262)&amp;"")</f>
        <v/>
      </c>
      <c r="P262" s="78"/>
      <c r="Q262" s="79" t="str">
        <f aca="false">IF($A262&amp;$C262&amp;$D262&amp;$I262="","",IF($A262="","Missing ID",IF(COUNTIF($A$6:$A$305,$A262)&gt;1,"Duplicate ID",IF(NOT(ISNUMBER($B262)),"Missing date",IF($R262="","Unknown account",IF($D262="","Missing security",IF($S262="","Unknown security",IF($T262="","Unknown type",IF(AND($L262="",$I262&lt;&gt;"Bonus / Split"),"No amount",IF(N($L262)&lt;0,"Type a positive amount; the sign comes from the type",IF(N($M262)&lt;0,"Type charges as a positive amount",IF(N($B262)&gt;ValDate,"Date after valuation",IF(AND(N($B262)&gt;PrevDate,COUNTIFS(Holdings!$B$6:$B$205,$C262,Holdings!$C$6:$C$205,$D262)=0),"No holding row (needed for Period Change)","OK")))))))))))))</f>
        <v/>
      </c>
      <c r="R262" s="89" t="str">
        <f aca="false">IF($C262="","",IFERROR(MATCH($C262,Accounts!$A$6:$A$55,0),""))</f>
        <v/>
      </c>
      <c r="S262" s="89" t="str">
        <f aca="false">IF($D262="","",IFERROR(MATCH($D262,Securities!$A$6:$A$105,0),""))</f>
        <v/>
      </c>
      <c r="T262" s="89" t="str">
        <f aca="true">IF($I262="","",IFERROR(MATCH($I262,L_TxnType,0),""))</f>
        <v/>
      </c>
    </row>
    <row r="263" customFormat="false" ht="15" hidden="false" customHeight="false" outlineLevel="0" collapsed="false">
      <c r="A263" s="77"/>
      <c r="B263" s="80"/>
      <c r="C263" s="78"/>
      <c r="D263" s="78"/>
      <c r="E263" s="79" t="str">
        <f aca="false">IF($R263="","",INDEX(Accounts!$C$6:$C$55,$R263)&amp;"")</f>
        <v/>
      </c>
      <c r="F263" s="79" t="str">
        <f aca="false">IF($S263="","",INDEX(Securities!$B$6:$B$105,$S263)&amp;"")</f>
        <v/>
      </c>
      <c r="G263" s="79" t="str">
        <f aca="false">IF($S263="","",INDEX(Securities!$E$6:$E$105,$S263)&amp;"")</f>
        <v/>
      </c>
      <c r="H263" s="79" t="str">
        <f aca="false">IF($S263="","",INDEX(Securities!$F$6:$F$105,$S263)&amp;"")</f>
        <v/>
      </c>
      <c r="I263" s="78"/>
      <c r="J263" s="81"/>
      <c r="K263" s="94"/>
      <c r="L263" s="82"/>
      <c r="M263" s="82"/>
      <c r="N263" s="85" t="str">
        <f aca="true">IF(OR($I263="",$T263=""),"",INDEX(L_TxnSign,$T263)*N($L263)-N($M263))</f>
        <v/>
      </c>
      <c r="O263" s="79" t="str">
        <f aca="true">IF($T263="","",INDEX(L_TxnCounts,$T263)&amp;"")</f>
        <v/>
      </c>
      <c r="P263" s="78"/>
      <c r="Q263" s="79" t="str">
        <f aca="false">IF($A263&amp;$C263&amp;$D263&amp;$I263="","",IF($A263="","Missing ID",IF(COUNTIF($A$6:$A$305,$A263)&gt;1,"Duplicate ID",IF(NOT(ISNUMBER($B263)),"Missing date",IF($R263="","Unknown account",IF($D263="","Missing security",IF($S263="","Unknown security",IF($T263="","Unknown type",IF(AND($L263="",$I263&lt;&gt;"Bonus / Split"),"No amount",IF(N($L263)&lt;0,"Type a positive amount; the sign comes from the type",IF(N($M263)&lt;0,"Type charges as a positive amount",IF(N($B263)&gt;ValDate,"Date after valuation",IF(AND(N($B263)&gt;PrevDate,COUNTIFS(Holdings!$B$6:$B$205,$C263,Holdings!$C$6:$C$205,$D263)=0),"No holding row (needed for Period Change)","OK")))))))))))))</f>
        <v/>
      </c>
      <c r="R263" s="89" t="str">
        <f aca="false">IF($C263="","",IFERROR(MATCH($C263,Accounts!$A$6:$A$55,0),""))</f>
        <v/>
      </c>
      <c r="S263" s="89" t="str">
        <f aca="false">IF($D263="","",IFERROR(MATCH($D263,Securities!$A$6:$A$105,0),""))</f>
        <v/>
      </c>
      <c r="T263" s="89" t="str">
        <f aca="true">IF($I263="","",IFERROR(MATCH($I263,L_TxnType,0),""))</f>
        <v/>
      </c>
    </row>
    <row r="264" customFormat="false" ht="15" hidden="false" customHeight="false" outlineLevel="0" collapsed="false">
      <c r="A264" s="77"/>
      <c r="B264" s="80"/>
      <c r="C264" s="78"/>
      <c r="D264" s="78"/>
      <c r="E264" s="79" t="str">
        <f aca="false">IF($R264="","",INDEX(Accounts!$C$6:$C$55,$R264)&amp;"")</f>
        <v/>
      </c>
      <c r="F264" s="79" t="str">
        <f aca="false">IF($S264="","",INDEX(Securities!$B$6:$B$105,$S264)&amp;"")</f>
        <v/>
      </c>
      <c r="G264" s="79" t="str">
        <f aca="false">IF($S264="","",INDEX(Securities!$E$6:$E$105,$S264)&amp;"")</f>
        <v/>
      </c>
      <c r="H264" s="79" t="str">
        <f aca="false">IF($S264="","",INDEX(Securities!$F$6:$F$105,$S264)&amp;"")</f>
        <v/>
      </c>
      <c r="I264" s="78"/>
      <c r="J264" s="81"/>
      <c r="K264" s="94"/>
      <c r="L264" s="82"/>
      <c r="M264" s="82"/>
      <c r="N264" s="85" t="str">
        <f aca="true">IF(OR($I264="",$T264=""),"",INDEX(L_TxnSign,$T264)*N($L264)-N($M264))</f>
        <v/>
      </c>
      <c r="O264" s="79" t="str">
        <f aca="true">IF($T264="","",INDEX(L_TxnCounts,$T264)&amp;"")</f>
        <v/>
      </c>
      <c r="P264" s="78"/>
      <c r="Q264" s="79" t="str">
        <f aca="false">IF($A264&amp;$C264&amp;$D264&amp;$I264="","",IF($A264="","Missing ID",IF(COUNTIF($A$6:$A$305,$A264)&gt;1,"Duplicate ID",IF(NOT(ISNUMBER($B264)),"Missing date",IF($R264="","Unknown account",IF($D264="","Missing security",IF($S264="","Unknown security",IF($T264="","Unknown type",IF(AND($L264="",$I264&lt;&gt;"Bonus / Split"),"No amount",IF(N($L264)&lt;0,"Type a positive amount; the sign comes from the type",IF(N($M264)&lt;0,"Type charges as a positive amount",IF(N($B264)&gt;ValDate,"Date after valuation",IF(AND(N($B264)&gt;PrevDate,COUNTIFS(Holdings!$B$6:$B$205,$C264,Holdings!$C$6:$C$205,$D264)=0),"No holding row (needed for Period Change)","OK")))))))))))))</f>
        <v/>
      </c>
      <c r="R264" s="89" t="str">
        <f aca="false">IF($C264="","",IFERROR(MATCH($C264,Accounts!$A$6:$A$55,0),""))</f>
        <v/>
      </c>
      <c r="S264" s="89" t="str">
        <f aca="false">IF($D264="","",IFERROR(MATCH($D264,Securities!$A$6:$A$105,0),""))</f>
        <v/>
      </c>
      <c r="T264" s="89" t="str">
        <f aca="true">IF($I264="","",IFERROR(MATCH($I264,L_TxnType,0),""))</f>
        <v/>
      </c>
    </row>
    <row r="265" customFormat="false" ht="15" hidden="false" customHeight="false" outlineLevel="0" collapsed="false">
      <c r="A265" s="77"/>
      <c r="B265" s="80"/>
      <c r="C265" s="78"/>
      <c r="D265" s="78"/>
      <c r="E265" s="79" t="str">
        <f aca="false">IF($R265="","",INDEX(Accounts!$C$6:$C$55,$R265)&amp;"")</f>
        <v/>
      </c>
      <c r="F265" s="79" t="str">
        <f aca="false">IF($S265="","",INDEX(Securities!$B$6:$B$105,$S265)&amp;"")</f>
        <v/>
      </c>
      <c r="G265" s="79" t="str">
        <f aca="false">IF($S265="","",INDEX(Securities!$E$6:$E$105,$S265)&amp;"")</f>
        <v/>
      </c>
      <c r="H265" s="79" t="str">
        <f aca="false">IF($S265="","",INDEX(Securities!$F$6:$F$105,$S265)&amp;"")</f>
        <v/>
      </c>
      <c r="I265" s="78"/>
      <c r="J265" s="81"/>
      <c r="K265" s="94"/>
      <c r="L265" s="82"/>
      <c r="M265" s="82"/>
      <c r="N265" s="85" t="str">
        <f aca="true">IF(OR($I265="",$T265=""),"",INDEX(L_TxnSign,$T265)*N($L265)-N($M265))</f>
        <v/>
      </c>
      <c r="O265" s="79" t="str">
        <f aca="true">IF($T265="","",INDEX(L_TxnCounts,$T265)&amp;"")</f>
        <v/>
      </c>
      <c r="P265" s="78"/>
      <c r="Q265" s="79" t="str">
        <f aca="false">IF($A265&amp;$C265&amp;$D265&amp;$I265="","",IF($A265="","Missing ID",IF(COUNTIF($A$6:$A$305,$A265)&gt;1,"Duplicate ID",IF(NOT(ISNUMBER($B265)),"Missing date",IF($R265="","Unknown account",IF($D265="","Missing security",IF($S265="","Unknown security",IF($T265="","Unknown type",IF(AND($L265="",$I265&lt;&gt;"Bonus / Split"),"No amount",IF(N($L265)&lt;0,"Type a positive amount; the sign comes from the type",IF(N($M265)&lt;0,"Type charges as a positive amount",IF(N($B265)&gt;ValDate,"Date after valuation",IF(AND(N($B265)&gt;PrevDate,COUNTIFS(Holdings!$B$6:$B$205,$C265,Holdings!$C$6:$C$205,$D265)=0),"No holding row (needed for Period Change)","OK")))))))))))))</f>
        <v/>
      </c>
      <c r="R265" s="89" t="str">
        <f aca="false">IF($C265="","",IFERROR(MATCH($C265,Accounts!$A$6:$A$55,0),""))</f>
        <v/>
      </c>
      <c r="S265" s="89" t="str">
        <f aca="false">IF($D265="","",IFERROR(MATCH($D265,Securities!$A$6:$A$105,0),""))</f>
        <v/>
      </c>
      <c r="T265" s="89" t="str">
        <f aca="true">IF($I265="","",IFERROR(MATCH($I265,L_TxnType,0),""))</f>
        <v/>
      </c>
    </row>
    <row r="266" customFormat="false" ht="15" hidden="false" customHeight="false" outlineLevel="0" collapsed="false">
      <c r="A266" s="77"/>
      <c r="B266" s="80"/>
      <c r="C266" s="78"/>
      <c r="D266" s="78"/>
      <c r="E266" s="79" t="str">
        <f aca="false">IF($R266="","",INDEX(Accounts!$C$6:$C$55,$R266)&amp;"")</f>
        <v/>
      </c>
      <c r="F266" s="79" t="str">
        <f aca="false">IF($S266="","",INDEX(Securities!$B$6:$B$105,$S266)&amp;"")</f>
        <v/>
      </c>
      <c r="G266" s="79" t="str">
        <f aca="false">IF($S266="","",INDEX(Securities!$E$6:$E$105,$S266)&amp;"")</f>
        <v/>
      </c>
      <c r="H266" s="79" t="str">
        <f aca="false">IF($S266="","",INDEX(Securities!$F$6:$F$105,$S266)&amp;"")</f>
        <v/>
      </c>
      <c r="I266" s="78"/>
      <c r="J266" s="81"/>
      <c r="K266" s="94"/>
      <c r="L266" s="82"/>
      <c r="M266" s="82"/>
      <c r="N266" s="85" t="str">
        <f aca="true">IF(OR($I266="",$T266=""),"",INDEX(L_TxnSign,$T266)*N($L266)-N($M266))</f>
        <v/>
      </c>
      <c r="O266" s="79" t="str">
        <f aca="true">IF($T266="","",INDEX(L_TxnCounts,$T266)&amp;"")</f>
        <v/>
      </c>
      <c r="P266" s="78"/>
      <c r="Q266" s="79" t="str">
        <f aca="false">IF($A266&amp;$C266&amp;$D266&amp;$I266="","",IF($A266="","Missing ID",IF(COUNTIF($A$6:$A$305,$A266)&gt;1,"Duplicate ID",IF(NOT(ISNUMBER($B266)),"Missing date",IF($R266="","Unknown account",IF($D266="","Missing security",IF($S266="","Unknown security",IF($T266="","Unknown type",IF(AND($L266="",$I266&lt;&gt;"Bonus / Split"),"No amount",IF(N($L266)&lt;0,"Type a positive amount; the sign comes from the type",IF(N($M266)&lt;0,"Type charges as a positive amount",IF(N($B266)&gt;ValDate,"Date after valuation",IF(AND(N($B266)&gt;PrevDate,COUNTIFS(Holdings!$B$6:$B$205,$C266,Holdings!$C$6:$C$205,$D266)=0),"No holding row (needed for Period Change)","OK")))))))))))))</f>
        <v/>
      </c>
      <c r="R266" s="89" t="str">
        <f aca="false">IF($C266="","",IFERROR(MATCH($C266,Accounts!$A$6:$A$55,0),""))</f>
        <v/>
      </c>
      <c r="S266" s="89" t="str">
        <f aca="false">IF($D266="","",IFERROR(MATCH($D266,Securities!$A$6:$A$105,0),""))</f>
        <v/>
      </c>
      <c r="T266" s="89" t="str">
        <f aca="true">IF($I266="","",IFERROR(MATCH($I266,L_TxnType,0),""))</f>
        <v/>
      </c>
    </row>
    <row r="267" customFormat="false" ht="15" hidden="false" customHeight="false" outlineLevel="0" collapsed="false">
      <c r="A267" s="77"/>
      <c r="B267" s="80"/>
      <c r="C267" s="78"/>
      <c r="D267" s="78"/>
      <c r="E267" s="79" t="str">
        <f aca="false">IF($R267="","",INDEX(Accounts!$C$6:$C$55,$R267)&amp;"")</f>
        <v/>
      </c>
      <c r="F267" s="79" t="str">
        <f aca="false">IF($S267="","",INDEX(Securities!$B$6:$B$105,$S267)&amp;"")</f>
        <v/>
      </c>
      <c r="G267" s="79" t="str">
        <f aca="false">IF($S267="","",INDEX(Securities!$E$6:$E$105,$S267)&amp;"")</f>
        <v/>
      </c>
      <c r="H267" s="79" t="str">
        <f aca="false">IF($S267="","",INDEX(Securities!$F$6:$F$105,$S267)&amp;"")</f>
        <v/>
      </c>
      <c r="I267" s="78"/>
      <c r="J267" s="81"/>
      <c r="K267" s="94"/>
      <c r="L267" s="82"/>
      <c r="M267" s="82"/>
      <c r="N267" s="85" t="str">
        <f aca="true">IF(OR($I267="",$T267=""),"",INDEX(L_TxnSign,$T267)*N($L267)-N($M267))</f>
        <v/>
      </c>
      <c r="O267" s="79" t="str">
        <f aca="true">IF($T267="","",INDEX(L_TxnCounts,$T267)&amp;"")</f>
        <v/>
      </c>
      <c r="P267" s="78"/>
      <c r="Q267" s="79" t="str">
        <f aca="false">IF($A267&amp;$C267&amp;$D267&amp;$I267="","",IF($A267="","Missing ID",IF(COUNTIF($A$6:$A$305,$A267)&gt;1,"Duplicate ID",IF(NOT(ISNUMBER($B267)),"Missing date",IF($R267="","Unknown account",IF($D267="","Missing security",IF($S267="","Unknown security",IF($T267="","Unknown type",IF(AND($L267="",$I267&lt;&gt;"Bonus / Split"),"No amount",IF(N($L267)&lt;0,"Type a positive amount; the sign comes from the type",IF(N($M267)&lt;0,"Type charges as a positive amount",IF(N($B267)&gt;ValDate,"Date after valuation",IF(AND(N($B267)&gt;PrevDate,COUNTIFS(Holdings!$B$6:$B$205,$C267,Holdings!$C$6:$C$205,$D267)=0),"No holding row (needed for Period Change)","OK")))))))))))))</f>
        <v/>
      </c>
      <c r="R267" s="89" t="str">
        <f aca="false">IF($C267="","",IFERROR(MATCH($C267,Accounts!$A$6:$A$55,0),""))</f>
        <v/>
      </c>
      <c r="S267" s="89" t="str">
        <f aca="false">IF($D267="","",IFERROR(MATCH($D267,Securities!$A$6:$A$105,0),""))</f>
        <v/>
      </c>
      <c r="T267" s="89" t="str">
        <f aca="true">IF($I267="","",IFERROR(MATCH($I267,L_TxnType,0),""))</f>
        <v/>
      </c>
    </row>
    <row r="268" customFormat="false" ht="15" hidden="false" customHeight="false" outlineLevel="0" collapsed="false">
      <c r="A268" s="77"/>
      <c r="B268" s="80"/>
      <c r="C268" s="78"/>
      <c r="D268" s="78"/>
      <c r="E268" s="79" t="str">
        <f aca="false">IF($R268="","",INDEX(Accounts!$C$6:$C$55,$R268)&amp;"")</f>
        <v/>
      </c>
      <c r="F268" s="79" t="str">
        <f aca="false">IF($S268="","",INDEX(Securities!$B$6:$B$105,$S268)&amp;"")</f>
        <v/>
      </c>
      <c r="G268" s="79" t="str">
        <f aca="false">IF($S268="","",INDEX(Securities!$E$6:$E$105,$S268)&amp;"")</f>
        <v/>
      </c>
      <c r="H268" s="79" t="str">
        <f aca="false">IF($S268="","",INDEX(Securities!$F$6:$F$105,$S268)&amp;"")</f>
        <v/>
      </c>
      <c r="I268" s="78"/>
      <c r="J268" s="81"/>
      <c r="K268" s="94"/>
      <c r="L268" s="82"/>
      <c r="M268" s="82"/>
      <c r="N268" s="85" t="str">
        <f aca="true">IF(OR($I268="",$T268=""),"",INDEX(L_TxnSign,$T268)*N($L268)-N($M268))</f>
        <v/>
      </c>
      <c r="O268" s="79" t="str">
        <f aca="true">IF($T268="","",INDEX(L_TxnCounts,$T268)&amp;"")</f>
        <v/>
      </c>
      <c r="P268" s="78"/>
      <c r="Q268" s="79" t="str">
        <f aca="false">IF($A268&amp;$C268&amp;$D268&amp;$I268="","",IF($A268="","Missing ID",IF(COUNTIF($A$6:$A$305,$A268)&gt;1,"Duplicate ID",IF(NOT(ISNUMBER($B268)),"Missing date",IF($R268="","Unknown account",IF($D268="","Missing security",IF($S268="","Unknown security",IF($T268="","Unknown type",IF(AND($L268="",$I268&lt;&gt;"Bonus / Split"),"No amount",IF(N($L268)&lt;0,"Type a positive amount; the sign comes from the type",IF(N($M268)&lt;0,"Type charges as a positive amount",IF(N($B268)&gt;ValDate,"Date after valuation",IF(AND(N($B268)&gt;PrevDate,COUNTIFS(Holdings!$B$6:$B$205,$C268,Holdings!$C$6:$C$205,$D268)=0),"No holding row (needed for Period Change)","OK")))))))))))))</f>
        <v/>
      </c>
      <c r="R268" s="89" t="str">
        <f aca="false">IF($C268="","",IFERROR(MATCH($C268,Accounts!$A$6:$A$55,0),""))</f>
        <v/>
      </c>
      <c r="S268" s="89" t="str">
        <f aca="false">IF($D268="","",IFERROR(MATCH($D268,Securities!$A$6:$A$105,0),""))</f>
        <v/>
      </c>
      <c r="T268" s="89" t="str">
        <f aca="true">IF($I268="","",IFERROR(MATCH($I268,L_TxnType,0),""))</f>
        <v/>
      </c>
    </row>
    <row r="269" customFormat="false" ht="15" hidden="false" customHeight="false" outlineLevel="0" collapsed="false">
      <c r="A269" s="77"/>
      <c r="B269" s="80"/>
      <c r="C269" s="78"/>
      <c r="D269" s="78"/>
      <c r="E269" s="79" t="str">
        <f aca="false">IF($R269="","",INDEX(Accounts!$C$6:$C$55,$R269)&amp;"")</f>
        <v/>
      </c>
      <c r="F269" s="79" t="str">
        <f aca="false">IF($S269="","",INDEX(Securities!$B$6:$B$105,$S269)&amp;"")</f>
        <v/>
      </c>
      <c r="G269" s="79" t="str">
        <f aca="false">IF($S269="","",INDEX(Securities!$E$6:$E$105,$S269)&amp;"")</f>
        <v/>
      </c>
      <c r="H269" s="79" t="str">
        <f aca="false">IF($S269="","",INDEX(Securities!$F$6:$F$105,$S269)&amp;"")</f>
        <v/>
      </c>
      <c r="I269" s="78"/>
      <c r="J269" s="81"/>
      <c r="K269" s="94"/>
      <c r="L269" s="82"/>
      <c r="M269" s="82"/>
      <c r="N269" s="85" t="str">
        <f aca="true">IF(OR($I269="",$T269=""),"",INDEX(L_TxnSign,$T269)*N($L269)-N($M269))</f>
        <v/>
      </c>
      <c r="O269" s="79" t="str">
        <f aca="true">IF($T269="","",INDEX(L_TxnCounts,$T269)&amp;"")</f>
        <v/>
      </c>
      <c r="P269" s="78"/>
      <c r="Q269" s="79" t="str">
        <f aca="false">IF($A269&amp;$C269&amp;$D269&amp;$I269="","",IF($A269="","Missing ID",IF(COUNTIF($A$6:$A$305,$A269)&gt;1,"Duplicate ID",IF(NOT(ISNUMBER($B269)),"Missing date",IF($R269="","Unknown account",IF($D269="","Missing security",IF($S269="","Unknown security",IF($T269="","Unknown type",IF(AND($L269="",$I269&lt;&gt;"Bonus / Split"),"No amount",IF(N($L269)&lt;0,"Type a positive amount; the sign comes from the type",IF(N($M269)&lt;0,"Type charges as a positive amount",IF(N($B269)&gt;ValDate,"Date after valuation",IF(AND(N($B269)&gt;PrevDate,COUNTIFS(Holdings!$B$6:$B$205,$C269,Holdings!$C$6:$C$205,$D269)=0),"No holding row (needed for Period Change)","OK")))))))))))))</f>
        <v/>
      </c>
      <c r="R269" s="89" t="str">
        <f aca="false">IF($C269="","",IFERROR(MATCH($C269,Accounts!$A$6:$A$55,0),""))</f>
        <v/>
      </c>
      <c r="S269" s="89" t="str">
        <f aca="false">IF($D269="","",IFERROR(MATCH($D269,Securities!$A$6:$A$105,0),""))</f>
        <v/>
      </c>
      <c r="T269" s="89" t="str">
        <f aca="true">IF($I269="","",IFERROR(MATCH($I269,L_TxnType,0),""))</f>
        <v/>
      </c>
    </row>
    <row r="270" customFormat="false" ht="15" hidden="false" customHeight="false" outlineLevel="0" collapsed="false">
      <c r="A270" s="77"/>
      <c r="B270" s="80"/>
      <c r="C270" s="78"/>
      <c r="D270" s="78"/>
      <c r="E270" s="79" t="str">
        <f aca="false">IF($R270="","",INDEX(Accounts!$C$6:$C$55,$R270)&amp;"")</f>
        <v/>
      </c>
      <c r="F270" s="79" t="str">
        <f aca="false">IF($S270="","",INDEX(Securities!$B$6:$B$105,$S270)&amp;"")</f>
        <v/>
      </c>
      <c r="G270" s="79" t="str">
        <f aca="false">IF($S270="","",INDEX(Securities!$E$6:$E$105,$S270)&amp;"")</f>
        <v/>
      </c>
      <c r="H270" s="79" t="str">
        <f aca="false">IF($S270="","",INDEX(Securities!$F$6:$F$105,$S270)&amp;"")</f>
        <v/>
      </c>
      <c r="I270" s="78"/>
      <c r="J270" s="81"/>
      <c r="K270" s="94"/>
      <c r="L270" s="82"/>
      <c r="M270" s="82"/>
      <c r="N270" s="85" t="str">
        <f aca="true">IF(OR($I270="",$T270=""),"",INDEX(L_TxnSign,$T270)*N($L270)-N($M270))</f>
        <v/>
      </c>
      <c r="O270" s="79" t="str">
        <f aca="true">IF($T270="","",INDEX(L_TxnCounts,$T270)&amp;"")</f>
        <v/>
      </c>
      <c r="P270" s="78"/>
      <c r="Q270" s="79" t="str">
        <f aca="false">IF($A270&amp;$C270&amp;$D270&amp;$I270="","",IF($A270="","Missing ID",IF(COUNTIF($A$6:$A$305,$A270)&gt;1,"Duplicate ID",IF(NOT(ISNUMBER($B270)),"Missing date",IF($R270="","Unknown account",IF($D270="","Missing security",IF($S270="","Unknown security",IF($T270="","Unknown type",IF(AND($L270="",$I270&lt;&gt;"Bonus / Split"),"No amount",IF(N($L270)&lt;0,"Type a positive amount; the sign comes from the type",IF(N($M270)&lt;0,"Type charges as a positive amount",IF(N($B270)&gt;ValDate,"Date after valuation",IF(AND(N($B270)&gt;PrevDate,COUNTIFS(Holdings!$B$6:$B$205,$C270,Holdings!$C$6:$C$205,$D270)=0),"No holding row (needed for Period Change)","OK")))))))))))))</f>
        <v/>
      </c>
      <c r="R270" s="89" t="str">
        <f aca="false">IF($C270="","",IFERROR(MATCH($C270,Accounts!$A$6:$A$55,0),""))</f>
        <v/>
      </c>
      <c r="S270" s="89" t="str">
        <f aca="false">IF($D270="","",IFERROR(MATCH($D270,Securities!$A$6:$A$105,0),""))</f>
        <v/>
      </c>
      <c r="T270" s="89" t="str">
        <f aca="true">IF($I270="","",IFERROR(MATCH($I270,L_TxnType,0),""))</f>
        <v/>
      </c>
    </row>
    <row r="271" customFormat="false" ht="15" hidden="false" customHeight="false" outlineLevel="0" collapsed="false">
      <c r="A271" s="77"/>
      <c r="B271" s="80"/>
      <c r="C271" s="78"/>
      <c r="D271" s="78"/>
      <c r="E271" s="79" t="str">
        <f aca="false">IF($R271="","",INDEX(Accounts!$C$6:$C$55,$R271)&amp;"")</f>
        <v/>
      </c>
      <c r="F271" s="79" t="str">
        <f aca="false">IF($S271="","",INDEX(Securities!$B$6:$B$105,$S271)&amp;"")</f>
        <v/>
      </c>
      <c r="G271" s="79" t="str">
        <f aca="false">IF($S271="","",INDEX(Securities!$E$6:$E$105,$S271)&amp;"")</f>
        <v/>
      </c>
      <c r="H271" s="79" t="str">
        <f aca="false">IF($S271="","",INDEX(Securities!$F$6:$F$105,$S271)&amp;"")</f>
        <v/>
      </c>
      <c r="I271" s="78"/>
      <c r="J271" s="81"/>
      <c r="K271" s="94"/>
      <c r="L271" s="82"/>
      <c r="M271" s="82"/>
      <c r="N271" s="85" t="str">
        <f aca="true">IF(OR($I271="",$T271=""),"",INDEX(L_TxnSign,$T271)*N($L271)-N($M271))</f>
        <v/>
      </c>
      <c r="O271" s="79" t="str">
        <f aca="true">IF($T271="","",INDEX(L_TxnCounts,$T271)&amp;"")</f>
        <v/>
      </c>
      <c r="P271" s="78"/>
      <c r="Q271" s="79" t="str">
        <f aca="false">IF($A271&amp;$C271&amp;$D271&amp;$I271="","",IF($A271="","Missing ID",IF(COUNTIF($A$6:$A$305,$A271)&gt;1,"Duplicate ID",IF(NOT(ISNUMBER($B271)),"Missing date",IF($R271="","Unknown account",IF($D271="","Missing security",IF($S271="","Unknown security",IF($T271="","Unknown type",IF(AND($L271="",$I271&lt;&gt;"Bonus / Split"),"No amount",IF(N($L271)&lt;0,"Type a positive amount; the sign comes from the type",IF(N($M271)&lt;0,"Type charges as a positive amount",IF(N($B271)&gt;ValDate,"Date after valuation",IF(AND(N($B271)&gt;PrevDate,COUNTIFS(Holdings!$B$6:$B$205,$C271,Holdings!$C$6:$C$205,$D271)=0),"No holding row (needed for Period Change)","OK")))))))))))))</f>
        <v/>
      </c>
      <c r="R271" s="89" t="str">
        <f aca="false">IF($C271="","",IFERROR(MATCH($C271,Accounts!$A$6:$A$55,0),""))</f>
        <v/>
      </c>
      <c r="S271" s="89" t="str">
        <f aca="false">IF($D271="","",IFERROR(MATCH($D271,Securities!$A$6:$A$105,0),""))</f>
        <v/>
      </c>
      <c r="T271" s="89" t="str">
        <f aca="true">IF($I271="","",IFERROR(MATCH($I271,L_TxnType,0),""))</f>
        <v/>
      </c>
    </row>
    <row r="272" customFormat="false" ht="15" hidden="false" customHeight="false" outlineLevel="0" collapsed="false">
      <c r="A272" s="77"/>
      <c r="B272" s="80"/>
      <c r="C272" s="78"/>
      <c r="D272" s="78"/>
      <c r="E272" s="79" t="str">
        <f aca="false">IF($R272="","",INDEX(Accounts!$C$6:$C$55,$R272)&amp;"")</f>
        <v/>
      </c>
      <c r="F272" s="79" t="str">
        <f aca="false">IF($S272="","",INDEX(Securities!$B$6:$B$105,$S272)&amp;"")</f>
        <v/>
      </c>
      <c r="G272" s="79" t="str">
        <f aca="false">IF($S272="","",INDEX(Securities!$E$6:$E$105,$S272)&amp;"")</f>
        <v/>
      </c>
      <c r="H272" s="79" t="str">
        <f aca="false">IF($S272="","",INDEX(Securities!$F$6:$F$105,$S272)&amp;"")</f>
        <v/>
      </c>
      <c r="I272" s="78"/>
      <c r="J272" s="81"/>
      <c r="K272" s="94"/>
      <c r="L272" s="82"/>
      <c r="M272" s="82"/>
      <c r="N272" s="85" t="str">
        <f aca="true">IF(OR($I272="",$T272=""),"",INDEX(L_TxnSign,$T272)*N($L272)-N($M272))</f>
        <v/>
      </c>
      <c r="O272" s="79" t="str">
        <f aca="true">IF($T272="","",INDEX(L_TxnCounts,$T272)&amp;"")</f>
        <v/>
      </c>
      <c r="P272" s="78"/>
      <c r="Q272" s="79" t="str">
        <f aca="false">IF($A272&amp;$C272&amp;$D272&amp;$I272="","",IF($A272="","Missing ID",IF(COUNTIF($A$6:$A$305,$A272)&gt;1,"Duplicate ID",IF(NOT(ISNUMBER($B272)),"Missing date",IF($R272="","Unknown account",IF($D272="","Missing security",IF($S272="","Unknown security",IF($T272="","Unknown type",IF(AND($L272="",$I272&lt;&gt;"Bonus / Split"),"No amount",IF(N($L272)&lt;0,"Type a positive amount; the sign comes from the type",IF(N($M272)&lt;0,"Type charges as a positive amount",IF(N($B272)&gt;ValDate,"Date after valuation",IF(AND(N($B272)&gt;PrevDate,COUNTIFS(Holdings!$B$6:$B$205,$C272,Holdings!$C$6:$C$205,$D272)=0),"No holding row (needed for Period Change)","OK")))))))))))))</f>
        <v/>
      </c>
      <c r="R272" s="89" t="str">
        <f aca="false">IF($C272="","",IFERROR(MATCH($C272,Accounts!$A$6:$A$55,0),""))</f>
        <v/>
      </c>
      <c r="S272" s="89" t="str">
        <f aca="false">IF($D272="","",IFERROR(MATCH($D272,Securities!$A$6:$A$105,0),""))</f>
        <v/>
      </c>
      <c r="T272" s="89" t="str">
        <f aca="true">IF($I272="","",IFERROR(MATCH($I272,L_TxnType,0),""))</f>
        <v/>
      </c>
    </row>
    <row r="273" customFormat="false" ht="15" hidden="false" customHeight="false" outlineLevel="0" collapsed="false">
      <c r="A273" s="77"/>
      <c r="B273" s="80"/>
      <c r="C273" s="78"/>
      <c r="D273" s="78"/>
      <c r="E273" s="79" t="str">
        <f aca="false">IF($R273="","",INDEX(Accounts!$C$6:$C$55,$R273)&amp;"")</f>
        <v/>
      </c>
      <c r="F273" s="79" t="str">
        <f aca="false">IF($S273="","",INDEX(Securities!$B$6:$B$105,$S273)&amp;"")</f>
        <v/>
      </c>
      <c r="G273" s="79" t="str">
        <f aca="false">IF($S273="","",INDEX(Securities!$E$6:$E$105,$S273)&amp;"")</f>
        <v/>
      </c>
      <c r="H273" s="79" t="str">
        <f aca="false">IF($S273="","",INDEX(Securities!$F$6:$F$105,$S273)&amp;"")</f>
        <v/>
      </c>
      <c r="I273" s="78"/>
      <c r="J273" s="81"/>
      <c r="K273" s="94"/>
      <c r="L273" s="82"/>
      <c r="M273" s="82"/>
      <c r="N273" s="85" t="str">
        <f aca="true">IF(OR($I273="",$T273=""),"",INDEX(L_TxnSign,$T273)*N($L273)-N($M273))</f>
        <v/>
      </c>
      <c r="O273" s="79" t="str">
        <f aca="true">IF($T273="","",INDEX(L_TxnCounts,$T273)&amp;"")</f>
        <v/>
      </c>
      <c r="P273" s="78"/>
      <c r="Q273" s="79" t="str">
        <f aca="false">IF($A273&amp;$C273&amp;$D273&amp;$I273="","",IF($A273="","Missing ID",IF(COUNTIF($A$6:$A$305,$A273)&gt;1,"Duplicate ID",IF(NOT(ISNUMBER($B273)),"Missing date",IF($R273="","Unknown account",IF($D273="","Missing security",IF($S273="","Unknown security",IF($T273="","Unknown type",IF(AND($L273="",$I273&lt;&gt;"Bonus / Split"),"No amount",IF(N($L273)&lt;0,"Type a positive amount; the sign comes from the type",IF(N($M273)&lt;0,"Type charges as a positive amount",IF(N($B273)&gt;ValDate,"Date after valuation",IF(AND(N($B273)&gt;PrevDate,COUNTIFS(Holdings!$B$6:$B$205,$C273,Holdings!$C$6:$C$205,$D273)=0),"No holding row (needed for Period Change)","OK")))))))))))))</f>
        <v/>
      </c>
      <c r="R273" s="89" t="str">
        <f aca="false">IF($C273="","",IFERROR(MATCH($C273,Accounts!$A$6:$A$55,0),""))</f>
        <v/>
      </c>
      <c r="S273" s="89" t="str">
        <f aca="false">IF($D273="","",IFERROR(MATCH($D273,Securities!$A$6:$A$105,0),""))</f>
        <v/>
      </c>
      <c r="T273" s="89" t="str">
        <f aca="true">IF($I273="","",IFERROR(MATCH($I273,L_TxnType,0),""))</f>
        <v/>
      </c>
    </row>
    <row r="274" customFormat="false" ht="15" hidden="false" customHeight="false" outlineLevel="0" collapsed="false">
      <c r="A274" s="77"/>
      <c r="B274" s="80"/>
      <c r="C274" s="78"/>
      <c r="D274" s="78"/>
      <c r="E274" s="79" t="str">
        <f aca="false">IF($R274="","",INDEX(Accounts!$C$6:$C$55,$R274)&amp;"")</f>
        <v/>
      </c>
      <c r="F274" s="79" t="str">
        <f aca="false">IF($S274="","",INDEX(Securities!$B$6:$B$105,$S274)&amp;"")</f>
        <v/>
      </c>
      <c r="G274" s="79" t="str">
        <f aca="false">IF($S274="","",INDEX(Securities!$E$6:$E$105,$S274)&amp;"")</f>
        <v/>
      </c>
      <c r="H274" s="79" t="str">
        <f aca="false">IF($S274="","",INDEX(Securities!$F$6:$F$105,$S274)&amp;"")</f>
        <v/>
      </c>
      <c r="I274" s="78"/>
      <c r="J274" s="81"/>
      <c r="K274" s="94"/>
      <c r="L274" s="82"/>
      <c r="M274" s="82"/>
      <c r="N274" s="85" t="str">
        <f aca="true">IF(OR($I274="",$T274=""),"",INDEX(L_TxnSign,$T274)*N($L274)-N($M274))</f>
        <v/>
      </c>
      <c r="O274" s="79" t="str">
        <f aca="true">IF($T274="","",INDEX(L_TxnCounts,$T274)&amp;"")</f>
        <v/>
      </c>
      <c r="P274" s="78"/>
      <c r="Q274" s="79" t="str">
        <f aca="false">IF($A274&amp;$C274&amp;$D274&amp;$I274="","",IF($A274="","Missing ID",IF(COUNTIF($A$6:$A$305,$A274)&gt;1,"Duplicate ID",IF(NOT(ISNUMBER($B274)),"Missing date",IF($R274="","Unknown account",IF($D274="","Missing security",IF($S274="","Unknown security",IF($T274="","Unknown type",IF(AND($L274="",$I274&lt;&gt;"Bonus / Split"),"No amount",IF(N($L274)&lt;0,"Type a positive amount; the sign comes from the type",IF(N($M274)&lt;0,"Type charges as a positive amount",IF(N($B274)&gt;ValDate,"Date after valuation",IF(AND(N($B274)&gt;PrevDate,COUNTIFS(Holdings!$B$6:$B$205,$C274,Holdings!$C$6:$C$205,$D274)=0),"No holding row (needed for Period Change)","OK")))))))))))))</f>
        <v/>
      </c>
      <c r="R274" s="89" t="str">
        <f aca="false">IF($C274="","",IFERROR(MATCH($C274,Accounts!$A$6:$A$55,0),""))</f>
        <v/>
      </c>
      <c r="S274" s="89" t="str">
        <f aca="false">IF($D274="","",IFERROR(MATCH($D274,Securities!$A$6:$A$105,0),""))</f>
        <v/>
      </c>
      <c r="T274" s="89" t="str">
        <f aca="true">IF($I274="","",IFERROR(MATCH($I274,L_TxnType,0),""))</f>
        <v/>
      </c>
    </row>
    <row r="275" customFormat="false" ht="15" hidden="false" customHeight="false" outlineLevel="0" collapsed="false">
      <c r="A275" s="77"/>
      <c r="B275" s="80"/>
      <c r="C275" s="78"/>
      <c r="D275" s="78"/>
      <c r="E275" s="79" t="str">
        <f aca="false">IF($R275="","",INDEX(Accounts!$C$6:$C$55,$R275)&amp;"")</f>
        <v/>
      </c>
      <c r="F275" s="79" t="str">
        <f aca="false">IF($S275="","",INDEX(Securities!$B$6:$B$105,$S275)&amp;"")</f>
        <v/>
      </c>
      <c r="G275" s="79" t="str">
        <f aca="false">IF($S275="","",INDEX(Securities!$E$6:$E$105,$S275)&amp;"")</f>
        <v/>
      </c>
      <c r="H275" s="79" t="str">
        <f aca="false">IF($S275="","",INDEX(Securities!$F$6:$F$105,$S275)&amp;"")</f>
        <v/>
      </c>
      <c r="I275" s="78"/>
      <c r="J275" s="81"/>
      <c r="K275" s="94"/>
      <c r="L275" s="82"/>
      <c r="M275" s="82"/>
      <c r="N275" s="85" t="str">
        <f aca="true">IF(OR($I275="",$T275=""),"",INDEX(L_TxnSign,$T275)*N($L275)-N($M275))</f>
        <v/>
      </c>
      <c r="O275" s="79" t="str">
        <f aca="true">IF($T275="","",INDEX(L_TxnCounts,$T275)&amp;"")</f>
        <v/>
      </c>
      <c r="P275" s="78"/>
      <c r="Q275" s="79" t="str">
        <f aca="false">IF($A275&amp;$C275&amp;$D275&amp;$I275="","",IF($A275="","Missing ID",IF(COUNTIF($A$6:$A$305,$A275)&gt;1,"Duplicate ID",IF(NOT(ISNUMBER($B275)),"Missing date",IF($R275="","Unknown account",IF($D275="","Missing security",IF($S275="","Unknown security",IF($T275="","Unknown type",IF(AND($L275="",$I275&lt;&gt;"Bonus / Split"),"No amount",IF(N($L275)&lt;0,"Type a positive amount; the sign comes from the type",IF(N($M275)&lt;0,"Type charges as a positive amount",IF(N($B275)&gt;ValDate,"Date after valuation",IF(AND(N($B275)&gt;PrevDate,COUNTIFS(Holdings!$B$6:$B$205,$C275,Holdings!$C$6:$C$205,$D275)=0),"No holding row (needed for Period Change)","OK")))))))))))))</f>
        <v/>
      </c>
      <c r="R275" s="89" t="str">
        <f aca="false">IF($C275="","",IFERROR(MATCH($C275,Accounts!$A$6:$A$55,0),""))</f>
        <v/>
      </c>
      <c r="S275" s="89" t="str">
        <f aca="false">IF($D275="","",IFERROR(MATCH($D275,Securities!$A$6:$A$105,0),""))</f>
        <v/>
      </c>
      <c r="T275" s="89" t="str">
        <f aca="true">IF($I275="","",IFERROR(MATCH($I275,L_TxnType,0),""))</f>
        <v/>
      </c>
    </row>
    <row r="276" customFormat="false" ht="15" hidden="false" customHeight="false" outlineLevel="0" collapsed="false">
      <c r="A276" s="77"/>
      <c r="B276" s="80"/>
      <c r="C276" s="78"/>
      <c r="D276" s="78"/>
      <c r="E276" s="79" t="str">
        <f aca="false">IF($R276="","",INDEX(Accounts!$C$6:$C$55,$R276)&amp;"")</f>
        <v/>
      </c>
      <c r="F276" s="79" t="str">
        <f aca="false">IF($S276="","",INDEX(Securities!$B$6:$B$105,$S276)&amp;"")</f>
        <v/>
      </c>
      <c r="G276" s="79" t="str">
        <f aca="false">IF($S276="","",INDEX(Securities!$E$6:$E$105,$S276)&amp;"")</f>
        <v/>
      </c>
      <c r="H276" s="79" t="str">
        <f aca="false">IF($S276="","",INDEX(Securities!$F$6:$F$105,$S276)&amp;"")</f>
        <v/>
      </c>
      <c r="I276" s="78"/>
      <c r="J276" s="81"/>
      <c r="K276" s="94"/>
      <c r="L276" s="82"/>
      <c r="M276" s="82"/>
      <c r="N276" s="85" t="str">
        <f aca="true">IF(OR($I276="",$T276=""),"",INDEX(L_TxnSign,$T276)*N($L276)-N($M276))</f>
        <v/>
      </c>
      <c r="O276" s="79" t="str">
        <f aca="true">IF($T276="","",INDEX(L_TxnCounts,$T276)&amp;"")</f>
        <v/>
      </c>
      <c r="P276" s="78"/>
      <c r="Q276" s="79" t="str">
        <f aca="false">IF($A276&amp;$C276&amp;$D276&amp;$I276="","",IF($A276="","Missing ID",IF(COUNTIF($A$6:$A$305,$A276)&gt;1,"Duplicate ID",IF(NOT(ISNUMBER($B276)),"Missing date",IF($R276="","Unknown account",IF($D276="","Missing security",IF($S276="","Unknown security",IF($T276="","Unknown type",IF(AND($L276="",$I276&lt;&gt;"Bonus / Split"),"No amount",IF(N($L276)&lt;0,"Type a positive amount; the sign comes from the type",IF(N($M276)&lt;0,"Type charges as a positive amount",IF(N($B276)&gt;ValDate,"Date after valuation",IF(AND(N($B276)&gt;PrevDate,COUNTIFS(Holdings!$B$6:$B$205,$C276,Holdings!$C$6:$C$205,$D276)=0),"No holding row (needed for Period Change)","OK")))))))))))))</f>
        <v/>
      </c>
      <c r="R276" s="89" t="str">
        <f aca="false">IF($C276="","",IFERROR(MATCH($C276,Accounts!$A$6:$A$55,0),""))</f>
        <v/>
      </c>
      <c r="S276" s="89" t="str">
        <f aca="false">IF($D276="","",IFERROR(MATCH($D276,Securities!$A$6:$A$105,0),""))</f>
        <v/>
      </c>
      <c r="T276" s="89" t="str">
        <f aca="true">IF($I276="","",IFERROR(MATCH($I276,L_TxnType,0),""))</f>
        <v/>
      </c>
    </row>
    <row r="277" customFormat="false" ht="15" hidden="false" customHeight="false" outlineLevel="0" collapsed="false">
      <c r="A277" s="77"/>
      <c r="B277" s="80"/>
      <c r="C277" s="78"/>
      <c r="D277" s="78"/>
      <c r="E277" s="79" t="str">
        <f aca="false">IF($R277="","",INDEX(Accounts!$C$6:$C$55,$R277)&amp;"")</f>
        <v/>
      </c>
      <c r="F277" s="79" t="str">
        <f aca="false">IF($S277="","",INDEX(Securities!$B$6:$B$105,$S277)&amp;"")</f>
        <v/>
      </c>
      <c r="G277" s="79" t="str">
        <f aca="false">IF($S277="","",INDEX(Securities!$E$6:$E$105,$S277)&amp;"")</f>
        <v/>
      </c>
      <c r="H277" s="79" t="str">
        <f aca="false">IF($S277="","",INDEX(Securities!$F$6:$F$105,$S277)&amp;"")</f>
        <v/>
      </c>
      <c r="I277" s="78"/>
      <c r="J277" s="81"/>
      <c r="K277" s="94"/>
      <c r="L277" s="82"/>
      <c r="M277" s="82"/>
      <c r="N277" s="85" t="str">
        <f aca="true">IF(OR($I277="",$T277=""),"",INDEX(L_TxnSign,$T277)*N($L277)-N($M277))</f>
        <v/>
      </c>
      <c r="O277" s="79" t="str">
        <f aca="true">IF($T277="","",INDEX(L_TxnCounts,$T277)&amp;"")</f>
        <v/>
      </c>
      <c r="P277" s="78"/>
      <c r="Q277" s="79" t="str">
        <f aca="false">IF($A277&amp;$C277&amp;$D277&amp;$I277="","",IF($A277="","Missing ID",IF(COUNTIF($A$6:$A$305,$A277)&gt;1,"Duplicate ID",IF(NOT(ISNUMBER($B277)),"Missing date",IF($R277="","Unknown account",IF($D277="","Missing security",IF($S277="","Unknown security",IF($T277="","Unknown type",IF(AND($L277="",$I277&lt;&gt;"Bonus / Split"),"No amount",IF(N($L277)&lt;0,"Type a positive amount; the sign comes from the type",IF(N($M277)&lt;0,"Type charges as a positive amount",IF(N($B277)&gt;ValDate,"Date after valuation",IF(AND(N($B277)&gt;PrevDate,COUNTIFS(Holdings!$B$6:$B$205,$C277,Holdings!$C$6:$C$205,$D277)=0),"No holding row (needed for Period Change)","OK")))))))))))))</f>
        <v/>
      </c>
      <c r="R277" s="89" t="str">
        <f aca="false">IF($C277="","",IFERROR(MATCH($C277,Accounts!$A$6:$A$55,0),""))</f>
        <v/>
      </c>
      <c r="S277" s="89" t="str">
        <f aca="false">IF($D277="","",IFERROR(MATCH($D277,Securities!$A$6:$A$105,0),""))</f>
        <v/>
      </c>
      <c r="T277" s="89" t="str">
        <f aca="true">IF($I277="","",IFERROR(MATCH($I277,L_TxnType,0),""))</f>
        <v/>
      </c>
    </row>
    <row r="278" customFormat="false" ht="15" hidden="false" customHeight="false" outlineLevel="0" collapsed="false">
      <c r="A278" s="77"/>
      <c r="B278" s="80"/>
      <c r="C278" s="78"/>
      <c r="D278" s="78"/>
      <c r="E278" s="79" t="str">
        <f aca="false">IF($R278="","",INDEX(Accounts!$C$6:$C$55,$R278)&amp;"")</f>
        <v/>
      </c>
      <c r="F278" s="79" t="str">
        <f aca="false">IF($S278="","",INDEX(Securities!$B$6:$B$105,$S278)&amp;"")</f>
        <v/>
      </c>
      <c r="G278" s="79" t="str">
        <f aca="false">IF($S278="","",INDEX(Securities!$E$6:$E$105,$S278)&amp;"")</f>
        <v/>
      </c>
      <c r="H278" s="79" t="str">
        <f aca="false">IF($S278="","",INDEX(Securities!$F$6:$F$105,$S278)&amp;"")</f>
        <v/>
      </c>
      <c r="I278" s="78"/>
      <c r="J278" s="81"/>
      <c r="K278" s="94"/>
      <c r="L278" s="82"/>
      <c r="M278" s="82"/>
      <c r="N278" s="85" t="str">
        <f aca="true">IF(OR($I278="",$T278=""),"",INDEX(L_TxnSign,$T278)*N($L278)-N($M278))</f>
        <v/>
      </c>
      <c r="O278" s="79" t="str">
        <f aca="true">IF($T278="","",INDEX(L_TxnCounts,$T278)&amp;"")</f>
        <v/>
      </c>
      <c r="P278" s="78"/>
      <c r="Q278" s="79" t="str">
        <f aca="false">IF($A278&amp;$C278&amp;$D278&amp;$I278="","",IF($A278="","Missing ID",IF(COUNTIF($A$6:$A$305,$A278)&gt;1,"Duplicate ID",IF(NOT(ISNUMBER($B278)),"Missing date",IF($R278="","Unknown account",IF($D278="","Missing security",IF($S278="","Unknown security",IF($T278="","Unknown type",IF(AND($L278="",$I278&lt;&gt;"Bonus / Split"),"No amount",IF(N($L278)&lt;0,"Type a positive amount; the sign comes from the type",IF(N($M278)&lt;0,"Type charges as a positive amount",IF(N($B278)&gt;ValDate,"Date after valuation",IF(AND(N($B278)&gt;PrevDate,COUNTIFS(Holdings!$B$6:$B$205,$C278,Holdings!$C$6:$C$205,$D278)=0),"No holding row (needed for Period Change)","OK")))))))))))))</f>
        <v/>
      </c>
      <c r="R278" s="89" t="str">
        <f aca="false">IF($C278="","",IFERROR(MATCH($C278,Accounts!$A$6:$A$55,0),""))</f>
        <v/>
      </c>
      <c r="S278" s="89" t="str">
        <f aca="false">IF($D278="","",IFERROR(MATCH($D278,Securities!$A$6:$A$105,0),""))</f>
        <v/>
      </c>
      <c r="T278" s="89" t="str">
        <f aca="true">IF($I278="","",IFERROR(MATCH($I278,L_TxnType,0),""))</f>
        <v/>
      </c>
    </row>
    <row r="279" customFormat="false" ht="15" hidden="false" customHeight="false" outlineLevel="0" collapsed="false">
      <c r="A279" s="77"/>
      <c r="B279" s="80"/>
      <c r="C279" s="78"/>
      <c r="D279" s="78"/>
      <c r="E279" s="79" t="str">
        <f aca="false">IF($R279="","",INDEX(Accounts!$C$6:$C$55,$R279)&amp;"")</f>
        <v/>
      </c>
      <c r="F279" s="79" t="str">
        <f aca="false">IF($S279="","",INDEX(Securities!$B$6:$B$105,$S279)&amp;"")</f>
        <v/>
      </c>
      <c r="G279" s="79" t="str">
        <f aca="false">IF($S279="","",INDEX(Securities!$E$6:$E$105,$S279)&amp;"")</f>
        <v/>
      </c>
      <c r="H279" s="79" t="str">
        <f aca="false">IF($S279="","",INDEX(Securities!$F$6:$F$105,$S279)&amp;"")</f>
        <v/>
      </c>
      <c r="I279" s="78"/>
      <c r="J279" s="81"/>
      <c r="K279" s="94"/>
      <c r="L279" s="82"/>
      <c r="M279" s="82"/>
      <c r="N279" s="85" t="str">
        <f aca="true">IF(OR($I279="",$T279=""),"",INDEX(L_TxnSign,$T279)*N($L279)-N($M279))</f>
        <v/>
      </c>
      <c r="O279" s="79" t="str">
        <f aca="true">IF($T279="","",INDEX(L_TxnCounts,$T279)&amp;"")</f>
        <v/>
      </c>
      <c r="P279" s="78"/>
      <c r="Q279" s="79" t="str">
        <f aca="false">IF($A279&amp;$C279&amp;$D279&amp;$I279="","",IF($A279="","Missing ID",IF(COUNTIF($A$6:$A$305,$A279)&gt;1,"Duplicate ID",IF(NOT(ISNUMBER($B279)),"Missing date",IF($R279="","Unknown account",IF($D279="","Missing security",IF($S279="","Unknown security",IF($T279="","Unknown type",IF(AND($L279="",$I279&lt;&gt;"Bonus / Split"),"No amount",IF(N($L279)&lt;0,"Type a positive amount; the sign comes from the type",IF(N($M279)&lt;0,"Type charges as a positive amount",IF(N($B279)&gt;ValDate,"Date after valuation",IF(AND(N($B279)&gt;PrevDate,COUNTIFS(Holdings!$B$6:$B$205,$C279,Holdings!$C$6:$C$205,$D279)=0),"No holding row (needed for Period Change)","OK")))))))))))))</f>
        <v/>
      </c>
      <c r="R279" s="89" t="str">
        <f aca="false">IF($C279="","",IFERROR(MATCH($C279,Accounts!$A$6:$A$55,0),""))</f>
        <v/>
      </c>
      <c r="S279" s="89" t="str">
        <f aca="false">IF($D279="","",IFERROR(MATCH($D279,Securities!$A$6:$A$105,0),""))</f>
        <v/>
      </c>
      <c r="T279" s="89" t="str">
        <f aca="true">IF($I279="","",IFERROR(MATCH($I279,L_TxnType,0),""))</f>
        <v/>
      </c>
    </row>
    <row r="280" customFormat="false" ht="15" hidden="false" customHeight="false" outlineLevel="0" collapsed="false">
      <c r="A280" s="77"/>
      <c r="B280" s="80"/>
      <c r="C280" s="78"/>
      <c r="D280" s="78"/>
      <c r="E280" s="79" t="str">
        <f aca="false">IF($R280="","",INDEX(Accounts!$C$6:$C$55,$R280)&amp;"")</f>
        <v/>
      </c>
      <c r="F280" s="79" t="str">
        <f aca="false">IF($S280="","",INDEX(Securities!$B$6:$B$105,$S280)&amp;"")</f>
        <v/>
      </c>
      <c r="G280" s="79" t="str">
        <f aca="false">IF($S280="","",INDEX(Securities!$E$6:$E$105,$S280)&amp;"")</f>
        <v/>
      </c>
      <c r="H280" s="79" t="str">
        <f aca="false">IF($S280="","",INDEX(Securities!$F$6:$F$105,$S280)&amp;"")</f>
        <v/>
      </c>
      <c r="I280" s="78"/>
      <c r="J280" s="81"/>
      <c r="K280" s="94"/>
      <c r="L280" s="82"/>
      <c r="M280" s="82"/>
      <c r="N280" s="85" t="str">
        <f aca="true">IF(OR($I280="",$T280=""),"",INDEX(L_TxnSign,$T280)*N($L280)-N($M280))</f>
        <v/>
      </c>
      <c r="O280" s="79" t="str">
        <f aca="true">IF($T280="","",INDEX(L_TxnCounts,$T280)&amp;"")</f>
        <v/>
      </c>
      <c r="P280" s="78"/>
      <c r="Q280" s="79" t="str">
        <f aca="false">IF($A280&amp;$C280&amp;$D280&amp;$I280="","",IF($A280="","Missing ID",IF(COUNTIF($A$6:$A$305,$A280)&gt;1,"Duplicate ID",IF(NOT(ISNUMBER($B280)),"Missing date",IF($R280="","Unknown account",IF($D280="","Missing security",IF($S280="","Unknown security",IF($T280="","Unknown type",IF(AND($L280="",$I280&lt;&gt;"Bonus / Split"),"No amount",IF(N($L280)&lt;0,"Type a positive amount; the sign comes from the type",IF(N($M280)&lt;0,"Type charges as a positive amount",IF(N($B280)&gt;ValDate,"Date after valuation",IF(AND(N($B280)&gt;PrevDate,COUNTIFS(Holdings!$B$6:$B$205,$C280,Holdings!$C$6:$C$205,$D280)=0),"No holding row (needed for Period Change)","OK")))))))))))))</f>
        <v/>
      </c>
      <c r="R280" s="89" t="str">
        <f aca="false">IF($C280="","",IFERROR(MATCH($C280,Accounts!$A$6:$A$55,0),""))</f>
        <v/>
      </c>
      <c r="S280" s="89" t="str">
        <f aca="false">IF($D280="","",IFERROR(MATCH($D280,Securities!$A$6:$A$105,0),""))</f>
        <v/>
      </c>
      <c r="T280" s="89" t="str">
        <f aca="true">IF($I280="","",IFERROR(MATCH($I280,L_TxnType,0),""))</f>
        <v/>
      </c>
    </row>
    <row r="281" customFormat="false" ht="15" hidden="false" customHeight="false" outlineLevel="0" collapsed="false">
      <c r="A281" s="77"/>
      <c r="B281" s="80"/>
      <c r="C281" s="78"/>
      <c r="D281" s="78"/>
      <c r="E281" s="79" t="str">
        <f aca="false">IF($R281="","",INDEX(Accounts!$C$6:$C$55,$R281)&amp;"")</f>
        <v/>
      </c>
      <c r="F281" s="79" t="str">
        <f aca="false">IF($S281="","",INDEX(Securities!$B$6:$B$105,$S281)&amp;"")</f>
        <v/>
      </c>
      <c r="G281" s="79" t="str">
        <f aca="false">IF($S281="","",INDEX(Securities!$E$6:$E$105,$S281)&amp;"")</f>
        <v/>
      </c>
      <c r="H281" s="79" t="str">
        <f aca="false">IF($S281="","",INDEX(Securities!$F$6:$F$105,$S281)&amp;"")</f>
        <v/>
      </c>
      <c r="I281" s="78"/>
      <c r="J281" s="81"/>
      <c r="K281" s="94"/>
      <c r="L281" s="82"/>
      <c r="M281" s="82"/>
      <c r="N281" s="85" t="str">
        <f aca="true">IF(OR($I281="",$T281=""),"",INDEX(L_TxnSign,$T281)*N($L281)-N($M281))</f>
        <v/>
      </c>
      <c r="O281" s="79" t="str">
        <f aca="true">IF($T281="","",INDEX(L_TxnCounts,$T281)&amp;"")</f>
        <v/>
      </c>
      <c r="P281" s="78"/>
      <c r="Q281" s="79" t="str">
        <f aca="false">IF($A281&amp;$C281&amp;$D281&amp;$I281="","",IF($A281="","Missing ID",IF(COUNTIF($A$6:$A$305,$A281)&gt;1,"Duplicate ID",IF(NOT(ISNUMBER($B281)),"Missing date",IF($R281="","Unknown account",IF($D281="","Missing security",IF($S281="","Unknown security",IF($T281="","Unknown type",IF(AND($L281="",$I281&lt;&gt;"Bonus / Split"),"No amount",IF(N($L281)&lt;0,"Type a positive amount; the sign comes from the type",IF(N($M281)&lt;0,"Type charges as a positive amount",IF(N($B281)&gt;ValDate,"Date after valuation",IF(AND(N($B281)&gt;PrevDate,COUNTIFS(Holdings!$B$6:$B$205,$C281,Holdings!$C$6:$C$205,$D281)=0),"No holding row (needed for Period Change)","OK")))))))))))))</f>
        <v/>
      </c>
      <c r="R281" s="89" t="str">
        <f aca="false">IF($C281="","",IFERROR(MATCH($C281,Accounts!$A$6:$A$55,0),""))</f>
        <v/>
      </c>
      <c r="S281" s="89" t="str">
        <f aca="false">IF($D281="","",IFERROR(MATCH($D281,Securities!$A$6:$A$105,0),""))</f>
        <v/>
      </c>
      <c r="T281" s="89" t="str">
        <f aca="true">IF($I281="","",IFERROR(MATCH($I281,L_TxnType,0),""))</f>
        <v/>
      </c>
    </row>
    <row r="282" customFormat="false" ht="15" hidden="false" customHeight="false" outlineLevel="0" collapsed="false">
      <c r="A282" s="77"/>
      <c r="B282" s="80"/>
      <c r="C282" s="78"/>
      <c r="D282" s="78"/>
      <c r="E282" s="79" t="str">
        <f aca="false">IF($R282="","",INDEX(Accounts!$C$6:$C$55,$R282)&amp;"")</f>
        <v/>
      </c>
      <c r="F282" s="79" t="str">
        <f aca="false">IF($S282="","",INDEX(Securities!$B$6:$B$105,$S282)&amp;"")</f>
        <v/>
      </c>
      <c r="G282" s="79" t="str">
        <f aca="false">IF($S282="","",INDEX(Securities!$E$6:$E$105,$S282)&amp;"")</f>
        <v/>
      </c>
      <c r="H282" s="79" t="str">
        <f aca="false">IF($S282="","",INDEX(Securities!$F$6:$F$105,$S282)&amp;"")</f>
        <v/>
      </c>
      <c r="I282" s="78"/>
      <c r="J282" s="81"/>
      <c r="K282" s="94"/>
      <c r="L282" s="82"/>
      <c r="M282" s="82"/>
      <c r="N282" s="85" t="str">
        <f aca="true">IF(OR($I282="",$T282=""),"",INDEX(L_TxnSign,$T282)*N($L282)-N($M282))</f>
        <v/>
      </c>
      <c r="O282" s="79" t="str">
        <f aca="true">IF($T282="","",INDEX(L_TxnCounts,$T282)&amp;"")</f>
        <v/>
      </c>
      <c r="P282" s="78"/>
      <c r="Q282" s="79" t="str">
        <f aca="false">IF($A282&amp;$C282&amp;$D282&amp;$I282="","",IF($A282="","Missing ID",IF(COUNTIF($A$6:$A$305,$A282)&gt;1,"Duplicate ID",IF(NOT(ISNUMBER($B282)),"Missing date",IF($R282="","Unknown account",IF($D282="","Missing security",IF($S282="","Unknown security",IF($T282="","Unknown type",IF(AND($L282="",$I282&lt;&gt;"Bonus / Split"),"No amount",IF(N($L282)&lt;0,"Type a positive amount; the sign comes from the type",IF(N($M282)&lt;0,"Type charges as a positive amount",IF(N($B282)&gt;ValDate,"Date after valuation",IF(AND(N($B282)&gt;PrevDate,COUNTIFS(Holdings!$B$6:$B$205,$C282,Holdings!$C$6:$C$205,$D282)=0),"No holding row (needed for Period Change)","OK")))))))))))))</f>
        <v/>
      </c>
      <c r="R282" s="89" t="str">
        <f aca="false">IF($C282="","",IFERROR(MATCH($C282,Accounts!$A$6:$A$55,0),""))</f>
        <v/>
      </c>
      <c r="S282" s="89" t="str">
        <f aca="false">IF($D282="","",IFERROR(MATCH($D282,Securities!$A$6:$A$105,0),""))</f>
        <v/>
      </c>
      <c r="T282" s="89" t="str">
        <f aca="true">IF($I282="","",IFERROR(MATCH($I282,L_TxnType,0),""))</f>
        <v/>
      </c>
    </row>
    <row r="283" customFormat="false" ht="15" hidden="false" customHeight="false" outlineLevel="0" collapsed="false">
      <c r="A283" s="77"/>
      <c r="B283" s="80"/>
      <c r="C283" s="78"/>
      <c r="D283" s="78"/>
      <c r="E283" s="79" t="str">
        <f aca="false">IF($R283="","",INDEX(Accounts!$C$6:$C$55,$R283)&amp;"")</f>
        <v/>
      </c>
      <c r="F283" s="79" t="str">
        <f aca="false">IF($S283="","",INDEX(Securities!$B$6:$B$105,$S283)&amp;"")</f>
        <v/>
      </c>
      <c r="G283" s="79" t="str">
        <f aca="false">IF($S283="","",INDEX(Securities!$E$6:$E$105,$S283)&amp;"")</f>
        <v/>
      </c>
      <c r="H283" s="79" t="str">
        <f aca="false">IF($S283="","",INDEX(Securities!$F$6:$F$105,$S283)&amp;"")</f>
        <v/>
      </c>
      <c r="I283" s="78"/>
      <c r="J283" s="81"/>
      <c r="K283" s="94"/>
      <c r="L283" s="82"/>
      <c r="M283" s="82"/>
      <c r="N283" s="85" t="str">
        <f aca="true">IF(OR($I283="",$T283=""),"",INDEX(L_TxnSign,$T283)*N($L283)-N($M283))</f>
        <v/>
      </c>
      <c r="O283" s="79" t="str">
        <f aca="true">IF($T283="","",INDEX(L_TxnCounts,$T283)&amp;"")</f>
        <v/>
      </c>
      <c r="P283" s="78"/>
      <c r="Q283" s="79" t="str">
        <f aca="false">IF($A283&amp;$C283&amp;$D283&amp;$I283="","",IF($A283="","Missing ID",IF(COUNTIF($A$6:$A$305,$A283)&gt;1,"Duplicate ID",IF(NOT(ISNUMBER($B283)),"Missing date",IF($R283="","Unknown account",IF($D283="","Missing security",IF($S283="","Unknown security",IF($T283="","Unknown type",IF(AND($L283="",$I283&lt;&gt;"Bonus / Split"),"No amount",IF(N($L283)&lt;0,"Type a positive amount; the sign comes from the type",IF(N($M283)&lt;0,"Type charges as a positive amount",IF(N($B283)&gt;ValDate,"Date after valuation",IF(AND(N($B283)&gt;PrevDate,COUNTIFS(Holdings!$B$6:$B$205,$C283,Holdings!$C$6:$C$205,$D283)=0),"No holding row (needed for Period Change)","OK")))))))))))))</f>
        <v/>
      </c>
      <c r="R283" s="89" t="str">
        <f aca="false">IF($C283="","",IFERROR(MATCH($C283,Accounts!$A$6:$A$55,0),""))</f>
        <v/>
      </c>
      <c r="S283" s="89" t="str">
        <f aca="false">IF($D283="","",IFERROR(MATCH($D283,Securities!$A$6:$A$105,0),""))</f>
        <v/>
      </c>
      <c r="T283" s="89" t="str">
        <f aca="true">IF($I283="","",IFERROR(MATCH($I283,L_TxnType,0),""))</f>
        <v/>
      </c>
    </row>
    <row r="284" customFormat="false" ht="15" hidden="false" customHeight="false" outlineLevel="0" collapsed="false">
      <c r="A284" s="77"/>
      <c r="B284" s="80"/>
      <c r="C284" s="78"/>
      <c r="D284" s="78"/>
      <c r="E284" s="79" t="str">
        <f aca="false">IF($R284="","",INDEX(Accounts!$C$6:$C$55,$R284)&amp;"")</f>
        <v/>
      </c>
      <c r="F284" s="79" t="str">
        <f aca="false">IF($S284="","",INDEX(Securities!$B$6:$B$105,$S284)&amp;"")</f>
        <v/>
      </c>
      <c r="G284" s="79" t="str">
        <f aca="false">IF($S284="","",INDEX(Securities!$E$6:$E$105,$S284)&amp;"")</f>
        <v/>
      </c>
      <c r="H284" s="79" t="str">
        <f aca="false">IF($S284="","",INDEX(Securities!$F$6:$F$105,$S284)&amp;"")</f>
        <v/>
      </c>
      <c r="I284" s="78"/>
      <c r="J284" s="81"/>
      <c r="K284" s="94"/>
      <c r="L284" s="82"/>
      <c r="M284" s="82"/>
      <c r="N284" s="85" t="str">
        <f aca="true">IF(OR($I284="",$T284=""),"",INDEX(L_TxnSign,$T284)*N($L284)-N($M284))</f>
        <v/>
      </c>
      <c r="O284" s="79" t="str">
        <f aca="true">IF($T284="","",INDEX(L_TxnCounts,$T284)&amp;"")</f>
        <v/>
      </c>
      <c r="P284" s="78"/>
      <c r="Q284" s="79" t="str">
        <f aca="false">IF($A284&amp;$C284&amp;$D284&amp;$I284="","",IF($A284="","Missing ID",IF(COUNTIF($A$6:$A$305,$A284)&gt;1,"Duplicate ID",IF(NOT(ISNUMBER($B284)),"Missing date",IF($R284="","Unknown account",IF($D284="","Missing security",IF($S284="","Unknown security",IF($T284="","Unknown type",IF(AND($L284="",$I284&lt;&gt;"Bonus / Split"),"No amount",IF(N($L284)&lt;0,"Type a positive amount; the sign comes from the type",IF(N($M284)&lt;0,"Type charges as a positive amount",IF(N($B284)&gt;ValDate,"Date after valuation",IF(AND(N($B284)&gt;PrevDate,COUNTIFS(Holdings!$B$6:$B$205,$C284,Holdings!$C$6:$C$205,$D284)=0),"No holding row (needed for Period Change)","OK")))))))))))))</f>
        <v/>
      </c>
      <c r="R284" s="89" t="str">
        <f aca="false">IF($C284="","",IFERROR(MATCH($C284,Accounts!$A$6:$A$55,0),""))</f>
        <v/>
      </c>
      <c r="S284" s="89" t="str">
        <f aca="false">IF($D284="","",IFERROR(MATCH($D284,Securities!$A$6:$A$105,0),""))</f>
        <v/>
      </c>
      <c r="T284" s="89" t="str">
        <f aca="true">IF($I284="","",IFERROR(MATCH($I284,L_TxnType,0),""))</f>
        <v/>
      </c>
    </row>
    <row r="285" customFormat="false" ht="15" hidden="false" customHeight="false" outlineLevel="0" collapsed="false">
      <c r="A285" s="77"/>
      <c r="B285" s="80"/>
      <c r="C285" s="78"/>
      <c r="D285" s="78"/>
      <c r="E285" s="79" t="str">
        <f aca="false">IF($R285="","",INDEX(Accounts!$C$6:$C$55,$R285)&amp;"")</f>
        <v/>
      </c>
      <c r="F285" s="79" t="str">
        <f aca="false">IF($S285="","",INDEX(Securities!$B$6:$B$105,$S285)&amp;"")</f>
        <v/>
      </c>
      <c r="G285" s="79" t="str">
        <f aca="false">IF($S285="","",INDEX(Securities!$E$6:$E$105,$S285)&amp;"")</f>
        <v/>
      </c>
      <c r="H285" s="79" t="str">
        <f aca="false">IF($S285="","",INDEX(Securities!$F$6:$F$105,$S285)&amp;"")</f>
        <v/>
      </c>
      <c r="I285" s="78"/>
      <c r="J285" s="81"/>
      <c r="K285" s="94"/>
      <c r="L285" s="82"/>
      <c r="M285" s="82"/>
      <c r="N285" s="85" t="str">
        <f aca="true">IF(OR($I285="",$T285=""),"",INDEX(L_TxnSign,$T285)*N($L285)-N($M285))</f>
        <v/>
      </c>
      <c r="O285" s="79" t="str">
        <f aca="true">IF($T285="","",INDEX(L_TxnCounts,$T285)&amp;"")</f>
        <v/>
      </c>
      <c r="P285" s="78"/>
      <c r="Q285" s="79" t="str">
        <f aca="false">IF($A285&amp;$C285&amp;$D285&amp;$I285="","",IF($A285="","Missing ID",IF(COUNTIF($A$6:$A$305,$A285)&gt;1,"Duplicate ID",IF(NOT(ISNUMBER($B285)),"Missing date",IF($R285="","Unknown account",IF($D285="","Missing security",IF($S285="","Unknown security",IF($T285="","Unknown type",IF(AND($L285="",$I285&lt;&gt;"Bonus / Split"),"No amount",IF(N($L285)&lt;0,"Type a positive amount; the sign comes from the type",IF(N($M285)&lt;0,"Type charges as a positive amount",IF(N($B285)&gt;ValDate,"Date after valuation",IF(AND(N($B285)&gt;PrevDate,COUNTIFS(Holdings!$B$6:$B$205,$C285,Holdings!$C$6:$C$205,$D285)=0),"No holding row (needed for Period Change)","OK")))))))))))))</f>
        <v/>
      </c>
      <c r="R285" s="89" t="str">
        <f aca="false">IF($C285="","",IFERROR(MATCH($C285,Accounts!$A$6:$A$55,0),""))</f>
        <v/>
      </c>
      <c r="S285" s="89" t="str">
        <f aca="false">IF($D285="","",IFERROR(MATCH($D285,Securities!$A$6:$A$105,0),""))</f>
        <v/>
      </c>
      <c r="T285" s="89" t="str">
        <f aca="true">IF($I285="","",IFERROR(MATCH($I285,L_TxnType,0),""))</f>
        <v/>
      </c>
    </row>
    <row r="286" customFormat="false" ht="15" hidden="false" customHeight="false" outlineLevel="0" collapsed="false">
      <c r="A286" s="77"/>
      <c r="B286" s="80"/>
      <c r="C286" s="78"/>
      <c r="D286" s="78"/>
      <c r="E286" s="79" t="str">
        <f aca="false">IF($R286="","",INDEX(Accounts!$C$6:$C$55,$R286)&amp;"")</f>
        <v/>
      </c>
      <c r="F286" s="79" t="str">
        <f aca="false">IF($S286="","",INDEX(Securities!$B$6:$B$105,$S286)&amp;"")</f>
        <v/>
      </c>
      <c r="G286" s="79" t="str">
        <f aca="false">IF($S286="","",INDEX(Securities!$E$6:$E$105,$S286)&amp;"")</f>
        <v/>
      </c>
      <c r="H286" s="79" t="str">
        <f aca="false">IF($S286="","",INDEX(Securities!$F$6:$F$105,$S286)&amp;"")</f>
        <v/>
      </c>
      <c r="I286" s="78"/>
      <c r="J286" s="81"/>
      <c r="K286" s="94"/>
      <c r="L286" s="82"/>
      <c r="M286" s="82"/>
      <c r="N286" s="85" t="str">
        <f aca="true">IF(OR($I286="",$T286=""),"",INDEX(L_TxnSign,$T286)*N($L286)-N($M286))</f>
        <v/>
      </c>
      <c r="O286" s="79" t="str">
        <f aca="true">IF($T286="","",INDEX(L_TxnCounts,$T286)&amp;"")</f>
        <v/>
      </c>
      <c r="P286" s="78"/>
      <c r="Q286" s="79" t="str">
        <f aca="false">IF($A286&amp;$C286&amp;$D286&amp;$I286="","",IF($A286="","Missing ID",IF(COUNTIF($A$6:$A$305,$A286)&gt;1,"Duplicate ID",IF(NOT(ISNUMBER($B286)),"Missing date",IF($R286="","Unknown account",IF($D286="","Missing security",IF($S286="","Unknown security",IF($T286="","Unknown type",IF(AND($L286="",$I286&lt;&gt;"Bonus / Split"),"No amount",IF(N($L286)&lt;0,"Type a positive amount; the sign comes from the type",IF(N($M286)&lt;0,"Type charges as a positive amount",IF(N($B286)&gt;ValDate,"Date after valuation",IF(AND(N($B286)&gt;PrevDate,COUNTIFS(Holdings!$B$6:$B$205,$C286,Holdings!$C$6:$C$205,$D286)=0),"No holding row (needed for Period Change)","OK")))))))))))))</f>
        <v/>
      </c>
      <c r="R286" s="89" t="str">
        <f aca="false">IF($C286="","",IFERROR(MATCH($C286,Accounts!$A$6:$A$55,0),""))</f>
        <v/>
      </c>
      <c r="S286" s="89" t="str">
        <f aca="false">IF($D286="","",IFERROR(MATCH($D286,Securities!$A$6:$A$105,0),""))</f>
        <v/>
      </c>
      <c r="T286" s="89" t="str">
        <f aca="true">IF($I286="","",IFERROR(MATCH($I286,L_TxnType,0),""))</f>
        <v/>
      </c>
    </row>
    <row r="287" customFormat="false" ht="15" hidden="false" customHeight="false" outlineLevel="0" collapsed="false">
      <c r="A287" s="77"/>
      <c r="B287" s="80"/>
      <c r="C287" s="78"/>
      <c r="D287" s="78"/>
      <c r="E287" s="79" t="str">
        <f aca="false">IF($R287="","",INDEX(Accounts!$C$6:$C$55,$R287)&amp;"")</f>
        <v/>
      </c>
      <c r="F287" s="79" t="str">
        <f aca="false">IF($S287="","",INDEX(Securities!$B$6:$B$105,$S287)&amp;"")</f>
        <v/>
      </c>
      <c r="G287" s="79" t="str">
        <f aca="false">IF($S287="","",INDEX(Securities!$E$6:$E$105,$S287)&amp;"")</f>
        <v/>
      </c>
      <c r="H287" s="79" t="str">
        <f aca="false">IF($S287="","",INDEX(Securities!$F$6:$F$105,$S287)&amp;"")</f>
        <v/>
      </c>
      <c r="I287" s="78"/>
      <c r="J287" s="81"/>
      <c r="K287" s="94"/>
      <c r="L287" s="82"/>
      <c r="M287" s="82"/>
      <c r="N287" s="85" t="str">
        <f aca="true">IF(OR($I287="",$T287=""),"",INDEX(L_TxnSign,$T287)*N($L287)-N($M287))</f>
        <v/>
      </c>
      <c r="O287" s="79" t="str">
        <f aca="true">IF($T287="","",INDEX(L_TxnCounts,$T287)&amp;"")</f>
        <v/>
      </c>
      <c r="P287" s="78"/>
      <c r="Q287" s="79" t="str">
        <f aca="false">IF($A287&amp;$C287&amp;$D287&amp;$I287="","",IF($A287="","Missing ID",IF(COUNTIF($A$6:$A$305,$A287)&gt;1,"Duplicate ID",IF(NOT(ISNUMBER($B287)),"Missing date",IF($R287="","Unknown account",IF($D287="","Missing security",IF($S287="","Unknown security",IF($T287="","Unknown type",IF(AND($L287="",$I287&lt;&gt;"Bonus / Split"),"No amount",IF(N($L287)&lt;0,"Type a positive amount; the sign comes from the type",IF(N($M287)&lt;0,"Type charges as a positive amount",IF(N($B287)&gt;ValDate,"Date after valuation",IF(AND(N($B287)&gt;PrevDate,COUNTIFS(Holdings!$B$6:$B$205,$C287,Holdings!$C$6:$C$205,$D287)=0),"No holding row (needed for Period Change)","OK")))))))))))))</f>
        <v/>
      </c>
      <c r="R287" s="89" t="str">
        <f aca="false">IF($C287="","",IFERROR(MATCH($C287,Accounts!$A$6:$A$55,0),""))</f>
        <v/>
      </c>
      <c r="S287" s="89" t="str">
        <f aca="false">IF($D287="","",IFERROR(MATCH($D287,Securities!$A$6:$A$105,0),""))</f>
        <v/>
      </c>
      <c r="T287" s="89" t="str">
        <f aca="true">IF($I287="","",IFERROR(MATCH($I287,L_TxnType,0),""))</f>
        <v/>
      </c>
    </row>
    <row r="288" customFormat="false" ht="15" hidden="false" customHeight="false" outlineLevel="0" collapsed="false">
      <c r="A288" s="77"/>
      <c r="B288" s="80"/>
      <c r="C288" s="78"/>
      <c r="D288" s="78"/>
      <c r="E288" s="79" t="str">
        <f aca="false">IF($R288="","",INDEX(Accounts!$C$6:$C$55,$R288)&amp;"")</f>
        <v/>
      </c>
      <c r="F288" s="79" t="str">
        <f aca="false">IF($S288="","",INDEX(Securities!$B$6:$B$105,$S288)&amp;"")</f>
        <v/>
      </c>
      <c r="G288" s="79" t="str">
        <f aca="false">IF($S288="","",INDEX(Securities!$E$6:$E$105,$S288)&amp;"")</f>
        <v/>
      </c>
      <c r="H288" s="79" t="str">
        <f aca="false">IF($S288="","",INDEX(Securities!$F$6:$F$105,$S288)&amp;"")</f>
        <v/>
      </c>
      <c r="I288" s="78"/>
      <c r="J288" s="81"/>
      <c r="K288" s="94"/>
      <c r="L288" s="82"/>
      <c r="M288" s="82"/>
      <c r="N288" s="85" t="str">
        <f aca="true">IF(OR($I288="",$T288=""),"",INDEX(L_TxnSign,$T288)*N($L288)-N($M288))</f>
        <v/>
      </c>
      <c r="O288" s="79" t="str">
        <f aca="true">IF($T288="","",INDEX(L_TxnCounts,$T288)&amp;"")</f>
        <v/>
      </c>
      <c r="P288" s="78"/>
      <c r="Q288" s="79" t="str">
        <f aca="false">IF($A288&amp;$C288&amp;$D288&amp;$I288="","",IF($A288="","Missing ID",IF(COUNTIF($A$6:$A$305,$A288)&gt;1,"Duplicate ID",IF(NOT(ISNUMBER($B288)),"Missing date",IF($R288="","Unknown account",IF($D288="","Missing security",IF($S288="","Unknown security",IF($T288="","Unknown type",IF(AND($L288="",$I288&lt;&gt;"Bonus / Split"),"No amount",IF(N($L288)&lt;0,"Type a positive amount; the sign comes from the type",IF(N($M288)&lt;0,"Type charges as a positive amount",IF(N($B288)&gt;ValDate,"Date after valuation",IF(AND(N($B288)&gt;PrevDate,COUNTIFS(Holdings!$B$6:$B$205,$C288,Holdings!$C$6:$C$205,$D288)=0),"No holding row (needed for Period Change)","OK")))))))))))))</f>
        <v/>
      </c>
      <c r="R288" s="89" t="str">
        <f aca="false">IF($C288="","",IFERROR(MATCH($C288,Accounts!$A$6:$A$55,0),""))</f>
        <v/>
      </c>
      <c r="S288" s="89" t="str">
        <f aca="false">IF($D288="","",IFERROR(MATCH($D288,Securities!$A$6:$A$105,0),""))</f>
        <v/>
      </c>
      <c r="T288" s="89" t="str">
        <f aca="true">IF($I288="","",IFERROR(MATCH($I288,L_TxnType,0),""))</f>
        <v/>
      </c>
    </row>
    <row r="289" customFormat="false" ht="15" hidden="false" customHeight="false" outlineLevel="0" collapsed="false">
      <c r="A289" s="77"/>
      <c r="B289" s="80"/>
      <c r="C289" s="78"/>
      <c r="D289" s="78"/>
      <c r="E289" s="79" t="str">
        <f aca="false">IF($R289="","",INDEX(Accounts!$C$6:$C$55,$R289)&amp;"")</f>
        <v/>
      </c>
      <c r="F289" s="79" t="str">
        <f aca="false">IF($S289="","",INDEX(Securities!$B$6:$B$105,$S289)&amp;"")</f>
        <v/>
      </c>
      <c r="G289" s="79" t="str">
        <f aca="false">IF($S289="","",INDEX(Securities!$E$6:$E$105,$S289)&amp;"")</f>
        <v/>
      </c>
      <c r="H289" s="79" t="str">
        <f aca="false">IF($S289="","",INDEX(Securities!$F$6:$F$105,$S289)&amp;"")</f>
        <v/>
      </c>
      <c r="I289" s="78"/>
      <c r="J289" s="81"/>
      <c r="K289" s="94"/>
      <c r="L289" s="82"/>
      <c r="M289" s="82"/>
      <c r="N289" s="85" t="str">
        <f aca="true">IF(OR($I289="",$T289=""),"",INDEX(L_TxnSign,$T289)*N($L289)-N($M289))</f>
        <v/>
      </c>
      <c r="O289" s="79" t="str">
        <f aca="true">IF($T289="","",INDEX(L_TxnCounts,$T289)&amp;"")</f>
        <v/>
      </c>
      <c r="P289" s="78"/>
      <c r="Q289" s="79" t="str">
        <f aca="false">IF($A289&amp;$C289&amp;$D289&amp;$I289="","",IF($A289="","Missing ID",IF(COUNTIF($A$6:$A$305,$A289)&gt;1,"Duplicate ID",IF(NOT(ISNUMBER($B289)),"Missing date",IF($R289="","Unknown account",IF($D289="","Missing security",IF($S289="","Unknown security",IF($T289="","Unknown type",IF(AND($L289="",$I289&lt;&gt;"Bonus / Split"),"No amount",IF(N($L289)&lt;0,"Type a positive amount; the sign comes from the type",IF(N($M289)&lt;0,"Type charges as a positive amount",IF(N($B289)&gt;ValDate,"Date after valuation",IF(AND(N($B289)&gt;PrevDate,COUNTIFS(Holdings!$B$6:$B$205,$C289,Holdings!$C$6:$C$205,$D289)=0),"No holding row (needed for Period Change)","OK")))))))))))))</f>
        <v/>
      </c>
      <c r="R289" s="89" t="str">
        <f aca="false">IF($C289="","",IFERROR(MATCH($C289,Accounts!$A$6:$A$55,0),""))</f>
        <v/>
      </c>
      <c r="S289" s="89" t="str">
        <f aca="false">IF($D289="","",IFERROR(MATCH($D289,Securities!$A$6:$A$105,0),""))</f>
        <v/>
      </c>
      <c r="T289" s="89" t="str">
        <f aca="true">IF($I289="","",IFERROR(MATCH($I289,L_TxnType,0),""))</f>
        <v/>
      </c>
    </row>
    <row r="290" customFormat="false" ht="15" hidden="false" customHeight="false" outlineLevel="0" collapsed="false">
      <c r="A290" s="77"/>
      <c r="B290" s="80"/>
      <c r="C290" s="78"/>
      <c r="D290" s="78"/>
      <c r="E290" s="79" t="str">
        <f aca="false">IF($R290="","",INDEX(Accounts!$C$6:$C$55,$R290)&amp;"")</f>
        <v/>
      </c>
      <c r="F290" s="79" t="str">
        <f aca="false">IF($S290="","",INDEX(Securities!$B$6:$B$105,$S290)&amp;"")</f>
        <v/>
      </c>
      <c r="G290" s="79" t="str">
        <f aca="false">IF($S290="","",INDEX(Securities!$E$6:$E$105,$S290)&amp;"")</f>
        <v/>
      </c>
      <c r="H290" s="79" t="str">
        <f aca="false">IF($S290="","",INDEX(Securities!$F$6:$F$105,$S290)&amp;"")</f>
        <v/>
      </c>
      <c r="I290" s="78"/>
      <c r="J290" s="81"/>
      <c r="K290" s="94"/>
      <c r="L290" s="82"/>
      <c r="M290" s="82"/>
      <c r="N290" s="85" t="str">
        <f aca="true">IF(OR($I290="",$T290=""),"",INDEX(L_TxnSign,$T290)*N($L290)-N($M290))</f>
        <v/>
      </c>
      <c r="O290" s="79" t="str">
        <f aca="true">IF($T290="","",INDEX(L_TxnCounts,$T290)&amp;"")</f>
        <v/>
      </c>
      <c r="P290" s="78"/>
      <c r="Q290" s="79" t="str">
        <f aca="false">IF($A290&amp;$C290&amp;$D290&amp;$I290="","",IF($A290="","Missing ID",IF(COUNTIF($A$6:$A$305,$A290)&gt;1,"Duplicate ID",IF(NOT(ISNUMBER($B290)),"Missing date",IF($R290="","Unknown account",IF($D290="","Missing security",IF($S290="","Unknown security",IF($T290="","Unknown type",IF(AND($L290="",$I290&lt;&gt;"Bonus / Split"),"No amount",IF(N($L290)&lt;0,"Type a positive amount; the sign comes from the type",IF(N($M290)&lt;0,"Type charges as a positive amount",IF(N($B290)&gt;ValDate,"Date after valuation",IF(AND(N($B290)&gt;PrevDate,COUNTIFS(Holdings!$B$6:$B$205,$C290,Holdings!$C$6:$C$205,$D290)=0),"No holding row (needed for Period Change)","OK")))))))))))))</f>
        <v/>
      </c>
      <c r="R290" s="89" t="str">
        <f aca="false">IF($C290="","",IFERROR(MATCH($C290,Accounts!$A$6:$A$55,0),""))</f>
        <v/>
      </c>
      <c r="S290" s="89" t="str">
        <f aca="false">IF($D290="","",IFERROR(MATCH($D290,Securities!$A$6:$A$105,0),""))</f>
        <v/>
      </c>
      <c r="T290" s="89" t="str">
        <f aca="true">IF($I290="","",IFERROR(MATCH($I290,L_TxnType,0),""))</f>
        <v/>
      </c>
    </row>
    <row r="291" customFormat="false" ht="15" hidden="false" customHeight="false" outlineLevel="0" collapsed="false">
      <c r="A291" s="77"/>
      <c r="B291" s="80"/>
      <c r="C291" s="78"/>
      <c r="D291" s="78"/>
      <c r="E291" s="79" t="str">
        <f aca="false">IF($R291="","",INDEX(Accounts!$C$6:$C$55,$R291)&amp;"")</f>
        <v/>
      </c>
      <c r="F291" s="79" t="str">
        <f aca="false">IF($S291="","",INDEX(Securities!$B$6:$B$105,$S291)&amp;"")</f>
        <v/>
      </c>
      <c r="G291" s="79" t="str">
        <f aca="false">IF($S291="","",INDEX(Securities!$E$6:$E$105,$S291)&amp;"")</f>
        <v/>
      </c>
      <c r="H291" s="79" t="str">
        <f aca="false">IF($S291="","",INDEX(Securities!$F$6:$F$105,$S291)&amp;"")</f>
        <v/>
      </c>
      <c r="I291" s="78"/>
      <c r="J291" s="81"/>
      <c r="K291" s="94"/>
      <c r="L291" s="82"/>
      <c r="M291" s="82"/>
      <c r="N291" s="85" t="str">
        <f aca="true">IF(OR($I291="",$T291=""),"",INDEX(L_TxnSign,$T291)*N($L291)-N($M291))</f>
        <v/>
      </c>
      <c r="O291" s="79" t="str">
        <f aca="true">IF($T291="","",INDEX(L_TxnCounts,$T291)&amp;"")</f>
        <v/>
      </c>
      <c r="P291" s="78"/>
      <c r="Q291" s="79" t="str">
        <f aca="false">IF($A291&amp;$C291&amp;$D291&amp;$I291="","",IF($A291="","Missing ID",IF(COUNTIF($A$6:$A$305,$A291)&gt;1,"Duplicate ID",IF(NOT(ISNUMBER($B291)),"Missing date",IF($R291="","Unknown account",IF($D291="","Missing security",IF($S291="","Unknown security",IF($T291="","Unknown type",IF(AND($L291="",$I291&lt;&gt;"Bonus / Split"),"No amount",IF(N($L291)&lt;0,"Type a positive amount; the sign comes from the type",IF(N($M291)&lt;0,"Type charges as a positive amount",IF(N($B291)&gt;ValDate,"Date after valuation",IF(AND(N($B291)&gt;PrevDate,COUNTIFS(Holdings!$B$6:$B$205,$C291,Holdings!$C$6:$C$205,$D291)=0),"No holding row (needed for Period Change)","OK")))))))))))))</f>
        <v/>
      </c>
      <c r="R291" s="89" t="str">
        <f aca="false">IF($C291="","",IFERROR(MATCH($C291,Accounts!$A$6:$A$55,0),""))</f>
        <v/>
      </c>
      <c r="S291" s="89" t="str">
        <f aca="false">IF($D291="","",IFERROR(MATCH($D291,Securities!$A$6:$A$105,0),""))</f>
        <v/>
      </c>
      <c r="T291" s="89" t="str">
        <f aca="true">IF($I291="","",IFERROR(MATCH($I291,L_TxnType,0),""))</f>
        <v/>
      </c>
    </row>
    <row r="292" customFormat="false" ht="15" hidden="false" customHeight="false" outlineLevel="0" collapsed="false">
      <c r="A292" s="77"/>
      <c r="B292" s="80"/>
      <c r="C292" s="78"/>
      <c r="D292" s="78"/>
      <c r="E292" s="79" t="str">
        <f aca="false">IF($R292="","",INDEX(Accounts!$C$6:$C$55,$R292)&amp;"")</f>
        <v/>
      </c>
      <c r="F292" s="79" t="str">
        <f aca="false">IF($S292="","",INDEX(Securities!$B$6:$B$105,$S292)&amp;"")</f>
        <v/>
      </c>
      <c r="G292" s="79" t="str">
        <f aca="false">IF($S292="","",INDEX(Securities!$E$6:$E$105,$S292)&amp;"")</f>
        <v/>
      </c>
      <c r="H292" s="79" t="str">
        <f aca="false">IF($S292="","",INDEX(Securities!$F$6:$F$105,$S292)&amp;"")</f>
        <v/>
      </c>
      <c r="I292" s="78"/>
      <c r="J292" s="81"/>
      <c r="K292" s="94"/>
      <c r="L292" s="82"/>
      <c r="M292" s="82"/>
      <c r="N292" s="85" t="str">
        <f aca="true">IF(OR($I292="",$T292=""),"",INDEX(L_TxnSign,$T292)*N($L292)-N($M292))</f>
        <v/>
      </c>
      <c r="O292" s="79" t="str">
        <f aca="true">IF($T292="","",INDEX(L_TxnCounts,$T292)&amp;"")</f>
        <v/>
      </c>
      <c r="P292" s="78"/>
      <c r="Q292" s="79" t="str">
        <f aca="false">IF($A292&amp;$C292&amp;$D292&amp;$I292="","",IF($A292="","Missing ID",IF(COUNTIF($A$6:$A$305,$A292)&gt;1,"Duplicate ID",IF(NOT(ISNUMBER($B292)),"Missing date",IF($R292="","Unknown account",IF($D292="","Missing security",IF($S292="","Unknown security",IF($T292="","Unknown type",IF(AND($L292="",$I292&lt;&gt;"Bonus / Split"),"No amount",IF(N($L292)&lt;0,"Type a positive amount; the sign comes from the type",IF(N($M292)&lt;0,"Type charges as a positive amount",IF(N($B292)&gt;ValDate,"Date after valuation",IF(AND(N($B292)&gt;PrevDate,COUNTIFS(Holdings!$B$6:$B$205,$C292,Holdings!$C$6:$C$205,$D292)=0),"No holding row (needed for Period Change)","OK")))))))))))))</f>
        <v/>
      </c>
      <c r="R292" s="89" t="str">
        <f aca="false">IF($C292="","",IFERROR(MATCH($C292,Accounts!$A$6:$A$55,0),""))</f>
        <v/>
      </c>
      <c r="S292" s="89" t="str">
        <f aca="false">IF($D292="","",IFERROR(MATCH($D292,Securities!$A$6:$A$105,0),""))</f>
        <v/>
      </c>
      <c r="T292" s="89" t="str">
        <f aca="true">IF($I292="","",IFERROR(MATCH($I292,L_TxnType,0),""))</f>
        <v/>
      </c>
    </row>
    <row r="293" customFormat="false" ht="15" hidden="false" customHeight="false" outlineLevel="0" collapsed="false">
      <c r="A293" s="77"/>
      <c r="B293" s="80"/>
      <c r="C293" s="78"/>
      <c r="D293" s="78"/>
      <c r="E293" s="79" t="str">
        <f aca="false">IF($R293="","",INDEX(Accounts!$C$6:$C$55,$R293)&amp;"")</f>
        <v/>
      </c>
      <c r="F293" s="79" t="str">
        <f aca="false">IF($S293="","",INDEX(Securities!$B$6:$B$105,$S293)&amp;"")</f>
        <v/>
      </c>
      <c r="G293" s="79" t="str">
        <f aca="false">IF($S293="","",INDEX(Securities!$E$6:$E$105,$S293)&amp;"")</f>
        <v/>
      </c>
      <c r="H293" s="79" t="str">
        <f aca="false">IF($S293="","",INDEX(Securities!$F$6:$F$105,$S293)&amp;"")</f>
        <v/>
      </c>
      <c r="I293" s="78"/>
      <c r="J293" s="81"/>
      <c r="K293" s="94"/>
      <c r="L293" s="82"/>
      <c r="M293" s="82"/>
      <c r="N293" s="85" t="str">
        <f aca="true">IF(OR($I293="",$T293=""),"",INDEX(L_TxnSign,$T293)*N($L293)-N($M293))</f>
        <v/>
      </c>
      <c r="O293" s="79" t="str">
        <f aca="true">IF($T293="","",INDEX(L_TxnCounts,$T293)&amp;"")</f>
        <v/>
      </c>
      <c r="P293" s="78"/>
      <c r="Q293" s="79" t="str">
        <f aca="false">IF($A293&amp;$C293&amp;$D293&amp;$I293="","",IF($A293="","Missing ID",IF(COUNTIF($A$6:$A$305,$A293)&gt;1,"Duplicate ID",IF(NOT(ISNUMBER($B293)),"Missing date",IF($R293="","Unknown account",IF($D293="","Missing security",IF($S293="","Unknown security",IF($T293="","Unknown type",IF(AND($L293="",$I293&lt;&gt;"Bonus / Split"),"No amount",IF(N($L293)&lt;0,"Type a positive amount; the sign comes from the type",IF(N($M293)&lt;0,"Type charges as a positive amount",IF(N($B293)&gt;ValDate,"Date after valuation",IF(AND(N($B293)&gt;PrevDate,COUNTIFS(Holdings!$B$6:$B$205,$C293,Holdings!$C$6:$C$205,$D293)=0),"No holding row (needed for Period Change)","OK")))))))))))))</f>
        <v/>
      </c>
      <c r="R293" s="89" t="str">
        <f aca="false">IF($C293="","",IFERROR(MATCH($C293,Accounts!$A$6:$A$55,0),""))</f>
        <v/>
      </c>
      <c r="S293" s="89" t="str">
        <f aca="false">IF($D293="","",IFERROR(MATCH($D293,Securities!$A$6:$A$105,0),""))</f>
        <v/>
      </c>
      <c r="T293" s="89" t="str">
        <f aca="true">IF($I293="","",IFERROR(MATCH($I293,L_TxnType,0),""))</f>
        <v/>
      </c>
    </row>
    <row r="294" customFormat="false" ht="15" hidden="false" customHeight="false" outlineLevel="0" collapsed="false">
      <c r="A294" s="77"/>
      <c r="B294" s="80"/>
      <c r="C294" s="78"/>
      <c r="D294" s="78"/>
      <c r="E294" s="79" t="str">
        <f aca="false">IF($R294="","",INDEX(Accounts!$C$6:$C$55,$R294)&amp;"")</f>
        <v/>
      </c>
      <c r="F294" s="79" t="str">
        <f aca="false">IF($S294="","",INDEX(Securities!$B$6:$B$105,$S294)&amp;"")</f>
        <v/>
      </c>
      <c r="G294" s="79" t="str">
        <f aca="false">IF($S294="","",INDEX(Securities!$E$6:$E$105,$S294)&amp;"")</f>
        <v/>
      </c>
      <c r="H294" s="79" t="str">
        <f aca="false">IF($S294="","",INDEX(Securities!$F$6:$F$105,$S294)&amp;"")</f>
        <v/>
      </c>
      <c r="I294" s="78"/>
      <c r="J294" s="81"/>
      <c r="K294" s="94"/>
      <c r="L294" s="82"/>
      <c r="M294" s="82"/>
      <c r="N294" s="85" t="str">
        <f aca="true">IF(OR($I294="",$T294=""),"",INDEX(L_TxnSign,$T294)*N($L294)-N($M294))</f>
        <v/>
      </c>
      <c r="O294" s="79" t="str">
        <f aca="true">IF($T294="","",INDEX(L_TxnCounts,$T294)&amp;"")</f>
        <v/>
      </c>
      <c r="P294" s="78"/>
      <c r="Q294" s="79" t="str">
        <f aca="false">IF($A294&amp;$C294&amp;$D294&amp;$I294="","",IF($A294="","Missing ID",IF(COUNTIF($A$6:$A$305,$A294)&gt;1,"Duplicate ID",IF(NOT(ISNUMBER($B294)),"Missing date",IF($R294="","Unknown account",IF($D294="","Missing security",IF($S294="","Unknown security",IF($T294="","Unknown type",IF(AND($L294="",$I294&lt;&gt;"Bonus / Split"),"No amount",IF(N($L294)&lt;0,"Type a positive amount; the sign comes from the type",IF(N($M294)&lt;0,"Type charges as a positive amount",IF(N($B294)&gt;ValDate,"Date after valuation",IF(AND(N($B294)&gt;PrevDate,COUNTIFS(Holdings!$B$6:$B$205,$C294,Holdings!$C$6:$C$205,$D294)=0),"No holding row (needed for Period Change)","OK")))))))))))))</f>
        <v/>
      </c>
      <c r="R294" s="89" t="str">
        <f aca="false">IF($C294="","",IFERROR(MATCH($C294,Accounts!$A$6:$A$55,0),""))</f>
        <v/>
      </c>
      <c r="S294" s="89" t="str">
        <f aca="false">IF($D294="","",IFERROR(MATCH($D294,Securities!$A$6:$A$105,0),""))</f>
        <v/>
      </c>
      <c r="T294" s="89" t="str">
        <f aca="true">IF($I294="","",IFERROR(MATCH($I294,L_TxnType,0),""))</f>
        <v/>
      </c>
    </row>
    <row r="295" customFormat="false" ht="15" hidden="false" customHeight="false" outlineLevel="0" collapsed="false">
      <c r="A295" s="77"/>
      <c r="B295" s="80"/>
      <c r="C295" s="78"/>
      <c r="D295" s="78"/>
      <c r="E295" s="79" t="str">
        <f aca="false">IF($R295="","",INDEX(Accounts!$C$6:$C$55,$R295)&amp;"")</f>
        <v/>
      </c>
      <c r="F295" s="79" t="str">
        <f aca="false">IF($S295="","",INDEX(Securities!$B$6:$B$105,$S295)&amp;"")</f>
        <v/>
      </c>
      <c r="G295" s="79" t="str">
        <f aca="false">IF($S295="","",INDEX(Securities!$E$6:$E$105,$S295)&amp;"")</f>
        <v/>
      </c>
      <c r="H295" s="79" t="str">
        <f aca="false">IF($S295="","",INDEX(Securities!$F$6:$F$105,$S295)&amp;"")</f>
        <v/>
      </c>
      <c r="I295" s="78"/>
      <c r="J295" s="81"/>
      <c r="K295" s="94"/>
      <c r="L295" s="82"/>
      <c r="M295" s="82"/>
      <c r="N295" s="85" t="str">
        <f aca="true">IF(OR($I295="",$T295=""),"",INDEX(L_TxnSign,$T295)*N($L295)-N($M295))</f>
        <v/>
      </c>
      <c r="O295" s="79" t="str">
        <f aca="true">IF($T295="","",INDEX(L_TxnCounts,$T295)&amp;"")</f>
        <v/>
      </c>
      <c r="P295" s="78"/>
      <c r="Q295" s="79" t="str">
        <f aca="false">IF($A295&amp;$C295&amp;$D295&amp;$I295="","",IF($A295="","Missing ID",IF(COUNTIF($A$6:$A$305,$A295)&gt;1,"Duplicate ID",IF(NOT(ISNUMBER($B295)),"Missing date",IF($R295="","Unknown account",IF($D295="","Missing security",IF($S295="","Unknown security",IF($T295="","Unknown type",IF(AND($L295="",$I295&lt;&gt;"Bonus / Split"),"No amount",IF(N($L295)&lt;0,"Type a positive amount; the sign comes from the type",IF(N($M295)&lt;0,"Type charges as a positive amount",IF(N($B295)&gt;ValDate,"Date after valuation",IF(AND(N($B295)&gt;PrevDate,COUNTIFS(Holdings!$B$6:$B$205,$C295,Holdings!$C$6:$C$205,$D295)=0),"No holding row (needed for Period Change)","OK")))))))))))))</f>
        <v/>
      </c>
      <c r="R295" s="89" t="str">
        <f aca="false">IF($C295="","",IFERROR(MATCH($C295,Accounts!$A$6:$A$55,0),""))</f>
        <v/>
      </c>
      <c r="S295" s="89" t="str">
        <f aca="false">IF($D295="","",IFERROR(MATCH($D295,Securities!$A$6:$A$105,0),""))</f>
        <v/>
      </c>
      <c r="T295" s="89" t="str">
        <f aca="true">IF($I295="","",IFERROR(MATCH($I295,L_TxnType,0),""))</f>
        <v/>
      </c>
    </row>
    <row r="296" customFormat="false" ht="15" hidden="false" customHeight="false" outlineLevel="0" collapsed="false">
      <c r="A296" s="77"/>
      <c r="B296" s="80"/>
      <c r="C296" s="78"/>
      <c r="D296" s="78"/>
      <c r="E296" s="79" t="str">
        <f aca="false">IF($R296="","",INDEX(Accounts!$C$6:$C$55,$R296)&amp;"")</f>
        <v/>
      </c>
      <c r="F296" s="79" t="str">
        <f aca="false">IF($S296="","",INDEX(Securities!$B$6:$B$105,$S296)&amp;"")</f>
        <v/>
      </c>
      <c r="G296" s="79" t="str">
        <f aca="false">IF($S296="","",INDEX(Securities!$E$6:$E$105,$S296)&amp;"")</f>
        <v/>
      </c>
      <c r="H296" s="79" t="str">
        <f aca="false">IF($S296="","",INDEX(Securities!$F$6:$F$105,$S296)&amp;"")</f>
        <v/>
      </c>
      <c r="I296" s="78"/>
      <c r="J296" s="81"/>
      <c r="K296" s="94"/>
      <c r="L296" s="82"/>
      <c r="M296" s="82"/>
      <c r="N296" s="85" t="str">
        <f aca="true">IF(OR($I296="",$T296=""),"",INDEX(L_TxnSign,$T296)*N($L296)-N($M296))</f>
        <v/>
      </c>
      <c r="O296" s="79" t="str">
        <f aca="true">IF($T296="","",INDEX(L_TxnCounts,$T296)&amp;"")</f>
        <v/>
      </c>
      <c r="P296" s="78"/>
      <c r="Q296" s="79" t="str">
        <f aca="false">IF($A296&amp;$C296&amp;$D296&amp;$I296="","",IF($A296="","Missing ID",IF(COUNTIF($A$6:$A$305,$A296)&gt;1,"Duplicate ID",IF(NOT(ISNUMBER($B296)),"Missing date",IF($R296="","Unknown account",IF($D296="","Missing security",IF($S296="","Unknown security",IF($T296="","Unknown type",IF(AND($L296="",$I296&lt;&gt;"Bonus / Split"),"No amount",IF(N($L296)&lt;0,"Type a positive amount; the sign comes from the type",IF(N($M296)&lt;0,"Type charges as a positive amount",IF(N($B296)&gt;ValDate,"Date after valuation",IF(AND(N($B296)&gt;PrevDate,COUNTIFS(Holdings!$B$6:$B$205,$C296,Holdings!$C$6:$C$205,$D296)=0),"No holding row (needed for Period Change)","OK")))))))))))))</f>
        <v/>
      </c>
      <c r="R296" s="89" t="str">
        <f aca="false">IF($C296="","",IFERROR(MATCH($C296,Accounts!$A$6:$A$55,0),""))</f>
        <v/>
      </c>
      <c r="S296" s="89" t="str">
        <f aca="false">IF($D296="","",IFERROR(MATCH($D296,Securities!$A$6:$A$105,0),""))</f>
        <v/>
      </c>
      <c r="T296" s="89" t="str">
        <f aca="true">IF($I296="","",IFERROR(MATCH($I296,L_TxnType,0),""))</f>
        <v/>
      </c>
    </row>
    <row r="297" customFormat="false" ht="15" hidden="false" customHeight="false" outlineLevel="0" collapsed="false">
      <c r="A297" s="77"/>
      <c r="B297" s="80"/>
      <c r="C297" s="78"/>
      <c r="D297" s="78"/>
      <c r="E297" s="79" t="str">
        <f aca="false">IF($R297="","",INDEX(Accounts!$C$6:$C$55,$R297)&amp;"")</f>
        <v/>
      </c>
      <c r="F297" s="79" t="str">
        <f aca="false">IF($S297="","",INDEX(Securities!$B$6:$B$105,$S297)&amp;"")</f>
        <v/>
      </c>
      <c r="G297" s="79" t="str">
        <f aca="false">IF($S297="","",INDEX(Securities!$E$6:$E$105,$S297)&amp;"")</f>
        <v/>
      </c>
      <c r="H297" s="79" t="str">
        <f aca="false">IF($S297="","",INDEX(Securities!$F$6:$F$105,$S297)&amp;"")</f>
        <v/>
      </c>
      <c r="I297" s="78"/>
      <c r="J297" s="81"/>
      <c r="K297" s="94"/>
      <c r="L297" s="82"/>
      <c r="M297" s="82"/>
      <c r="N297" s="85" t="str">
        <f aca="true">IF(OR($I297="",$T297=""),"",INDEX(L_TxnSign,$T297)*N($L297)-N($M297))</f>
        <v/>
      </c>
      <c r="O297" s="79" t="str">
        <f aca="true">IF($T297="","",INDEX(L_TxnCounts,$T297)&amp;"")</f>
        <v/>
      </c>
      <c r="P297" s="78"/>
      <c r="Q297" s="79" t="str">
        <f aca="false">IF($A297&amp;$C297&amp;$D297&amp;$I297="","",IF($A297="","Missing ID",IF(COUNTIF($A$6:$A$305,$A297)&gt;1,"Duplicate ID",IF(NOT(ISNUMBER($B297)),"Missing date",IF($R297="","Unknown account",IF($D297="","Missing security",IF($S297="","Unknown security",IF($T297="","Unknown type",IF(AND($L297="",$I297&lt;&gt;"Bonus / Split"),"No amount",IF(N($L297)&lt;0,"Type a positive amount; the sign comes from the type",IF(N($M297)&lt;0,"Type charges as a positive amount",IF(N($B297)&gt;ValDate,"Date after valuation",IF(AND(N($B297)&gt;PrevDate,COUNTIFS(Holdings!$B$6:$B$205,$C297,Holdings!$C$6:$C$205,$D297)=0),"No holding row (needed for Period Change)","OK")))))))))))))</f>
        <v/>
      </c>
      <c r="R297" s="89" t="str">
        <f aca="false">IF($C297="","",IFERROR(MATCH($C297,Accounts!$A$6:$A$55,0),""))</f>
        <v/>
      </c>
      <c r="S297" s="89" t="str">
        <f aca="false">IF($D297="","",IFERROR(MATCH($D297,Securities!$A$6:$A$105,0),""))</f>
        <v/>
      </c>
      <c r="T297" s="89" t="str">
        <f aca="true">IF($I297="","",IFERROR(MATCH($I297,L_TxnType,0),""))</f>
        <v/>
      </c>
    </row>
    <row r="298" customFormat="false" ht="15" hidden="false" customHeight="false" outlineLevel="0" collapsed="false">
      <c r="A298" s="77"/>
      <c r="B298" s="80"/>
      <c r="C298" s="78"/>
      <c r="D298" s="78"/>
      <c r="E298" s="79" t="str">
        <f aca="false">IF($R298="","",INDEX(Accounts!$C$6:$C$55,$R298)&amp;"")</f>
        <v/>
      </c>
      <c r="F298" s="79" t="str">
        <f aca="false">IF($S298="","",INDEX(Securities!$B$6:$B$105,$S298)&amp;"")</f>
        <v/>
      </c>
      <c r="G298" s="79" t="str">
        <f aca="false">IF($S298="","",INDEX(Securities!$E$6:$E$105,$S298)&amp;"")</f>
        <v/>
      </c>
      <c r="H298" s="79" t="str">
        <f aca="false">IF($S298="","",INDEX(Securities!$F$6:$F$105,$S298)&amp;"")</f>
        <v/>
      </c>
      <c r="I298" s="78"/>
      <c r="J298" s="81"/>
      <c r="K298" s="94"/>
      <c r="L298" s="82"/>
      <c r="M298" s="82"/>
      <c r="N298" s="85" t="str">
        <f aca="true">IF(OR($I298="",$T298=""),"",INDEX(L_TxnSign,$T298)*N($L298)-N($M298))</f>
        <v/>
      </c>
      <c r="O298" s="79" t="str">
        <f aca="true">IF($T298="","",INDEX(L_TxnCounts,$T298)&amp;"")</f>
        <v/>
      </c>
      <c r="P298" s="78"/>
      <c r="Q298" s="79" t="str">
        <f aca="false">IF($A298&amp;$C298&amp;$D298&amp;$I298="","",IF($A298="","Missing ID",IF(COUNTIF($A$6:$A$305,$A298)&gt;1,"Duplicate ID",IF(NOT(ISNUMBER($B298)),"Missing date",IF($R298="","Unknown account",IF($D298="","Missing security",IF($S298="","Unknown security",IF($T298="","Unknown type",IF(AND($L298="",$I298&lt;&gt;"Bonus / Split"),"No amount",IF(N($L298)&lt;0,"Type a positive amount; the sign comes from the type",IF(N($M298)&lt;0,"Type charges as a positive amount",IF(N($B298)&gt;ValDate,"Date after valuation",IF(AND(N($B298)&gt;PrevDate,COUNTIFS(Holdings!$B$6:$B$205,$C298,Holdings!$C$6:$C$205,$D298)=0),"No holding row (needed for Period Change)","OK")))))))))))))</f>
        <v/>
      </c>
      <c r="R298" s="89" t="str">
        <f aca="false">IF($C298="","",IFERROR(MATCH($C298,Accounts!$A$6:$A$55,0),""))</f>
        <v/>
      </c>
      <c r="S298" s="89" t="str">
        <f aca="false">IF($D298="","",IFERROR(MATCH($D298,Securities!$A$6:$A$105,0),""))</f>
        <v/>
      </c>
      <c r="T298" s="89" t="str">
        <f aca="true">IF($I298="","",IFERROR(MATCH($I298,L_TxnType,0),""))</f>
        <v/>
      </c>
    </row>
    <row r="299" customFormat="false" ht="15" hidden="false" customHeight="false" outlineLevel="0" collapsed="false">
      <c r="A299" s="77"/>
      <c r="B299" s="80"/>
      <c r="C299" s="78"/>
      <c r="D299" s="78"/>
      <c r="E299" s="79" t="str">
        <f aca="false">IF($R299="","",INDEX(Accounts!$C$6:$C$55,$R299)&amp;"")</f>
        <v/>
      </c>
      <c r="F299" s="79" t="str">
        <f aca="false">IF($S299="","",INDEX(Securities!$B$6:$B$105,$S299)&amp;"")</f>
        <v/>
      </c>
      <c r="G299" s="79" t="str">
        <f aca="false">IF($S299="","",INDEX(Securities!$E$6:$E$105,$S299)&amp;"")</f>
        <v/>
      </c>
      <c r="H299" s="79" t="str">
        <f aca="false">IF($S299="","",INDEX(Securities!$F$6:$F$105,$S299)&amp;"")</f>
        <v/>
      </c>
      <c r="I299" s="78"/>
      <c r="J299" s="81"/>
      <c r="K299" s="94"/>
      <c r="L299" s="82"/>
      <c r="M299" s="82"/>
      <c r="N299" s="85" t="str">
        <f aca="true">IF(OR($I299="",$T299=""),"",INDEX(L_TxnSign,$T299)*N($L299)-N($M299))</f>
        <v/>
      </c>
      <c r="O299" s="79" t="str">
        <f aca="true">IF($T299="","",INDEX(L_TxnCounts,$T299)&amp;"")</f>
        <v/>
      </c>
      <c r="P299" s="78"/>
      <c r="Q299" s="79" t="str">
        <f aca="false">IF($A299&amp;$C299&amp;$D299&amp;$I299="","",IF($A299="","Missing ID",IF(COUNTIF($A$6:$A$305,$A299)&gt;1,"Duplicate ID",IF(NOT(ISNUMBER($B299)),"Missing date",IF($R299="","Unknown account",IF($D299="","Missing security",IF($S299="","Unknown security",IF($T299="","Unknown type",IF(AND($L299="",$I299&lt;&gt;"Bonus / Split"),"No amount",IF(N($L299)&lt;0,"Type a positive amount; the sign comes from the type",IF(N($M299)&lt;0,"Type charges as a positive amount",IF(N($B299)&gt;ValDate,"Date after valuation",IF(AND(N($B299)&gt;PrevDate,COUNTIFS(Holdings!$B$6:$B$205,$C299,Holdings!$C$6:$C$205,$D299)=0),"No holding row (needed for Period Change)","OK")))))))))))))</f>
        <v/>
      </c>
      <c r="R299" s="89" t="str">
        <f aca="false">IF($C299="","",IFERROR(MATCH($C299,Accounts!$A$6:$A$55,0),""))</f>
        <v/>
      </c>
      <c r="S299" s="89" t="str">
        <f aca="false">IF($D299="","",IFERROR(MATCH($D299,Securities!$A$6:$A$105,0),""))</f>
        <v/>
      </c>
      <c r="T299" s="89" t="str">
        <f aca="true">IF($I299="","",IFERROR(MATCH($I299,L_TxnType,0),""))</f>
        <v/>
      </c>
    </row>
    <row r="300" customFormat="false" ht="15" hidden="false" customHeight="false" outlineLevel="0" collapsed="false">
      <c r="A300" s="77"/>
      <c r="B300" s="80"/>
      <c r="C300" s="78"/>
      <c r="D300" s="78"/>
      <c r="E300" s="79" t="str">
        <f aca="false">IF($R300="","",INDEX(Accounts!$C$6:$C$55,$R300)&amp;"")</f>
        <v/>
      </c>
      <c r="F300" s="79" t="str">
        <f aca="false">IF($S300="","",INDEX(Securities!$B$6:$B$105,$S300)&amp;"")</f>
        <v/>
      </c>
      <c r="G300" s="79" t="str">
        <f aca="false">IF($S300="","",INDEX(Securities!$E$6:$E$105,$S300)&amp;"")</f>
        <v/>
      </c>
      <c r="H300" s="79" t="str">
        <f aca="false">IF($S300="","",INDEX(Securities!$F$6:$F$105,$S300)&amp;"")</f>
        <v/>
      </c>
      <c r="I300" s="78"/>
      <c r="J300" s="81"/>
      <c r="K300" s="94"/>
      <c r="L300" s="82"/>
      <c r="M300" s="82"/>
      <c r="N300" s="85" t="str">
        <f aca="true">IF(OR($I300="",$T300=""),"",INDEX(L_TxnSign,$T300)*N($L300)-N($M300))</f>
        <v/>
      </c>
      <c r="O300" s="79" t="str">
        <f aca="true">IF($T300="","",INDEX(L_TxnCounts,$T300)&amp;"")</f>
        <v/>
      </c>
      <c r="P300" s="78"/>
      <c r="Q300" s="79" t="str">
        <f aca="false">IF($A300&amp;$C300&amp;$D300&amp;$I300="","",IF($A300="","Missing ID",IF(COUNTIF($A$6:$A$305,$A300)&gt;1,"Duplicate ID",IF(NOT(ISNUMBER($B300)),"Missing date",IF($R300="","Unknown account",IF($D300="","Missing security",IF($S300="","Unknown security",IF($T300="","Unknown type",IF(AND($L300="",$I300&lt;&gt;"Bonus / Split"),"No amount",IF(N($L300)&lt;0,"Type a positive amount; the sign comes from the type",IF(N($M300)&lt;0,"Type charges as a positive amount",IF(N($B300)&gt;ValDate,"Date after valuation",IF(AND(N($B300)&gt;PrevDate,COUNTIFS(Holdings!$B$6:$B$205,$C300,Holdings!$C$6:$C$205,$D300)=0),"No holding row (needed for Period Change)","OK")))))))))))))</f>
        <v/>
      </c>
      <c r="R300" s="89" t="str">
        <f aca="false">IF($C300="","",IFERROR(MATCH($C300,Accounts!$A$6:$A$55,0),""))</f>
        <v/>
      </c>
      <c r="S300" s="89" t="str">
        <f aca="false">IF($D300="","",IFERROR(MATCH($D300,Securities!$A$6:$A$105,0),""))</f>
        <v/>
      </c>
      <c r="T300" s="89" t="str">
        <f aca="true">IF($I300="","",IFERROR(MATCH($I300,L_TxnType,0),""))</f>
        <v/>
      </c>
    </row>
    <row r="301" customFormat="false" ht="15" hidden="false" customHeight="false" outlineLevel="0" collapsed="false">
      <c r="A301" s="77"/>
      <c r="B301" s="80"/>
      <c r="C301" s="78"/>
      <c r="D301" s="78"/>
      <c r="E301" s="79" t="str">
        <f aca="false">IF($R301="","",INDEX(Accounts!$C$6:$C$55,$R301)&amp;"")</f>
        <v/>
      </c>
      <c r="F301" s="79" t="str">
        <f aca="false">IF($S301="","",INDEX(Securities!$B$6:$B$105,$S301)&amp;"")</f>
        <v/>
      </c>
      <c r="G301" s="79" t="str">
        <f aca="false">IF($S301="","",INDEX(Securities!$E$6:$E$105,$S301)&amp;"")</f>
        <v/>
      </c>
      <c r="H301" s="79" t="str">
        <f aca="false">IF($S301="","",INDEX(Securities!$F$6:$F$105,$S301)&amp;"")</f>
        <v/>
      </c>
      <c r="I301" s="78"/>
      <c r="J301" s="81"/>
      <c r="K301" s="94"/>
      <c r="L301" s="82"/>
      <c r="M301" s="82"/>
      <c r="N301" s="85" t="str">
        <f aca="true">IF(OR($I301="",$T301=""),"",INDEX(L_TxnSign,$T301)*N($L301)-N($M301))</f>
        <v/>
      </c>
      <c r="O301" s="79" t="str">
        <f aca="true">IF($T301="","",INDEX(L_TxnCounts,$T301)&amp;"")</f>
        <v/>
      </c>
      <c r="P301" s="78"/>
      <c r="Q301" s="79" t="str">
        <f aca="false">IF($A301&amp;$C301&amp;$D301&amp;$I301="","",IF($A301="","Missing ID",IF(COUNTIF($A$6:$A$305,$A301)&gt;1,"Duplicate ID",IF(NOT(ISNUMBER($B301)),"Missing date",IF($R301="","Unknown account",IF($D301="","Missing security",IF($S301="","Unknown security",IF($T301="","Unknown type",IF(AND($L301="",$I301&lt;&gt;"Bonus / Split"),"No amount",IF(N($L301)&lt;0,"Type a positive amount; the sign comes from the type",IF(N($M301)&lt;0,"Type charges as a positive amount",IF(N($B301)&gt;ValDate,"Date after valuation",IF(AND(N($B301)&gt;PrevDate,COUNTIFS(Holdings!$B$6:$B$205,$C301,Holdings!$C$6:$C$205,$D301)=0),"No holding row (needed for Period Change)","OK")))))))))))))</f>
        <v/>
      </c>
      <c r="R301" s="89" t="str">
        <f aca="false">IF($C301="","",IFERROR(MATCH($C301,Accounts!$A$6:$A$55,0),""))</f>
        <v/>
      </c>
      <c r="S301" s="89" t="str">
        <f aca="false">IF($D301="","",IFERROR(MATCH($D301,Securities!$A$6:$A$105,0),""))</f>
        <v/>
      </c>
      <c r="T301" s="89" t="str">
        <f aca="true">IF($I301="","",IFERROR(MATCH($I301,L_TxnType,0),""))</f>
        <v/>
      </c>
    </row>
    <row r="302" customFormat="false" ht="15" hidden="false" customHeight="false" outlineLevel="0" collapsed="false">
      <c r="A302" s="77"/>
      <c r="B302" s="80"/>
      <c r="C302" s="78"/>
      <c r="D302" s="78"/>
      <c r="E302" s="79" t="str">
        <f aca="false">IF($R302="","",INDEX(Accounts!$C$6:$C$55,$R302)&amp;"")</f>
        <v/>
      </c>
      <c r="F302" s="79" t="str">
        <f aca="false">IF($S302="","",INDEX(Securities!$B$6:$B$105,$S302)&amp;"")</f>
        <v/>
      </c>
      <c r="G302" s="79" t="str">
        <f aca="false">IF($S302="","",INDEX(Securities!$E$6:$E$105,$S302)&amp;"")</f>
        <v/>
      </c>
      <c r="H302" s="79" t="str">
        <f aca="false">IF($S302="","",INDEX(Securities!$F$6:$F$105,$S302)&amp;"")</f>
        <v/>
      </c>
      <c r="I302" s="78"/>
      <c r="J302" s="81"/>
      <c r="K302" s="94"/>
      <c r="L302" s="82"/>
      <c r="M302" s="82"/>
      <c r="N302" s="85" t="str">
        <f aca="true">IF(OR($I302="",$T302=""),"",INDEX(L_TxnSign,$T302)*N($L302)-N($M302))</f>
        <v/>
      </c>
      <c r="O302" s="79" t="str">
        <f aca="true">IF($T302="","",INDEX(L_TxnCounts,$T302)&amp;"")</f>
        <v/>
      </c>
      <c r="P302" s="78"/>
      <c r="Q302" s="79" t="str">
        <f aca="false">IF($A302&amp;$C302&amp;$D302&amp;$I302="","",IF($A302="","Missing ID",IF(COUNTIF($A$6:$A$305,$A302)&gt;1,"Duplicate ID",IF(NOT(ISNUMBER($B302)),"Missing date",IF($R302="","Unknown account",IF($D302="","Missing security",IF($S302="","Unknown security",IF($T302="","Unknown type",IF(AND($L302="",$I302&lt;&gt;"Bonus / Split"),"No amount",IF(N($L302)&lt;0,"Type a positive amount; the sign comes from the type",IF(N($M302)&lt;0,"Type charges as a positive amount",IF(N($B302)&gt;ValDate,"Date after valuation",IF(AND(N($B302)&gt;PrevDate,COUNTIFS(Holdings!$B$6:$B$205,$C302,Holdings!$C$6:$C$205,$D302)=0),"No holding row (needed for Period Change)","OK")))))))))))))</f>
        <v/>
      </c>
      <c r="R302" s="89" t="str">
        <f aca="false">IF($C302="","",IFERROR(MATCH($C302,Accounts!$A$6:$A$55,0),""))</f>
        <v/>
      </c>
      <c r="S302" s="89" t="str">
        <f aca="false">IF($D302="","",IFERROR(MATCH($D302,Securities!$A$6:$A$105,0),""))</f>
        <v/>
      </c>
      <c r="T302" s="89" t="str">
        <f aca="true">IF($I302="","",IFERROR(MATCH($I302,L_TxnType,0),""))</f>
        <v/>
      </c>
    </row>
    <row r="303" customFormat="false" ht="15" hidden="false" customHeight="false" outlineLevel="0" collapsed="false">
      <c r="A303" s="77"/>
      <c r="B303" s="80"/>
      <c r="C303" s="78"/>
      <c r="D303" s="78"/>
      <c r="E303" s="79" t="str">
        <f aca="false">IF($R303="","",INDEX(Accounts!$C$6:$C$55,$R303)&amp;"")</f>
        <v/>
      </c>
      <c r="F303" s="79" t="str">
        <f aca="false">IF($S303="","",INDEX(Securities!$B$6:$B$105,$S303)&amp;"")</f>
        <v/>
      </c>
      <c r="G303" s="79" t="str">
        <f aca="false">IF($S303="","",INDEX(Securities!$E$6:$E$105,$S303)&amp;"")</f>
        <v/>
      </c>
      <c r="H303" s="79" t="str">
        <f aca="false">IF($S303="","",INDEX(Securities!$F$6:$F$105,$S303)&amp;"")</f>
        <v/>
      </c>
      <c r="I303" s="78"/>
      <c r="J303" s="81"/>
      <c r="K303" s="94"/>
      <c r="L303" s="82"/>
      <c r="M303" s="82"/>
      <c r="N303" s="85" t="str">
        <f aca="true">IF(OR($I303="",$T303=""),"",INDEX(L_TxnSign,$T303)*N($L303)-N($M303))</f>
        <v/>
      </c>
      <c r="O303" s="79" t="str">
        <f aca="true">IF($T303="","",INDEX(L_TxnCounts,$T303)&amp;"")</f>
        <v/>
      </c>
      <c r="P303" s="78"/>
      <c r="Q303" s="79" t="str">
        <f aca="false">IF($A303&amp;$C303&amp;$D303&amp;$I303="","",IF($A303="","Missing ID",IF(COUNTIF($A$6:$A$305,$A303)&gt;1,"Duplicate ID",IF(NOT(ISNUMBER($B303)),"Missing date",IF($R303="","Unknown account",IF($D303="","Missing security",IF($S303="","Unknown security",IF($T303="","Unknown type",IF(AND($L303="",$I303&lt;&gt;"Bonus / Split"),"No amount",IF(N($L303)&lt;0,"Type a positive amount; the sign comes from the type",IF(N($M303)&lt;0,"Type charges as a positive amount",IF(N($B303)&gt;ValDate,"Date after valuation",IF(AND(N($B303)&gt;PrevDate,COUNTIFS(Holdings!$B$6:$B$205,$C303,Holdings!$C$6:$C$205,$D303)=0),"No holding row (needed for Period Change)","OK")))))))))))))</f>
        <v/>
      </c>
      <c r="R303" s="89" t="str">
        <f aca="false">IF($C303="","",IFERROR(MATCH($C303,Accounts!$A$6:$A$55,0),""))</f>
        <v/>
      </c>
      <c r="S303" s="89" t="str">
        <f aca="false">IF($D303="","",IFERROR(MATCH($D303,Securities!$A$6:$A$105,0),""))</f>
        <v/>
      </c>
      <c r="T303" s="89" t="str">
        <f aca="true">IF($I303="","",IFERROR(MATCH($I303,L_TxnType,0),""))</f>
        <v/>
      </c>
    </row>
    <row r="304" customFormat="false" ht="15" hidden="false" customHeight="false" outlineLevel="0" collapsed="false">
      <c r="A304" s="77"/>
      <c r="B304" s="80"/>
      <c r="C304" s="78"/>
      <c r="D304" s="78"/>
      <c r="E304" s="79" t="str">
        <f aca="false">IF($R304="","",INDEX(Accounts!$C$6:$C$55,$R304)&amp;"")</f>
        <v/>
      </c>
      <c r="F304" s="79" t="str">
        <f aca="false">IF($S304="","",INDEX(Securities!$B$6:$B$105,$S304)&amp;"")</f>
        <v/>
      </c>
      <c r="G304" s="79" t="str">
        <f aca="false">IF($S304="","",INDEX(Securities!$E$6:$E$105,$S304)&amp;"")</f>
        <v/>
      </c>
      <c r="H304" s="79" t="str">
        <f aca="false">IF($S304="","",INDEX(Securities!$F$6:$F$105,$S304)&amp;"")</f>
        <v/>
      </c>
      <c r="I304" s="78"/>
      <c r="J304" s="81"/>
      <c r="K304" s="94"/>
      <c r="L304" s="82"/>
      <c r="M304" s="82"/>
      <c r="N304" s="85" t="str">
        <f aca="true">IF(OR($I304="",$T304=""),"",INDEX(L_TxnSign,$T304)*N($L304)-N($M304))</f>
        <v/>
      </c>
      <c r="O304" s="79" t="str">
        <f aca="true">IF($T304="","",INDEX(L_TxnCounts,$T304)&amp;"")</f>
        <v/>
      </c>
      <c r="P304" s="78"/>
      <c r="Q304" s="79" t="str">
        <f aca="false">IF($A304&amp;$C304&amp;$D304&amp;$I304="","",IF($A304="","Missing ID",IF(COUNTIF($A$6:$A$305,$A304)&gt;1,"Duplicate ID",IF(NOT(ISNUMBER($B304)),"Missing date",IF($R304="","Unknown account",IF($D304="","Missing security",IF($S304="","Unknown security",IF($T304="","Unknown type",IF(AND($L304="",$I304&lt;&gt;"Bonus / Split"),"No amount",IF(N($L304)&lt;0,"Type a positive amount; the sign comes from the type",IF(N($M304)&lt;0,"Type charges as a positive amount",IF(N($B304)&gt;ValDate,"Date after valuation",IF(AND(N($B304)&gt;PrevDate,COUNTIFS(Holdings!$B$6:$B$205,$C304,Holdings!$C$6:$C$205,$D304)=0),"No holding row (needed for Period Change)","OK")))))))))))))</f>
        <v/>
      </c>
      <c r="R304" s="89" t="str">
        <f aca="false">IF($C304="","",IFERROR(MATCH($C304,Accounts!$A$6:$A$55,0),""))</f>
        <v/>
      </c>
      <c r="S304" s="89" t="str">
        <f aca="false">IF($D304="","",IFERROR(MATCH($D304,Securities!$A$6:$A$105,0),""))</f>
        <v/>
      </c>
      <c r="T304" s="89" t="str">
        <f aca="true">IF($I304="","",IFERROR(MATCH($I304,L_TxnType,0),""))</f>
        <v/>
      </c>
    </row>
    <row r="305" customFormat="false" ht="15" hidden="false" customHeight="false" outlineLevel="0" collapsed="false">
      <c r="A305" s="77"/>
      <c r="B305" s="80"/>
      <c r="C305" s="78"/>
      <c r="D305" s="78"/>
      <c r="E305" s="79" t="str">
        <f aca="false">IF($R305="","",INDEX(Accounts!$C$6:$C$55,$R305)&amp;"")</f>
        <v/>
      </c>
      <c r="F305" s="79" t="str">
        <f aca="false">IF($S305="","",INDEX(Securities!$B$6:$B$105,$S305)&amp;"")</f>
        <v/>
      </c>
      <c r="G305" s="79" t="str">
        <f aca="false">IF($S305="","",INDEX(Securities!$E$6:$E$105,$S305)&amp;"")</f>
        <v/>
      </c>
      <c r="H305" s="79" t="str">
        <f aca="false">IF($S305="","",INDEX(Securities!$F$6:$F$105,$S305)&amp;"")</f>
        <v/>
      </c>
      <c r="I305" s="78"/>
      <c r="J305" s="81"/>
      <c r="K305" s="94"/>
      <c r="L305" s="82"/>
      <c r="M305" s="82"/>
      <c r="N305" s="85" t="str">
        <f aca="true">IF(OR($I305="",$T305=""),"",INDEX(L_TxnSign,$T305)*N($L305)-N($M305))</f>
        <v/>
      </c>
      <c r="O305" s="79" t="str">
        <f aca="true">IF($T305="","",INDEX(L_TxnCounts,$T305)&amp;"")</f>
        <v/>
      </c>
      <c r="P305" s="78"/>
      <c r="Q305" s="79" t="str">
        <f aca="false">IF($A305&amp;$C305&amp;$D305&amp;$I305="","",IF($A305="","Missing ID",IF(COUNTIF($A$6:$A$305,$A305)&gt;1,"Duplicate ID",IF(NOT(ISNUMBER($B305)),"Missing date",IF($R305="","Unknown account",IF($D305="","Missing security",IF($S305="","Unknown security",IF($T305="","Unknown type",IF(AND($L305="",$I305&lt;&gt;"Bonus / Split"),"No amount",IF(N($L305)&lt;0,"Type a positive amount; the sign comes from the type",IF(N($M305)&lt;0,"Type charges as a positive amount",IF(N($B305)&gt;ValDate,"Date after valuation",IF(AND(N($B305)&gt;PrevDate,COUNTIFS(Holdings!$B$6:$B$205,$C305,Holdings!$C$6:$C$205,$D305)=0),"No holding row (needed for Period Change)","OK")))))))))))))</f>
        <v/>
      </c>
      <c r="R305" s="89" t="str">
        <f aca="false">IF($C305="","",IFERROR(MATCH($C305,Accounts!$A$6:$A$55,0),""))</f>
        <v/>
      </c>
      <c r="S305" s="89" t="str">
        <f aca="false">IF($D305="","",IFERROR(MATCH($D305,Securities!$A$6:$A$105,0),""))</f>
        <v/>
      </c>
      <c r="T305" s="89" t="str">
        <f aca="true">IF($I305="","",IFERROR(MATCH($I305,L_TxnType,0),""))</f>
        <v/>
      </c>
    </row>
  </sheetData>
  <autoFilter ref="A5:T305"/>
  <mergeCells count="5">
    <mergeCell ref="A4:D4"/>
    <mergeCell ref="E4:H4"/>
    <mergeCell ref="I4:M4"/>
    <mergeCell ref="N4:O4"/>
    <mergeCell ref="P4:Q4"/>
  </mergeCells>
  <conditionalFormatting sqref="Q6:Q305">
    <cfRule type="expression" priority="2" aboveAverage="0" equalAverage="0" bottom="0" percent="0" rank="0" text="" dxfId="3">
      <formula>AND($Q6&lt;&gt;"",$Q6&lt;&gt;"OK")</formula>
    </cfRule>
    <cfRule type="expression" priority="3" aboveAverage="0" equalAverage="0" bottom="0" percent="0" rank="0" text="" dxfId="19">
      <formula>$Q6="OK"</formula>
    </cfRule>
  </conditionalFormatting>
  <dataValidations count="3">
    <dataValidation allowBlank="true" error="Pick a value from the list (see the Lists sheet)." errorStyle="stop" errorTitle="Not in the list" operator="between" prompt="Pick the account from the Accounts sheet." promptTitle="How to fill" showDropDown="false" showErrorMessage="false" showInputMessage="true" sqref="C6:C305" type="list">
      <formula1>L_AccountID</formula1>
      <formula2>0</formula2>
    </dataValidation>
    <dataValidation allowBlank="true" error="Pick a value from the list (see the Lists sheet)." errorStyle="stop" errorTitle="Not in the list" operator="between" prompt="Pick the security from the Securities sheet." promptTitle="How to fill" showDropDown="false" showErrorMessage="false" showInputMessage="true" sqref="D6:D305" type="list">
      <formula1>L_SecurityID</formula1>
      <formula2>0</formula2>
    </dataValidation>
    <dataValidation allowBlank="true" error="Pick a value from the list (see the Lists sheet)." errorStyle="stop" errorTitle="Not in the list" operator="between" prompt="The type sets the cash sign and how the flow counts (Lists sheet)." promptTitle="How to fill" showDropDown="false" showErrorMessage="false" showInputMessage="true" sqref="I6:I305" type="list">
      <formula1>L_TxnType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V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11" min="7" style="0" width="1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6" min="15" style="0" width="8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30"/>
    <col collapsed="false" customWidth="true" hidden="false" outlineLevel="0" max="20" min="20" style="0" width="18"/>
    <col collapsed="false" customWidth="true" hidden="true" outlineLevel="0" max="22" min="21" style="0" width="6"/>
  </cols>
  <sheetData>
    <row r="1" customFormat="false" ht="21.75" hidden="false" customHeight="true" outlineLevel="0" collapsed="false">
      <c r="A1" s="28" t="s">
        <v>491</v>
      </c>
      <c r="F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492</v>
      </c>
    </row>
    <row r="3" customFormat="false" ht="15" hidden="false" customHeight="false" outlineLevel="0" collapsed="false">
      <c r="A3" s="3" t="s">
        <v>2</v>
      </c>
      <c r="F3" s="73" t="s">
        <v>267</v>
      </c>
      <c r="G3" s="74" t="n">
        <f aca="false">SUBTOTAL(9,G6:G35)</f>
        <v>212000000</v>
      </c>
      <c r="H3" s="74" t="n">
        <f aca="false">SUBTOTAL(9,H6:H35)</f>
        <v>129500000</v>
      </c>
      <c r="I3" s="74" t="n">
        <f aca="false">SUBTOTAL(9,I6:I35)</f>
        <v>127000000</v>
      </c>
      <c r="J3" s="74" t="n">
        <f aca="false">SUBTOTAL(9,J6:J35)</f>
        <v>8500000</v>
      </c>
      <c r="K3" s="74" t="n">
        <f aca="false">SUBTOTAL(9,K6:K35)</f>
        <v>82500000</v>
      </c>
      <c r="L3" s="74" t="n">
        <f aca="false">SUBTOTAL(9,L6:L35)</f>
        <v>2500000</v>
      </c>
      <c r="N3" s="74" t="n">
        <f aca="false">SUBTOTAL(9,N6:N35)</f>
        <v>143270000</v>
      </c>
      <c r="R3" s="74" t="n">
        <f aca="false">SUBTOTAL(9,R6:R35)</f>
        <v>20000000</v>
      </c>
    </row>
    <row r="4" customFormat="false" ht="15" hidden="false" customHeight="true" outlineLevel="0" collapsed="false">
      <c r="A4" s="75" t="s">
        <v>268</v>
      </c>
      <c r="B4" s="75"/>
      <c r="C4" s="75"/>
      <c r="D4" s="75" t="s">
        <v>269</v>
      </c>
      <c r="E4" s="75"/>
      <c r="F4" s="75" t="s">
        <v>493</v>
      </c>
      <c r="G4" s="75"/>
      <c r="H4" s="75"/>
      <c r="I4" s="75"/>
      <c r="J4" s="75"/>
      <c r="K4" s="75" t="s">
        <v>494</v>
      </c>
      <c r="L4" s="75"/>
      <c r="M4" s="75"/>
      <c r="N4" s="75"/>
      <c r="O4" s="75"/>
      <c r="P4" s="75"/>
      <c r="Q4" s="75" t="s">
        <v>495</v>
      </c>
      <c r="R4" s="75"/>
      <c r="S4" s="75" t="s">
        <v>387</v>
      </c>
      <c r="T4" s="75"/>
    </row>
    <row r="5" customFormat="false" ht="48" hidden="false" customHeight="true" outlineLevel="0" collapsed="false">
      <c r="A5" s="23" t="s">
        <v>496</v>
      </c>
      <c r="B5" s="23" t="s">
        <v>277</v>
      </c>
      <c r="C5" s="23" t="s">
        <v>278</v>
      </c>
      <c r="D5" s="23" t="s">
        <v>99</v>
      </c>
      <c r="E5" s="23" t="s">
        <v>98</v>
      </c>
      <c r="F5" s="23" t="s">
        <v>497</v>
      </c>
      <c r="G5" s="23" t="s">
        <v>498</v>
      </c>
      <c r="H5" s="23" t="s">
        <v>499</v>
      </c>
      <c r="I5" s="23" t="s">
        <v>500</v>
      </c>
      <c r="J5" s="23" t="s">
        <v>501</v>
      </c>
      <c r="K5" s="23" t="s">
        <v>502</v>
      </c>
      <c r="L5" s="23" t="s">
        <v>503</v>
      </c>
      <c r="M5" s="23" t="s">
        <v>504</v>
      </c>
      <c r="N5" s="23" t="s">
        <v>505</v>
      </c>
      <c r="O5" s="23" t="s">
        <v>108</v>
      </c>
      <c r="P5" s="23" t="s">
        <v>109</v>
      </c>
      <c r="Q5" s="23" t="s">
        <v>110</v>
      </c>
      <c r="R5" s="23" t="s">
        <v>506</v>
      </c>
      <c r="S5" s="23" t="s">
        <v>417</v>
      </c>
      <c r="T5" s="23" t="s">
        <v>48</v>
      </c>
      <c r="U5" s="76" t="s">
        <v>300</v>
      </c>
      <c r="V5" s="76" t="s">
        <v>301</v>
      </c>
    </row>
    <row r="6" customFormat="false" ht="15" hidden="false" customHeight="false" outlineLevel="0" collapsed="false">
      <c r="A6" s="77" t="s">
        <v>507</v>
      </c>
      <c r="B6" s="78" t="s">
        <v>350</v>
      </c>
      <c r="C6" s="78" t="s">
        <v>351</v>
      </c>
      <c r="D6" s="79" t="str">
        <f aca="false">IF($U6="","",INDEX(Accounts!$C$6:$C$55,$U6)&amp;"")</f>
        <v>Malhotra Family Trust</v>
      </c>
      <c r="E6" s="79" t="str">
        <f aca="false">IF($V6="","",INDEX(Securities!$B$6:$B$105,$V6)&amp;"")</f>
        <v>Fernhill Ventures Fund II – Class A</v>
      </c>
      <c r="F6" s="80" t="n">
        <v>45122</v>
      </c>
      <c r="G6" s="82" t="n">
        <v>100000000</v>
      </c>
      <c r="H6" s="82" t="n">
        <v>60000000</v>
      </c>
      <c r="I6" s="82" t="n">
        <v>60000000</v>
      </c>
      <c r="J6" s="82" t="n">
        <v>8500000</v>
      </c>
      <c r="K6" s="85" t="n">
        <f aca="false">IF($G6="","",$G6-N($H6))</f>
        <v>40000000</v>
      </c>
      <c r="L6" s="85" t="n">
        <f aca="false">IF($H6="","",$H6-N($I6))</f>
        <v>0</v>
      </c>
      <c r="M6" s="86" t="n">
        <f aca="false">IF(OR($G6="",N($G6)=0),"",N($H6)/$G6)</f>
        <v>0.6</v>
      </c>
      <c r="N6" s="85" t="n">
        <f aca="false">IF(OR($B6="",$C6=""),"",IF(COUNTIFS(Holdings!$B$6:$B$205,$B6,Holdings!$C$6:$C$205,$C6)=0,"",SUMIFS(Holdings!$R$6:$R$205,Holdings!$B$6:$B$205,$B6,Holdings!$C$6:$C$205,$C6)))</f>
        <v>75888000</v>
      </c>
      <c r="O6" s="95" t="n">
        <f aca="false">IF(OR($N6="",N($I6)=0),"",($N6+N($J6))/$I6)</f>
        <v>1.40646666666667</v>
      </c>
      <c r="P6" s="95" t="n">
        <f aca="false">IF(OR($J6="",N($I6)=0),"",$J6/$I6)</f>
        <v>0.141666666666667</v>
      </c>
      <c r="Q6" s="80" t="n">
        <v>46280</v>
      </c>
      <c r="R6" s="82" t="n">
        <v>10000000</v>
      </c>
      <c r="S6" s="78" t="s">
        <v>508</v>
      </c>
      <c r="T6" s="79" t="str">
        <f aca="false">IF($A6&amp;$B6&amp;$C6="","",IF($A6="","Missing ID",IF(COUNTIF($A$6:$A$35,$A6)&gt;1,"Duplicate ID",IF($U6="","Unknown account",IF($V6="","Unknown security",IF($G6="","Missing commitment",IF(N($H6)&gt;N($G6),"Called exceeds commitment",IF(N($I6)&gt;N($H6),"Paid exceeds called",IF(AND(ISNUMBER($Q6),N($R6)&gt;N($K6)),"Next call exceeds the uncalled amount",IF(AND(N($I6)&gt;0,$N6=""),"No holding row","OK"))))))))))</f>
        <v>OK</v>
      </c>
      <c r="U6" s="89" t="n">
        <f aca="false">IF($B6="","",IFERROR(MATCH($B6,Accounts!$A$6:$A$55,0),""))</f>
        <v>6</v>
      </c>
      <c r="V6" s="89" t="n">
        <f aca="false">IF($C6="","",IFERROR(MATCH($C6,Securities!$A$6:$A$105,0),""))</f>
        <v>18</v>
      </c>
    </row>
    <row r="7" customFormat="false" ht="15" hidden="false" customHeight="false" outlineLevel="0" collapsed="false">
      <c r="A7" s="77" t="s">
        <v>509</v>
      </c>
      <c r="B7" s="78" t="s">
        <v>322</v>
      </c>
      <c r="C7" s="78" t="s">
        <v>323</v>
      </c>
      <c r="D7" s="79" t="str">
        <f aca="false">IF($U7="","",INDEX(Accounts!$C$6:$C$55,$U7)&amp;"")</f>
        <v>Rajiv Malhotra</v>
      </c>
      <c r="E7" s="79" t="str">
        <f aca="false">IF($V7="","",INDEX(Securities!$B$6:$B$105,$V7)&amp;"")</f>
        <v>Quill Robotics Pvt Ltd – Series A CCPS</v>
      </c>
      <c r="F7" s="80" t="n">
        <v>45514</v>
      </c>
      <c r="G7" s="82" t="n">
        <v>30000000</v>
      </c>
      <c r="H7" s="82" t="n">
        <v>25000000</v>
      </c>
      <c r="I7" s="82" t="n">
        <v>25000000</v>
      </c>
      <c r="J7" s="82" t="n">
        <v>0</v>
      </c>
      <c r="K7" s="85" t="n">
        <f aca="false">IF($G7="","",$G7-N($H7))</f>
        <v>5000000</v>
      </c>
      <c r="L7" s="85" t="n">
        <f aca="false">IF($H7="","",$H7-N($I7))</f>
        <v>0</v>
      </c>
      <c r="M7" s="86" t="n">
        <f aca="false">IF(OR($G7="",N($G7)=0),"",N($H7)/$G7)</f>
        <v>0.833333333333333</v>
      </c>
      <c r="N7" s="85" t="n">
        <f aca="false">IF(OR($B7="",$C7=""),"",IF(COUNTIFS(Holdings!$B$6:$B$205,$B7,Holdings!$C$6:$C$205,$C7)=0,"",SUMIFS(Holdings!$R$6:$R$205,Holdings!$B$6:$B$205,$B7,Holdings!$C$6:$C$205,$C7)))</f>
        <v>25000000</v>
      </c>
      <c r="O7" s="95" t="n">
        <f aca="false">IF(OR($N7="",N($I7)=0),"",($N7+N($J7))/$I7)</f>
        <v>1</v>
      </c>
      <c r="P7" s="95" t="n">
        <f aca="false">IF(OR($J7="",N($I7)=0),"",$J7/$I7)</f>
        <v>0</v>
      </c>
      <c r="Q7" s="80" t="n">
        <v>46305</v>
      </c>
      <c r="R7" s="82" t="n">
        <v>5000000</v>
      </c>
      <c r="S7" s="78" t="s">
        <v>510</v>
      </c>
      <c r="T7" s="79" t="str">
        <f aca="false">IF($A7&amp;$B7&amp;$C7="","",IF($A7="","Missing ID",IF(COUNTIF($A$6:$A$35,$A7)&gt;1,"Duplicate ID",IF($U7="","Unknown account",IF($V7="","Unknown security",IF($G7="","Missing commitment",IF(N($H7)&gt;N($G7),"Called exceeds commitment",IF(N($I7)&gt;N($H7),"Paid exceeds called",IF(AND(ISNUMBER($Q7),N($R7)&gt;N($K7)),"Next call exceeds the uncalled amount",IF(AND(N($I7)&gt;0,$N7=""),"No holding row","OK"))))))))))</f>
        <v>OK</v>
      </c>
      <c r="U7" s="89" t="n">
        <f aca="false">IF($B7="","",IFERROR(MATCH($B7,Accounts!$A$6:$A$55,0),""))</f>
        <v>9</v>
      </c>
      <c r="V7" s="89" t="n">
        <f aca="false">IF($C7="","",IFERROR(MATCH($C7,Securities!$A$6:$A$105,0),""))</f>
        <v>19</v>
      </c>
    </row>
    <row r="8" customFormat="false" ht="15" hidden="false" customHeight="false" outlineLevel="0" collapsed="false">
      <c r="A8" s="77" t="s">
        <v>511</v>
      </c>
      <c r="B8" s="78" t="s">
        <v>368</v>
      </c>
      <c r="C8" s="78" t="s">
        <v>369</v>
      </c>
      <c r="D8" s="79" t="str">
        <f aca="false">IF($U8="","",INDEX(Accounts!$C$6:$C$55,$U8)&amp;"")</f>
        <v>Malhotra Holdings LLP</v>
      </c>
      <c r="E8" s="79" t="str">
        <f aca="false">IF($V8="","",INDEX(Securities!$B$6:$B$105,$V8)&amp;"")</f>
        <v>Rangoli Foods Pvt Ltd – Equity</v>
      </c>
      <c r="F8" s="80" t="n">
        <v>45979</v>
      </c>
      <c r="G8" s="82" t="n">
        <v>32000000</v>
      </c>
      <c r="H8" s="82" t="n">
        <v>32000000</v>
      </c>
      <c r="I8" s="82" t="n">
        <v>32000000</v>
      </c>
      <c r="J8" s="82" t="n">
        <v>0</v>
      </c>
      <c r="K8" s="85" t="n">
        <f aca="false">IF($G8="","",$G8-N($H8))</f>
        <v>0</v>
      </c>
      <c r="L8" s="85" t="n">
        <f aca="false">IF($H8="","",$H8-N($I8))</f>
        <v>0</v>
      </c>
      <c r="M8" s="86" t="n">
        <f aca="false">IF(OR($G8="",N($G8)=0),"",N($H8)/$G8)</f>
        <v>1</v>
      </c>
      <c r="N8" s="85" t="n">
        <f aca="false">IF(OR($B8="",$C8=""),"",IF(COUNTIFS(Holdings!$B$6:$B$205,$B8,Holdings!$C$6:$C$205,$C8)=0,"",SUMIFS(Holdings!$R$6:$R$205,Holdings!$B$6:$B$205,$B8,Holdings!$C$6:$C$205,$C8)))</f>
        <v>32000000</v>
      </c>
      <c r="O8" s="95" t="n">
        <f aca="false">IF(OR($N8="",N($I8)=0),"",($N8+N($J8))/$I8)</f>
        <v>1</v>
      </c>
      <c r="P8" s="95" t="n">
        <f aca="false">IF(OR($J8="",N($I8)=0),"",$J8/$I8)</f>
        <v>0</v>
      </c>
      <c r="Q8" s="80"/>
      <c r="R8" s="82"/>
      <c r="S8" s="78" t="s">
        <v>512</v>
      </c>
      <c r="T8" s="79" t="str">
        <f aca="false">IF($A8&amp;$B8&amp;$C8="","",IF($A8="","Missing ID",IF(COUNTIF($A$6:$A$35,$A8)&gt;1,"Duplicate ID",IF($U8="","Unknown account",IF($V8="","Unknown security",IF($G8="","Missing commitment",IF(N($H8)&gt;N($G8),"Called exceeds commitment",IF(N($I8)&gt;N($H8),"Paid exceeds called",IF(AND(ISNUMBER($Q8),N($R8)&gt;N($K8)),"Next call exceeds the uncalled amount",IF(AND(N($I8)&gt;0,$N8=""),"No holding row","OK"))))))))))</f>
        <v>OK</v>
      </c>
      <c r="U8" s="89" t="n">
        <f aca="false">IF($B8="","",IFERROR(MATCH($B8,Accounts!$A$6:$A$55,0),""))</f>
        <v>13</v>
      </c>
      <c r="V8" s="89" t="n">
        <f aca="false">IF($C8="","",IFERROR(MATCH($C8,Securities!$A$6:$A$105,0),""))</f>
        <v>20</v>
      </c>
    </row>
    <row r="9" customFormat="false" ht="15" hidden="false" customHeight="false" outlineLevel="0" collapsed="false">
      <c r="A9" s="77" t="s">
        <v>513</v>
      </c>
      <c r="B9" s="78" t="s">
        <v>373</v>
      </c>
      <c r="C9" s="78" t="s">
        <v>374</v>
      </c>
      <c r="D9" s="79" t="str">
        <f aca="false">IF($U9="","",INDEX(Accounts!$C$6:$C$55,$U9)&amp;"")</f>
        <v>Malhotra Family Trust</v>
      </c>
      <c r="E9" s="79" t="str">
        <f aca="false">IF($V9="","",INDEX(Securities!$B$6:$B$105,$V9)&amp;"")</f>
        <v>Sahyadri Private Credit Fund – Series I</v>
      </c>
      <c r="F9" s="80" t="n">
        <v>46032</v>
      </c>
      <c r="G9" s="82" t="n">
        <v>50000000</v>
      </c>
      <c r="H9" s="82" t="n">
        <v>12500000</v>
      </c>
      <c r="I9" s="82" t="n">
        <v>10000000</v>
      </c>
      <c r="J9" s="82" t="n">
        <v>0</v>
      </c>
      <c r="K9" s="85" t="n">
        <f aca="false">IF($G9="","",$G9-N($H9))</f>
        <v>37500000</v>
      </c>
      <c r="L9" s="85" t="n">
        <f aca="false">IF($H9="","",$H9-N($I9))</f>
        <v>2500000</v>
      </c>
      <c r="M9" s="86" t="n">
        <f aca="false">IF(OR($G9="",N($G9)=0),"",N($H9)/$G9)</f>
        <v>0.25</v>
      </c>
      <c r="N9" s="85" t="n">
        <f aca="false">IF(OR($B9="",$C9=""),"",IF(COUNTIFS(Holdings!$B$6:$B$205,$B9,Holdings!$C$6:$C$205,$C9)=0,"",SUMIFS(Holdings!$R$6:$R$205,Holdings!$B$6:$B$205,$B9,Holdings!$C$6:$C$205,$C9)))</f>
        <v>10382000</v>
      </c>
      <c r="O9" s="95" t="n">
        <f aca="false">IF(OR($N9="",N($I9)=0),"",($N9+N($J9))/$I9)</f>
        <v>1.0382</v>
      </c>
      <c r="P9" s="95" t="n">
        <f aca="false">IF(OR($J9="",N($I9)=0),"",$J9/$I9)</f>
        <v>0</v>
      </c>
      <c r="Q9" s="80" t="n">
        <v>46315</v>
      </c>
      <c r="R9" s="82" t="n">
        <v>5000000</v>
      </c>
      <c r="S9" s="78" t="s">
        <v>514</v>
      </c>
      <c r="T9" s="79" t="str">
        <f aca="false">IF($A9&amp;$B9&amp;$C9="","",IF($A9="","Missing ID",IF(COUNTIF($A$6:$A$35,$A9)&gt;1,"Duplicate ID",IF($U9="","Unknown account",IF($V9="","Unknown security",IF($G9="","Missing commitment",IF(N($H9)&gt;N($G9),"Called exceeds commitment",IF(N($I9)&gt;N($H9),"Paid exceeds called",IF(AND(ISNUMBER($Q9),N($R9)&gt;N($K9)),"Next call exceeds the uncalled amount",IF(AND(N($I9)&gt;0,$N9=""),"No holding row","OK"))))))))))</f>
        <v>OK</v>
      </c>
      <c r="U9" s="89" t="n">
        <f aca="false">IF($B9="","",IFERROR(MATCH($B9,Accounts!$A$6:$A$55,0),""))</f>
        <v>12</v>
      </c>
      <c r="V9" s="89" t="n">
        <f aca="false">IF($C9="","",IFERROR(MATCH($C9,Securities!$A$6:$A$105,0),""))</f>
        <v>22</v>
      </c>
    </row>
    <row r="10" customFormat="false" ht="15" hidden="false" customHeight="false" outlineLevel="0" collapsed="false">
      <c r="A10" s="77"/>
      <c r="B10" s="78"/>
      <c r="C10" s="78"/>
      <c r="D10" s="79" t="str">
        <f aca="false">IF($U10="","",INDEX(Accounts!$C$6:$C$55,$U10)&amp;"")</f>
        <v/>
      </c>
      <c r="E10" s="79" t="str">
        <f aca="false">IF($V10="","",INDEX(Securities!$B$6:$B$105,$V10)&amp;"")</f>
        <v/>
      </c>
      <c r="F10" s="80"/>
      <c r="G10" s="82"/>
      <c r="H10" s="82"/>
      <c r="I10" s="82"/>
      <c r="J10" s="82"/>
      <c r="K10" s="85" t="str">
        <f aca="false">IF($G10="","",$G10-N($H10))</f>
        <v/>
      </c>
      <c r="L10" s="85" t="str">
        <f aca="false">IF($H10="","",$H10-N($I10))</f>
        <v/>
      </c>
      <c r="M10" s="86" t="str">
        <f aca="false">IF(OR($G10="",N($G10)=0),"",N($H10)/$G10)</f>
        <v/>
      </c>
      <c r="N10" s="85" t="str">
        <f aca="false">IF(OR($B10="",$C10=""),"",IF(COUNTIFS(Holdings!$B$6:$B$205,$B10,Holdings!$C$6:$C$205,$C10)=0,"",SUMIFS(Holdings!$R$6:$R$205,Holdings!$B$6:$B$205,$B10,Holdings!$C$6:$C$205,$C10)))</f>
        <v/>
      </c>
      <c r="O10" s="95" t="str">
        <f aca="false">IF(OR($N10="",N($I10)=0),"",($N10+N($J10))/$I10)</f>
        <v/>
      </c>
      <c r="P10" s="95" t="str">
        <f aca="false">IF(OR($J10="",N($I10)=0),"",$J10/$I10)</f>
        <v/>
      </c>
      <c r="Q10" s="80"/>
      <c r="R10" s="82"/>
      <c r="S10" s="78"/>
      <c r="T10" s="79" t="str">
        <f aca="false">IF($A10&amp;$B10&amp;$C10="","",IF($A10="","Missing ID",IF(COUNTIF($A$6:$A$35,$A10)&gt;1,"Duplicate ID",IF($U10="","Unknown account",IF($V10="","Unknown security",IF($G10="","Missing commitment",IF(N($H10)&gt;N($G10),"Called exceeds commitment",IF(N($I10)&gt;N($H10),"Paid exceeds called",IF(AND(ISNUMBER($Q10),N($R10)&gt;N($K10)),"Next call exceeds the uncalled amount",IF(AND(N($I10)&gt;0,$N10=""),"No holding row","OK"))))))))))</f>
        <v/>
      </c>
      <c r="U10" s="89" t="str">
        <f aca="false">IF($B10="","",IFERROR(MATCH($B10,Accounts!$A$6:$A$55,0),""))</f>
        <v/>
      </c>
      <c r="V10" s="89" t="str">
        <f aca="false">IF($C10="","",IFERROR(MATCH($C10,Securities!$A$6:$A$105,0),""))</f>
        <v/>
      </c>
    </row>
    <row r="11" customFormat="false" ht="15" hidden="false" customHeight="false" outlineLevel="0" collapsed="false">
      <c r="A11" s="77"/>
      <c r="B11" s="78"/>
      <c r="C11" s="78"/>
      <c r="D11" s="79" t="str">
        <f aca="false">IF($U11="","",INDEX(Accounts!$C$6:$C$55,$U11)&amp;"")</f>
        <v/>
      </c>
      <c r="E11" s="79" t="str">
        <f aca="false">IF($V11="","",INDEX(Securities!$B$6:$B$105,$V11)&amp;"")</f>
        <v/>
      </c>
      <c r="F11" s="80"/>
      <c r="G11" s="82"/>
      <c r="H11" s="82"/>
      <c r="I11" s="82"/>
      <c r="J11" s="82"/>
      <c r="K11" s="85" t="str">
        <f aca="false">IF($G11="","",$G11-N($H11))</f>
        <v/>
      </c>
      <c r="L11" s="85" t="str">
        <f aca="false">IF($H11="","",$H11-N($I11))</f>
        <v/>
      </c>
      <c r="M11" s="86" t="str">
        <f aca="false">IF(OR($G11="",N($G11)=0),"",N($H11)/$G11)</f>
        <v/>
      </c>
      <c r="N11" s="85" t="str">
        <f aca="false">IF(OR($B11="",$C11=""),"",IF(COUNTIFS(Holdings!$B$6:$B$205,$B11,Holdings!$C$6:$C$205,$C11)=0,"",SUMIFS(Holdings!$R$6:$R$205,Holdings!$B$6:$B$205,$B11,Holdings!$C$6:$C$205,$C11)))</f>
        <v/>
      </c>
      <c r="O11" s="95" t="str">
        <f aca="false">IF(OR($N11="",N($I11)=0),"",($N11+N($J11))/$I11)</f>
        <v/>
      </c>
      <c r="P11" s="95" t="str">
        <f aca="false">IF(OR($J11="",N($I11)=0),"",$J11/$I11)</f>
        <v/>
      </c>
      <c r="Q11" s="80"/>
      <c r="R11" s="82"/>
      <c r="S11" s="78"/>
      <c r="T11" s="79" t="str">
        <f aca="false">IF($A11&amp;$B11&amp;$C11="","",IF($A11="","Missing ID",IF(COUNTIF($A$6:$A$35,$A11)&gt;1,"Duplicate ID",IF($U11="","Unknown account",IF($V11="","Unknown security",IF($G11="","Missing commitment",IF(N($H11)&gt;N($G11),"Called exceeds commitment",IF(N($I11)&gt;N($H11),"Paid exceeds called",IF(AND(ISNUMBER($Q11),N($R11)&gt;N($K11)),"Next call exceeds the uncalled amount",IF(AND(N($I11)&gt;0,$N11=""),"No holding row","OK"))))))))))</f>
        <v/>
      </c>
      <c r="U11" s="89" t="str">
        <f aca="false">IF($B11="","",IFERROR(MATCH($B11,Accounts!$A$6:$A$55,0),""))</f>
        <v/>
      </c>
      <c r="V11" s="89" t="str">
        <f aca="false">IF($C11="","",IFERROR(MATCH($C11,Securities!$A$6:$A$105,0),""))</f>
        <v/>
      </c>
    </row>
    <row r="12" customFormat="false" ht="15" hidden="false" customHeight="false" outlineLevel="0" collapsed="false">
      <c r="A12" s="77"/>
      <c r="B12" s="78"/>
      <c r="C12" s="78"/>
      <c r="D12" s="79" t="str">
        <f aca="false">IF($U12="","",INDEX(Accounts!$C$6:$C$55,$U12)&amp;"")</f>
        <v/>
      </c>
      <c r="E12" s="79" t="str">
        <f aca="false">IF($V12="","",INDEX(Securities!$B$6:$B$105,$V12)&amp;"")</f>
        <v/>
      </c>
      <c r="F12" s="80"/>
      <c r="G12" s="82"/>
      <c r="H12" s="82"/>
      <c r="I12" s="82"/>
      <c r="J12" s="82"/>
      <c r="K12" s="85" t="str">
        <f aca="false">IF($G12="","",$G12-N($H12))</f>
        <v/>
      </c>
      <c r="L12" s="85" t="str">
        <f aca="false">IF($H12="","",$H12-N($I12))</f>
        <v/>
      </c>
      <c r="M12" s="86" t="str">
        <f aca="false">IF(OR($G12="",N($G12)=0),"",N($H12)/$G12)</f>
        <v/>
      </c>
      <c r="N12" s="85" t="str">
        <f aca="false">IF(OR($B12="",$C12=""),"",IF(COUNTIFS(Holdings!$B$6:$B$205,$B12,Holdings!$C$6:$C$205,$C12)=0,"",SUMIFS(Holdings!$R$6:$R$205,Holdings!$B$6:$B$205,$B12,Holdings!$C$6:$C$205,$C12)))</f>
        <v/>
      </c>
      <c r="O12" s="95" t="str">
        <f aca="false">IF(OR($N12="",N($I12)=0),"",($N12+N($J12))/$I12)</f>
        <v/>
      </c>
      <c r="P12" s="95" t="str">
        <f aca="false">IF(OR($J12="",N($I12)=0),"",$J12/$I12)</f>
        <v/>
      </c>
      <c r="Q12" s="80"/>
      <c r="R12" s="82"/>
      <c r="S12" s="78"/>
      <c r="T12" s="79" t="str">
        <f aca="false">IF($A12&amp;$B12&amp;$C12="","",IF($A12="","Missing ID",IF(COUNTIF($A$6:$A$35,$A12)&gt;1,"Duplicate ID",IF($U12="","Unknown account",IF($V12="","Unknown security",IF($G12="","Missing commitment",IF(N($H12)&gt;N($G12),"Called exceeds commitment",IF(N($I12)&gt;N($H12),"Paid exceeds called",IF(AND(ISNUMBER($Q12),N($R12)&gt;N($K12)),"Next call exceeds the uncalled amount",IF(AND(N($I12)&gt;0,$N12=""),"No holding row","OK"))))))))))</f>
        <v/>
      </c>
      <c r="U12" s="89" t="str">
        <f aca="false">IF($B12="","",IFERROR(MATCH($B12,Accounts!$A$6:$A$55,0),""))</f>
        <v/>
      </c>
      <c r="V12" s="89" t="str">
        <f aca="false">IF($C12="","",IFERROR(MATCH($C12,Securities!$A$6:$A$105,0),""))</f>
        <v/>
      </c>
    </row>
    <row r="13" customFormat="false" ht="15" hidden="false" customHeight="false" outlineLevel="0" collapsed="false">
      <c r="A13" s="77"/>
      <c r="B13" s="78"/>
      <c r="C13" s="78"/>
      <c r="D13" s="79" t="str">
        <f aca="false">IF($U13="","",INDEX(Accounts!$C$6:$C$55,$U13)&amp;"")</f>
        <v/>
      </c>
      <c r="E13" s="79" t="str">
        <f aca="false">IF($V13="","",INDEX(Securities!$B$6:$B$105,$V13)&amp;"")</f>
        <v/>
      </c>
      <c r="F13" s="80"/>
      <c r="G13" s="82"/>
      <c r="H13" s="82"/>
      <c r="I13" s="82"/>
      <c r="J13" s="82"/>
      <c r="K13" s="85" t="str">
        <f aca="false">IF($G13="","",$G13-N($H13))</f>
        <v/>
      </c>
      <c r="L13" s="85" t="str">
        <f aca="false">IF($H13="","",$H13-N($I13))</f>
        <v/>
      </c>
      <c r="M13" s="86" t="str">
        <f aca="false">IF(OR($G13="",N($G13)=0),"",N($H13)/$G13)</f>
        <v/>
      </c>
      <c r="N13" s="85" t="str">
        <f aca="false">IF(OR($B13="",$C13=""),"",IF(COUNTIFS(Holdings!$B$6:$B$205,$B13,Holdings!$C$6:$C$205,$C13)=0,"",SUMIFS(Holdings!$R$6:$R$205,Holdings!$B$6:$B$205,$B13,Holdings!$C$6:$C$205,$C13)))</f>
        <v/>
      </c>
      <c r="O13" s="95" t="str">
        <f aca="false">IF(OR($N13="",N($I13)=0),"",($N13+N($J13))/$I13)</f>
        <v/>
      </c>
      <c r="P13" s="95" t="str">
        <f aca="false">IF(OR($J13="",N($I13)=0),"",$J13/$I13)</f>
        <v/>
      </c>
      <c r="Q13" s="80"/>
      <c r="R13" s="82"/>
      <c r="S13" s="78"/>
      <c r="T13" s="79" t="str">
        <f aca="false">IF($A13&amp;$B13&amp;$C13="","",IF($A13="","Missing ID",IF(COUNTIF($A$6:$A$35,$A13)&gt;1,"Duplicate ID",IF($U13="","Unknown account",IF($V13="","Unknown security",IF($G13="","Missing commitment",IF(N($H13)&gt;N($G13),"Called exceeds commitment",IF(N($I13)&gt;N($H13),"Paid exceeds called",IF(AND(ISNUMBER($Q13),N($R13)&gt;N($K13)),"Next call exceeds the uncalled amount",IF(AND(N($I13)&gt;0,$N13=""),"No holding row","OK"))))))))))</f>
        <v/>
      </c>
      <c r="U13" s="89" t="str">
        <f aca="false">IF($B13="","",IFERROR(MATCH($B13,Accounts!$A$6:$A$55,0),""))</f>
        <v/>
      </c>
      <c r="V13" s="89" t="str">
        <f aca="false">IF($C13="","",IFERROR(MATCH($C13,Securities!$A$6:$A$105,0),""))</f>
        <v/>
      </c>
    </row>
    <row r="14" customFormat="false" ht="15" hidden="false" customHeight="false" outlineLevel="0" collapsed="false">
      <c r="A14" s="77"/>
      <c r="B14" s="78"/>
      <c r="C14" s="78"/>
      <c r="D14" s="79" t="str">
        <f aca="false">IF($U14="","",INDEX(Accounts!$C$6:$C$55,$U14)&amp;"")</f>
        <v/>
      </c>
      <c r="E14" s="79" t="str">
        <f aca="false">IF($V14="","",INDEX(Securities!$B$6:$B$105,$V14)&amp;"")</f>
        <v/>
      </c>
      <c r="F14" s="80"/>
      <c r="G14" s="82"/>
      <c r="H14" s="82"/>
      <c r="I14" s="82"/>
      <c r="J14" s="82"/>
      <c r="K14" s="85" t="str">
        <f aca="false">IF($G14="","",$G14-N($H14))</f>
        <v/>
      </c>
      <c r="L14" s="85" t="str">
        <f aca="false">IF($H14="","",$H14-N($I14))</f>
        <v/>
      </c>
      <c r="M14" s="86" t="str">
        <f aca="false">IF(OR($G14="",N($G14)=0),"",N($H14)/$G14)</f>
        <v/>
      </c>
      <c r="N14" s="85" t="str">
        <f aca="false">IF(OR($B14="",$C14=""),"",IF(COUNTIFS(Holdings!$B$6:$B$205,$B14,Holdings!$C$6:$C$205,$C14)=0,"",SUMIFS(Holdings!$R$6:$R$205,Holdings!$B$6:$B$205,$B14,Holdings!$C$6:$C$205,$C14)))</f>
        <v/>
      </c>
      <c r="O14" s="95" t="str">
        <f aca="false">IF(OR($N14="",N($I14)=0),"",($N14+N($J14))/$I14)</f>
        <v/>
      </c>
      <c r="P14" s="95" t="str">
        <f aca="false">IF(OR($J14="",N($I14)=0),"",$J14/$I14)</f>
        <v/>
      </c>
      <c r="Q14" s="80"/>
      <c r="R14" s="82"/>
      <c r="S14" s="78"/>
      <c r="T14" s="79" t="str">
        <f aca="false">IF($A14&amp;$B14&amp;$C14="","",IF($A14="","Missing ID",IF(COUNTIF($A$6:$A$35,$A14)&gt;1,"Duplicate ID",IF($U14="","Unknown account",IF($V14="","Unknown security",IF($G14="","Missing commitment",IF(N($H14)&gt;N($G14),"Called exceeds commitment",IF(N($I14)&gt;N($H14),"Paid exceeds called",IF(AND(ISNUMBER($Q14),N($R14)&gt;N($K14)),"Next call exceeds the uncalled amount",IF(AND(N($I14)&gt;0,$N14=""),"No holding row","OK"))))))))))</f>
        <v/>
      </c>
      <c r="U14" s="89" t="str">
        <f aca="false">IF($B14="","",IFERROR(MATCH($B14,Accounts!$A$6:$A$55,0),""))</f>
        <v/>
      </c>
      <c r="V14" s="89" t="str">
        <f aca="false">IF($C14="","",IFERROR(MATCH($C14,Securities!$A$6:$A$105,0),""))</f>
        <v/>
      </c>
    </row>
    <row r="15" customFormat="false" ht="15" hidden="false" customHeight="false" outlineLevel="0" collapsed="false">
      <c r="A15" s="77"/>
      <c r="B15" s="78"/>
      <c r="C15" s="78"/>
      <c r="D15" s="79" t="str">
        <f aca="false">IF($U15="","",INDEX(Accounts!$C$6:$C$55,$U15)&amp;"")</f>
        <v/>
      </c>
      <c r="E15" s="79" t="str">
        <f aca="false">IF($V15="","",INDEX(Securities!$B$6:$B$105,$V15)&amp;"")</f>
        <v/>
      </c>
      <c r="F15" s="80"/>
      <c r="G15" s="82"/>
      <c r="H15" s="82"/>
      <c r="I15" s="82"/>
      <c r="J15" s="82"/>
      <c r="K15" s="85" t="str">
        <f aca="false">IF($G15="","",$G15-N($H15))</f>
        <v/>
      </c>
      <c r="L15" s="85" t="str">
        <f aca="false">IF($H15="","",$H15-N($I15))</f>
        <v/>
      </c>
      <c r="M15" s="86" t="str">
        <f aca="false">IF(OR($G15="",N($G15)=0),"",N($H15)/$G15)</f>
        <v/>
      </c>
      <c r="N15" s="85" t="str">
        <f aca="false">IF(OR($B15="",$C15=""),"",IF(COUNTIFS(Holdings!$B$6:$B$205,$B15,Holdings!$C$6:$C$205,$C15)=0,"",SUMIFS(Holdings!$R$6:$R$205,Holdings!$B$6:$B$205,$B15,Holdings!$C$6:$C$205,$C15)))</f>
        <v/>
      </c>
      <c r="O15" s="95" t="str">
        <f aca="false">IF(OR($N15="",N($I15)=0),"",($N15+N($J15))/$I15)</f>
        <v/>
      </c>
      <c r="P15" s="95" t="str">
        <f aca="false">IF(OR($J15="",N($I15)=0),"",$J15/$I15)</f>
        <v/>
      </c>
      <c r="Q15" s="80"/>
      <c r="R15" s="82"/>
      <c r="S15" s="78"/>
      <c r="T15" s="79" t="str">
        <f aca="false">IF($A15&amp;$B15&amp;$C15="","",IF($A15="","Missing ID",IF(COUNTIF($A$6:$A$35,$A15)&gt;1,"Duplicate ID",IF($U15="","Unknown account",IF($V15="","Unknown security",IF($G15="","Missing commitment",IF(N($H15)&gt;N($G15),"Called exceeds commitment",IF(N($I15)&gt;N($H15),"Paid exceeds called",IF(AND(ISNUMBER($Q15),N($R15)&gt;N($K15)),"Next call exceeds the uncalled amount",IF(AND(N($I15)&gt;0,$N15=""),"No holding row","OK"))))))))))</f>
        <v/>
      </c>
      <c r="U15" s="89" t="str">
        <f aca="false">IF($B15="","",IFERROR(MATCH($B15,Accounts!$A$6:$A$55,0),""))</f>
        <v/>
      </c>
      <c r="V15" s="89" t="str">
        <f aca="false">IF($C15="","",IFERROR(MATCH($C15,Securities!$A$6:$A$105,0),""))</f>
        <v/>
      </c>
    </row>
    <row r="16" customFormat="false" ht="15" hidden="false" customHeight="false" outlineLevel="0" collapsed="false">
      <c r="A16" s="77"/>
      <c r="B16" s="78"/>
      <c r="C16" s="78"/>
      <c r="D16" s="79" t="str">
        <f aca="false">IF($U16="","",INDEX(Accounts!$C$6:$C$55,$U16)&amp;"")</f>
        <v/>
      </c>
      <c r="E16" s="79" t="str">
        <f aca="false">IF($V16="","",INDEX(Securities!$B$6:$B$105,$V16)&amp;"")</f>
        <v/>
      </c>
      <c r="F16" s="80"/>
      <c r="G16" s="82"/>
      <c r="H16" s="82"/>
      <c r="I16" s="82"/>
      <c r="J16" s="82"/>
      <c r="K16" s="85" t="str">
        <f aca="false">IF($G16="","",$G16-N($H16))</f>
        <v/>
      </c>
      <c r="L16" s="85" t="str">
        <f aca="false">IF($H16="","",$H16-N($I16))</f>
        <v/>
      </c>
      <c r="M16" s="86" t="str">
        <f aca="false">IF(OR($G16="",N($G16)=0),"",N($H16)/$G16)</f>
        <v/>
      </c>
      <c r="N16" s="85" t="str">
        <f aca="false">IF(OR($B16="",$C16=""),"",IF(COUNTIFS(Holdings!$B$6:$B$205,$B16,Holdings!$C$6:$C$205,$C16)=0,"",SUMIFS(Holdings!$R$6:$R$205,Holdings!$B$6:$B$205,$B16,Holdings!$C$6:$C$205,$C16)))</f>
        <v/>
      </c>
      <c r="O16" s="95" t="str">
        <f aca="false">IF(OR($N16="",N($I16)=0),"",($N16+N($J16))/$I16)</f>
        <v/>
      </c>
      <c r="P16" s="95" t="str">
        <f aca="false">IF(OR($J16="",N($I16)=0),"",$J16/$I16)</f>
        <v/>
      </c>
      <c r="Q16" s="80"/>
      <c r="R16" s="82"/>
      <c r="S16" s="78"/>
      <c r="T16" s="79" t="str">
        <f aca="false">IF($A16&amp;$B16&amp;$C16="","",IF($A16="","Missing ID",IF(COUNTIF($A$6:$A$35,$A16)&gt;1,"Duplicate ID",IF($U16="","Unknown account",IF($V16="","Unknown security",IF($G16="","Missing commitment",IF(N($H16)&gt;N($G16),"Called exceeds commitment",IF(N($I16)&gt;N($H16),"Paid exceeds called",IF(AND(ISNUMBER($Q16),N($R16)&gt;N($K16)),"Next call exceeds the uncalled amount",IF(AND(N($I16)&gt;0,$N16=""),"No holding row","OK"))))))))))</f>
        <v/>
      </c>
      <c r="U16" s="89" t="str">
        <f aca="false">IF($B16="","",IFERROR(MATCH($B16,Accounts!$A$6:$A$55,0),""))</f>
        <v/>
      </c>
      <c r="V16" s="89" t="str">
        <f aca="false">IF($C16="","",IFERROR(MATCH($C16,Securities!$A$6:$A$105,0),""))</f>
        <v/>
      </c>
    </row>
    <row r="17" customFormat="false" ht="15" hidden="false" customHeight="false" outlineLevel="0" collapsed="false">
      <c r="A17" s="77"/>
      <c r="B17" s="78"/>
      <c r="C17" s="78"/>
      <c r="D17" s="79" t="str">
        <f aca="false">IF($U17="","",INDEX(Accounts!$C$6:$C$55,$U17)&amp;"")</f>
        <v/>
      </c>
      <c r="E17" s="79" t="str">
        <f aca="false">IF($V17="","",INDEX(Securities!$B$6:$B$105,$V17)&amp;"")</f>
        <v/>
      </c>
      <c r="F17" s="80"/>
      <c r="G17" s="82"/>
      <c r="H17" s="82"/>
      <c r="I17" s="82"/>
      <c r="J17" s="82"/>
      <c r="K17" s="85" t="str">
        <f aca="false">IF($G17="","",$G17-N($H17))</f>
        <v/>
      </c>
      <c r="L17" s="85" t="str">
        <f aca="false">IF($H17="","",$H17-N($I17))</f>
        <v/>
      </c>
      <c r="M17" s="86" t="str">
        <f aca="false">IF(OR($G17="",N($G17)=0),"",N($H17)/$G17)</f>
        <v/>
      </c>
      <c r="N17" s="85" t="str">
        <f aca="false">IF(OR($B17="",$C17=""),"",IF(COUNTIFS(Holdings!$B$6:$B$205,$B17,Holdings!$C$6:$C$205,$C17)=0,"",SUMIFS(Holdings!$R$6:$R$205,Holdings!$B$6:$B$205,$B17,Holdings!$C$6:$C$205,$C17)))</f>
        <v/>
      </c>
      <c r="O17" s="95" t="str">
        <f aca="false">IF(OR($N17="",N($I17)=0),"",($N17+N($J17))/$I17)</f>
        <v/>
      </c>
      <c r="P17" s="95" t="str">
        <f aca="false">IF(OR($J17="",N($I17)=0),"",$J17/$I17)</f>
        <v/>
      </c>
      <c r="Q17" s="80"/>
      <c r="R17" s="82"/>
      <c r="S17" s="78"/>
      <c r="T17" s="79" t="str">
        <f aca="false">IF($A17&amp;$B17&amp;$C17="","",IF($A17="","Missing ID",IF(COUNTIF($A$6:$A$35,$A17)&gt;1,"Duplicate ID",IF($U17="","Unknown account",IF($V17="","Unknown security",IF($G17="","Missing commitment",IF(N($H17)&gt;N($G17),"Called exceeds commitment",IF(N($I17)&gt;N($H17),"Paid exceeds called",IF(AND(ISNUMBER($Q17),N($R17)&gt;N($K17)),"Next call exceeds the uncalled amount",IF(AND(N($I17)&gt;0,$N17=""),"No holding row","OK"))))))))))</f>
        <v/>
      </c>
      <c r="U17" s="89" t="str">
        <f aca="false">IF($B17="","",IFERROR(MATCH($B17,Accounts!$A$6:$A$55,0),""))</f>
        <v/>
      </c>
      <c r="V17" s="89" t="str">
        <f aca="false">IF($C17="","",IFERROR(MATCH($C17,Securities!$A$6:$A$105,0),""))</f>
        <v/>
      </c>
    </row>
    <row r="18" customFormat="false" ht="15" hidden="false" customHeight="false" outlineLevel="0" collapsed="false">
      <c r="A18" s="77"/>
      <c r="B18" s="78"/>
      <c r="C18" s="78"/>
      <c r="D18" s="79" t="str">
        <f aca="false">IF($U18="","",INDEX(Accounts!$C$6:$C$55,$U18)&amp;"")</f>
        <v/>
      </c>
      <c r="E18" s="79" t="str">
        <f aca="false">IF($V18="","",INDEX(Securities!$B$6:$B$105,$V18)&amp;"")</f>
        <v/>
      </c>
      <c r="F18" s="80"/>
      <c r="G18" s="82"/>
      <c r="H18" s="82"/>
      <c r="I18" s="82"/>
      <c r="J18" s="82"/>
      <c r="K18" s="85" t="str">
        <f aca="false">IF($G18="","",$G18-N($H18))</f>
        <v/>
      </c>
      <c r="L18" s="85" t="str">
        <f aca="false">IF($H18="","",$H18-N($I18))</f>
        <v/>
      </c>
      <c r="M18" s="86" t="str">
        <f aca="false">IF(OR($G18="",N($G18)=0),"",N($H18)/$G18)</f>
        <v/>
      </c>
      <c r="N18" s="85" t="str">
        <f aca="false">IF(OR($B18="",$C18=""),"",IF(COUNTIFS(Holdings!$B$6:$B$205,$B18,Holdings!$C$6:$C$205,$C18)=0,"",SUMIFS(Holdings!$R$6:$R$205,Holdings!$B$6:$B$205,$B18,Holdings!$C$6:$C$205,$C18)))</f>
        <v/>
      </c>
      <c r="O18" s="95" t="str">
        <f aca="false">IF(OR($N18="",N($I18)=0),"",($N18+N($J18))/$I18)</f>
        <v/>
      </c>
      <c r="P18" s="95" t="str">
        <f aca="false">IF(OR($J18="",N($I18)=0),"",$J18/$I18)</f>
        <v/>
      </c>
      <c r="Q18" s="80"/>
      <c r="R18" s="82"/>
      <c r="S18" s="78"/>
      <c r="T18" s="79" t="str">
        <f aca="false">IF($A18&amp;$B18&amp;$C18="","",IF($A18="","Missing ID",IF(COUNTIF($A$6:$A$35,$A18)&gt;1,"Duplicate ID",IF($U18="","Unknown account",IF($V18="","Unknown security",IF($G18="","Missing commitment",IF(N($H18)&gt;N($G18),"Called exceeds commitment",IF(N($I18)&gt;N($H18),"Paid exceeds called",IF(AND(ISNUMBER($Q18),N($R18)&gt;N($K18)),"Next call exceeds the uncalled amount",IF(AND(N($I18)&gt;0,$N18=""),"No holding row","OK"))))))))))</f>
        <v/>
      </c>
      <c r="U18" s="89" t="str">
        <f aca="false">IF($B18="","",IFERROR(MATCH($B18,Accounts!$A$6:$A$55,0),""))</f>
        <v/>
      </c>
      <c r="V18" s="89" t="str">
        <f aca="false">IF($C18="","",IFERROR(MATCH($C18,Securities!$A$6:$A$105,0),""))</f>
        <v/>
      </c>
    </row>
    <row r="19" customFormat="false" ht="15" hidden="false" customHeight="false" outlineLevel="0" collapsed="false">
      <c r="A19" s="77"/>
      <c r="B19" s="78"/>
      <c r="C19" s="78"/>
      <c r="D19" s="79" t="str">
        <f aca="false">IF($U19="","",INDEX(Accounts!$C$6:$C$55,$U19)&amp;"")</f>
        <v/>
      </c>
      <c r="E19" s="79" t="str">
        <f aca="false">IF($V19="","",INDEX(Securities!$B$6:$B$105,$V19)&amp;"")</f>
        <v/>
      </c>
      <c r="F19" s="80"/>
      <c r="G19" s="82"/>
      <c r="H19" s="82"/>
      <c r="I19" s="82"/>
      <c r="J19" s="82"/>
      <c r="K19" s="85" t="str">
        <f aca="false">IF($G19="","",$G19-N($H19))</f>
        <v/>
      </c>
      <c r="L19" s="85" t="str">
        <f aca="false">IF($H19="","",$H19-N($I19))</f>
        <v/>
      </c>
      <c r="M19" s="86" t="str">
        <f aca="false">IF(OR($G19="",N($G19)=0),"",N($H19)/$G19)</f>
        <v/>
      </c>
      <c r="N19" s="85" t="str">
        <f aca="false">IF(OR($B19="",$C19=""),"",IF(COUNTIFS(Holdings!$B$6:$B$205,$B19,Holdings!$C$6:$C$205,$C19)=0,"",SUMIFS(Holdings!$R$6:$R$205,Holdings!$B$6:$B$205,$B19,Holdings!$C$6:$C$205,$C19)))</f>
        <v/>
      </c>
      <c r="O19" s="95" t="str">
        <f aca="false">IF(OR($N19="",N($I19)=0),"",($N19+N($J19))/$I19)</f>
        <v/>
      </c>
      <c r="P19" s="95" t="str">
        <f aca="false">IF(OR($J19="",N($I19)=0),"",$J19/$I19)</f>
        <v/>
      </c>
      <c r="Q19" s="80"/>
      <c r="R19" s="82"/>
      <c r="S19" s="78"/>
      <c r="T19" s="79" t="str">
        <f aca="false">IF($A19&amp;$B19&amp;$C19="","",IF($A19="","Missing ID",IF(COUNTIF($A$6:$A$35,$A19)&gt;1,"Duplicate ID",IF($U19="","Unknown account",IF($V19="","Unknown security",IF($G19="","Missing commitment",IF(N($H19)&gt;N($G19),"Called exceeds commitment",IF(N($I19)&gt;N($H19),"Paid exceeds called",IF(AND(ISNUMBER($Q19),N($R19)&gt;N($K19)),"Next call exceeds the uncalled amount",IF(AND(N($I19)&gt;0,$N19=""),"No holding row","OK"))))))))))</f>
        <v/>
      </c>
      <c r="U19" s="89" t="str">
        <f aca="false">IF($B19="","",IFERROR(MATCH($B19,Accounts!$A$6:$A$55,0),""))</f>
        <v/>
      </c>
      <c r="V19" s="89" t="str">
        <f aca="false">IF($C19="","",IFERROR(MATCH($C19,Securities!$A$6:$A$105,0),""))</f>
        <v/>
      </c>
    </row>
    <row r="20" customFormat="false" ht="15" hidden="false" customHeight="false" outlineLevel="0" collapsed="false">
      <c r="A20" s="77"/>
      <c r="B20" s="78"/>
      <c r="C20" s="78"/>
      <c r="D20" s="79" t="str">
        <f aca="false">IF($U20="","",INDEX(Accounts!$C$6:$C$55,$U20)&amp;"")</f>
        <v/>
      </c>
      <c r="E20" s="79" t="str">
        <f aca="false">IF($V20="","",INDEX(Securities!$B$6:$B$105,$V20)&amp;"")</f>
        <v/>
      </c>
      <c r="F20" s="80"/>
      <c r="G20" s="82"/>
      <c r="H20" s="82"/>
      <c r="I20" s="82"/>
      <c r="J20" s="82"/>
      <c r="K20" s="85" t="str">
        <f aca="false">IF($G20="","",$G20-N($H20))</f>
        <v/>
      </c>
      <c r="L20" s="85" t="str">
        <f aca="false">IF($H20="","",$H20-N($I20))</f>
        <v/>
      </c>
      <c r="M20" s="86" t="str">
        <f aca="false">IF(OR($G20="",N($G20)=0),"",N($H20)/$G20)</f>
        <v/>
      </c>
      <c r="N20" s="85" t="str">
        <f aca="false">IF(OR($B20="",$C20=""),"",IF(COUNTIFS(Holdings!$B$6:$B$205,$B20,Holdings!$C$6:$C$205,$C20)=0,"",SUMIFS(Holdings!$R$6:$R$205,Holdings!$B$6:$B$205,$B20,Holdings!$C$6:$C$205,$C20)))</f>
        <v/>
      </c>
      <c r="O20" s="95" t="str">
        <f aca="false">IF(OR($N20="",N($I20)=0),"",($N20+N($J20))/$I20)</f>
        <v/>
      </c>
      <c r="P20" s="95" t="str">
        <f aca="false">IF(OR($J20="",N($I20)=0),"",$J20/$I20)</f>
        <v/>
      </c>
      <c r="Q20" s="80"/>
      <c r="R20" s="82"/>
      <c r="S20" s="78"/>
      <c r="T20" s="79" t="str">
        <f aca="false">IF($A20&amp;$B20&amp;$C20="","",IF($A20="","Missing ID",IF(COUNTIF($A$6:$A$35,$A20)&gt;1,"Duplicate ID",IF($U20="","Unknown account",IF($V20="","Unknown security",IF($G20="","Missing commitment",IF(N($H20)&gt;N($G20),"Called exceeds commitment",IF(N($I20)&gt;N($H20),"Paid exceeds called",IF(AND(ISNUMBER($Q20),N($R20)&gt;N($K20)),"Next call exceeds the uncalled amount",IF(AND(N($I20)&gt;0,$N20=""),"No holding row","OK"))))))))))</f>
        <v/>
      </c>
      <c r="U20" s="89" t="str">
        <f aca="false">IF($B20="","",IFERROR(MATCH($B20,Accounts!$A$6:$A$55,0),""))</f>
        <v/>
      </c>
      <c r="V20" s="89" t="str">
        <f aca="false">IF($C20="","",IFERROR(MATCH($C20,Securities!$A$6:$A$105,0),""))</f>
        <v/>
      </c>
    </row>
    <row r="21" customFormat="false" ht="15" hidden="false" customHeight="false" outlineLevel="0" collapsed="false">
      <c r="A21" s="77"/>
      <c r="B21" s="78"/>
      <c r="C21" s="78"/>
      <c r="D21" s="79" t="str">
        <f aca="false">IF($U21="","",INDEX(Accounts!$C$6:$C$55,$U21)&amp;"")</f>
        <v/>
      </c>
      <c r="E21" s="79" t="str">
        <f aca="false">IF($V21="","",INDEX(Securities!$B$6:$B$105,$V21)&amp;"")</f>
        <v/>
      </c>
      <c r="F21" s="80"/>
      <c r="G21" s="82"/>
      <c r="H21" s="82"/>
      <c r="I21" s="82"/>
      <c r="J21" s="82"/>
      <c r="K21" s="85" t="str">
        <f aca="false">IF($G21="","",$G21-N($H21))</f>
        <v/>
      </c>
      <c r="L21" s="85" t="str">
        <f aca="false">IF($H21="","",$H21-N($I21))</f>
        <v/>
      </c>
      <c r="M21" s="86" t="str">
        <f aca="false">IF(OR($G21="",N($G21)=0),"",N($H21)/$G21)</f>
        <v/>
      </c>
      <c r="N21" s="85" t="str">
        <f aca="false">IF(OR($B21="",$C21=""),"",IF(COUNTIFS(Holdings!$B$6:$B$205,$B21,Holdings!$C$6:$C$205,$C21)=0,"",SUMIFS(Holdings!$R$6:$R$205,Holdings!$B$6:$B$205,$B21,Holdings!$C$6:$C$205,$C21)))</f>
        <v/>
      </c>
      <c r="O21" s="95" t="str">
        <f aca="false">IF(OR($N21="",N($I21)=0),"",($N21+N($J21))/$I21)</f>
        <v/>
      </c>
      <c r="P21" s="95" t="str">
        <f aca="false">IF(OR($J21="",N($I21)=0),"",$J21/$I21)</f>
        <v/>
      </c>
      <c r="Q21" s="80"/>
      <c r="R21" s="82"/>
      <c r="S21" s="78"/>
      <c r="T21" s="79" t="str">
        <f aca="false">IF($A21&amp;$B21&amp;$C21="","",IF($A21="","Missing ID",IF(COUNTIF($A$6:$A$35,$A21)&gt;1,"Duplicate ID",IF($U21="","Unknown account",IF($V21="","Unknown security",IF($G21="","Missing commitment",IF(N($H21)&gt;N($G21),"Called exceeds commitment",IF(N($I21)&gt;N($H21),"Paid exceeds called",IF(AND(ISNUMBER($Q21),N($R21)&gt;N($K21)),"Next call exceeds the uncalled amount",IF(AND(N($I21)&gt;0,$N21=""),"No holding row","OK"))))))))))</f>
        <v/>
      </c>
      <c r="U21" s="89" t="str">
        <f aca="false">IF($B21="","",IFERROR(MATCH($B21,Accounts!$A$6:$A$55,0),""))</f>
        <v/>
      </c>
      <c r="V21" s="89" t="str">
        <f aca="false">IF($C21="","",IFERROR(MATCH($C21,Securities!$A$6:$A$105,0),""))</f>
        <v/>
      </c>
    </row>
    <row r="22" customFormat="false" ht="15" hidden="false" customHeight="false" outlineLevel="0" collapsed="false">
      <c r="A22" s="77"/>
      <c r="B22" s="78"/>
      <c r="C22" s="78"/>
      <c r="D22" s="79" t="str">
        <f aca="false">IF($U22="","",INDEX(Accounts!$C$6:$C$55,$U22)&amp;"")</f>
        <v/>
      </c>
      <c r="E22" s="79" t="str">
        <f aca="false">IF($V22="","",INDEX(Securities!$B$6:$B$105,$V22)&amp;"")</f>
        <v/>
      </c>
      <c r="F22" s="80"/>
      <c r="G22" s="82"/>
      <c r="H22" s="82"/>
      <c r="I22" s="82"/>
      <c r="J22" s="82"/>
      <c r="K22" s="85" t="str">
        <f aca="false">IF($G22="","",$G22-N($H22))</f>
        <v/>
      </c>
      <c r="L22" s="85" t="str">
        <f aca="false">IF($H22="","",$H22-N($I22))</f>
        <v/>
      </c>
      <c r="M22" s="86" t="str">
        <f aca="false">IF(OR($G22="",N($G22)=0),"",N($H22)/$G22)</f>
        <v/>
      </c>
      <c r="N22" s="85" t="str">
        <f aca="false">IF(OR($B22="",$C22=""),"",IF(COUNTIFS(Holdings!$B$6:$B$205,$B22,Holdings!$C$6:$C$205,$C22)=0,"",SUMIFS(Holdings!$R$6:$R$205,Holdings!$B$6:$B$205,$B22,Holdings!$C$6:$C$205,$C22)))</f>
        <v/>
      </c>
      <c r="O22" s="95" t="str">
        <f aca="false">IF(OR($N22="",N($I22)=0),"",($N22+N($J22))/$I22)</f>
        <v/>
      </c>
      <c r="P22" s="95" t="str">
        <f aca="false">IF(OR($J22="",N($I22)=0),"",$J22/$I22)</f>
        <v/>
      </c>
      <c r="Q22" s="80"/>
      <c r="R22" s="82"/>
      <c r="S22" s="78"/>
      <c r="T22" s="79" t="str">
        <f aca="false">IF($A22&amp;$B22&amp;$C22="","",IF($A22="","Missing ID",IF(COUNTIF($A$6:$A$35,$A22)&gt;1,"Duplicate ID",IF($U22="","Unknown account",IF($V22="","Unknown security",IF($G22="","Missing commitment",IF(N($H22)&gt;N($G22),"Called exceeds commitment",IF(N($I22)&gt;N($H22),"Paid exceeds called",IF(AND(ISNUMBER($Q22),N($R22)&gt;N($K22)),"Next call exceeds the uncalled amount",IF(AND(N($I22)&gt;0,$N22=""),"No holding row","OK"))))))))))</f>
        <v/>
      </c>
      <c r="U22" s="89" t="str">
        <f aca="false">IF($B22="","",IFERROR(MATCH($B22,Accounts!$A$6:$A$55,0),""))</f>
        <v/>
      </c>
      <c r="V22" s="89" t="str">
        <f aca="false">IF($C22="","",IFERROR(MATCH($C22,Securities!$A$6:$A$105,0),""))</f>
        <v/>
      </c>
    </row>
    <row r="23" customFormat="false" ht="15" hidden="false" customHeight="false" outlineLevel="0" collapsed="false">
      <c r="A23" s="77"/>
      <c r="B23" s="78"/>
      <c r="C23" s="78"/>
      <c r="D23" s="79" t="str">
        <f aca="false">IF($U23="","",INDEX(Accounts!$C$6:$C$55,$U23)&amp;"")</f>
        <v/>
      </c>
      <c r="E23" s="79" t="str">
        <f aca="false">IF($V23="","",INDEX(Securities!$B$6:$B$105,$V23)&amp;"")</f>
        <v/>
      </c>
      <c r="F23" s="80"/>
      <c r="G23" s="82"/>
      <c r="H23" s="82"/>
      <c r="I23" s="82"/>
      <c r="J23" s="82"/>
      <c r="K23" s="85" t="str">
        <f aca="false">IF($G23="","",$G23-N($H23))</f>
        <v/>
      </c>
      <c r="L23" s="85" t="str">
        <f aca="false">IF($H23="","",$H23-N($I23))</f>
        <v/>
      </c>
      <c r="M23" s="86" t="str">
        <f aca="false">IF(OR($G23="",N($G23)=0),"",N($H23)/$G23)</f>
        <v/>
      </c>
      <c r="N23" s="85" t="str">
        <f aca="false">IF(OR($B23="",$C23=""),"",IF(COUNTIFS(Holdings!$B$6:$B$205,$B23,Holdings!$C$6:$C$205,$C23)=0,"",SUMIFS(Holdings!$R$6:$R$205,Holdings!$B$6:$B$205,$B23,Holdings!$C$6:$C$205,$C23)))</f>
        <v/>
      </c>
      <c r="O23" s="95" t="str">
        <f aca="false">IF(OR($N23="",N($I23)=0),"",($N23+N($J23))/$I23)</f>
        <v/>
      </c>
      <c r="P23" s="95" t="str">
        <f aca="false">IF(OR($J23="",N($I23)=0),"",$J23/$I23)</f>
        <v/>
      </c>
      <c r="Q23" s="80"/>
      <c r="R23" s="82"/>
      <c r="S23" s="78"/>
      <c r="T23" s="79" t="str">
        <f aca="false">IF($A23&amp;$B23&amp;$C23="","",IF($A23="","Missing ID",IF(COUNTIF($A$6:$A$35,$A23)&gt;1,"Duplicate ID",IF($U23="","Unknown account",IF($V23="","Unknown security",IF($G23="","Missing commitment",IF(N($H23)&gt;N($G23),"Called exceeds commitment",IF(N($I23)&gt;N($H23),"Paid exceeds called",IF(AND(ISNUMBER($Q23),N($R23)&gt;N($K23)),"Next call exceeds the uncalled amount",IF(AND(N($I23)&gt;0,$N23=""),"No holding row","OK"))))))))))</f>
        <v/>
      </c>
      <c r="U23" s="89" t="str">
        <f aca="false">IF($B23="","",IFERROR(MATCH($B23,Accounts!$A$6:$A$55,0),""))</f>
        <v/>
      </c>
      <c r="V23" s="89" t="str">
        <f aca="false">IF($C23="","",IFERROR(MATCH($C23,Securities!$A$6:$A$105,0),""))</f>
        <v/>
      </c>
    </row>
    <row r="24" customFormat="false" ht="15" hidden="false" customHeight="false" outlineLevel="0" collapsed="false">
      <c r="A24" s="77"/>
      <c r="B24" s="78"/>
      <c r="C24" s="78"/>
      <c r="D24" s="79" t="str">
        <f aca="false">IF($U24="","",INDEX(Accounts!$C$6:$C$55,$U24)&amp;"")</f>
        <v/>
      </c>
      <c r="E24" s="79" t="str">
        <f aca="false">IF($V24="","",INDEX(Securities!$B$6:$B$105,$V24)&amp;"")</f>
        <v/>
      </c>
      <c r="F24" s="80"/>
      <c r="G24" s="82"/>
      <c r="H24" s="82"/>
      <c r="I24" s="82"/>
      <c r="J24" s="82"/>
      <c r="K24" s="85" t="str">
        <f aca="false">IF($G24="","",$G24-N($H24))</f>
        <v/>
      </c>
      <c r="L24" s="85" t="str">
        <f aca="false">IF($H24="","",$H24-N($I24))</f>
        <v/>
      </c>
      <c r="M24" s="86" t="str">
        <f aca="false">IF(OR($G24="",N($G24)=0),"",N($H24)/$G24)</f>
        <v/>
      </c>
      <c r="N24" s="85" t="str">
        <f aca="false">IF(OR($B24="",$C24=""),"",IF(COUNTIFS(Holdings!$B$6:$B$205,$B24,Holdings!$C$6:$C$205,$C24)=0,"",SUMIFS(Holdings!$R$6:$R$205,Holdings!$B$6:$B$205,$B24,Holdings!$C$6:$C$205,$C24)))</f>
        <v/>
      </c>
      <c r="O24" s="95" t="str">
        <f aca="false">IF(OR($N24="",N($I24)=0),"",($N24+N($J24))/$I24)</f>
        <v/>
      </c>
      <c r="P24" s="95" t="str">
        <f aca="false">IF(OR($J24="",N($I24)=0),"",$J24/$I24)</f>
        <v/>
      </c>
      <c r="Q24" s="80"/>
      <c r="R24" s="82"/>
      <c r="S24" s="78"/>
      <c r="T24" s="79" t="str">
        <f aca="false">IF($A24&amp;$B24&amp;$C24="","",IF($A24="","Missing ID",IF(COUNTIF($A$6:$A$35,$A24)&gt;1,"Duplicate ID",IF($U24="","Unknown account",IF($V24="","Unknown security",IF($G24="","Missing commitment",IF(N($H24)&gt;N($G24),"Called exceeds commitment",IF(N($I24)&gt;N($H24),"Paid exceeds called",IF(AND(ISNUMBER($Q24),N($R24)&gt;N($K24)),"Next call exceeds the uncalled amount",IF(AND(N($I24)&gt;0,$N24=""),"No holding row","OK"))))))))))</f>
        <v/>
      </c>
      <c r="U24" s="89" t="str">
        <f aca="false">IF($B24="","",IFERROR(MATCH($B24,Accounts!$A$6:$A$55,0),""))</f>
        <v/>
      </c>
      <c r="V24" s="89" t="str">
        <f aca="false">IF($C24="","",IFERROR(MATCH($C24,Securities!$A$6:$A$105,0),""))</f>
        <v/>
      </c>
    </row>
    <row r="25" customFormat="false" ht="15" hidden="false" customHeight="false" outlineLevel="0" collapsed="false">
      <c r="A25" s="77"/>
      <c r="B25" s="78"/>
      <c r="C25" s="78"/>
      <c r="D25" s="79" t="str">
        <f aca="false">IF($U25="","",INDEX(Accounts!$C$6:$C$55,$U25)&amp;"")</f>
        <v/>
      </c>
      <c r="E25" s="79" t="str">
        <f aca="false">IF($V25="","",INDEX(Securities!$B$6:$B$105,$V25)&amp;"")</f>
        <v/>
      </c>
      <c r="F25" s="80"/>
      <c r="G25" s="82"/>
      <c r="H25" s="82"/>
      <c r="I25" s="82"/>
      <c r="J25" s="82"/>
      <c r="K25" s="85" t="str">
        <f aca="false">IF($G25="","",$G25-N($H25))</f>
        <v/>
      </c>
      <c r="L25" s="85" t="str">
        <f aca="false">IF($H25="","",$H25-N($I25))</f>
        <v/>
      </c>
      <c r="M25" s="86" t="str">
        <f aca="false">IF(OR($G25="",N($G25)=0),"",N($H25)/$G25)</f>
        <v/>
      </c>
      <c r="N25" s="85" t="str">
        <f aca="false">IF(OR($B25="",$C25=""),"",IF(COUNTIFS(Holdings!$B$6:$B$205,$B25,Holdings!$C$6:$C$205,$C25)=0,"",SUMIFS(Holdings!$R$6:$R$205,Holdings!$B$6:$B$205,$B25,Holdings!$C$6:$C$205,$C25)))</f>
        <v/>
      </c>
      <c r="O25" s="95" t="str">
        <f aca="false">IF(OR($N25="",N($I25)=0),"",($N25+N($J25))/$I25)</f>
        <v/>
      </c>
      <c r="P25" s="95" t="str">
        <f aca="false">IF(OR($J25="",N($I25)=0),"",$J25/$I25)</f>
        <v/>
      </c>
      <c r="Q25" s="80"/>
      <c r="R25" s="82"/>
      <c r="S25" s="78"/>
      <c r="T25" s="79" t="str">
        <f aca="false">IF($A25&amp;$B25&amp;$C25="","",IF($A25="","Missing ID",IF(COUNTIF($A$6:$A$35,$A25)&gt;1,"Duplicate ID",IF($U25="","Unknown account",IF($V25="","Unknown security",IF($G25="","Missing commitment",IF(N($H25)&gt;N($G25),"Called exceeds commitment",IF(N($I25)&gt;N($H25),"Paid exceeds called",IF(AND(ISNUMBER($Q25),N($R25)&gt;N($K25)),"Next call exceeds the uncalled amount",IF(AND(N($I25)&gt;0,$N25=""),"No holding row","OK"))))))))))</f>
        <v/>
      </c>
      <c r="U25" s="89" t="str">
        <f aca="false">IF($B25="","",IFERROR(MATCH($B25,Accounts!$A$6:$A$55,0),""))</f>
        <v/>
      </c>
      <c r="V25" s="89" t="str">
        <f aca="false">IF($C25="","",IFERROR(MATCH($C25,Securities!$A$6:$A$105,0),""))</f>
        <v/>
      </c>
    </row>
    <row r="26" customFormat="false" ht="15" hidden="false" customHeight="false" outlineLevel="0" collapsed="false">
      <c r="A26" s="77"/>
      <c r="B26" s="78"/>
      <c r="C26" s="78"/>
      <c r="D26" s="79" t="str">
        <f aca="false">IF($U26="","",INDEX(Accounts!$C$6:$C$55,$U26)&amp;"")</f>
        <v/>
      </c>
      <c r="E26" s="79" t="str">
        <f aca="false">IF($V26="","",INDEX(Securities!$B$6:$B$105,$V26)&amp;"")</f>
        <v/>
      </c>
      <c r="F26" s="80"/>
      <c r="G26" s="82"/>
      <c r="H26" s="82"/>
      <c r="I26" s="82"/>
      <c r="J26" s="82"/>
      <c r="K26" s="85" t="str">
        <f aca="false">IF($G26="","",$G26-N($H26))</f>
        <v/>
      </c>
      <c r="L26" s="85" t="str">
        <f aca="false">IF($H26="","",$H26-N($I26))</f>
        <v/>
      </c>
      <c r="M26" s="86" t="str">
        <f aca="false">IF(OR($G26="",N($G26)=0),"",N($H26)/$G26)</f>
        <v/>
      </c>
      <c r="N26" s="85" t="str">
        <f aca="false">IF(OR($B26="",$C26=""),"",IF(COUNTIFS(Holdings!$B$6:$B$205,$B26,Holdings!$C$6:$C$205,$C26)=0,"",SUMIFS(Holdings!$R$6:$R$205,Holdings!$B$6:$B$205,$B26,Holdings!$C$6:$C$205,$C26)))</f>
        <v/>
      </c>
      <c r="O26" s="95" t="str">
        <f aca="false">IF(OR($N26="",N($I26)=0),"",($N26+N($J26))/$I26)</f>
        <v/>
      </c>
      <c r="P26" s="95" t="str">
        <f aca="false">IF(OR($J26="",N($I26)=0),"",$J26/$I26)</f>
        <v/>
      </c>
      <c r="Q26" s="80"/>
      <c r="R26" s="82"/>
      <c r="S26" s="78"/>
      <c r="T26" s="79" t="str">
        <f aca="false">IF($A26&amp;$B26&amp;$C26="","",IF($A26="","Missing ID",IF(COUNTIF($A$6:$A$35,$A26)&gt;1,"Duplicate ID",IF($U26="","Unknown account",IF($V26="","Unknown security",IF($G26="","Missing commitment",IF(N($H26)&gt;N($G26),"Called exceeds commitment",IF(N($I26)&gt;N($H26),"Paid exceeds called",IF(AND(ISNUMBER($Q26),N($R26)&gt;N($K26)),"Next call exceeds the uncalled amount",IF(AND(N($I26)&gt;0,$N26=""),"No holding row","OK"))))))))))</f>
        <v/>
      </c>
      <c r="U26" s="89" t="str">
        <f aca="false">IF($B26="","",IFERROR(MATCH($B26,Accounts!$A$6:$A$55,0),""))</f>
        <v/>
      </c>
      <c r="V26" s="89" t="str">
        <f aca="false">IF($C26="","",IFERROR(MATCH($C26,Securities!$A$6:$A$105,0),""))</f>
        <v/>
      </c>
    </row>
    <row r="27" customFormat="false" ht="15" hidden="false" customHeight="false" outlineLevel="0" collapsed="false">
      <c r="A27" s="77"/>
      <c r="B27" s="78"/>
      <c r="C27" s="78"/>
      <c r="D27" s="79" t="str">
        <f aca="false">IF($U27="","",INDEX(Accounts!$C$6:$C$55,$U27)&amp;"")</f>
        <v/>
      </c>
      <c r="E27" s="79" t="str">
        <f aca="false">IF($V27="","",INDEX(Securities!$B$6:$B$105,$V27)&amp;"")</f>
        <v/>
      </c>
      <c r="F27" s="80"/>
      <c r="G27" s="82"/>
      <c r="H27" s="82"/>
      <c r="I27" s="82"/>
      <c r="J27" s="82"/>
      <c r="K27" s="85" t="str">
        <f aca="false">IF($G27="","",$G27-N($H27))</f>
        <v/>
      </c>
      <c r="L27" s="85" t="str">
        <f aca="false">IF($H27="","",$H27-N($I27))</f>
        <v/>
      </c>
      <c r="M27" s="86" t="str">
        <f aca="false">IF(OR($G27="",N($G27)=0),"",N($H27)/$G27)</f>
        <v/>
      </c>
      <c r="N27" s="85" t="str">
        <f aca="false">IF(OR($B27="",$C27=""),"",IF(COUNTIFS(Holdings!$B$6:$B$205,$B27,Holdings!$C$6:$C$205,$C27)=0,"",SUMIFS(Holdings!$R$6:$R$205,Holdings!$B$6:$B$205,$B27,Holdings!$C$6:$C$205,$C27)))</f>
        <v/>
      </c>
      <c r="O27" s="95" t="str">
        <f aca="false">IF(OR($N27="",N($I27)=0),"",($N27+N($J27))/$I27)</f>
        <v/>
      </c>
      <c r="P27" s="95" t="str">
        <f aca="false">IF(OR($J27="",N($I27)=0),"",$J27/$I27)</f>
        <v/>
      </c>
      <c r="Q27" s="80"/>
      <c r="R27" s="82"/>
      <c r="S27" s="78"/>
      <c r="T27" s="79" t="str">
        <f aca="false">IF($A27&amp;$B27&amp;$C27="","",IF($A27="","Missing ID",IF(COUNTIF($A$6:$A$35,$A27)&gt;1,"Duplicate ID",IF($U27="","Unknown account",IF($V27="","Unknown security",IF($G27="","Missing commitment",IF(N($H27)&gt;N($G27),"Called exceeds commitment",IF(N($I27)&gt;N($H27),"Paid exceeds called",IF(AND(ISNUMBER($Q27),N($R27)&gt;N($K27)),"Next call exceeds the uncalled amount",IF(AND(N($I27)&gt;0,$N27=""),"No holding row","OK"))))))))))</f>
        <v/>
      </c>
      <c r="U27" s="89" t="str">
        <f aca="false">IF($B27="","",IFERROR(MATCH($B27,Accounts!$A$6:$A$55,0),""))</f>
        <v/>
      </c>
      <c r="V27" s="89" t="str">
        <f aca="false">IF($C27="","",IFERROR(MATCH($C27,Securities!$A$6:$A$105,0),""))</f>
        <v/>
      </c>
    </row>
    <row r="28" customFormat="false" ht="15" hidden="false" customHeight="false" outlineLevel="0" collapsed="false">
      <c r="A28" s="77"/>
      <c r="B28" s="78"/>
      <c r="C28" s="78"/>
      <c r="D28" s="79" t="str">
        <f aca="false">IF($U28="","",INDEX(Accounts!$C$6:$C$55,$U28)&amp;"")</f>
        <v/>
      </c>
      <c r="E28" s="79" t="str">
        <f aca="false">IF($V28="","",INDEX(Securities!$B$6:$B$105,$V28)&amp;"")</f>
        <v/>
      </c>
      <c r="F28" s="80"/>
      <c r="G28" s="82"/>
      <c r="H28" s="82"/>
      <c r="I28" s="82"/>
      <c r="J28" s="82"/>
      <c r="K28" s="85" t="str">
        <f aca="false">IF($G28="","",$G28-N($H28))</f>
        <v/>
      </c>
      <c r="L28" s="85" t="str">
        <f aca="false">IF($H28="","",$H28-N($I28))</f>
        <v/>
      </c>
      <c r="M28" s="86" t="str">
        <f aca="false">IF(OR($G28="",N($G28)=0),"",N($H28)/$G28)</f>
        <v/>
      </c>
      <c r="N28" s="85" t="str">
        <f aca="false">IF(OR($B28="",$C28=""),"",IF(COUNTIFS(Holdings!$B$6:$B$205,$B28,Holdings!$C$6:$C$205,$C28)=0,"",SUMIFS(Holdings!$R$6:$R$205,Holdings!$B$6:$B$205,$B28,Holdings!$C$6:$C$205,$C28)))</f>
        <v/>
      </c>
      <c r="O28" s="95" t="str">
        <f aca="false">IF(OR($N28="",N($I28)=0),"",($N28+N($J28))/$I28)</f>
        <v/>
      </c>
      <c r="P28" s="95" t="str">
        <f aca="false">IF(OR($J28="",N($I28)=0),"",$J28/$I28)</f>
        <v/>
      </c>
      <c r="Q28" s="80"/>
      <c r="R28" s="82"/>
      <c r="S28" s="78"/>
      <c r="T28" s="79" t="str">
        <f aca="false">IF($A28&amp;$B28&amp;$C28="","",IF($A28="","Missing ID",IF(COUNTIF($A$6:$A$35,$A28)&gt;1,"Duplicate ID",IF($U28="","Unknown account",IF($V28="","Unknown security",IF($G28="","Missing commitment",IF(N($H28)&gt;N($G28),"Called exceeds commitment",IF(N($I28)&gt;N($H28),"Paid exceeds called",IF(AND(ISNUMBER($Q28),N($R28)&gt;N($K28)),"Next call exceeds the uncalled amount",IF(AND(N($I28)&gt;0,$N28=""),"No holding row","OK"))))))))))</f>
        <v/>
      </c>
      <c r="U28" s="89" t="str">
        <f aca="false">IF($B28="","",IFERROR(MATCH($B28,Accounts!$A$6:$A$55,0),""))</f>
        <v/>
      </c>
      <c r="V28" s="89" t="str">
        <f aca="false">IF($C28="","",IFERROR(MATCH($C28,Securities!$A$6:$A$105,0),""))</f>
        <v/>
      </c>
    </row>
    <row r="29" customFormat="false" ht="15" hidden="false" customHeight="false" outlineLevel="0" collapsed="false">
      <c r="A29" s="77"/>
      <c r="B29" s="78"/>
      <c r="C29" s="78"/>
      <c r="D29" s="79" t="str">
        <f aca="false">IF($U29="","",INDEX(Accounts!$C$6:$C$55,$U29)&amp;"")</f>
        <v/>
      </c>
      <c r="E29" s="79" t="str">
        <f aca="false">IF($V29="","",INDEX(Securities!$B$6:$B$105,$V29)&amp;"")</f>
        <v/>
      </c>
      <c r="F29" s="80"/>
      <c r="G29" s="82"/>
      <c r="H29" s="82"/>
      <c r="I29" s="82"/>
      <c r="J29" s="82"/>
      <c r="K29" s="85" t="str">
        <f aca="false">IF($G29="","",$G29-N($H29))</f>
        <v/>
      </c>
      <c r="L29" s="85" t="str">
        <f aca="false">IF($H29="","",$H29-N($I29))</f>
        <v/>
      </c>
      <c r="M29" s="86" t="str">
        <f aca="false">IF(OR($G29="",N($G29)=0),"",N($H29)/$G29)</f>
        <v/>
      </c>
      <c r="N29" s="85" t="str">
        <f aca="false">IF(OR($B29="",$C29=""),"",IF(COUNTIFS(Holdings!$B$6:$B$205,$B29,Holdings!$C$6:$C$205,$C29)=0,"",SUMIFS(Holdings!$R$6:$R$205,Holdings!$B$6:$B$205,$B29,Holdings!$C$6:$C$205,$C29)))</f>
        <v/>
      </c>
      <c r="O29" s="95" t="str">
        <f aca="false">IF(OR($N29="",N($I29)=0),"",($N29+N($J29))/$I29)</f>
        <v/>
      </c>
      <c r="P29" s="95" t="str">
        <f aca="false">IF(OR($J29="",N($I29)=0),"",$J29/$I29)</f>
        <v/>
      </c>
      <c r="Q29" s="80"/>
      <c r="R29" s="82"/>
      <c r="S29" s="78"/>
      <c r="T29" s="79" t="str">
        <f aca="false">IF($A29&amp;$B29&amp;$C29="","",IF($A29="","Missing ID",IF(COUNTIF($A$6:$A$35,$A29)&gt;1,"Duplicate ID",IF($U29="","Unknown account",IF($V29="","Unknown security",IF($G29="","Missing commitment",IF(N($H29)&gt;N($G29),"Called exceeds commitment",IF(N($I29)&gt;N($H29),"Paid exceeds called",IF(AND(ISNUMBER($Q29),N($R29)&gt;N($K29)),"Next call exceeds the uncalled amount",IF(AND(N($I29)&gt;0,$N29=""),"No holding row","OK"))))))))))</f>
        <v/>
      </c>
      <c r="U29" s="89" t="str">
        <f aca="false">IF($B29="","",IFERROR(MATCH($B29,Accounts!$A$6:$A$55,0),""))</f>
        <v/>
      </c>
      <c r="V29" s="89" t="str">
        <f aca="false">IF($C29="","",IFERROR(MATCH($C29,Securities!$A$6:$A$105,0),""))</f>
        <v/>
      </c>
    </row>
    <row r="30" customFormat="false" ht="15" hidden="false" customHeight="false" outlineLevel="0" collapsed="false">
      <c r="A30" s="77"/>
      <c r="B30" s="78"/>
      <c r="C30" s="78"/>
      <c r="D30" s="79" t="str">
        <f aca="false">IF($U30="","",INDEX(Accounts!$C$6:$C$55,$U30)&amp;"")</f>
        <v/>
      </c>
      <c r="E30" s="79" t="str">
        <f aca="false">IF($V30="","",INDEX(Securities!$B$6:$B$105,$V30)&amp;"")</f>
        <v/>
      </c>
      <c r="F30" s="80"/>
      <c r="G30" s="82"/>
      <c r="H30" s="82"/>
      <c r="I30" s="82"/>
      <c r="J30" s="82"/>
      <c r="K30" s="85" t="str">
        <f aca="false">IF($G30="","",$G30-N($H30))</f>
        <v/>
      </c>
      <c r="L30" s="85" t="str">
        <f aca="false">IF($H30="","",$H30-N($I30))</f>
        <v/>
      </c>
      <c r="M30" s="86" t="str">
        <f aca="false">IF(OR($G30="",N($G30)=0),"",N($H30)/$G30)</f>
        <v/>
      </c>
      <c r="N30" s="85" t="str">
        <f aca="false">IF(OR($B30="",$C30=""),"",IF(COUNTIFS(Holdings!$B$6:$B$205,$B30,Holdings!$C$6:$C$205,$C30)=0,"",SUMIFS(Holdings!$R$6:$R$205,Holdings!$B$6:$B$205,$B30,Holdings!$C$6:$C$205,$C30)))</f>
        <v/>
      </c>
      <c r="O30" s="95" t="str">
        <f aca="false">IF(OR($N30="",N($I30)=0),"",($N30+N($J30))/$I30)</f>
        <v/>
      </c>
      <c r="P30" s="95" t="str">
        <f aca="false">IF(OR($J30="",N($I30)=0),"",$J30/$I30)</f>
        <v/>
      </c>
      <c r="Q30" s="80"/>
      <c r="R30" s="82"/>
      <c r="S30" s="78"/>
      <c r="T30" s="79" t="str">
        <f aca="false">IF($A30&amp;$B30&amp;$C30="","",IF($A30="","Missing ID",IF(COUNTIF($A$6:$A$35,$A30)&gt;1,"Duplicate ID",IF($U30="","Unknown account",IF($V30="","Unknown security",IF($G30="","Missing commitment",IF(N($H30)&gt;N($G30),"Called exceeds commitment",IF(N($I30)&gt;N($H30),"Paid exceeds called",IF(AND(ISNUMBER($Q30),N($R30)&gt;N($K30)),"Next call exceeds the uncalled amount",IF(AND(N($I30)&gt;0,$N30=""),"No holding row","OK"))))))))))</f>
        <v/>
      </c>
      <c r="U30" s="89" t="str">
        <f aca="false">IF($B30="","",IFERROR(MATCH($B30,Accounts!$A$6:$A$55,0),""))</f>
        <v/>
      </c>
      <c r="V30" s="89" t="str">
        <f aca="false">IF($C30="","",IFERROR(MATCH($C30,Securities!$A$6:$A$105,0),""))</f>
        <v/>
      </c>
    </row>
    <row r="31" customFormat="false" ht="15" hidden="false" customHeight="false" outlineLevel="0" collapsed="false">
      <c r="A31" s="77"/>
      <c r="B31" s="78"/>
      <c r="C31" s="78"/>
      <c r="D31" s="79" t="str">
        <f aca="false">IF($U31="","",INDEX(Accounts!$C$6:$C$55,$U31)&amp;"")</f>
        <v/>
      </c>
      <c r="E31" s="79" t="str">
        <f aca="false">IF($V31="","",INDEX(Securities!$B$6:$B$105,$V31)&amp;"")</f>
        <v/>
      </c>
      <c r="F31" s="80"/>
      <c r="G31" s="82"/>
      <c r="H31" s="82"/>
      <c r="I31" s="82"/>
      <c r="J31" s="82"/>
      <c r="K31" s="85" t="str">
        <f aca="false">IF($G31="","",$G31-N($H31))</f>
        <v/>
      </c>
      <c r="L31" s="85" t="str">
        <f aca="false">IF($H31="","",$H31-N($I31))</f>
        <v/>
      </c>
      <c r="M31" s="86" t="str">
        <f aca="false">IF(OR($G31="",N($G31)=0),"",N($H31)/$G31)</f>
        <v/>
      </c>
      <c r="N31" s="85" t="str">
        <f aca="false">IF(OR($B31="",$C31=""),"",IF(COUNTIFS(Holdings!$B$6:$B$205,$B31,Holdings!$C$6:$C$205,$C31)=0,"",SUMIFS(Holdings!$R$6:$R$205,Holdings!$B$6:$B$205,$B31,Holdings!$C$6:$C$205,$C31)))</f>
        <v/>
      </c>
      <c r="O31" s="95" t="str">
        <f aca="false">IF(OR($N31="",N($I31)=0),"",($N31+N($J31))/$I31)</f>
        <v/>
      </c>
      <c r="P31" s="95" t="str">
        <f aca="false">IF(OR($J31="",N($I31)=0),"",$J31/$I31)</f>
        <v/>
      </c>
      <c r="Q31" s="80"/>
      <c r="R31" s="82"/>
      <c r="S31" s="78"/>
      <c r="T31" s="79" t="str">
        <f aca="false">IF($A31&amp;$B31&amp;$C31="","",IF($A31="","Missing ID",IF(COUNTIF($A$6:$A$35,$A31)&gt;1,"Duplicate ID",IF($U31="","Unknown account",IF($V31="","Unknown security",IF($G31="","Missing commitment",IF(N($H31)&gt;N($G31),"Called exceeds commitment",IF(N($I31)&gt;N($H31),"Paid exceeds called",IF(AND(ISNUMBER($Q31),N($R31)&gt;N($K31)),"Next call exceeds the uncalled amount",IF(AND(N($I31)&gt;0,$N31=""),"No holding row","OK"))))))))))</f>
        <v/>
      </c>
      <c r="U31" s="89" t="str">
        <f aca="false">IF($B31="","",IFERROR(MATCH($B31,Accounts!$A$6:$A$55,0),""))</f>
        <v/>
      </c>
      <c r="V31" s="89" t="str">
        <f aca="false">IF($C31="","",IFERROR(MATCH($C31,Securities!$A$6:$A$105,0),""))</f>
        <v/>
      </c>
    </row>
    <row r="32" customFormat="false" ht="15" hidden="false" customHeight="false" outlineLevel="0" collapsed="false">
      <c r="A32" s="77"/>
      <c r="B32" s="78"/>
      <c r="C32" s="78"/>
      <c r="D32" s="79" t="str">
        <f aca="false">IF($U32="","",INDEX(Accounts!$C$6:$C$55,$U32)&amp;"")</f>
        <v/>
      </c>
      <c r="E32" s="79" t="str">
        <f aca="false">IF($V32="","",INDEX(Securities!$B$6:$B$105,$V32)&amp;"")</f>
        <v/>
      </c>
      <c r="F32" s="80"/>
      <c r="G32" s="82"/>
      <c r="H32" s="82"/>
      <c r="I32" s="82"/>
      <c r="J32" s="82"/>
      <c r="K32" s="85" t="str">
        <f aca="false">IF($G32="","",$G32-N($H32))</f>
        <v/>
      </c>
      <c r="L32" s="85" t="str">
        <f aca="false">IF($H32="","",$H32-N($I32))</f>
        <v/>
      </c>
      <c r="M32" s="86" t="str">
        <f aca="false">IF(OR($G32="",N($G32)=0),"",N($H32)/$G32)</f>
        <v/>
      </c>
      <c r="N32" s="85" t="str">
        <f aca="false">IF(OR($B32="",$C32=""),"",IF(COUNTIFS(Holdings!$B$6:$B$205,$B32,Holdings!$C$6:$C$205,$C32)=0,"",SUMIFS(Holdings!$R$6:$R$205,Holdings!$B$6:$B$205,$B32,Holdings!$C$6:$C$205,$C32)))</f>
        <v/>
      </c>
      <c r="O32" s="95" t="str">
        <f aca="false">IF(OR($N32="",N($I32)=0),"",($N32+N($J32))/$I32)</f>
        <v/>
      </c>
      <c r="P32" s="95" t="str">
        <f aca="false">IF(OR($J32="",N($I32)=0),"",$J32/$I32)</f>
        <v/>
      </c>
      <c r="Q32" s="80"/>
      <c r="R32" s="82"/>
      <c r="S32" s="78"/>
      <c r="T32" s="79" t="str">
        <f aca="false">IF($A32&amp;$B32&amp;$C32="","",IF($A32="","Missing ID",IF(COUNTIF($A$6:$A$35,$A32)&gt;1,"Duplicate ID",IF($U32="","Unknown account",IF($V32="","Unknown security",IF($G32="","Missing commitment",IF(N($H32)&gt;N($G32),"Called exceeds commitment",IF(N($I32)&gt;N($H32),"Paid exceeds called",IF(AND(ISNUMBER($Q32),N($R32)&gt;N($K32)),"Next call exceeds the uncalled amount",IF(AND(N($I32)&gt;0,$N32=""),"No holding row","OK"))))))))))</f>
        <v/>
      </c>
      <c r="U32" s="89" t="str">
        <f aca="false">IF($B32="","",IFERROR(MATCH($B32,Accounts!$A$6:$A$55,0),""))</f>
        <v/>
      </c>
      <c r="V32" s="89" t="str">
        <f aca="false">IF($C32="","",IFERROR(MATCH($C32,Securities!$A$6:$A$105,0),""))</f>
        <v/>
      </c>
    </row>
    <row r="33" customFormat="false" ht="15" hidden="false" customHeight="false" outlineLevel="0" collapsed="false">
      <c r="A33" s="77"/>
      <c r="B33" s="78"/>
      <c r="C33" s="78"/>
      <c r="D33" s="79" t="str">
        <f aca="false">IF($U33="","",INDEX(Accounts!$C$6:$C$55,$U33)&amp;"")</f>
        <v/>
      </c>
      <c r="E33" s="79" t="str">
        <f aca="false">IF($V33="","",INDEX(Securities!$B$6:$B$105,$V33)&amp;"")</f>
        <v/>
      </c>
      <c r="F33" s="80"/>
      <c r="G33" s="82"/>
      <c r="H33" s="82"/>
      <c r="I33" s="82"/>
      <c r="J33" s="82"/>
      <c r="K33" s="85" t="str">
        <f aca="false">IF($G33="","",$G33-N($H33))</f>
        <v/>
      </c>
      <c r="L33" s="85" t="str">
        <f aca="false">IF($H33="","",$H33-N($I33))</f>
        <v/>
      </c>
      <c r="M33" s="86" t="str">
        <f aca="false">IF(OR($G33="",N($G33)=0),"",N($H33)/$G33)</f>
        <v/>
      </c>
      <c r="N33" s="85" t="str">
        <f aca="false">IF(OR($B33="",$C33=""),"",IF(COUNTIFS(Holdings!$B$6:$B$205,$B33,Holdings!$C$6:$C$205,$C33)=0,"",SUMIFS(Holdings!$R$6:$R$205,Holdings!$B$6:$B$205,$B33,Holdings!$C$6:$C$205,$C33)))</f>
        <v/>
      </c>
      <c r="O33" s="95" t="str">
        <f aca="false">IF(OR($N33="",N($I33)=0),"",($N33+N($J33))/$I33)</f>
        <v/>
      </c>
      <c r="P33" s="95" t="str">
        <f aca="false">IF(OR($J33="",N($I33)=0),"",$J33/$I33)</f>
        <v/>
      </c>
      <c r="Q33" s="80"/>
      <c r="R33" s="82"/>
      <c r="S33" s="78"/>
      <c r="T33" s="79" t="str">
        <f aca="false">IF($A33&amp;$B33&amp;$C33="","",IF($A33="","Missing ID",IF(COUNTIF($A$6:$A$35,$A33)&gt;1,"Duplicate ID",IF($U33="","Unknown account",IF($V33="","Unknown security",IF($G33="","Missing commitment",IF(N($H33)&gt;N($G33),"Called exceeds commitment",IF(N($I33)&gt;N($H33),"Paid exceeds called",IF(AND(ISNUMBER($Q33),N($R33)&gt;N($K33)),"Next call exceeds the uncalled amount",IF(AND(N($I33)&gt;0,$N33=""),"No holding row","OK"))))))))))</f>
        <v/>
      </c>
      <c r="U33" s="89" t="str">
        <f aca="false">IF($B33="","",IFERROR(MATCH($B33,Accounts!$A$6:$A$55,0),""))</f>
        <v/>
      </c>
      <c r="V33" s="89" t="str">
        <f aca="false">IF($C33="","",IFERROR(MATCH($C33,Securities!$A$6:$A$105,0),""))</f>
        <v/>
      </c>
    </row>
    <row r="34" customFormat="false" ht="15" hidden="false" customHeight="false" outlineLevel="0" collapsed="false">
      <c r="A34" s="77"/>
      <c r="B34" s="78"/>
      <c r="C34" s="78"/>
      <c r="D34" s="79" t="str">
        <f aca="false">IF($U34="","",INDEX(Accounts!$C$6:$C$55,$U34)&amp;"")</f>
        <v/>
      </c>
      <c r="E34" s="79" t="str">
        <f aca="false">IF($V34="","",INDEX(Securities!$B$6:$B$105,$V34)&amp;"")</f>
        <v/>
      </c>
      <c r="F34" s="80"/>
      <c r="G34" s="82"/>
      <c r="H34" s="82"/>
      <c r="I34" s="82"/>
      <c r="J34" s="82"/>
      <c r="K34" s="85" t="str">
        <f aca="false">IF($G34="","",$G34-N($H34))</f>
        <v/>
      </c>
      <c r="L34" s="85" t="str">
        <f aca="false">IF($H34="","",$H34-N($I34))</f>
        <v/>
      </c>
      <c r="M34" s="86" t="str">
        <f aca="false">IF(OR($G34="",N($G34)=0),"",N($H34)/$G34)</f>
        <v/>
      </c>
      <c r="N34" s="85" t="str">
        <f aca="false">IF(OR($B34="",$C34=""),"",IF(COUNTIFS(Holdings!$B$6:$B$205,$B34,Holdings!$C$6:$C$205,$C34)=0,"",SUMIFS(Holdings!$R$6:$R$205,Holdings!$B$6:$B$205,$B34,Holdings!$C$6:$C$205,$C34)))</f>
        <v/>
      </c>
      <c r="O34" s="95" t="str">
        <f aca="false">IF(OR($N34="",N($I34)=0),"",($N34+N($J34))/$I34)</f>
        <v/>
      </c>
      <c r="P34" s="95" t="str">
        <f aca="false">IF(OR($J34="",N($I34)=0),"",$J34/$I34)</f>
        <v/>
      </c>
      <c r="Q34" s="80"/>
      <c r="R34" s="82"/>
      <c r="S34" s="78"/>
      <c r="T34" s="79" t="str">
        <f aca="false">IF($A34&amp;$B34&amp;$C34="","",IF($A34="","Missing ID",IF(COUNTIF($A$6:$A$35,$A34)&gt;1,"Duplicate ID",IF($U34="","Unknown account",IF($V34="","Unknown security",IF($G34="","Missing commitment",IF(N($H34)&gt;N($G34),"Called exceeds commitment",IF(N($I34)&gt;N($H34),"Paid exceeds called",IF(AND(ISNUMBER($Q34),N($R34)&gt;N($K34)),"Next call exceeds the uncalled amount",IF(AND(N($I34)&gt;0,$N34=""),"No holding row","OK"))))))))))</f>
        <v/>
      </c>
      <c r="U34" s="89" t="str">
        <f aca="false">IF($B34="","",IFERROR(MATCH($B34,Accounts!$A$6:$A$55,0),""))</f>
        <v/>
      </c>
      <c r="V34" s="89" t="str">
        <f aca="false">IF($C34="","",IFERROR(MATCH($C34,Securities!$A$6:$A$105,0),""))</f>
        <v/>
      </c>
    </row>
    <row r="35" customFormat="false" ht="15" hidden="false" customHeight="false" outlineLevel="0" collapsed="false">
      <c r="A35" s="77"/>
      <c r="B35" s="78"/>
      <c r="C35" s="78"/>
      <c r="D35" s="79" t="str">
        <f aca="false">IF($U35="","",INDEX(Accounts!$C$6:$C$55,$U35)&amp;"")</f>
        <v/>
      </c>
      <c r="E35" s="79" t="str">
        <f aca="false">IF($V35="","",INDEX(Securities!$B$6:$B$105,$V35)&amp;"")</f>
        <v/>
      </c>
      <c r="F35" s="80"/>
      <c r="G35" s="82"/>
      <c r="H35" s="82"/>
      <c r="I35" s="82"/>
      <c r="J35" s="82"/>
      <c r="K35" s="85" t="str">
        <f aca="false">IF($G35="","",$G35-N($H35))</f>
        <v/>
      </c>
      <c r="L35" s="85" t="str">
        <f aca="false">IF($H35="","",$H35-N($I35))</f>
        <v/>
      </c>
      <c r="M35" s="86" t="str">
        <f aca="false">IF(OR($G35="",N($G35)=0),"",N($H35)/$G35)</f>
        <v/>
      </c>
      <c r="N35" s="85" t="str">
        <f aca="false">IF(OR($B35="",$C35=""),"",IF(COUNTIFS(Holdings!$B$6:$B$205,$B35,Holdings!$C$6:$C$205,$C35)=0,"",SUMIFS(Holdings!$R$6:$R$205,Holdings!$B$6:$B$205,$B35,Holdings!$C$6:$C$205,$C35)))</f>
        <v/>
      </c>
      <c r="O35" s="95" t="str">
        <f aca="false">IF(OR($N35="",N($I35)=0),"",($N35+N($J35))/$I35)</f>
        <v/>
      </c>
      <c r="P35" s="95" t="str">
        <f aca="false">IF(OR($J35="",N($I35)=0),"",$J35/$I35)</f>
        <v/>
      </c>
      <c r="Q35" s="80"/>
      <c r="R35" s="82"/>
      <c r="S35" s="78"/>
      <c r="T35" s="79" t="str">
        <f aca="false">IF($A35&amp;$B35&amp;$C35="","",IF($A35="","Missing ID",IF(COUNTIF($A$6:$A$35,$A35)&gt;1,"Duplicate ID",IF($U35="","Unknown account",IF($V35="","Unknown security",IF($G35="","Missing commitment",IF(N($H35)&gt;N($G35),"Called exceeds commitment",IF(N($I35)&gt;N($H35),"Paid exceeds called",IF(AND(ISNUMBER($Q35),N($R35)&gt;N($K35)),"Next call exceeds the uncalled amount",IF(AND(N($I35)&gt;0,$N35=""),"No holding row","OK"))))))))))</f>
        <v/>
      </c>
      <c r="U35" s="89" t="str">
        <f aca="false">IF($B35="","",IFERROR(MATCH($B35,Accounts!$A$6:$A$55,0),""))</f>
        <v/>
      </c>
      <c r="V35" s="89" t="str">
        <f aca="false">IF($C35="","",IFERROR(MATCH($C35,Securities!$A$6:$A$105,0),""))</f>
        <v/>
      </c>
    </row>
  </sheetData>
  <autoFilter ref="A5:V35"/>
  <mergeCells count="6">
    <mergeCell ref="A4:C4"/>
    <mergeCell ref="D4:E4"/>
    <mergeCell ref="F4:J4"/>
    <mergeCell ref="K4:P4"/>
    <mergeCell ref="Q4:R4"/>
    <mergeCell ref="S4:T4"/>
  </mergeCells>
  <conditionalFormatting sqref="T6:T35">
    <cfRule type="expression" priority="2" aboveAverage="0" equalAverage="0" bottom="0" percent="0" rank="0" text="" dxfId="3">
      <formula>AND($T6&lt;&gt;"",$T6&lt;&gt;"OK")</formula>
    </cfRule>
    <cfRule type="expression" priority="3" aboveAverage="0" equalAverage="0" bottom="0" percent="0" rank="0" text="" dxfId="19">
      <formula>$T6="OK"</formula>
    </cfRule>
  </conditionalFormatting>
  <dataValidations count="2">
    <dataValidation allowBlank="true" error="Pick a value from the list (see the Lists sheet)." errorStyle="stop" errorTitle="Not in the list" operator="between" prompt="Pick the account from the Accounts sheet." promptTitle="How to fill" showDropDown="false" showErrorMessage="false" showInputMessage="true" sqref="B6:B35" type="list">
      <formula1>L_AccountID</formula1>
      <formula2>0</formula2>
    </dataValidation>
    <dataValidation allowBlank="true" error="Pick a value from the list (see the Lists sheet)." errorStyle="stop" errorTitle="Not in the list" operator="between" prompt="Pick the security from the Securities sheet." promptTitle="How to fill" showDropDown="false" showErrorMessage="false" showInputMessage="true" sqref="C6:C35" type="list">
      <formula1>L_SecurityID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28" t="s">
        <v>515</v>
      </c>
      <c r="E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516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A4" s="75" t="s">
        <v>517</v>
      </c>
      <c r="B4" s="75"/>
      <c r="C4" s="75"/>
      <c r="D4" s="75" t="s">
        <v>518</v>
      </c>
      <c r="E4" s="75"/>
      <c r="F4" s="75"/>
      <c r="G4" s="75"/>
      <c r="H4" s="75"/>
      <c r="I4" s="96" t="s">
        <v>519</v>
      </c>
    </row>
    <row r="5" customFormat="false" ht="30" hidden="false" customHeight="true" outlineLevel="0" collapsed="false">
      <c r="A5" s="23" t="s">
        <v>520</v>
      </c>
      <c r="B5" s="23" t="s">
        <v>521</v>
      </c>
      <c r="C5" s="23" t="s">
        <v>522</v>
      </c>
      <c r="D5" s="23" t="s">
        <v>523</v>
      </c>
      <c r="E5" s="23" t="s">
        <v>524</v>
      </c>
      <c r="F5" s="23" t="s">
        <v>525</v>
      </c>
      <c r="G5" s="23" t="s">
        <v>526</v>
      </c>
      <c r="H5" s="23" t="s">
        <v>417</v>
      </c>
      <c r="I5" s="23" t="s">
        <v>48</v>
      </c>
    </row>
    <row r="6" customFormat="false" ht="15" hidden="false" customHeight="false" outlineLevel="0" collapsed="false">
      <c r="A6" s="77" t="s">
        <v>527</v>
      </c>
      <c r="B6" s="78" t="s">
        <v>528</v>
      </c>
      <c r="C6" s="78" t="s">
        <v>529</v>
      </c>
      <c r="D6" s="78" t="s">
        <v>530</v>
      </c>
      <c r="E6" s="78" t="s">
        <v>531</v>
      </c>
      <c r="F6" s="78" t="s">
        <v>532</v>
      </c>
      <c r="G6" s="78" t="s">
        <v>533</v>
      </c>
      <c r="H6" s="78"/>
      <c r="I6" s="79" t="str">
        <f aca="false">IF($A6&amp;$B6="","",IF($A6="","Missing ID",IF(COUNTIF($A$6:$A$25,$A6)&gt;1,"Duplicate ID",IF($B6="","Missing name",IF($C6="","Missing short name","OK")))))</f>
        <v>OK</v>
      </c>
    </row>
    <row r="7" customFormat="false" ht="15" hidden="false" customHeight="false" outlineLevel="0" collapsed="false">
      <c r="A7" s="77" t="s">
        <v>534</v>
      </c>
      <c r="B7" s="78" t="s">
        <v>535</v>
      </c>
      <c r="C7" s="78" t="s">
        <v>536</v>
      </c>
      <c r="D7" s="78" t="s">
        <v>530</v>
      </c>
      <c r="E7" s="78" t="s">
        <v>537</v>
      </c>
      <c r="F7" s="78" t="s">
        <v>538</v>
      </c>
      <c r="G7" s="78" t="s">
        <v>533</v>
      </c>
      <c r="H7" s="78"/>
      <c r="I7" s="79" t="str">
        <f aca="false">IF($A7&amp;$B7="","",IF($A7="","Missing ID",IF(COUNTIF($A$6:$A$25,$A7)&gt;1,"Duplicate ID",IF($B7="","Missing name",IF($C7="","Missing short name","OK")))))</f>
        <v>OK</v>
      </c>
    </row>
    <row r="8" customFormat="false" ht="15" hidden="false" customHeight="false" outlineLevel="0" collapsed="false">
      <c r="A8" s="77" t="s">
        <v>539</v>
      </c>
      <c r="B8" s="78" t="s">
        <v>540</v>
      </c>
      <c r="C8" s="78" t="s">
        <v>541</v>
      </c>
      <c r="D8" s="78" t="s">
        <v>530</v>
      </c>
      <c r="E8" s="78" t="s">
        <v>542</v>
      </c>
      <c r="F8" s="78" t="s">
        <v>543</v>
      </c>
      <c r="G8" s="78" t="s">
        <v>533</v>
      </c>
      <c r="H8" s="78"/>
      <c r="I8" s="79" t="str">
        <f aca="false">IF($A8&amp;$B8="","",IF($A8="","Missing ID",IF(COUNTIF($A$6:$A$25,$A8)&gt;1,"Duplicate ID",IF($B8="","Missing name",IF($C8="","Missing short name","OK")))))</f>
        <v>OK</v>
      </c>
    </row>
    <row r="9" customFormat="false" ht="15" hidden="false" customHeight="false" outlineLevel="0" collapsed="false">
      <c r="A9" s="77" t="s">
        <v>544</v>
      </c>
      <c r="B9" s="78" t="s">
        <v>545</v>
      </c>
      <c r="C9" s="78" t="s">
        <v>546</v>
      </c>
      <c r="D9" s="78" t="s">
        <v>547</v>
      </c>
      <c r="E9" s="78" t="s">
        <v>548</v>
      </c>
      <c r="F9" s="78" t="s">
        <v>549</v>
      </c>
      <c r="G9" s="78" t="s">
        <v>533</v>
      </c>
      <c r="H9" s="78" t="s">
        <v>550</v>
      </c>
      <c r="I9" s="79" t="str">
        <f aca="false">IF($A9&amp;$B9="","",IF($A9="","Missing ID",IF(COUNTIF($A$6:$A$25,$A9)&gt;1,"Duplicate ID",IF($B9="","Missing name",IF($C9="","Missing short name","OK")))))</f>
        <v>OK</v>
      </c>
    </row>
    <row r="10" customFormat="false" ht="15" hidden="false" customHeight="false" outlineLevel="0" collapsed="false">
      <c r="A10" s="77" t="s">
        <v>551</v>
      </c>
      <c r="B10" s="78" t="s">
        <v>552</v>
      </c>
      <c r="C10" s="78" t="s">
        <v>553</v>
      </c>
      <c r="D10" s="78" t="s">
        <v>554</v>
      </c>
      <c r="E10" s="78" t="s">
        <v>555</v>
      </c>
      <c r="F10" s="78" t="s">
        <v>556</v>
      </c>
      <c r="G10" s="78" t="s">
        <v>533</v>
      </c>
      <c r="H10" s="78"/>
      <c r="I10" s="79" t="str">
        <f aca="false">IF($A10&amp;$B10="","",IF($A10="","Missing ID",IF(COUNTIF($A$6:$A$25,$A10)&gt;1,"Duplicate ID",IF($B10="","Missing name",IF($C10="","Missing short name","OK")))))</f>
        <v>OK</v>
      </c>
    </row>
    <row r="11" customFormat="false" ht="15" hidden="false" customHeight="false" outlineLevel="0" collapsed="false">
      <c r="A11" s="77"/>
      <c r="B11" s="78"/>
      <c r="C11" s="78"/>
      <c r="D11" s="78"/>
      <c r="E11" s="78"/>
      <c r="F11" s="78"/>
      <c r="G11" s="78"/>
      <c r="H11" s="78"/>
      <c r="I11" s="79" t="str">
        <f aca="false">IF($A11&amp;$B11="","",IF($A11="","Missing ID",IF(COUNTIF($A$6:$A$25,$A11)&gt;1,"Duplicate ID",IF($B11="","Missing name",IF($C11="","Missing short name","OK")))))</f>
        <v/>
      </c>
    </row>
    <row r="12" customFormat="false" ht="15" hidden="false" customHeight="false" outlineLevel="0" collapsed="false">
      <c r="A12" s="77"/>
      <c r="B12" s="78"/>
      <c r="C12" s="78"/>
      <c r="D12" s="78"/>
      <c r="E12" s="78"/>
      <c r="F12" s="78"/>
      <c r="G12" s="78"/>
      <c r="H12" s="78"/>
      <c r="I12" s="79" t="str">
        <f aca="false">IF($A12&amp;$B12="","",IF($A12="","Missing ID",IF(COUNTIF($A$6:$A$25,$A12)&gt;1,"Duplicate ID",IF($B12="","Missing name",IF($C12="","Missing short name","OK")))))</f>
        <v/>
      </c>
    </row>
    <row r="13" customFormat="false" ht="15" hidden="false" customHeight="false" outlineLevel="0" collapsed="false">
      <c r="A13" s="77"/>
      <c r="B13" s="78"/>
      <c r="C13" s="78"/>
      <c r="D13" s="78"/>
      <c r="E13" s="78"/>
      <c r="F13" s="78"/>
      <c r="G13" s="78"/>
      <c r="H13" s="78"/>
      <c r="I13" s="79" t="str">
        <f aca="false">IF($A13&amp;$B13="","",IF($A13="","Missing ID",IF(COUNTIF($A$6:$A$25,$A13)&gt;1,"Duplicate ID",IF($B13="","Missing name",IF($C13="","Missing short name","OK")))))</f>
        <v/>
      </c>
    </row>
    <row r="14" customFormat="false" ht="15" hidden="false" customHeight="false" outlineLevel="0" collapsed="false">
      <c r="A14" s="77"/>
      <c r="B14" s="78"/>
      <c r="C14" s="78"/>
      <c r="D14" s="78"/>
      <c r="E14" s="78"/>
      <c r="F14" s="78"/>
      <c r="G14" s="78"/>
      <c r="H14" s="78"/>
      <c r="I14" s="79" t="str">
        <f aca="false">IF($A14&amp;$B14="","",IF($A14="","Missing ID",IF(COUNTIF($A$6:$A$25,$A14)&gt;1,"Duplicate ID",IF($B14="","Missing name",IF($C14="","Missing short name","OK")))))</f>
        <v/>
      </c>
    </row>
    <row r="15" customFormat="false" ht="15" hidden="false" customHeight="false" outlineLevel="0" collapsed="false">
      <c r="A15" s="77"/>
      <c r="B15" s="78"/>
      <c r="C15" s="78"/>
      <c r="D15" s="78"/>
      <c r="E15" s="78"/>
      <c r="F15" s="78"/>
      <c r="G15" s="78"/>
      <c r="H15" s="78"/>
      <c r="I15" s="79" t="str">
        <f aca="false">IF($A15&amp;$B15="","",IF($A15="","Missing ID",IF(COUNTIF($A$6:$A$25,$A15)&gt;1,"Duplicate ID",IF($B15="","Missing name",IF($C15="","Missing short name","OK")))))</f>
        <v/>
      </c>
    </row>
    <row r="16" customFormat="false" ht="15" hidden="false" customHeight="false" outlineLevel="0" collapsed="false">
      <c r="A16" s="77"/>
      <c r="B16" s="78"/>
      <c r="C16" s="78"/>
      <c r="D16" s="78"/>
      <c r="E16" s="78"/>
      <c r="F16" s="78"/>
      <c r="G16" s="78"/>
      <c r="H16" s="78"/>
      <c r="I16" s="79" t="str">
        <f aca="false">IF($A16&amp;$B16="","",IF($A16="","Missing ID",IF(COUNTIF($A$6:$A$25,$A16)&gt;1,"Duplicate ID",IF($B16="","Missing name",IF($C16="","Missing short name","OK")))))</f>
        <v/>
      </c>
    </row>
    <row r="17" customFormat="false" ht="15" hidden="false" customHeight="false" outlineLevel="0" collapsed="false">
      <c r="A17" s="77"/>
      <c r="B17" s="78"/>
      <c r="C17" s="78"/>
      <c r="D17" s="78"/>
      <c r="E17" s="78"/>
      <c r="F17" s="78"/>
      <c r="G17" s="78"/>
      <c r="H17" s="78"/>
      <c r="I17" s="79" t="str">
        <f aca="false">IF($A17&amp;$B17="","",IF($A17="","Missing ID",IF(COUNTIF($A$6:$A$25,$A17)&gt;1,"Duplicate ID",IF($B17="","Missing name",IF($C17="","Missing short name","OK")))))</f>
        <v/>
      </c>
    </row>
    <row r="18" customFormat="false" ht="15" hidden="false" customHeight="false" outlineLevel="0" collapsed="false">
      <c r="A18" s="77"/>
      <c r="B18" s="78"/>
      <c r="C18" s="78"/>
      <c r="D18" s="78"/>
      <c r="E18" s="78"/>
      <c r="F18" s="78"/>
      <c r="G18" s="78"/>
      <c r="H18" s="78"/>
      <c r="I18" s="79" t="str">
        <f aca="false">IF($A18&amp;$B18="","",IF($A18="","Missing ID",IF(COUNTIF($A$6:$A$25,$A18)&gt;1,"Duplicate ID",IF($B18="","Missing name",IF($C18="","Missing short name","OK")))))</f>
        <v/>
      </c>
    </row>
    <row r="19" customFormat="false" ht="15" hidden="false" customHeight="false" outlineLevel="0" collapsed="false">
      <c r="A19" s="77"/>
      <c r="B19" s="78"/>
      <c r="C19" s="78"/>
      <c r="D19" s="78"/>
      <c r="E19" s="78"/>
      <c r="F19" s="78"/>
      <c r="G19" s="78"/>
      <c r="H19" s="78"/>
      <c r="I19" s="79" t="str">
        <f aca="false">IF($A19&amp;$B19="","",IF($A19="","Missing ID",IF(COUNTIF($A$6:$A$25,$A19)&gt;1,"Duplicate ID",IF($B19="","Missing name",IF($C19="","Missing short name","OK")))))</f>
        <v/>
      </c>
    </row>
    <row r="20" customFormat="false" ht="15" hidden="false" customHeight="false" outlineLevel="0" collapsed="false">
      <c r="A20" s="77"/>
      <c r="B20" s="78"/>
      <c r="C20" s="78"/>
      <c r="D20" s="78"/>
      <c r="E20" s="78"/>
      <c r="F20" s="78"/>
      <c r="G20" s="78"/>
      <c r="H20" s="78"/>
      <c r="I20" s="79" t="str">
        <f aca="false">IF($A20&amp;$B20="","",IF($A20="","Missing ID",IF(COUNTIF($A$6:$A$25,$A20)&gt;1,"Duplicate ID",IF($B20="","Missing name",IF($C20="","Missing short name","OK")))))</f>
        <v/>
      </c>
    </row>
    <row r="21" customFormat="false" ht="15" hidden="false" customHeight="false" outlineLevel="0" collapsed="false">
      <c r="A21" s="77"/>
      <c r="B21" s="78"/>
      <c r="C21" s="78"/>
      <c r="D21" s="78"/>
      <c r="E21" s="78"/>
      <c r="F21" s="78"/>
      <c r="G21" s="78"/>
      <c r="H21" s="78"/>
      <c r="I21" s="79" t="str">
        <f aca="false">IF($A21&amp;$B21="","",IF($A21="","Missing ID",IF(COUNTIF($A$6:$A$25,$A21)&gt;1,"Duplicate ID",IF($B21="","Missing name",IF($C21="","Missing short name","OK")))))</f>
        <v/>
      </c>
    </row>
    <row r="22" customFormat="false" ht="15" hidden="false" customHeight="false" outlineLevel="0" collapsed="false">
      <c r="A22" s="77"/>
      <c r="B22" s="78"/>
      <c r="C22" s="78"/>
      <c r="D22" s="78"/>
      <c r="E22" s="78"/>
      <c r="F22" s="78"/>
      <c r="G22" s="78"/>
      <c r="H22" s="78"/>
      <c r="I22" s="79" t="str">
        <f aca="false">IF($A22&amp;$B22="","",IF($A22="","Missing ID",IF(COUNTIF($A$6:$A$25,$A22)&gt;1,"Duplicate ID",IF($B22="","Missing name",IF($C22="","Missing short name","OK")))))</f>
        <v/>
      </c>
    </row>
    <row r="23" customFormat="false" ht="15" hidden="false" customHeight="false" outlineLevel="0" collapsed="false">
      <c r="A23" s="77"/>
      <c r="B23" s="78"/>
      <c r="C23" s="78"/>
      <c r="D23" s="78"/>
      <c r="E23" s="78"/>
      <c r="F23" s="78"/>
      <c r="G23" s="78"/>
      <c r="H23" s="78"/>
      <c r="I23" s="79" t="str">
        <f aca="false">IF($A23&amp;$B23="","",IF($A23="","Missing ID",IF(COUNTIF($A$6:$A$25,$A23)&gt;1,"Duplicate ID",IF($B23="","Missing name",IF($C23="","Missing short name","OK")))))</f>
        <v/>
      </c>
    </row>
    <row r="24" customFormat="false" ht="15" hidden="false" customHeight="false" outlineLevel="0" collapsed="false">
      <c r="A24" s="77"/>
      <c r="B24" s="78"/>
      <c r="C24" s="78"/>
      <c r="D24" s="78"/>
      <c r="E24" s="78"/>
      <c r="F24" s="78"/>
      <c r="G24" s="78"/>
      <c r="H24" s="78"/>
      <c r="I24" s="79" t="str">
        <f aca="false">IF($A24&amp;$B24="","",IF($A24="","Missing ID",IF(COUNTIF($A$6:$A$25,$A24)&gt;1,"Duplicate ID",IF($B24="","Missing name",IF($C24="","Missing short name","OK")))))</f>
        <v/>
      </c>
    </row>
    <row r="25" customFormat="false" ht="15" hidden="false" customHeight="false" outlineLevel="0" collapsed="false">
      <c r="A25" s="77"/>
      <c r="B25" s="78"/>
      <c r="C25" s="78"/>
      <c r="D25" s="78"/>
      <c r="E25" s="78"/>
      <c r="F25" s="78"/>
      <c r="G25" s="78"/>
      <c r="H25" s="78"/>
      <c r="I25" s="79" t="str">
        <f aca="false">IF($A25&amp;$B25="","",IF($A25="","Missing ID",IF(COUNTIF($A$6:$A$25,$A25)&gt;1,"Duplicate ID",IF($B25="","Missing name",IF($C25="","Missing short name","OK")))))</f>
        <v/>
      </c>
    </row>
  </sheetData>
  <autoFilter ref="A5:I25"/>
  <mergeCells count="2">
    <mergeCell ref="A4:C4"/>
    <mergeCell ref="D4:H4"/>
  </mergeCells>
  <conditionalFormatting sqref="I6:I25">
    <cfRule type="expression" priority="2" aboveAverage="0" equalAverage="0" bottom="0" percent="0" rank="0" text="" dxfId="3">
      <formula>AND($I6&lt;&gt;"",$I6&lt;&gt;"OK")</formula>
    </cfRule>
    <cfRule type="expression" priority="3" aboveAverage="0" equalAverage="0" bottom="0" percent="0" rank="0" text="" dxfId="19">
      <formula>$I6="OK"</formula>
    </cfRule>
  </conditionalFormatting>
  <dataValidations count="2">
    <dataValidation allowBlank="true" error="Pick a value from the list (see the Lists sheet)." errorStyle="stop" errorTitle="Not in the list" operator="between" prompt="Individual, HUF, Trust, Company, LLP or Firm." promptTitle="How to fill" showDropDown="false" showErrorMessage="false" showInputMessage="true" sqref="D6:D25" type="list">
      <formula1>L_EntType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G6:G25" type="list">
      <formula1>L_Residency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1.75" hidden="false" customHeight="true" outlineLevel="0" collapsed="false">
      <c r="A1" s="28" t="s">
        <v>557</v>
      </c>
      <c r="E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558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A4" s="75" t="s">
        <v>559</v>
      </c>
      <c r="B4" s="75"/>
      <c r="C4" s="75"/>
      <c r="D4" s="75" t="s">
        <v>560</v>
      </c>
      <c r="E4" s="75"/>
      <c r="F4" s="75"/>
      <c r="G4" s="75"/>
      <c r="H4" s="75"/>
      <c r="I4" s="75" t="s">
        <v>561</v>
      </c>
      <c r="J4" s="75"/>
      <c r="K4" s="75"/>
      <c r="L4" s="75" t="s">
        <v>519</v>
      </c>
      <c r="M4" s="75"/>
    </row>
    <row r="5" customFormat="false" ht="48" hidden="false" customHeight="true" outlineLevel="0" collapsed="false">
      <c r="A5" s="23" t="s">
        <v>277</v>
      </c>
      <c r="B5" s="23" t="s">
        <v>520</v>
      </c>
      <c r="C5" s="23" t="s">
        <v>99</v>
      </c>
      <c r="D5" s="23" t="s">
        <v>562</v>
      </c>
      <c r="E5" s="23" t="s">
        <v>563</v>
      </c>
      <c r="F5" s="23" t="s">
        <v>130</v>
      </c>
      <c r="G5" s="23" t="s">
        <v>564</v>
      </c>
      <c r="H5" s="23" t="s">
        <v>565</v>
      </c>
      <c r="I5" s="23" t="s">
        <v>566</v>
      </c>
      <c r="J5" s="23" t="s">
        <v>567</v>
      </c>
      <c r="K5" s="23" t="s">
        <v>417</v>
      </c>
      <c r="L5" s="23" t="s">
        <v>48</v>
      </c>
      <c r="M5" s="76" t="s">
        <v>568</v>
      </c>
    </row>
    <row r="6" customFormat="false" ht="15" hidden="false" customHeight="false" outlineLevel="0" collapsed="false">
      <c r="A6" s="77" t="s">
        <v>310</v>
      </c>
      <c r="B6" s="78" t="s">
        <v>527</v>
      </c>
      <c r="C6" s="79" t="str">
        <f aca="false">IF($M6="","",INDEX(Entities!$B$6:$B$25,$M6)&amp;"")</f>
        <v>Rajiv Malhotra</v>
      </c>
      <c r="D6" s="78" t="s">
        <v>569</v>
      </c>
      <c r="E6" s="78" t="s">
        <v>570</v>
      </c>
      <c r="F6" s="78" t="s">
        <v>571</v>
      </c>
      <c r="G6" s="78" t="s">
        <v>572</v>
      </c>
      <c r="H6" s="78" t="s">
        <v>573</v>
      </c>
      <c r="I6" s="80" t="n">
        <v>46203</v>
      </c>
      <c r="J6" s="78" t="s">
        <v>574</v>
      </c>
      <c r="K6" s="78"/>
      <c r="L6" s="79" t="str">
        <f aca="false">IF($A6&amp;$B6="","",IF($A6="","Missing ID",IF(COUNTIF($A$6:$A$55,$A6)&gt;1,"Duplicate ID",IF($M6="","Unknown entity",IF($D6="","Missing type",IF(AND(ISNUMBER($I6),$I6&gt;ValDate),"As-of after valuation","OK"))))))</f>
        <v>OK</v>
      </c>
      <c r="M6" s="89" t="n">
        <f aca="false">IF($B6="","",IFERROR(MATCH($B6,Entities!$A$6:$A$25,0),""))</f>
        <v>1</v>
      </c>
    </row>
    <row r="7" customFormat="false" ht="15" hidden="false" customHeight="false" outlineLevel="0" collapsed="false">
      <c r="A7" s="77" t="s">
        <v>318</v>
      </c>
      <c r="B7" s="78" t="s">
        <v>527</v>
      </c>
      <c r="C7" s="79" t="str">
        <f aca="false">IF($M7="","",INDEX(Entities!$B$6:$B$25,$M7)&amp;"")</f>
        <v>Rajiv Malhotra</v>
      </c>
      <c r="D7" s="78" t="s">
        <v>575</v>
      </c>
      <c r="E7" s="78" t="s">
        <v>576</v>
      </c>
      <c r="F7" s="78" t="s">
        <v>576</v>
      </c>
      <c r="G7" s="78" t="s">
        <v>577</v>
      </c>
      <c r="H7" s="78" t="s">
        <v>578</v>
      </c>
      <c r="I7" s="80" t="n">
        <v>46203</v>
      </c>
      <c r="J7" s="78" t="s">
        <v>574</v>
      </c>
      <c r="K7" s="78"/>
      <c r="L7" s="79" t="str">
        <f aca="false">IF($A7&amp;$B7="","",IF($A7="","Missing ID",IF(COUNTIF($A$6:$A$55,$A7)&gt;1,"Duplicate ID",IF($M7="","Unknown entity",IF($D7="","Missing type",IF(AND(ISNUMBER($I7),$I7&gt;ValDate),"As-of after valuation","OK"))))))</f>
        <v>OK</v>
      </c>
      <c r="M7" s="89" t="n">
        <f aca="false">IF($B7="","",IFERROR(MATCH($B7,Entities!$A$6:$A$25,0),""))</f>
        <v>1</v>
      </c>
    </row>
    <row r="8" customFormat="false" ht="15" hidden="false" customHeight="false" outlineLevel="0" collapsed="false">
      <c r="A8" s="77" t="s">
        <v>326</v>
      </c>
      <c r="B8" s="78" t="s">
        <v>534</v>
      </c>
      <c r="C8" s="79" t="str">
        <f aca="false">IF($M8="","",INDEX(Entities!$B$6:$B$25,$M8)&amp;"")</f>
        <v>Nisha Malhotra</v>
      </c>
      <c r="D8" s="78" t="s">
        <v>579</v>
      </c>
      <c r="E8" s="78" t="s">
        <v>580</v>
      </c>
      <c r="F8" s="78" t="s">
        <v>581</v>
      </c>
      <c r="G8" s="78" t="s">
        <v>582</v>
      </c>
      <c r="H8" s="78" t="s">
        <v>583</v>
      </c>
      <c r="I8" s="80" t="n">
        <v>46203</v>
      </c>
      <c r="J8" s="78" t="s">
        <v>574</v>
      </c>
      <c r="K8" s="78"/>
      <c r="L8" s="79" t="str">
        <f aca="false">IF($A8&amp;$B8="","",IF($A8="","Missing ID",IF(COUNTIF($A$6:$A$55,$A8)&gt;1,"Duplicate ID",IF($M8="","Unknown entity",IF($D8="","Missing type",IF(AND(ISNUMBER($I8),$I8&gt;ValDate),"As-of after valuation","OK"))))))</f>
        <v>OK</v>
      </c>
      <c r="M8" s="89" t="n">
        <f aca="false">IF($B8="","",IFERROR(MATCH($B8,Entities!$A$6:$A$25,0),""))</f>
        <v>2</v>
      </c>
    </row>
    <row r="9" customFormat="false" ht="15" hidden="false" customHeight="false" outlineLevel="0" collapsed="false">
      <c r="A9" s="77" t="s">
        <v>334</v>
      </c>
      <c r="B9" s="78" t="s">
        <v>534</v>
      </c>
      <c r="C9" s="79" t="str">
        <f aca="false">IF($M9="","",INDEX(Entities!$B$6:$B$25,$M9)&amp;"")</f>
        <v>Nisha Malhotra</v>
      </c>
      <c r="D9" s="78" t="s">
        <v>569</v>
      </c>
      <c r="E9" s="78" t="s">
        <v>570</v>
      </c>
      <c r="F9" s="78" t="s">
        <v>571</v>
      </c>
      <c r="G9" s="78" t="s">
        <v>584</v>
      </c>
      <c r="H9" s="78" t="s">
        <v>585</v>
      </c>
      <c r="I9" s="80" t="n">
        <v>46203</v>
      </c>
      <c r="J9" s="78" t="s">
        <v>574</v>
      </c>
      <c r="K9" s="78"/>
      <c r="L9" s="79" t="str">
        <f aca="false">IF($A9&amp;$B9="","",IF($A9="","Missing ID",IF(COUNTIF($A$6:$A$55,$A9)&gt;1,"Duplicate ID",IF($M9="","Unknown entity",IF($D9="","Missing type",IF(AND(ISNUMBER($I9),$I9&gt;ValDate),"As-of after valuation","OK"))))))</f>
        <v>OK</v>
      </c>
      <c r="M9" s="89" t="n">
        <f aca="false">IF($B9="","",IFERROR(MATCH($B9,Entities!$A$6:$A$25,0),""))</f>
        <v>2</v>
      </c>
    </row>
    <row r="10" customFormat="false" ht="15" hidden="false" customHeight="false" outlineLevel="0" collapsed="false">
      <c r="A10" s="77" t="s">
        <v>341</v>
      </c>
      <c r="B10" s="78" t="s">
        <v>539</v>
      </c>
      <c r="C10" s="79" t="str">
        <f aca="false">IF($M10="","",INDEX(Entities!$B$6:$B$25,$M10)&amp;"")</f>
        <v>Arjun Malhotra</v>
      </c>
      <c r="D10" s="78" t="s">
        <v>586</v>
      </c>
      <c r="E10" s="78" t="s">
        <v>587</v>
      </c>
      <c r="F10" s="78" t="s">
        <v>587</v>
      </c>
      <c r="G10" s="78" t="s">
        <v>588</v>
      </c>
      <c r="H10" s="78" t="s">
        <v>589</v>
      </c>
      <c r="I10" s="80" t="n">
        <v>46203</v>
      </c>
      <c r="J10" s="78" t="s">
        <v>574</v>
      </c>
      <c r="K10" s="78"/>
      <c r="L10" s="79" t="str">
        <f aca="false">IF($A10&amp;$B10="","",IF($A10="","Missing ID",IF(COUNTIF($A$6:$A$55,$A10)&gt;1,"Duplicate ID",IF($M10="","Unknown entity",IF($D10="","Missing type",IF(AND(ISNUMBER($I10),$I10&gt;ValDate),"As-of after valuation","OK"))))))</f>
        <v>OK</v>
      </c>
      <c r="M10" s="89" t="n">
        <f aca="false">IF($B10="","",IFERROR(MATCH($B10,Entities!$A$6:$A$25,0),""))</f>
        <v>3</v>
      </c>
    </row>
    <row r="11" customFormat="false" ht="15" hidden="false" customHeight="false" outlineLevel="0" collapsed="false">
      <c r="A11" s="77" t="s">
        <v>350</v>
      </c>
      <c r="B11" s="78" t="s">
        <v>544</v>
      </c>
      <c r="C11" s="79" t="str">
        <f aca="false">IF($M11="","",INDEX(Entities!$B$6:$B$25,$M11)&amp;"")</f>
        <v>Malhotra Family Trust</v>
      </c>
      <c r="D11" s="78" t="s">
        <v>586</v>
      </c>
      <c r="E11" s="78" t="s">
        <v>590</v>
      </c>
      <c r="F11" s="78" t="s">
        <v>590</v>
      </c>
      <c r="G11" s="78" t="s">
        <v>591</v>
      </c>
      <c r="H11" s="78" t="s">
        <v>592</v>
      </c>
      <c r="I11" s="80" t="n">
        <v>46112</v>
      </c>
      <c r="J11" s="78" t="s">
        <v>574</v>
      </c>
      <c r="K11" s="78"/>
      <c r="L11" s="79" t="str">
        <f aca="false">IF($A11&amp;$B11="","",IF($A11="","Missing ID",IF(COUNTIF($A$6:$A$55,$A11)&gt;1,"Duplicate ID",IF($M11="","Unknown entity",IF($D11="","Missing type",IF(AND(ISNUMBER($I11),$I11&gt;ValDate),"As-of after valuation","OK"))))))</f>
        <v>OK</v>
      </c>
      <c r="M11" s="89" t="n">
        <f aca="false">IF($B11="","",IFERROR(MATCH($B11,Entities!$A$6:$A$25,0),""))</f>
        <v>4</v>
      </c>
    </row>
    <row r="12" customFormat="false" ht="15" hidden="false" customHeight="false" outlineLevel="0" collapsed="false">
      <c r="A12" s="77" t="s">
        <v>364</v>
      </c>
      <c r="B12" s="78" t="s">
        <v>551</v>
      </c>
      <c r="C12" s="79" t="str">
        <f aca="false">IF($M12="","",INDEX(Entities!$B$6:$B$25,$M12)&amp;"")</f>
        <v>Malhotra Holdings LLP</v>
      </c>
      <c r="D12" s="78" t="s">
        <v>593</v>
      </c>
      <c r="E12" s="78" t="s">
        <v>594</v>
      </c>
      <c r="F12" s="78" t="s">
        <v>571</v>
      </c>
      <c r="G12" s="78" t="s">
        <v>595</v>
      </c>
      <c r="H12" s="78" t="s">
        <v>596</v>
      </c>
      <c r="I12" s="80" t="n">
        <v>46203</v>
      </c>
      <c r="J12" s="78" t="s">
        <v>574</v>
      </c>
      <c r="K12" s="78"/>
      <c r="L12" s="79" t="str">
        <f aca="false">IF($A12&amp;$B12="","",IF($A12="","Missing ID",IF(COUNTIF($A$6:$A$55,$A12)&gt;1,"Duplicate ID",IF($M12="","Unknown entity",IF($D12="","Missing type",IF(AND(ISNUMBER($I12),$I12&gt;ValDate),"As-of after valuation","OK"))))))</f>
        <v>OK</v>
      </c>
      <c r="M12" s="89" t="n">
        <f aca="false">IF($B12="","",IFERROR(MATCH($B12,Entities!$A$6:$A$25,0),""))</f>
        <v>5</v>
      </c>
    </row>
    <row r="13" customFormat="false" ht="15" hidden="false" customHeight="false" outlineLevel="0" collapsed="false">
      <c r="A13" s="77" t="s">
        <v>354</v>
      </c>
      <c r="B13" s="78" t="s">
        <v>544</v>
      </c>
      <c r="C13" s="79" t="str">
        <f aca="false">IF($M13="","",INDEX(Entities!$B$6:$B$25,$M13)&amp;"")</f>
        <v>Malhotra Family Trust</v>
      </c>
      <c r="D13" s="78" t="s">
        <v>597</v>
      </c>
      <c r="E13" s="78" t="s">
        <v>598</v>
      </c>
      <c r="F13" s="78" t="s">
        <v>599</v>
      </c>
      <c r="G13" s="78" t="s">
        <v>600</v>
      </c>
      <c r="H13" s="78" t="s">
        <v>601</v>
      </c>
      <c r="I13" s="80" t="n">
        <v>46203</v>
      </c>
      <c r="J13" s="78" t="s">
        <v>574</v>
      </c>
      <c r="K13" s="78"/>
      <c r="L13" s="79" t="str">
        <f aca="false">IF($A13&amp;$B13="","",IF($A13="","Missing ID",IF(COUNTIF($A$6:$A$55,$A13)&gt;1,"Duplicate ID",IF($M13="","Unknown entity",IF($D13="","Missing type",IF(AND(ISNUMBER($I13),$I13&gt;ValDate),"As-of after valuation","OK"))))))</f>
        <v>OK</v>
      </c>
      <c r="M13" s="89" t="n">
        <f aca="false">IF($B13="","",IFERROR(MATCH($B13,Entities!$A$6:$A$25,0),""))</f>
        <v>4</v>
      </c>
    </row>
    <row r="14" customFormat="false" ht="15" hidden="false" customHeight="false" outlineLevel="0" collapsed="false">
      <c r="A14" s="77" t="s">
        <v>322</v>
      </c>
      <c r="B14" s="78" t="s">
        <v>527</v>
      </c>
      <c r="C14" s="79" t="str">
        <f aca="false">IF($M14="","",INDEX(Entities!$B$6:$B$25,$M14)&amp;"")</f>
        <v>Rajiv Malhotra</v>
      </c>
      <c r="D14" s="78" t="s">
        <v>602</v>
      </c>
      <c r="E14" s="78" t="s">
        <v>603</v>
      </c>
      <c r="F14" s="78" t="s">
        <v>571</v>
      </c>
      <c r="G14" s="78" t="s">
        <v>604</v>
      </c>
      <c r="H14" s="78" t="s">
        <v>605</v>
      </c>
      <c r="I14" s="80" t="n">
        <v>46203</v>
      </c>
      <c r="J14" s="78" t="s">
        <v>574</v>
      </c>
      <c r="K14" s="78"/>
      <c r="L14" s="79" t="str">
        <f aca="false">IF($A14&amp;$B14="","",IF($A14="","Missing ID",IF(COUNTIF($A$6:$A$55,$A14)&gt;1,"Duplicate ID",IF($M14="","Unknown entity",IF($D14="","Missing type",IF(AND(ISNUMBER($I14),$I14&gt;ValDate),"As-of after valuation","OK"))))))</f>
        <v>OK</v>
      </c>
      <c r="M14" s="89" t="n">
        <f aca="false">IF($B14="","",IFERROR(MATCH($B14,Entities!$A$6:$A$25,0),""))</f>
        <v>1</v>
      </c>
    </row>
    <row r="15" customFormat="false" ht="15" hidden="false" customHeight="false" outlineLevel="0" collapsed="false">
      <c r="A15" s="77" t="s">
        <v>345</v>
      </c>
      <c r="B15" s="78" t="s">
        <v>539</v>
      </c>
      <c r="C15" s="79" t="str">
        <f aca="false">IF($M15="","",INDEX(Entities!$B$6:$B$25,$M15)&amp;"")</f>
        <v>Arjun Malhotra</v>
      </c>
      <c r="D15" s="78" t="s">
        <v>569</v>
      </c>
      <c r="E15" s="78" t="s">
        <v>570</v>
      </c>
      <c r="F15" s="78" t="s">
        <v>571</v>
      </c>
      <c r="G15" s="78" t="s">
        <v>606</v>
      </c>
      <c r="H15" s="78" t="s">
        <v>607</v>
      </c>
      <c r="I15" s="80" t="n">
        <v>46203</v>
      </c>
      <c r="J15" s="78" t="s">
        <v>574</v>
      </c>
      <c r="K15" s="78"/>
      <c r="L15" s="79" t="str">
        <f aca="false">IF($A15&amp;$B15="","",IF($A15="","Missing ID",IF(COUNTIF($A$6:$A$55,$A15)&gt;1,"Duplicate ID",IF($M15="","Unknown entity",IF($D15="","Missing type",IF(AND(ISNUMBER($I15),$I15&gt;ValDate),"As-of after valuation","OK"))))))</f>
        <v>OK</v>
      </c>
      <c r="M15" s="89" t="n">
        <f aca="false">IF($B15="","",IFERROR(MATCH($B15,Entities!$A$6:$A$25,0),""))</f>
        <v>3</v>
      </c>
    </row>
    <row r="16" customFormat="false" ht="15" hidden="false" customHeight="false" outlineLevel="0" collapsed="false">
      <c r="A16" s="77" t="s">
        <v>371</v>
      </c>
      <c r="B16" s="78" t="s">
        <v>551</v>
      </c>
      <c r="C16" s="79" t="str">
        <f aca="false">IF($M16="","",INDEX(Entities!$B$6:$B$25,$M16)&amp;"")</f>
        <v>Malhotra Holdings LLP</v>
      </c>
      <c r="D16" s="78" t="s">
        <v>579</v>
      </c>
      <c r="E16" s="78" t="s">
        <v>580</v>
      </c>
      <c r="F16" s="78" t="s">
        <v>581</v>
      </c>
      <c r="G16" s="78" t="s">
        <v>608</v>
      </c>
      <c r="H16" s="78" t="s">
        <v>609</v>
      </c>
      <c r="I16" s="80" t="n">
        <v>46203</v>
      </c>
      <c r="J16" s="78" t="s">
        <v>574</v>
      </c>
      <c r="K16" s="78"/>
      <c r="L16" s="79" t="str">
        <f aca="false">IF($A16&amp;$B16="","",IF($A16="","Missing ID",IF(COUNTIF($A$6:$A$55,$A16)&gt;1,"Duplicate ID",IF($M16="","Unknown entity",IF($D16="","Missing type",IF(AND(ISNUMBER($I16),$I16&gt;ValDate),"As-of after valuation","OK"))))))</f>
        <v>OK</v>
      </c>
      <c r="M16" s="89" t="n">
        <f aca="false">IF($B16="","",IFERROR(MATCH($B16,Entities!$A$6:$A$25,0),""))</f>
        <v>5</v>
      </c>
    </row>
    <row r="17" customFormat="false" ht="15" hidden="false" customHeight="false" outlineLevel="0" collapsed="false">
      <c r="A17" s="77" t="s">
        <v>373</v>
      </c>
      <c r="B17" s="78" t="s">
        <v>544</v>
      </c>
      <c r="C17" s="79" t="str">
        <f aca="false">IF($M17="","",INDEX(Entities!$B$6:$B$25,$M17)&amp;"")</f>
        <v>Malhotra Family Trust</v>
      </c>
      <c r="D17" s="78" t="s">
        <v>586</v>
      </c>
      <c r="E17" s="78" t="s">
        <v>610</v>
      </c>
      <c r="F17" s="78" t="s">
        <v>610</v>
      </c>
      <c r="G17" s="78" t="s">
        <v>611</v>
      </c>
      <c r="H17" s="78" t="s">
        <v>612</v>
      </c>
      <c r="I17" s="80" t="n">
        <v>46112</v>
      </c>
      <c r="J17" s="78" t="s">
        <v>574</v>
      </c>
      <c r="K17" s="78"/>
      <c r="L17" s="79" t="str">
        <f aca="false">IF($A17&amp;$B17="","",IF($A17="","Missing ID",IF(COUNTIF($A$6:$A$55,$A17)&gt;1,"Duplicate ID",IF($M17="","Unknown entity",IF($D17="","Missing type",IF(AND(ISNUMBER($I17),$I17&gt;ValDate),"As-of after valuation","OK"))))))</f>
        <v>OK</v>
      </c>
      <c r="M17" s="89" t="n">
        <f aca="false">IF($B17="","",IFERROR(MATCH($B17,Entities!$A$6:$A$25,0),""))</f>
        <v>4</v>
      </c>
    </row>
    <row r="18" customFormat="false" ht="15" hidden="false" customHeight="false" outlineLevel="0" collapsed="false">
      <c r="A18" s="77" t="s">
        <v>368</v>
      </c>
      <c r="B18" s="78" t="s">
        <v>551</v>
      </c>
      <c r="C18" s="79" t="str">
        <f aca="false">IF($M18="","",INDEX(Entities!$B$6:$B$25,$M18)&amp;"")</f>
        <v>Malhotra Holdings LLP</v>
      </c>
      <c r="D18" s="78" t="s">
        <v>569</v>
      </c>
      <c r="E18" s="78" t="s">
        <v>570</v>
      </c>
      <c r="F18" s="78" t="s">
        <v>571</v>
      </c>
      <c r="G18" s="78" t="s">
        <v>613</v>
      </c>
      <c r="H18" s="78" t="s">
        <v>614</v>
      </c>
      <c r="I18" s="80" t="n">
        <v>46203</v>
      </c>
      <c r="J18" s="78" t="s">
        <v>574</v>
      </c>
      <c r="K18" s="78"/>
      <c r="L18" s="79" t="str">
        <f aca="false">IF($A18&amp;$B18="","",IF($A18="","Missing ID",IF(COUNTIF($A$6:$A$55,$A18)&gt;1,"Duplicate ID",IF($M18="","Unknown entity",IF($D18="","Missing type",IF(AND(ISNUMBER($I18),$I18&gt;ValDate),"As-of after valuation","OK"))))))</f>
        <v>OK</v>
      </c>
      <c r="M18" s="89" t="n">
        <f aca="false">IF($B18="","",IFERROR(MATCH($B18,Entities!$A$6:$A$25,0),""))</f>
        <v>5</v>
      </c>
    </row>
    <row r="19" customFormat="false" ht="15" hidden="false" customHeight="false" outlineLevel="0" collapsed="false">
      <c r="A19" s="77"/>
      <c r="B19" s="78"/>
      <c r="C19" s="79" t="str">
        <f aca="false">IF($M19="","",INDEX(Entities!$B$6:$B$25,$M19)&amp;"")</f>
        <v/>
      </c>
      <c r="D19" s="78"/>
      <c r="E19" s="78"/>
      <c r="F19" s="78"/>
      <c r="G19" s="78"/>
      <c r="H19" s="78"/>
      <c r="I19" s="80"/>
      <c r="J19" s="78"/>
      <c r="K19" s="78"/>
      <c r="L19" s="79" t="str">
        <f aca="false">IF($A19&amp;$B19="","",IF($A19="","Missing ID",IF(COUNTIF($A$6:$A$55,$A19)&gt;1,"Duplicate ID",IF($M19="","Unknown entity",IF($D19="","Missing type",IF(AND(ISNUMBER($I19),$I19&gt;ValDate),"As-of after valuation","OK"))))))</f>
        <v/>
      </c>
      <c r="M19" s="89" t="str">
        <f aca="false">IF($B19="","",IFERROR(MATCH($B19,Entities!$A$6:$A$25,0),""))</f>
        <v/>
      </c>
    </row>
    <row r="20" customFormat="false" ht="15" hidden="false" customHeight="false" outlineLevel="0" collapsed="false">
      <c r="A20" s="77"/>
      <c r="B20" s="78"/>
      <c r="C20" s="79" t="str">
        <f aca="false">IF($M20="","",INDEX(Entities!$B$6:$B$25,$M20)&amp;"")</f>
        <v/>
      </c>
      <c r="D20" s="78"/>
      <c r="E20" s="78"/>
      <c r="F20" s="78"/>
      <c r="G20" s="78"/>
      <c r="H20" s="78"/>
      <c r="I20" s="80"/>
      <c r="J20" s="78"/>
      <c r="K20" s="78"/>
      <c r="L20" s="79" t="str">
        <f aca="false">IF($A20&amp;$B20="","",IF($A20="","Missing ID",IF(COUNTIF($A$6:$A$55,$A20)&gt;1,"Duplicate ID",IF($M20="","Unknown entity",IF($D20="","Missing type",IF(AND(ISNUMBER($I20),$I20&gt;ValDate),"As-of after valuation","OK"))))))</f>
        <v/>
      </c>
      <c r="M20" s="89" t="str">
        <f aca="false">IF($B20="","",IFERROR(MATCH($B20,Entities!$A$6:$A$25,0),""))</f>
        <v/>
      </c>
    </row>
    <row r="21" customFormat="false" ht="15" hidden="false" customHeight="false" outlineLevel="0" collapsed="false">
      <c r="A21" s="77"/>
      <c r="B21" s="78"/>
      <c r="C21" s="79" t="str">
        <f aca="false">IF($M21="","",INDEX(Entities!$B$6:$B$25,$M21)&amp;"")</f>
        <v/>
      </c>
      <c r="D21" s="78"/>
      <c r="E21" s="78"/>
      <c r="F21" s="78"/>
      <c r="G21" s="78"/>
      <c r="H21" s="78"/>
      <c r="I21" s="80"/>
      <c r="J21" s="78"/>
      <c r="K21" s="78"/>
      <c r="L21" s="79" t="str">
        <f aca="false">IF($A21&amp;$B21="","",IF($A21="","Missing ID",IF(COUNTIF($A$6:$A$55,$A21)&gt;1,"Duplicate ID",IF($M21="","Unknown entity",IF($D21="","Missing type",IF(AND(ISNUMBER($I21),$I21&gt;ValDate),"As-of after valuation","OK"))))))</f>
        <v/>
      </c>
      <c r="M21" s="89" t="str">
        <f aca="false">IF($B21="","",IFERROR(MATCH($B21,Entities!$A$6:$A$25,0),""))</f>
        <v/>
      </c>
    </row>
    <row r="22" customFormat="false" ht="15" hidden="false" customHeight="false" outlineLevel="0" collapsed="false">
      <c r="A22" s="77"/>
      <c r="B22" s="78"/>
      <c r="C22" s="79" t="str">
        <f aca="false">IF($M22="","",INDEX(Entities!$B$6:$B$25,$M22)&amp;"")</f>
        <v/>
      </c>
      <c r="D22" s="78"/>
      <c r="E22" s="78"/>
      <c r="F22" s="78"/>
      <c r="G22" s="78"/>
      <c r="H22" s="78"/>
      <c r="I22" s="80"/>
      <c r="J22" s="78"/>
      <c r="K22" s="78"/>
      <c r="L22" s="79" t="str">
        <f aca="false">IF($A22&amp;$B22="","",IF($A22="","Missing ID",IF(COUNTIF($A$6:$A$55,$A22)&gt;1,"Duplicate ID",IF($M22="","Unknown entity",IF($D22="","Missing type",IF(AND(ISNUMBER($I22),$I22&gt;ValDate),"As-of after valuation","OK"))))))</f>
        <v/>
      </c>
      <c r="M22" s="89" t="str">
        <f aca="false">IF($B22="","",IFERROR(MATCH($B22,Entities!$A$6:$A$25,0),""))</f>
        <v/>
      </c>
    </row>
    <row r="23" customFormat="false" ht="15" hidden="false" customHeight="false" outlineLevel="0" collapsed="false">
      <c r="A23" s="77"/>
      <c r="B23" s="78"/>
      <c r="C23" s="79" t="str">
        <f aca="false">IF($M23="","",INDEX(Entities!$B$6:$B$25,$M23)&amp;"")</f>
        <v/>
      </c>
      <c r="D23" s="78"/>
      <c r="E23" s="78"/>
      <c r="F23" s="78"/>
      <c r="G23" s="78"/>
      <c r="H23" s="78"/>
      <c r="I23" s="80"/>
      <c r="J23" s="78"/>
      <c r="K23" s="78"/>
      <c r="L23" s="79" t="str">
        <f aca="false">IF($A23&amp;$B23="","",IF($A23="","Missing ID",IF(COUNTIF($A$6:$A$55,$A23)&gt;1,"Duplicate ID",IF($M23="","Unknown entity",IF($D23="","Missing type",IF(AND(ISNUMBER($I23),$I23&gt;ValDate),"As-of after valuation","OK"))))))</f>
        <v/>
      </c>
      <c r="M23" s="89" t="str">
        <f aca="false">IF($B23="","",IFERROR(MATCH($B23,Entities!$A$6:$A$25,0),""))</f>
        <v/>
      </c>
    </row>
    <row r="24" customFormat="false" ht="15" hidden="false" customHeight="false" outlineLevel="0" collapsed="false">
      <c r="A24" s="77"/>
      <c r="B24" s="78"/>
      <c r="C24" s="79" t="str">
        <f aca="false">IF($M24="","",INDEX(Entities!$B$6:$B$25,$M24)&amp;"")</f>
        <v/>
      </c>
      <c r="D24" s="78"/>
      <c r="E24" s="78"/>
      <c r="F24" s="78"/>
      <c r="G24" s="78"/>
      <c r="H24" s="78"/>
      <c r="I24" s="80"/>
      <c r="J24" s="78"/>
      <c r="K24" s="78"/>
      <c r="L24" s="79" t="str">
        <f aca="false">IF($A24&amp;$B24="","",IF($A24="","Missing ID",IF(COUNTIF($A$6:$A$55,$A24)&gt;1,"Duplicate ID",IF($M24="","Unknown entity",IF($D24="","Missing type",IF(AND(ISNUMBER($I24),$I24&gt;ValDate),"As-of after valuation","OK"))))))</f>
        <v/>
      </c>
      <c r="M24" s="89" t="str">
        <f aca="false">IF($B24="","",IFERROR(MATCH($B24,Entities!$A$6:$A$25,0),""))</f>
        <v/>
      </c>
    </row>
    <row r="25" customFormat="false" ht="15" hidden="false" customHeight="false" outlineLevel="0" collapsed="false">
      <c r="A25" s="77"/>
      <c r="B25" s="78"/>
      <c r="C25" s="79" t="str">
        <f aca="false">IF($M25="","",INDEX(Entities!$B$6:$B$25,$M25)&amp;"")</f>
        <v/>
      </c>
      <c r="D25" s="78"/>
      <c r="E25" s="78"/>
      <c r="F25" s="78"/>
      <c r="G25" s="78"/>
      <c r="H25" s="78"/>
      <c r="I25" s="80"/>
      <c r="J25" s="78"/>
      <c r="K25" s="78"/>
      <c r="L25" s="79" t="str">
        <f aca="false">IF($A25&amp;$B25="","",IF($A25="","Missing ID",IF(COUNTIF($A$6:$A$55,$A25)&gt;1,"Duplicate ID",IF($M25="","Unknown entity",IF($D25="","Missing type",IF(AND(ISNUMBER($I25),$I25&gt;ValDate),"As-of after valuation","OK"))))))</f>
        <v/>
      </c>
      <c r="M25" s="89" t="str">
        <f aca="false">IF($B25="","",IFERROR(MATCH($B25,Entities!$A$6:$A$25,0),""))</f>
        <v/>
      </c>
    </row>
    <row r="26" customFormat="false" ht="15" hidden="false" customHeight="false" outlineLevel="0" collapsed="false">
      <c r="A26" s="77"/>
      <c r="B26" s="78"/>
      <c r="C26" s="79" t="str">
        <f aca="false">IF($M26="","",INDEX(Entities!$B$6:$B$25,$M26)&amp;"")</f>
        <v/>
      </c>
      <c r="D26" s="78"/>
      <c r="E26" s="78"/>
      <c r="F26" s="78"/>
      <c r="G26" s="78"/>
      <c r="H26" s="78"/>
      <c r="I26" s="80"/>
      <c r="J26" s="78"/>
      <c r="K26" s="78"/>
      <c r="L26" s="79" t="str">
        <f aca="false">IF($A26&amp;$B26="","",IF($A26="","Missing ID",IF(COUNTIF($A$6:$A$55,$A26)&gt;1,"Duplicate ID",IF($M26="","Unknown entity",IF($D26="","Missing type",IF(AND(ISNUMBER($I26),$I26&gt;ValDate),"As-of after valuation","OK"))))))</f>
        <v/>
      </c>
      <c r="M26" s="89" t="str">
        <f aca="false">IF($B26="","",IFERROR(MATCH($B26,Entities!$A$6:$A$25,0),""))</f>
        <v/>
      </c>
    </row>
    <row r="27" customFormat="false" ht="15" hidden="false" customHeight="false" outlineLevel="0" collapsed="false">
      <c r="A27" s="77"/>
      <c r="B27" s="78"/>
      <c r="C27" s="79" t="str">
        <f aca="false">IF($M27="","",INDEX(Entities!$B$6:$B$25,$M27)&amp;"")</f>
        <v/>
      </c>
      <c r="D27" s="78"/>
      <c r="E27" s="78"/>
      <c r="F27" s="78"/>
      <c r="G27" s="78"/>
      <c r="H27" s="78"/>
      <c r="I27" s="80"/>
      <c r="J27" s="78"/>
      <c r="K27" s="78"/>
      <c r="L27" s="79" t="str">
        <f aca="false">IF($A27&amp;$B27="","",IF($A27="","Missing ID",IF(COUNTIF($A$6:$A$55,$A27)&gt;1,"Duplicate ID",IF($M27="","Unknown entity",IF($D27="","Missing type",IF(AND(ISNUMBER($I27),$I27&gt;ValDate),"As-of after valuation","OK"))))))</f>
        <v/>
      </c>
      <c r="M27" s="89" t="str">
        <f aca="false">IF($B27="","",IFERROR(MATCH($B27,Entities!$A$6:$A$25,0),""))</f>
        <v/>
      </c>
    </row>
    <row r="28" customFormat="false" ht="15" hidden="false" customHeight="false" outlineLevel="0" collapsed="false">
      <c r="A28" s="77"/>
      <c r="B28" s="78"/>
      <c r="C28" s="79" t="str">
        <f aca="false">IF($M28="","",INDEX(Entities!$B$6:$B$25,$M28)&amp;"")</f>
        <v/>
      </c>
      <c r="D28" s="78"/>
      <c r="E28" s="78"/>
      <c r="F28" s="78"/>
      <c r="G28" s="78"/>
      <c r="H28" s="78"/>
      <c r="I28" s="80"/>
      <c r="J28" s="78"/>
      <c r="K28" s="78"/>
      <c r="L28" s="79" t="str">
        <f aca="false">IF($A28&amp;$B28="","",IF($A28="","Missing ID",IF(COUNTIF($A$6:$A$55,$A28)&gt;1,"Duplicate ID",IF($M28="","Unknown entity",IF($D28="","Missing type",IF(AND(ISNUMBER($I28),$I28&gt;ValDate),"As-of after valuation","OK"))))))</f>
        <v/>
      </c>
      <c r="M28" s="89" t="str">
        <f aca="false">IF($B28="","",IFERROR(MATCH($B28,Entities!$A$6:$A$25,0),""))</f>
        <v/>
      </c>
    </row>
    <row r="29" customFormat="false" ht="15" hidden="false" customHeight="false" outlineLevel="0" collapsed="false">
      <c r="A29" s="77"/>
      <c r="B29" s="78"/>
      <c r="C29" s="79" t="str">
        <f aca="false">IF($M29="","",INDEX(Entities!$B$6:$B$25,$M29)&amp;"")</f>
        <v/>
      </c>
      <c r="D29" s="78"/>
      <c r="E29" s="78"/>
      <c r="F29" s="78"/>
      <c r="G29" s="78"/>
      <c r="H29" s="78"/>
      <c r="I29" s="80"/>
      <c r="J29" s="78"/>
      <c r="K29" s="78"/>
      <c r="L29" s="79" t="str">
        <f aca="false">IF($A29&amp;$B29="","",IF($A29="","Missing ID",IF(COUNTIF($A$6:$A$55,$A29)&gt;1,"Duplicate ID",IF($M29="","Unknown entity",IF($D29="","Missing type",IF(AND(ISNUMBER($I29),$I29&gt;ValDate),"As-of after valuation","OK"))))))</f>
        <v/>
      </c>
      <c r="M29" s="89" t="str">
        <f aca="false">IF($B29="","",IFERROR(MATCH($B29,Entities!$A$6:$A$25,0),""))</f>
        <v/>
      </c>
    </row>
    <row r="30" customFormat="false" ht="15" hidden="false" customHeight="false" outlineLevel="0" collapsed="false">
      <c r="A30" s="77"/>
      <c r="B30" s="78"/>
      <c r="C30" s="79" t="str">
        <f aca="false">IF($M30="","",INDEX(Entities!$B$6:$B$25,$M30)&amp;"")</f>
        <v/>
      </c>
      <c r="D30" s="78"/>
      <c r="E30" s="78"/>
      <c r="F30" s="78"/>
      <c r="G30" s="78"/>
      <c r="H30" s="78"/>
      <c r="I30" s="80"/>
      <c r="J30" s="78"/>
      <c r="K30" s="78"/>
      <c r="L30" s="79" t="str">
        <f aca="false">IF($A30&amp;$B30="","",IF($A30="","Missing ID",IF(COUNTIF($A$6:$A$55,$A30)&gt;1,"Duplicate ID",IF($M30="","Unknown entity",IF($D30="","Missing type",IF(AND(ISNUMBER($I30),$I30&gt;ValDate),"As-of after valuation","OK"))))))</f>
        <v/>
      </c>
      <c r="M30" s="89" t="str">
        <f aca="false">IF($B30="","",IFERROR(MATCH($B30,Entities!$A$6:$A$25,0),""))</f>
        <v/>
      </c>
    </row>
    <row r="31" customFormat="false" ht="15" hidden="false" customHeight="false" outlineLevel="0" collapsed="false">
      <c r="A31" s="77"/>
      <c r="B31" s="78"/>
      <c r="C31" s="79" t="str">
        <f aca="false">IF($M31="","",INDEX(Entities!$B$6:$B$25,$M31)&amp;"")</f>
        <v/>
      </c>
      <c r="D31" s="78"/>
      <c r="E31" s="78"/>
      <c r="F31" s="78"/>
      <c r="G31" s="78"/>
      <c r="H31" s="78"/>
      <c r="I31" s="80"/>
      <c r="J31" s="78"/>
      <c r="K31" s="78"/>
      <c r="L31" s="79" t="str">
        <f aca="false">IF($A31&amp;$B31="","",IF($A31="","Missing ID",IF(COUNTIF($A$6:$A$55,$A31)&gt;1,"Duplicate ID",IF($M31="","Unknown entity",IF($D31="","Missing type",IF(AND(ISNUMBER($I31),$I31&gt;ValDate),"As-of after valuation","OK"))))))</f>
        <v/>
      </c>
      <c r="M31" s="89" t="str">
        <f aca="false">IF($B31="","",IFERROR(MATCH($B31,Entities!$A$6:$A$25,0),""))</f>
        <v/>
      </c>
    </row>
    <row r="32" customFormat="false" ht="15" hidden="false" customHeight="false" outlineLevel="0" collapsed="false">
      <c r="A32" s="77"/>
      <c r="B32" s="78"/>
      <c r="C32" s="79" t="str">
        <f aca="false">IF($M32="","",INDEX(Entities!$B$6:$B$25,$M32)&amp;"")</f>
        <v/>
      </c>
      <c r="D32" s="78"/>
      <c r="E32" s="78"/>
      <c r="F32" s="78"/>
      <c r="G32" s="78"/>
      <c r="H32" s="78"/>
      <c r="I32" s="80"/>
      <c r="J32" s="78"/>
      <c r="K32" s="78"/>
      <c r="L32" s="79" t="str">
        <f aca="false">IF($A32&amp;$B32="","",IF($A32="","Missing ID",IF(COUNTIF($A$6:$A$55,$A32)&gt;1,"Duplicate ID",IF($M32="","Unknown entity",IF($D32="","Missing type",IF(AND(ISNUMBER($I32),$I32&gt;ValDate),"As-of after valuation","OK"))))))</f>
        <v/>
      </c>
      <c r="M32" s="89" t="str">
        <f aca="false">IF($B32="","",IFERROR(MATCH($B32,Entities!$A$6:$A$25,0),""))</f>
        <v/>
      </c>
    </row>
    <row r="33" customFormat="false" ht="15" hidden="false" customHeight="false" outlineLevel="0" collapsed="false">
      <c r="A33" s="77"/>
      <c r="B33" s="78"/>
      <c r="C33" s="79" t="str">
        <f aca="false">IF($M33="","",INDEX(Entities!$B$6:$B$25,$M33)&amp;"")</f>
        <v/>
      </c>
      <c r="D33" s="78"/>
      <c r="E33" s="78"/>
      <c r="F33" s="78"/>
      <c r="G33" s="78"/>
      <c r="H33" s="78"/>
      <c r="I33" s="80"/>
      <c r="J33" s="78"/>
      <c r="K33" s="78"/>
      <c r="L33" s="79" t="str">
        <f aca="false">IF($A33&amp;$B33="","",IF($A33="","Missing ID",IF(COUNTIF($A$6:$A$55,$A33)&gt;1,"Duplicate ID",IF($M33="","Unknown entity",IF($D33="","Missing type",IF(AND(ISNUMBER($I33),$I33&gt;ValDate),"As-of after valuation","OK"))))))</f>
        <v/>
      </c>
      <c r="M33" s="89" t="str">
        <f aca="false">IF($B33="","",IFERROR(MATCH($B33,Entities!$A$6:$A$25,0),""))</f>
        <v/>
      </c>
    </row>
    <row r="34" customFormat="false" ht="15" hidden="false" customHeight="false" outlineLevel="0" collapsed="false">
      <c r="A34" s="77"/>
      <c r="B34" s="78"/>
      <c r="C34" s="79" t="str">
        <f aca="false">IF($M34="","",INDEX(Entities!$B$6:$B$25,$M34)&amp;"")</f>
        <v/>
      </c>
      <c r="D34" s="78"/>
      <c r="E34" s="78"/>
      <c r="F34" s="78"/>
      <c r="G34" s="78"/>
      <c r="H34" s="78"/>
      <c r="I34" s="80"/>
      <c r="J34" s="78"/>
      <c r="K34" s="78"/>
      <c r="L34" s="79" t="str">
        <f aca="false">IF($A34&amp;$B34="","",IF($A34="","Missing ID",IF(COUNTIF($A$6:$A$55,$A34)&gt;1,"Duplicate ID",IF($M34="","Unknown entity",IF($D34="","Missing type",IF(AND(ISNUMBER($I34),$I34&gt;ValDate),"As-of after valuation","OK"))))))</f>
        <v/>
      </c>
      <c r="M34" s="89" t="str">
        <f aca="false">IF($B34="","",IFERROR(MATCH($B34,Entities!$A$6:$A$25,0),""))</f>
        <v/>
      </c>
    </row>
    <row r="35" customFormat="false" ht="15" hidden="false" customHeight="false" outlineLevel="0" collapsed="false">
      <c r="A35" s="77"/>
      <c r="B35" s="78"/>
      <c r="C35" s="79" t="str">
        <f aca="false">IF($M35="","",INDEX(Entities!$B$6:$B$25,$M35)&amp;"")</f>
        <v/>
      </c>
      <c r="D35" s="78"/>
      <c r="E35" s="78"/>
      <c r="F35" s="78"/>
      <c r="G35" s="78"/>
      <c r="H35" s="78"/>
      <c r="I35" s="80"/>
      <c r="J35" s="78"/>
      <c r="K35" s="78"/>
      <c r="L35" s="79" t="str">
        <f aca="false">IF($A35&amp;$B35="","",IF($A35="","Missing ID",IF(COUNTIF($A$6:$A$55,$A35)&gt;1,"Duplicate ID",IF($M35="","Unknown entity",IF($D35="","Missing type",IF(AND(ISNUMBER($I35),$I35&gt;ValDate),"As-of after valuation","OK"))))))</f>
        <v/>
      </c>
      <c r="M35" s="89" t="str">
        <f aca="false">IF($B35="","",IFERROR(MATCH($B35,Entities!$A$6:$A$25,0),""))</f>
        <v/>
      </c>
    </row>
    <row r="36" customFormat="false" ht="15" hidden="false" customHeight="false" outlineLevel="0" collapsed="false">
      <c r="A36" s="77"/>
      <c r="B36" s="78"/>
      <c r="C36" s="79" t="str">
        <f aca="false">IF($M36="","",INDEX(Entities!$B$6:$B$25,$M36)&amp;"")</f>
        <v/>
      </c>
      <c r="D36" s="78"/>
      <c r="E36" s="78"/>
      <c r="F36" s="78"/>
      <c r="G36" s="78"/>
      <c r="H36" s="78"/>
      <c r="I36" s="80"/>
      <c r="J36" s="78"/>
      <c r="K36" s="78"/>
      <c r="L36" s="79" t="str">
        <f aca="false">IF($A36&amp;$B36="","",IF($A36="","Missing ID",IF(COUNTIF($A$6:$A$55,$A36)&gt;1,"Duplicate ID",IF($M36="","Unknown entity",IF($D36="","Missing type",IF(AND(ISNUMBER($I36),$I36&gt;ValDate),"As-of after valuation","OK"))))))</f>
        <v/>
      </c>
      <c r="M36" s="89" t="str">
        <f aca="false">IF($B36="","",IFERROR(MATCH($B36,Entities!$A$6:$A$25,0),""))</f>
        <v/>
      </c>
    </row>
    <row r="37" customFormat="false" ht="15" hidden="false" customHeight="false" outlineLevel="0" collapsed="false">
      <c r="A37" s="77"/>
      <c r="B37" s="78"/>
      <c r="C37" s="79" t="str">
        <f aca="false">IF($M37="","",INDEX(Entities!$B$6:$B$25,$M37)&amp;"")</f>
        <v/>
      </c>
      <c r="D37" s="78"/>
      <c r="E37" s="78"/>
      <c r="F37" s="78"/>
      <c r="G37" s="78"/>
      <c r="H37" s="78"/>
      <c r="I37" s="80"/>
      <c r="J37" s="78"/>
      <c r="K37" s="78"/>
      <c r="L37" s="79" t="str">
        <f aca="false">IF($A37&amp;$B37="","",IF($A37="","Missing ID",IF(COUNTIF($A$6:$A$55,$A37)&gt;1,"Duplicate ID",IF($M37="","Unknown entity",IF($D37="","Missing type",IF(AND(ISNUMBER($I37),$I37&gt;ValDate),"As-of after valuation","OK"))))))</f>
        <v/>
      </c>
      <c r="M37" s="89" t="str">
        <f aca="false">IF($B37="","",IFERROR(MATCH($B37,Entities!$A$6:$A$25,0),""))</f>
        <v/>
      </c>
    </row>
    <row r="38" customFormat="false" ht="15" hidden="false" customHeight="false" outlineLevel="0" collapsed="false">
      <c r="A38" s="77"/>
      <c r="B38" s="78"/>
      <c r="C38" s="79" t="str">
        <f aca="false">IF($M38="","",INDEX(Entities!$B$6:$B$25,$M38)&amp;"")</f>
        <v/>
      </c>
      <c r="D38" s="78"/>
      <c r="E38" s="78"/>
      <c r="F38" s="78"/>
      <c r="G38" s="78"/>
      <c r="H38" s="78"/>
      <c r="I38" s="80"/>
      <c r="J38" s="78"/>
      <c r="K38" s="78"/>
      <c r="L38" s="79" t="str">
        <f aca="false">IF($A38&amp;$B38="","",IF($A38="","Missing ID",IF(COUNTIF($A$6:$A$55,$A38)&gt;1,"Duplicate ID",IF($M38="","Unknown entity",IF($D38="","Missing type",IF(AND(ISNUMBER($I38),$I38&gt;ValDate),"As-of after valuation","OK"))))))</f>
        <v/>
      </c>
      <c r="M38" s="89" t="str">
        <f aca="false">IF($B38="","",IFERROR(MATCH($B38,Entities!$A$6:$A$25,0),""))</f>
        <v/>
      </c>
    </row>
    <row r="39" customFormat="false" ht="15" hidden="false" customHeight="false" outlineLevel="0" collapsed="false">
      <c r="A39" s="77"/>
      <c r="B39" s="78"/>
      <c r="C39" s="79" t="str">
        <f aca="false">IF($M39="","",INDEX(Entities!$B$6:$B$25,$M39)&amp;"")</f>
        <v/>
      </c>
      <c r="D39" s="78"/>
      <c r="E39" s="78"/>
      <c r="F39" s="78"/>
      <c r="G39" s="78"/>
      <c r="H39" s="78"/>
      <c r="I39" s="80"/>
      <c r="J39" s="78"/>
      <c r="K39" s="78"/>
      <c r="L39" s="79" t="str">
        <f aca="false">IF($A39&amp;$B39="","",IF($A39="","Missing ID",IF(COUNTIF($A$6:$A$55,$A39)&gt;1,"Duplicate ID",IF($M39="","Unknown entity",IF($D39="","Missing type",IF(AND(ISNUMBER($I39),$I39&gt;ValDate),"As-of after valuation","OK"))))))</f>
        <v/>
      </c>
      <c r="M39" s="89" t="str">
        <f aca="false">IF($B39="","",IFERROR(MATCH($B39,Entities!$A$6:$A$25,0),""))</f>
        <v/>
      </c>
    </row>
    <row r="40" customFormat="false" ht="15" hidden="false" customHeight="false" outlineLevel="0" collapsed="false">
      <c r="A40" s="77"/>
      <c r="B40" s="78"/>
      <c r="C40" s="79" t="str">
        <f aca="false">IF($M40="","",INDEX(Entities!$B$6:$B$25,$M40)&amp;"")</f>
        <v/>
      </c>
      <c r="D40" s="78"/>
      <c r="E40" s="78"/>
      <c r="F40" s="78"/>
      <c r="G40" s="78"/>
      <c r="H40" s="78"/>
      <c r="I40" s="80"/>
      <c r="J40" s="78"/>
      <c r="K40" s="78"/>
      <c r="L40" s="79" t="str">
        <f aca="false">IF($A40&amp;$B40="","",IF($A40="","Missing ID",IF(COUNTIF($A$6:$A$55,$A40)&gt;1,"Duplicate ID",IF($M40="","Unknown entity",IF($D40="","Missing type",IF(AND(ISNUMBER($I40),$I40&gt;ValDate),"As-of after valuation","OK"))))))</f>
        <v/>
      </c>
      <c r="M40" s="89" t="str">
        <f aca="false">IF($B40="","",IFERROR(MATCH($B40,Entities!$A$6:$A$25,0),""))</f>
        <v/>
      </c>
    </row>
    <row r="41" customFormat="false" ht="15" hidden="false" customHeight="false" outlineLevel="0" collapsed="false">
      <c r="A41" s="77"/>
      <c r="B41" s="78"/>
      <c r="C41" s="79" t="str">
        <f aca="false">IF($M41="","",INDEX(Entities!$B$6:$B$25,$M41)&amp;"")</f>
        <v/>
      </c>
      <c r="D41" s="78"/>
      <c r="E41" s="78"/>
      <c r="F41" s="78"/>
      <c r="G41" s="78"/>
      <c r="H41" s="78"/>
      <c r="I41" s="80"/>
      <c r="J41" s="78"/>
      <c r="K41" s="78"/>
      <c r="L41" s="79" t="str">
        <f aca="false">IF($A41&amp;$B41="","",IF($A41="","Missing ID",IF(COUNTIF($A$6:$A$55,$A41)&gt;1,"Duplicate ID",IF($M41="","Unknown entity",IF($D41="","Missing type",IF(AND(ISNUMBER($I41),$I41&gt;ValDate),"As-of after valuation","OK"))))))</f>
        <v/>
      </c>
      <c r="M41" s="89" t="str">
        <f aca="false">IF($B41="","",IFERROR(MATCH($B41,Entities!$A$6:$A$25,0),""))</f>
        <v/>
      </c>
    </row>
    <row r="42" customFormat="false" ht="15" hidden="false" customHeight="false" outlineLevel="0" collapsed="false">
      <c r="A42" s="77"/>
      <c r="B42" s="78"/>
      <c r="C42" s="79" t="str">
        <f aca="false">IF($M42="","",INDEX(Entities!$B$6:$B$25,$M42)&amp;"")</f>
        <v/>
      </c>
      <c r="D42" s="78"/>
      <c r="E42" s="78"/>
      <c r="F42" s="78"/>
      <c r="G42" s="78"/>
      <c r="H42" s="78"/>
      <c r="I42" s="80"/>
      <c r="J42" s="78"/>
      <c r="K42" s="78"/>
      <c r="L42" s="79" t="str">
        <f aca="false">IF($A42&amp;$B42="","",IF($A42="","Missing ID",IF(COUNTIF($A$6:$A$55,$A42)&gt;1,"Duplicate ID",IF($M42="","Unknown entity",IF($D42="","Missing type",IF(AND(ISNUMBER($I42),$I42&gt;ValDate),"As-of after valuation","OK"))))))</f>
        <v/>
      </c>
      <c r="M42" s="89" t="str">
        <f aca="false">IF($B42="","",IFERROR(MATCH($B42,Entities!$A$6:$A$25,0),""))</f>
        <v/>
      </c>
    </row>
    <row r="43" customFormat="false" ht="15" hidden="false" customHeight="false" outlineLevel="0" collapsed="false">
      <c r="A43" s="77"/>
      <c r="B43" s="78"/>
      <c r="C43" s="79" t="str">
        <f aca="false">IF($M43="","",INDEX(Entities!$B$6:$B$25,$M43)&amp;"")</f>
        <v/>
      </c>
      <c r="D43" s="78"/>
      <c r="E43" s="78"/>
      <c r="F43" s="78"/>
      <c r="G43" s="78"/>
      <c r="H43" s="78"/>
      <c r="I43" s="80"/>
      <c r="J43" s="78"/>
      <c r="K43" s="78"/>
      <c r="L43" s="79" t="str">
        <f aca="false">IF($A43&amp;$B43="","",IF($A43="","Missing ID",IF(COUNTIF($A$6:$A$55,$A43)&gt;1,"Duplicate ID",IF($M43="","Unknown entity",IF($D43="","Missing type",IF(AND(ISNUMBER($I43),$I43&gt;ValDate),"As-of after valuation","OK"))))))</f>
        <v/>
      </c>
      <c r="M43" s="89" t="str">
        <f aca="false">IF($B43="","",IFERROR(MATCH($B43,Entities!$A$6:$A$25,0),""))</f>
        <v/>
      </c>
    </row>
    <row r="44" customFormat="false" ht="15" hidden="false" customHeight="false" outlineLevel="0" collapsed="false">
      <c r="A44" s="77"/>
      <c r="B44" s="78"/>
      <c r="C44" s="79" t="str">
        <f aca="false">IF($M44="","",INDEX(Entities!$B$6:$B$25,$M44)&amp;"")</f>
        <v/>
      </c>
      <c r="D44" s="78"/>
      <c r="E44" s="78"/>
      <c r="F44" s="78"/>
      <c r="G44" s="78"/>
      <c r="H44" s="78"/>
      <c r="I44" s="80"/>
      <c r="J44" s="78"/>
      <c r="K44" s="78"/>
      <c r="L44" s="79" t="str">
        <f aca="false">IF($A44&amp;$B44="","",IF($A44="","Missing ID",IF(COUNTIF($A$6:$A$55,$A44)&gt;1,"Duplicate ID",IF($M44="","Unknown entity",IF($D44="","Missing type",IF(AND(ISNUMBER($I44),$I44&gt;ValDate),"As-of after valuation","OK"))))))</f>
        <v/>
      </c>
      <c r="M44" s="89" t="str">
        <f aca="false">IF($B44="","",IFERROR(MATCH($B44,Entities!$A$6:$A$25,0),""))</f>
        <v/>
      </c>
    </row>
    <row r="45" customFormat="false" ht="15" hidden="false" customHeight="false" outlineLevel="0" collapsed="false">
      <c r="A45" s="77"/>
      <c r="B45" s="78"/>
      <c r="C45" s="79" t="str">
        <f aca="false">IF($M45="","",INDEX(Entities!$B$6:$B$25,$M45)&amp;"")</f>
        <v/>
      </c>
      <c r="D45" s="78"/>
      <c r="E45" s="78"/>
      <c r="F45" s="78"/>
      <c r="G45" s="78"/>
      <c r="H45" s="78"/>
      <c r="I45" s="80"/>
      <c r="J45" s="78"/>
      <c r="K45" s="78"/>
      <c r="L45" s="79" t="str">
        <f aca="false">IF($A45&amp;$B45="","",IF($A45="","Missing ID",IF(COUNTIF($A$6:$A$55,$A45)&gt;1,"Duplicate ID",IF($M45="","Unknown entity",IF($D45="","Missing type",IF(AND(ISNUMBER($I45),$I45&gt;ValDate),"As-of after valuation","OK"))))))</f>
        <v/>
      </c>
      <c r="M45" s="89" t="str">
        <f aca="false">IF($B45="","",IFERROR(MATCH($B45,Entities!$A$6:$A$25,0),""))</f>
        <v/>
      </c>
    </row>
    <row r="46" customFormat="false" ht="15" hidden="false" customHeight="false" outlineLevel="0" collapsed="false">
      <c r="A46" s="77"/>
      <c r="B46" s="78"/>
      <c r="C46" s="79" t="str">
        <f aca="false">IF($M46="","",INDEX(Entities!$B$6:$B$25,$M46)&amp;"")</f>
        <v/>
      </c>
      <c r="D46" s="78"/>
      <c r="E46" s="78"/>
      <c r="F46" s="78"/>
      <c r="G46" s="78"/>
      <c r="H46" s="78"/>
      <c r="I46" s="80"/>
      <c r="J46" s="78"/>
      <c r="K46" s="78"/>
      <c r="L46" s="79" t="str">
        <f aca="false">IF($A46&amp;$B46="","",IF($A46="","Missing ID",IF(COUNTIF($A$6:$A$55,$A46)&gt;1,"Duplicate ID",IF($M46="","Unknown entity",IF($D46="","Missing type",IF(AND(ISNUMBER($I46),$I46&gt;ValDate),"As-of after valuation","OK"))))))</f>
        <v/>
      </c>
      <c r="M46" s="89" t="str">
        <f aca="false">IF($B46="","",IFERROR(MATCH($B46,Entities!$A$6:$A$25,0),""))</f>
        <v/>
      </c>
    </row>
    <row r="47" customFormat="false" ht="15" hidden="false" customHeight="false" outlineLevel="0" collapsed="false">
      <c r="A47" s="77"/>
      <c r="B47" s="78"/>
      <c r="C47" s="79" t="str">
        <f aca="false">IF($M47="","",INDEX(Entities!$B$6:$B$25,$M47)&amp;"")</f>
        <v/>
      </c>
      <c r="D47" s="78"/>
      <c r="E47" s="78"/>
      <c r="F47" s="78"/>
      <c r="G47" s="78"/>
      <c r="H47" s="78"/>
      <c r="I47" s="80"/>
      <c r="J47" s="78"/>
      <c r="K47" s="78"/>
      <c r="L47" s="79" t="str">
        <f aca="false">IF($A47&amp;$B47="","",IF($A47="","Missing ID",IF(COUNTIF($A$6:$A$55,$A47)&gt;1,"Duplicate ID",IF($M47="","Unknown entity",IF($D47="","Missing type",IF(AND(ISNUMBER($I47),$I47&gt;ValDate),"As-of after valuation","OK"))))))</f>
        <v/>
      </c>
      <c r="M47" s="89" t="str">
        <f aca="false">IF($B47="","",IFERROR(MATCH($B47,Entities!$A$6:$A$25,0),""))</f>
        <v/>
      </c>
    </row>
    <row r="48" customFormat="false" ht="15" hidden="false" customHeight="false" outlineLevel="0" collapsed="false">
      <c r="A48" s="77"/>
      <c r="B48" s="78"/>
      <c r="C48" s="79" t="str">
        <f aca="false">IF($M48="","",INDEX(Entities!$B$6:$B$25,$M48)&amp;"")</f>
        <v/>
      </c>
      <c r="D48" s="78"/>
      <c r="E48" s="78"/>
      <c r="F48" s="78"/>
      <c r="G48" s="78"/>
      <c r="H48" s="78"/>
      <c r="I48" s="80"/>
      <c r="J48" s="78"/>
      <c r="K48" s="78"/>
      <c r="L48" s="79" t="str">
        <f aca="false">IF($A48&amp;$B48="","",IF($A48="","Missing ID",IF(COUNTIF($A$6:$A$55,$A48)&gt;1,"Duplicate ID",IF($M48="","Unknown entity",IF($D48="","Missing type",IF(AND(ISNUMBER($I48),$I48&gt;ValDate),"As-of after valuation","OK"))))))</f>
        <v/>
      </c>
      <c r="M48" s="89" t="str">
        <f aca="false">IF($B48="","",IFERROR(MATCH($B48,Entities!$A$6:$A$25,0),""))</f>
        <v/>
      </c>
    </row>
    <row r="49" customFormat="false" ht="15" hidden="false" customHeight="false" outlineLevel="0" collapsed="false">
      <c r="A49" s="77"/>
      <c r="B49" s="78"/>
      <c r="C49" s="79" t="str">
        <f aca="false">IF($M49="","",INDEX(Entities!$B$6:$B$25,$M49)&amp;"")</f>
        <v/>
      </c>
      <c r="D49" s="78"/>
      <c r="E49" s="78"/>
      <c r="F49" s="78"/>
      <c r="G49" s="78"/>
      <c r="H49" s="78"/>
      <c r="I49" s="80"/>
      <c r="J49" s="78"/>
      <c r="K49" s="78"/>
      <c r="L49" s="79" t="str">
        <f aca="false">IF($A49&amp;$B49="","",IF($A49="","Missing ID",IF(COUNTIF($A$6:$A$55,$A49)&gt;1,"Duplicate ID",IF($M49="","Unknown entity",IF($D49="","Missing type",IF(AND(ISNUMBER($I49),$I49&gt;ValDate),"As-of after valuation","OK"))))))</f>
        <v/>
      </c>
      <c r="M49" s="89" t="str">
        <f aca="false">IF($B49="","",IFERROR(MATCH($B49,Entities!$A$6:$A$25,0),""))</f>
        <v/>
      </c>
    </row>
    <row r="50" customFormat="false" ht="15" hidden="false" customHeight="false" outlineLevel="0" collapsed="false">
      <c r="A50" s="77"/>
      <c r="B50" s="78"/>
      <c r="C50" s="79" t="str">
        <f aca="false">IF($M50="","",INDEX(Entities!$B$6:$B$25,$M50)&amp;"")</f>
        <v/>
      </c>
      <c r="D50" s="78"/>
      <c r="E50" s="78"/>
      <c r="F50" s="78"/>
      <c r="G50" s="78"/>
      <c r="H50" s="78"/>
      <c r="I50" s="80"/>
      <c r="J50" s="78"/>
      <c r="K50" s="78"/>
      <c r="L50" s="79" t="str">
        <f aca="false">IF($A50&amp;$B50="","",IF($A50="","Missing ID",IF(COUNTIF($A$6:$A$55,$A50)&gt;1,"Duplicate ID",IF($M50="","Unknown entity",IF($D50="","Missing type",IF(AND(ISNUMBER($I50),$I50&gt;ValDate),"As-of after valuation","OK"))))))</f>
        <v/>
      </c>
      <c r="M50" s="89" t="str">
        <f aca="false">IF($B50="","",IFERROR(MATCH($B50,Entities!$A$6:$A$25,0),""))</f>
        <v/>
      </c>
    </row>
    <row r="51" customFormat="false" ht="15" hidden="false" customHeight="false" outlineLevel="0" collapsed="false">
      <c r="A51" s="77"/>
      <c r="B51" s="78"/>
      <c r="C51" s="79" t="str">
        <f aca="false">IF($M51="","",INDEX(Entities!$B$6:$B$25,$M51)&amp;"")</f>
        <v/>
      </c>
      <c r="D51" s="78"/>
      <c r="E51" s="78"/>
      <c r="F51" s="78"/>
      <c r="G51" s="78"/>
      <c r="H51" s="78"/>
      <c r="I51" s="80"/>
      <c r="J51" s="78"/>
      <c r="K51" s="78"/>
      <c r="L51" s="79" t="str">
        <f aca="false">IF($A51&amp;$B51="","",IF($A51="","Missing ID",IF(COUNTIF($A$6:$A$55,$A51)&gt;1,"Duplicate ID",IF($M51="","Unknown entity",IF($D51="","Missing type",IF(AND(ISNUMBER($I51),$I51&gt;ValDate),"As-of after valuation","OK"))))))</f>
        <v/>
      </c>
      <c r="M51" s="89" t="str">
        <f aca="false">IF($B51="","",IFERROR(MATCH($B51,Entities!$A$6:$A$25,0),""))</f>
        <v/>
      </c>
    </row>
    <row r="52" customFormat="false" ht="15" hidden="false" customHeight="false" outlineLevel="0" collapsed="false">
      <c r="A52" s="77"/>
      <c r="B52" s="78"/>
      <c r="C52" s="79" t="str">
        <f aca="false">IF($M52="","",INDEX(Entities!$B$6:$B$25,$M52)&amp;"")</f>
        <v/>
      </c>
      <c r="D52" s="78"/>
      <c r="E52" s="78"/>
      <c r="F52" s="78"/>
      <c r="G52" s="78"/>
      <c r="H52" s="78"/>
      <c r="I52" s="80"/>
      <c r="J52" s="78"/>
      <c r="K52" s="78"/>
      <c r="L52" s="79" t="str">
        <f aca="false">IF($A52&amp;$B52="","",IF($A52="","Missing ID",IF(COUNTIF($A$6:$A$55,$A52)&gt;1,"Duplicate ID",IF($M52="","Unknown entity",IF($D52="","Missing type",IF(AND(ISNUMBER($I52),$I52&gt;ValDate),"As-of after valuation","OK"))))))</f>
        <v/>
      </c>
      <c r="M52" s="89" t="str">
        <f aca="false">IF($B52="","",IFERROR(MATCH($B52,Entities!$A$6:$A$25,0),""))</f>
        <v/>
      </c>
    </row>
    <row r="53" customFormat="false" ht="15" hidden="false" customHeight="false" outlineLevel="0" collapsed="false">
      <c r="A53" s="77"/>
      <c r="B53" s="78"/>
      <c r="C53" s="79" t="str">
        <f aca="false">IF($M53="","",INDEX(Entities!$B$6:$B$25,$M53)&amp;"")</f>
        <v/>
      </c>
      <c r="D53" s="78"/>
      <c r="E53" s="78"/>
      <c r="F53" s="78"/>
      <c r="G53" s="78"/>
      <c r="H53" s="78"/>
      <c r="I53" s="80"/>
      <c r="J53" s="78"/>
      <c r="K53" s="78"/>
      <c r="L53" s="79" t="str">
        <f aca="false">IF($A53&amp;$B53="","",IF($A53="","Missing ID",IF(COUNTIF($A$6:$A$55,$A53)&gt;1,"Duplicate ID",IF($M53="","Unknown entity",IF($D53="","Missing type",IF(AND(ISNUMBER($I53),$I53&gt;ValDate),"As-of after valuation","OK"))))))</f>
        <v/>
      </c>
      <c r="M53" s="89" t="str">
        <f aca="false">IF($B53="","",IFERROR(MATCH($B53,Entities!$A$6:$A$25,0),""))</f>
        <v/>
      </c>
    </row>
    <row r="54" customFormat="false" ht="15" hidden="false" customHeight="false" outlineLevel="0" collapsed="false">
      <c r="A54" s="77"/>
      <c r="B54" s="78"/>
      <c r="C54" s="79" t="str">
        <f aca="false">IF($M54="","",INDEX(Entities!$B$6:$B$25,$M54)&amp;"")</f>
        <v/>
      </c>
      <c r="D54" s="78"/>
      <c r="E54" s="78"/>
      <c r="F54" s="78"/>
      <c r="G54" s="78"/>
      <c r="H54" s="78"/>
      <c r="I54" s="80"/>
      <c r="J54" s="78"/>
      <c r="K54" s="78"/>
      <c r="L54" s="79" t="str">
        <f aca="false">IF($A54&amp;$B54="","",IF($A54="","Missing ID",IF(COUNTIF($A$6:$A$55,$A54)&gt;1,"Duplicate ID",IF($M54="","Unknown entity",IF($D54="","Missing type",IF(AND(ISNUMBER($I54),$I54&gt;ValDate),"As-of after valuation","OK"))))))</f>
        <v/>
      </c>
      <c r="M54" s="89" t="str">
        <f aca="false">IF($B54="","",IFERROR(MATCH($B54,Entities!$A$6:$A$25,0),""))</f>
        <v/>
      </c>
    </row>
    <row r="55" customFormat="false" ht="15" hidden="false" customHeight="false" outlineLevel="0" collapsed="false">
      <c r="A55" s="77"/>
      <c r="B55" s="78"/>
      <c r="C55" s="79" t="str">
        <f aca="false">IF($M55="","",INDEX(Entities!$B$6:$B$25,$M55)&amp;"")</f>
        <v/>
      </c>
      <c r="D55" s="78"/>
      <c r="E55" s="78"/>
      <c r="F55" s="78"/>
      <c r="G55" s="78"/>
      <c r="H55" s="78"/>
      <c r="I55" s="80"/>
      <c r="J55" s="78"/>
      <c r="K55" s="78"/>
      <c r="L55" s="79" t="str">
        <f aca="false">IF($A55&amp;$B55="","",IF($A55="","Missing ID",IF(COUNTIF($A$6:$A$55,$A55)&gt;1,"Duplicate ID",IF($M55="","Unknown entity",IF($D55="","Missing type",IF(AND(ISNUMBER($I55),$I55&gt;ValDate),"As-of after valuation","OK"))))))</f>
        <v/>
      </c>
      <c r="M55" s="89" t="str">
        <f aca="false">IF($B55="","",IFERROR(MATCH($B55,Entities!$A$6:$A$25,0),""))</f>
        <v/>
      </c>
    </row>
  </sheetData>
  <autoFilter ref="A5:M55"/>
  <mergeCells count="4">
    <mergeCell ref="A4:C4"/>
    <mergeCell ref="D4:H4"/>
    <mergeCell ref="I4:K4"/>
    <mergeCell ref="L4:M4"/>
  </mergeCells>
  <conditionalFormatting sqref="L6:L55">
    <cfRule type="expression" priority="2" aboveAverage="0" equalAverage="0" bottom="0" percent="0" rank="0" text="" dxfId="3">
      <formula>AND($L6&lt;&gt;"",$L6&lt;&gt;"OK")</formula>
    </cfRule>
    <cfRule type="expression" priority="3" aboveAverage="0" equalAverage="0" bottom="0" percent="0" rank="0" text="" dxfId="19">
      <formula>$L6="OK"</formula>
    </cfRule>
  </conditionalFormatting>
  <dataValidations count="2">
    <dataValidation allowBlank="true" error="Pick a value from the list (see the Lists sheet)." errorStyle="stop" errorTitle="Not in the list" operator="between" prompt="Pick the entity ID from the Entities sheet." promptTitle="How to fill" showDropDown="false" showErrorMessage="false" showInputMessage="true" sqref="B6:B55" type="list">
      <formula1>L_EntityID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D6:D55" type="list">
      <formula1>L_AcctType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T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30"/>
    <col collapsed="false" customWidth="true" hidden="false" outlineLevel="0" max="19" min="19" style="0" width="16"/>
    <col collapsed="false" customWidth="true" hidden="true" outlineLevel="0" max="20" min="20" style="0" width="6"/>
  </cols>
  <sheetData>
    <row r="1" customFormat="false" ht="21.75" hidden="false" customHeight="true" outlineLevel="0" collapsed="false">
      <c r="A1" s="28" t="s">
        <v>615</v>
      </c>
      <c r="F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616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A4" s="75" t="s">
        <v>617</v>
      </c>
      <c r="B4" s="75"/>
      <c r="C4" s="75"/>
      <c r="D4" s="75"/>
      <c r="E4" s="75" t="s">
        <v>618</v>
      </c>
      <c r="F4" s="75"/>
      <c r="G4" s="75"/>
      <c r="H4" s="75"/>
      <c r="I4" s="75"/>
      <c r="J4" s="75"/>
      <c r="K4" s="75"/>
      <c r="L4" s="75"/>
      <c r="M4" s="75" t="s">
        <v>619</v>
      </c>
      <c r="N4" s="75"/>
      <c r="O4" s="75"/>
      <c r="P4" s="75"/>
      <c r="Q4" s="75"/>
      <c r="R4" s="75" t="s">
        <v>387</v>
      </c>
      <c r="S4" s="75"/>
      <c r="T4" s="75"/>
    </row>
    <row r="5" customFormat="false" ht="48" hidden="false" customHeight="true" outlineLevel="0" collapsed="false">
      <c r="A5" s="23" t="s">
        <v>278</v>
      </c>
      <c r="B5" s="23" t="s">
        <v>620</v>
      </c>
      <c r="C5" s="23" t="s">
        <v>390</v>
      </c>
      <c r="D5" s="23" t="s">
        <v>621</v>
      </c>
      <c r="E5" s="23" t="s">
        <v>78</v>
      </c>
      <c r="F5" s="23" t="s">
        <v>279</v>
      </c>
      <c r="G5" s="23" t="s">
        <v>622</v>
      </c>
      <c r="H5" s="23" t="s">
        <v>114</v>
      </c>
      <c r="I5" s="23" t="s">
        <v>623</v>
      </c>
      <c r="J5" s="23" t="s">
        <v>624</v>
      </c>
      <c r="K5" s="23" t="s">
        <v>625</v>
      </c>
      <c r="L5" s="23" t="s">
        <v>137</v>
      </c>
      <c r="M5" s="23" t="s">
        <v>626</v>
      </c>
      <c r="N5" s="23" t="s">
        <v>286</v>
      </c>
      <c r="O5" s="23" t="s">
        <v>627</v>
      </c>
      <c r="P5" s="23" t="s">
        <v>628</v>
      </c>
      <c r="Q5" s="23" t="s">
        <v>629</v>
      </c>
      <c r="R5" s="23" t="s">
        <v>417</v>
      </c>
      <c r="S5" s="23" t="s">
        <v>48</v>
      </c>
      <c r="T5" s="76" t="s">
        <v>630</v>
      </c>
    </row>
    <row r="6" customFormat="false" ht="15" hidden="false" customHeight="false" outlineLevel="0" collapsed="false">
      <c r="A6" s="77" t="s">
        <v>311</v>
      </c>
      <c r="B6" s="78" t="s">
        <v>631</v>
      </c>
      <c r="C6" s="78" t="s">
        <v>632</v>
      </c>
      <c r="D6" s="78" t="s">
        <v>633</v>
      </c>
      <c r="E6" s="78" t="s">
        <v>634</v>
      </c>
      <c r="F6" s="79" t="str">
        <f aca="true">IF($T6="","",INDEX(L_CatAsset,$T6)&amp;"")</f>
        <v>Equity</v>
      </c>
      <c r="G6" s="78"/>
      <c r="H6" s="79" t="str">
        <f aca="true">IF($A6="","",IF($G6&lt;&gt;"",$G6,IF($T6="","",INDEX(L_CatBasket,$T6)&amp;"")))</f>
        <v>TT</v>
      </c>
      <c r="I6" s="78" t="s">
        <v>635</v>
      </c>
      <c r="J6" s="78" t="s">
        <v>636</v>
      </c>
      <c r="K6" s="78"/>
      <c r="L6" s="79" t="str">
        <f aca="true">IF($A6="","",IF($K6&lt;&gt;"",$K6,IF($T6="","",INDEX(L_CatBench,$T6)&amp;"")))</f>
        <v>Nifty 500 TRI</v>
      </c>
      <c r="M6" s="78" t="s">
        <v>637</v>
      </c>
      <c r="N6" s="78" t="s">
        <v>638</v>
      </c>
      <c r="O6" s="94" t="n">
        <v>1842.5</v>
      </c>
      <c r="P6" s="80" t="n">
        <v>46203</v>
      </c>
      <c r="Q6" s="94" t="n">
        <v>1120</v>
      </c>
      <c r="R6" s="78"/>
      <c r="S6" s="79" t="str">
        <f aca="false">IF($A6&amp;$B6="","",IF($A6="","Missing ID",IF(COUNTIF($A$6:$A$105,$A6)&gt;1,"Duplicate ID",IF($B6="","Missing name",IF($T6="","Unknown category",IF(AND(OR($N6="Market price",$N6="NAV"),$O6=""),"No price",IF(AND(ISNUMBER($P6),$P6&gt;ValDate),"Price after valuation","OK")))))))</f>
        <v>OK</v>
      </c>
      <c r="T6" s="89" t="n">
        <f aca="true">IF($E6="","",IFERROR(MATCH($E6,L_Category,0),""))</f>
        <v>1</v>
      </c>
    </row>
    <row r="7" customFormat="false" ht="15" hidden="false" customHeight="false" outlineLevel="0" collapsed="false">
      <c r="A7" s="77" t="s">
        <v>314</v>
      </c>
      <c r="B7" s="78" t="s">
        <v>639</v>
      </c>
      <c r="C7" s="78" t="s">
        <v>640</v>
      </c>
      <c r="D7" s="78" t="s">
        <v>641</v>
      </c>
      <c r="E7" s="78" t="s">
        <v>634</v>
      </c>
      <c r="F7" s="79" t="str">
        <f aca="true">IF($T7="","",INDEX(L_CatAsset,$T7)&amp;"")</f>
        <v>Equity</v>
      </c>
      <c r="G7" s="78"/>
      <c r="H7" s="79" t="str">
        <f aca="true">IF($A7="","",IF($G7&lt;&gt;"",$G7,IF($T7="","",INDEX(L_CatBasket,$T7)&amp;"")))</f>
        <v>TT</v>
      </c>
      <c r="I7" s="78" t="s">
        <v>642</v>
      </c>
      <c r="J7" s="78" t="s">
        <v>643</v>
      </c>
      <c r="K7" s="78"/>
      <c r="L7" s="79" t="str">
        <f aca="true">IF($A7="","",IF($K7&lt;&gt;"",$K7,IF($T7="","",INDEX(L_CatBench,$T7)&amp;"")))</f>
        <v>Nifty 500 TRI</v>
      </c>
      <c r="M7" s="78" t="s">
        <v>637</v>
      </c>
      <c r="N7" s="78" t="s">
        <v>638</v>
      </c>
      <c r="O7" s="94" t="n">
        <v>612.3</v>
      </c>
      <c r="P7" s="80" t="n">
        <v>46203</v>
      </c>
      <c r="Q7" s="94" t="n">
        <v>405</v>
      </c>
      <c r="R7" s="78"/>
      <c r="S7" s="79" t="str">
        <f aca="false">IF($A7&amp;$B7="","",IF($A7="","Missing ID",IF(COUNTIF($A$6:$A$105,$A7)&gt;1,"Duplicate ID",IF($B7="","Missing name",IF($T7="","Unknown category",IF(AND(OR($N7="Market price",$N7="NAV"),$O7=""),"No price",IF(AND(ISNUMBER($P7),$P7&gt;ValDate),"Price after valuation","OK")))))))</f>
        <v>OK</v>
      </c>
      <c r="T7" s="89" t="n">
        <f aca="true">IF($E7="","",IFERROR(MATCH($E7,L_Category,0),""))</f>
        <v>1</v>
      </c>
    </row>
    <row r="8" customFormat="false" ht="15" hidden="false" customHeight="false" outlineLevel="0" collapsed="false">
      <c r="A8" s="77" t="s">
        <v>316</v>
      </c>
      <c r="B8" s="78" t="s">
        <v>644</v>
      </c>
      <c r="C8" s="78" t="s">
        <v>645</v>
      </c>
      <c r="D8" s="78" t="s">
        <v>646</v>
      </c>
      <c r="E8" s="78" t="s">
        <v>634</v>
      </c>
      <c r="F8" s="79" t="str">
        <f aca="true">IF($T8="","",INDEX(L_CatAsset,$T8)&amp;"")</f>
        <v>Equity</v>
      </c>
      <c r="G8" s="78" t="s">
        <v>647</v>
      </c>
      <c r="H8" s="79" t="str">
        <f aca="true">IF($A8="","",IF($G8&lt;&gt;"",$G8,IF($T8="","",INDEX(L_CatBasket,$T8)&amp;"")))</f>
        <v>SG</v>
      </c>
      <c r="I8" s="78" t="s">
        <v>648</v>
      </c>
      <c r="J8" s="78" t="s">
        <v>649</v>
      </c>
      <c r="K8" s="78"/>
      <c r="L8" s="79" t="str">
        <f aca="true">IF($A8="","",IF($K8&lt;&gt;"",$K8,IF($T8="","",INDEX(L_CatBench,$T8)&amp;"")))</f>
        <v>Nifty 500 TRI</v>
      </c>
      <c r="M8" s="78" t="s">
        <v>637</v>
      </c>
      <c r="N8" s="78" t="s">
        <v>638</v>
      </c>
      <c r="O8" s="94" t="n">
        <v>1515</v>
      </c>
      <c r="P8" s="80" t="n">
        <v>46203</v>
      </c>
      <c r="Q8" s="94" t="n">
        <v>980</v>
      </c>
      <c r="R8" s="78" t="s">
        <v>650</v>
      </c>
      <c r="S8" s="79" t="str">
        <f aca="false">IF($A8&amp;$B8="","",IF($A8="","Missing ID",IF(COUNTIF($A$6:$A$105,$A8)&gt;1,"Duplicate ID",IF($B8="","Missing name",IF($T8="","Unknown category",IF(AND(OR($N8="Market price",$N8="NAV"),$O8=""),"No price",IF(AND(ISNUMBER($P8),$P8&gt;ValDate),"Price after valuation","OK")))))))</f>
        <v>OK</v>
      </c>
      <c r="T8" s="89" t="n">
        <f aca="true">IF($E8="","",IFERROR(MATCH($E8,L_Category,0),""))</f>
        <v>1</v>
      </c>
    </row>
    <row r="9" customFormat="false" ht="15" hidden="false" customHeight="false" outlineLevel="0" collapsed="false">
      <c r="A9" s="77" t="s">
        <v>335</v>
      </c>
      <c r="B9" s="78" t="s">
        <v>651</v>
      </c>
      <c r="C9" s="78" t="s">
        <v>652</v>
      </c>
      <c r="D9" s="78" t="s">
        <v>653</v>
      </c>
      <c r="E9" s="78" t="s">
        <v>634</v>
      </c>
      <c r="F9" s="79" t="str">
        <f aca="true">IF($T9="","",INDEX(L_CatAsset,$T9)&amp;"")</f>
        <v>Equity</v>
      </c>
      <c r="G9" s="78"/>
      <c r="H9" s="79" t="str">
        <f aca="true">IF($A9="","",IF($G9&lt;&gt;"",$G9,IF($T9="","",INDEX(L_CatBasket,$T9)&amp;"")))</f>
        <v>TT</v>
      </c>
      <c r="I9" s="78" t="s">
        <v>654</v>
      </c>
      <c r="J9" s="78" t="s">
        <v>649</v>
      </c>
      <c r="K9" s="78"/>
      <c r="L9" s="79" t="str">
        <f aca="true">IF($A9="","",IF($K9&lt;&gt;"",$K9,IF($T9="","",INDEX(L_CatBench,$T9)&amp;"")))</f>
        <v>Nifty 500 TRI</v>
      </c>
      <c r="M9" s="78" t="s">
        <v>637</v>
      </c>
      <c r="N9" s="78" t="s">
        <v>638</v>
      </c>
      <c r="O9" s="94" t="n">
        <v>1678.2</v>
      </c>
      <c r="P9" s="80" t="n">
        <v>46203</v>
      </c>
      <c r="Q9" s="94" t="n">
        <v>842</v>
      </c>
      <c r="R9" s="78"/>
      <c r="S9" s="79" t="str">
        <f aca="false">IF($A9&amp;$B9="","",IF($A9="","Missing ID",IF(COUNTIF($A$6:$A$105,$A9)&gt;1,"Duplicate ID",IF($B9="","Missing name",IF($T9="","Unknown category",IF(AND(OR($N9="Market price",$N9="NAV"),$O9=""),"No price",IF(AND(ISNUMBER($P9),$P9&gt;ValDate),"Price after valuation","OK")))))))</f>
        <v>OK</v>
      </c>
      <c r="T9" s="89" t="n">
        <f aca="true">IF($E9="","",IFERROR(MATCH($E9,L_Category,0),""))</f>
        <v>1</v>
      </c>
    </row>
    <row r="10" customFormat="false" ht="15" hidden="false" customHeight="false" outlineLevel="0" collapsed="false">
      <c r="A10" s="77" t="s">
        <v>337</v>
      </c>
      <c r="B10" s="78" t="s">
        <v>655</v>
      </c>
      <c r="C10" s="78" t="s">
        <v>656</v>
      </c>
      <c r="D10" s="78" t="s">
        <v>657</v>
      </c>
      <c r="E10" s="78" t="s">
        <v>634</v>
      </c>
      <c r="F10" s="79" t="str">
        <f aca="true">IF($T10="","",INDEX(L_CatAsset,$T10)&amp;"")</f>
        <v>Equity</v>
      </c>
      <c r="G10" s="78"/>
      <c r="H10" s="79" t="str">
        <f aca="true">IF($A10="","",IF($G10&lt;&gt;"",$G10,IF($T10="","",INDEX(L_CatBasket,$T10)&amp;"")))</f>
        <v>TT</v>
      </c>
      <c r="I10" s="78" t="s">
        <v>635</v>
      </c>
      <c r="J10" s="78" t="s">
        <v>643</v>
      </c>
      <c r="K10" s="78"/>
      <c r="L10" s="79" t="str">
        <f aca="true">IF($A10="","",IF($K10&lt;&gt;"",$K10,IF($T10="","",INDEX(L_CatBench,$T10)&amp;"")))</f>
        <v>Nifty 500 TRI</v>
      </c>
      <c r="M10" s="78" t="s">
        <v>637</v>
      </c>
      <c r="N10" s="78" t="s">
        <v>638</v>
      </c>
      <c r="O10" s="94" t="n">
        <v>438.75</v>
      </c>
      <c r="P10" s="80" t="n">
        <v>46203</v>
      </c>
      <c r="Q10" s="94"/>
      <c r="R10" s="78" t="s">
        <v>658</v>
      </c>
      <c r="S10" s="79" t="str">
        <f aca="false">IF($A10&amp;$B10="","",IF($A10="","Missing ID",IF(COUNTIF($A$6:$A$105,$A10)&gt;1,"Duplicate ID",IF($B10="","Missing name",IF($T10="","Unknown category",IF(AND(OR($N10="Market price",$N10="NAV"),$O10=""),"No price",IF(AND(ISNUMBER($P10),$P10&gt;ValDate),"Price after valuation","OK")))))))</f>
        <v>OK</v>
      </c>
      <c r="T10" s="89" t="n">
        <f aca="true">IF($E10="","",IFERROR(MATCH($E10,L_Category,0),""))</f>
        <v>1</v>
      </c>
    </row>
    <row r="11" customFormat="false" ht="15" hidden="false" customHeight="false" outlineLevel="0" collapsed="false">
      <c r="A11" s="77" t="s">
        <v>327</v>
      </c>
      <c r="B11" s="78" t="s">
        <v>659</v>
      </c>
      <c r="C11" s="78" t="s">
        <v>660</v>
      </c>
      <c r="D11" s="78" t="s">
        <v>661</v>
      </c>
      <c r="E11" s="78" t="s">
        <v>662</v>
      </c>
      <c r="F11" s="79" t="str">
        <f aca="true">IF($T11="","",INDEX(L_CatAsset,$T11)&amp;"")</f>
        <v>Equity</v>
      </c>
      <c r="G11" s="78"/>
      <c r="H11" s="79" t="str">
        <f aca="true">IF($A11="","",IF($G11&lt;&gt;"",$G11,IF($T11="","",INDEX(L_CatBasket,$T11)&amp;"")))</f>
        <v>SG</v>
      </c>
      <c r="I11" s="78" t="s">
        <v>663</v>
      </c>
      <c r="J11" s="78" t="s">
        <v>664</v>
      </c>
      <c r="K11" s="78"/>
      <c r="L11" s="79" t="str">
        <f aca="true">IF($A11="","",IF($K11&lt;&gt;"",$K11,IF($T11="","",INDEX(L_CatBench,$T11)&amp;"")))</f>
        <v>Nifty 500 TRI</v>
      </c>
      <c r="M11" s="78" t="s">
        <v>665</v>
      </c>
      <c r="N11" s="78" t="s">
        <v>666</v>
      </c>
      <c r="O11" s="94" t="n">
        <v>96.4312</v>
      </c>
      <c r="P11" s="80" t="n">
        <v>46203</v>
      </c>
      <c r="Q11" s="94" t="n">
        <v>39.12</v>
      </c>
      <c r="R11" s="78"/>
      <c r="S11" s="79" t="str">
        <f aca="false">IF($A11&amp;$B11="","",IF($A11="","Missing ID",IF(COUNTIF($A$6:$A$105,$A11)&gt;1,"Duplicate ID",IF($B11="","Missing name",IF($T11="","Unknown category",IF(AND(OR($N11="Market price",$N11="NAV"),$O11=""),"No price",IF(AND(ISNUMBER($P11),$P11&gt;ValDate),"Price after valuation","OK")))))))</f>
        <v>OK</v>
      </c>
      <c r="T11" s="89" t="n">
        <f aca="true">IF($E11="","",IFERROR(MATCH($E11,L_Category,0),""))</f>
        <v>2</v>
      </c>
    </row>
    <row r="12" customFormat="false" ht="15" hidden="false" customHeight="false" outlineLevel="0" collapsed="false">
      <c r="A12" s="77" t="s">
        <v>330</v>
      </c>
      <c r="B12" s="78" t="s">
        <v>667</v>
      </c>
      <c r="C12" s="78" t="s">
        <v>668</v>
      </c>
      <c r="D12" s="78" t="s">
        <v>669</v>
      </c>
      <c r="E12" s="78" t="s">
        <v>670</v>
      </c>
      <c r="F12" s="79" t="str">
        <f aca="true">IF($T12="","",INDEX(L_CatAsset,$T12)&amp;"")</f>
        <v>Equity</v>
      </c>
      <c r="G12" s="78"/>
      <c r="H12" s="79" t="str">
        <f aca="true">IF($A12="","",IF($G12&lt;&gt;"",$G12,IF($T12="","",INDEX(L_CatBasket,$T12)&amp;"")))</f>
        <v>TT</v>
      </c>
      <c r="I12" s="78" t="s">
        <v>663</v>
      </c>
      <c r="J12" s="78" t="s">
        <v>664</v>
      </c>
      <c r="K12" s="78"/>
      <c r="L12" s="79" t="str">
        <f aca="true">IF($A12="","",IF($K12&lt;&gt;"",$K12,IF($T12="","",INDEX(L_CatBench,$T12)&amp;"")))</f>
        <v>Nifty Midsmallcap 400 TRI</v>
      </c>
      <c r="M12" s="78" t="s">
        <v>665</v>
      </c>
      <c r="N12" s="78" t="s">
        <v>666</v>
      </c>
      <c r="O12" s="94" t="n">
        <v>142.883</v>
      </c>
      <c r="P12" s="80" t="n">
        <v>46203</v>
      </c>
      <c r="Q12" s="94"/>
      <c r="R12" s="78"/>
      <c r="S12" s="79" t="str">
        <f aca="false">IF($A12&amp;$B12="","",IF($A12="","Missing ID",IF(COUNTIF($A$6:$A$105,$A12)&gt;1,"Duplicate ID",IF($B12="","Missing name",IF($T12="","Unknown category",IF(AND(OR($N12="Market price",$N12="NAV"),$O12=""),"No price",IF(AND(ISNUMBER($P12),$P12&gt;ValDate),"Price after valuation","OK")))))))</f>
        <v>OK</v>
      </c>
      <c r="T12" s="89" t="n">
        <f aca="true">IF($E12="","",IFERROR(MATCH($E12,L_Category,0),""))</f>
        <v>3</v>
      </c>
    </row>
    <row r="13" customFormat="false" ht="15" hidden="false" customHeight="false" outlineLevel="0" collapsed="false">
      <c r="A13" s="77" t="s">
        <v>332</v>
      </c>
      <c r="B13" s="78" t="s">
        <v>671</v>
      </c>
      <c r="C13" s="78" t="s">
        <v>672</v>
      </c>
      <c r="D13" s="78" t="s">
        <v>673</v>
      </c>
      <c r="E13" s="78" t="s">
        <v>674</v>
      </c>
      <c r="F13" s="79" t="str">
        <f aca="true">IF($T13="","",INDEX(L_CatAsset,$T13)&amp;"")</f>
        <v>Equity</v>
      </c>
      <c r="G13" s="78"/>
      <c r="H13" s="79" t="str">
        <f aca="true">IF($A13="","",IF($G13&lt;&gt;"",$G13,IF($T13="","",INDEX(L_CatBasket,$T13)&amp;"")))</f>
        <v>SG</v>
      </c>
      <c r="I13" s="78" t="s">
        <v>663</v>
      </c>
      <c r="J13" s="78" t="s">
        <v>664</v>
      </c>
      <c r="K13" s="78"/>
      <c r="L13" s="79" t="str">
        <f aca="true">IF($A13="","",IF($K13&lt;&gt;"",$K13,IF($T13="","",INDEX(L_CatBench,$T13)&amp;"")))</f>
        <v>CRISIL Hybrid 50+50 Moderate Index</v>
      </c>
      <c r="M13" s="78" t="s">
        <v>665</v>
      </c>
      <c r="N13" s="78" t="s">
        <v>666</v>
      </c>
      <c r="O13" s="94" t="n">
        <v>38.221</v>
      </c>
      <c r="P13" s="80" t="n">
        <v>46203</v>
      </c>
      <c r="Q13" s="94"/>
      <c r="R13" s="78"/>
      <c r="S13" s="79" t="str">
        <f aca="false">IF($A13&amp;$B13="","",IF($A13="","Missing ID",IF(COUNTIF($A$6:$A$105,$A13)&gt;1,"Duplicate ID",IF($B13="","Missing name",IF($T13="","Unknown category",IF(AND(OR($N13="Market price",$N13="NAV"),$O13=""),"No price",IF(AND(ISNUMBER($P13),$P13&gt;ValDate),"Price after valuation","OK")))))))</f>
        <v>OK</v>
      </c>
      <c r="T13" s="89" t="n">
        <f aca="true">IF($E13="","",IFERROR(MATCH($E13,L_Category,0),""))</f>
        <v>4</v>
      </c>
    </row>
    <row r="14" customFormat="false" ht="15" hidden="false" customHeight="false" outlineLevel="0" collapsed="false">
      <c r="A14" s="77" t="s">
        <v>319</v>
      </c>
      <c r="B14" s="78" t="s">
        <v>675</v>
      </c>
      <c r="C14" s="78"/>
      <c r="D14" s="78" t="s">
        <v>676</v>
      </c>
      <c r="E14" s="78" t="s">
        <v>677</v>
      </c>
      <c r="F14" s="79" t="str">
        <f aca="true">IF($T14="","",INDEX(L_CatAsset,$T14)&amp;"")</f>
        <v>Equity</v>
      </c>
      <c r="G14" s="78"/>
      <c r="H14" s="79" t="str">
        <f aca="true">IF($A14="","",IF($G14&lt;&gt;"",$G14,IF($T14="","",INDEX(L_CatBasket,$T14)&amp;"")))</f>
        <v>SG</v>
      </c>
      <c r="I14" s="78" t="s">
        <v>663</v>
      </c>
      <c r="J14" s="78" t="s">
        <v>664</v>
      </c>
      <c r="K14" s="78"/>
      <c r="L14" s="79" t="str">
        <f aca="true">IF($A14="","",IF($K14&lt;&gt;"",$K14,IF($T14="","",INDEX(L_CatBench,$T14)&amp;"")))</f>
        <v>Nifty 500 TRI</v>
      </c>
      <c r="M14" s="78" t="s">
        <v>665</v>
      </c>
      <c r="N14" s="78" t="s">
        <v>678</v>
      </c>
      <c r="O14" s="94"/>
      <c r="P14" s="80"/>
      <c r="Q14" s="94"/>
      <c r="R14" s="78" t="s">
        <v>679</v>
      </c>
      <c r="S14" s="79" t="str">
        <f aca="false">IF($A14&amp;$B14="","",IF($A14="","Missing ID",IF(COUNTIF($A$6:$A$105,$A14)&gt;1,"Duplicate ID",IF($B14="","Missing name",IF($T14="","Unknown category",IF(AND(OR($N14="Market price",$N14="NAV"),$O14=""),"No price",IF(AND(ISNUMBER($P14),$P14&gt;ValDate),"Price after valuation","OK")))))))</f>
        <v>OK</v>
      </c>
      <c r="T14" s="89" t="n">
        <f aca="true">IF($E14="","",IFERROR(MATCH($E14,L_Category,0),""))</f>
        <v>6</v>
      </c>
    </row>
    <row r="15" customFormat="false" ht="15" hidden="false" customHeight="false" outlineLevel="0" collapsed="false">
      <c r="A15" s="77" t="s">
        <v>342</v>
      </c>
      <c r="B15" s="78" t="s">
        <v>680</v>
      </c>
      <c r="C15" s="78" t="s">
        <v>681</v>
      </c>
      <c r="D15" s="78" t="s">
        <v>682</v>
      </c>
      <c r="E15" s="78" t="s">
        <v>683</v>
      </c>
      <c r="F15" s="79" t="str">
        <f aca="true">IF($T15="","",INDEX(L_CatAsset,$T15)&amp;"")</f>
        <v>Equity</v>
      </c>
      <c r="G15" s="78"/>
      <c r="H15" s="79" t="str">
        <f aca="true">IF($A15="","",IF($G15&lt;&gt;"",$G15,IF($T15="","",INDEX(L_CatBasket,$T15)&amp;"")))</f>
        <v>SG</v>
      </c>
      <c r="I15" s="78" t="s">
        <v>663</v>
      </c>
      <c r="J15" s="78" t="s">
        <v>664</v>
      </c>
      <c r="K15" s="78"/>
      <c r="L15" s="79" t="str">
        <f aca="true">IF($A15="","",IF($K15&lt;&gt;"",$K15,IF($T15="","",INDEX(L_CatBench,$T15)&amp;"")))</f>
        <v>Nifty 500 TRI</v>
      </c>
      <c r="M15" s="78" t="s">
        <v>665</v>
      </c>
      <c r="N15" s="78" t="s">
        <v>666</v>
      </c>
      <c r="O15" s="94" t="n">
        <v>142.36</v>
      </c>
      <c r="P15" s="80" t="n">
        <v>46203</v>
      </c>
      <c r="Q15" s="94"/>
      <c r="R15" s="78"/>
      <c r="S15" s="79" t="str">
        <f aca="false">IF($A15&amp;$B15="","",IF($A15="","Missing ID",IF(COUNTIF($A$6:$A$105,$A15)&gt;1,"Duplicate ID",IF($B15="","Missing name",IF($T15="","Unknown category",IF(AND(OR($N15="Market price",$N15="NAV"),$O15=""),"No price",IF(AND(ISNUMBER($P15),$P15&gt;ValDate),"Price after valuation","OK")))))))</f>
        <v>OK</v>
      </c>
      <c r="T15" s="89" t="n">
        <f aca="true">IF($E15="","",IFERROR(MATCH($E15,L_Category,0),""))</f>
        <v>7</v>
      </c>
    </row>
    <row r="16" customFormat="false" ht="15" hidden="false" customHeight="false" outlineLevel="0" collapsed="false">
      <c r="A16" s="77" t="s">
        <v>339</v>
      </c>
      <c r="B16" s="78" t="s">
        <v>684</v>
      </c>
      <c r="C16" s="78" t="s">
        <v>685</v>
      </c>
      <c r="D16" s="78" t="s">
        <v>686</v>
      </c>
      <c r="E16" s="78" t="s">
        <v>687</v>
      </c>
      <c r="F16" s="79" t="str">
        <f aca="true">IF($T16="","",INDEX(L_CatAsset,$T16)&amp;"")</f>
        <v>Alternate</v>
      </c>
      <c r="G16" s="78"/>
      <c r="H16" s="79" t="str">
        <f aca="true">IF($A16="","",IF($G16&lt;&gt;"",$G16,IF($T16="","",INDEX(L_CatBasket,$T16)&amp;"")))</f>
        <v>TT</v>
      </c>
      <c r="I16" s="78" t="s">
        <v>688</v>
      </c>
      <c r="J16" s="78" t="s">
        <v>664</v>
      </c>
      <c r="K16" s="78"/>
      <c r="L16" s="79" t="str">
        <f aca="true">IF($A16="","",IF($K16&lt;&gt;"",$K16,IF($T16="","",INDEX(L_CatBench,$T16)&amp;"")))</f>
        <v>Domestic gold price (MCX)</v>
      </c>
      <c r="M16" s="78" t="s">
        <v>637</v>
      </c>
      <c r="N16" s="78" t="s">
        <v>638</v>
      </c>
      <c r="O16" s="94" t="n">
        <v>72.18</v>
      </c>
      <c r="P16" s="80" t="n">
        <v>46203</v>
      </c>
      <c r="Q16" s="94"/>
      <c r="R16" s="78"/>
      <c r="S16" s="79" t="str">
        <f aca="false">IF($A16&amp;$B16="","",IF($A16="","Missing ID",IF(COUNTIF($A$6:$A$105,$A16)&gt;1,"Duplicate ID",IF($B16="","Missing name",IF($T16="","Unknown category",IF(AND(OR($N16="Market price",$N16="NAV"),$O16=""),"No price",IF(AND(ISNUMBER($P16),$P16&gt;ValDate),"Price after valuation","OK")))))))</f>
        <v>OK</v>
      </c>
      <c r="T16" s="89" t="n">
        <f aca="true">IF($E16="","",IFERROR(MATCH($E16,L_Category,0),""))</f>
        <v>15</v>
      </c>
    </row>
    <row r="17" customFormat="false" ht="15" hidden="false" customHeight="false" outlineLevel="0" collapsed="false">
      <c r="A17" s="77" t="s">
        <v>348</v>
      </c>
      <c r="B17" s="78" t="s">
        <v>689</v>
      </c>
      <c r="C17" s="78" t="s">
        <v>690</v>
      </c>
      <c r="D17" s="78" t="s">
        <v>691</v>
      </c>
      <c r="E17" s="78" t="s">
        <v>687</v>
      </c>
      <c r="F17" s="79" t="str">
        <f aca="true">IF($T17="","",INDEX(L_CatAsset,$T17)&amp;"")</f>
        <v>Alternate</v>
      </c>
      <c r="G17" s="78"/>
      <c r="H17" s="79" t="str">
        <f aca="true">IF($A17="","",IF($G17&lt;&gt;"",$G17,IF($T17="","",INDEX(L_CatBasket,$T17)&amp;"")))</f>
        <v>TT</v>
      </c>
      <c r="I17" s="78" t="s">
        <v>688</v>
      </c>
      <c r="J17" s="78" t="s">
        <v>664</v>
      </c>
      <c r="K17" s="78" t="s">
        <v>692</v>
      </c>
      <c r="L17" s="79" t="str">
        <f aca="true">IF($A17="","",IF($K17&lt;&gt;"",$K17,IF($T17="","",INDEX(L_CatBench,$T17)&amp;"")))</f>
        <v>Domestic silver price (MCX)</v>
      </c>
      <c r="M17" s="78" t="s">
        <v>637</v>
      </c>
      <c r="N17" s="78" t="s">
        <v>638</v>
      </c>
      <c r="O17" s="94" t="n">
        <v>96.4</v>
      </c>
      <c r="P17" s="80" t="n">
        <v>46203</v>
      </c>
      <c r="Q17" s="94"/>
      <c r="R17" s="78" t="s">
        <v>693</v>
      </c>
      <c r="S17" s="79" t="str">
        <f aca="false">IF($A17&amp;$B17="","",IF($A17="","Missing ID",IF(COUNTIF($A$6:$A$105,$A17)&gt;1,"Duplicate ID",IF($B17="","Missing name",IF($T17="","Unknown category",IF(AND(OR($N17="Market price",$N17="NAV"),$O17=""),"No price",IF(AND(ISNUMBER($P17),$P17&gt;ValDate),"Price after valuation","OK")))))))</f>
        <v>OK</v>
      </c>
      <c r="T17" s="89" t="n">
        <f aca="true">IF($E17="","",IFERROR(MATCH($E17,L_Category,0),""))</f>
        <v>15</v>
      </c>
    </row>
    <row r="18" customFormat="false" ht="15" hidden="false" customHeight="false" outlineLevel="0" collapsed="false">
      <c r="A18" s="77" t="s">
        <v>346</v>
      </c>
      <c r="B18" s="78" t="s">
        <v>694</v>
      </c>
      <c r="C18" s="78" t="s">
        <v>695</v>
      </c>
      <c r="D18" s="78" t="s">
        <v>696</v>
      </c>
      <c r="E18" s="78" t="s">
        <v>697</v>
      </c>
      <c r="F18" s="79" t="str">
        <f aca="true">IF($T18="","",INDEX(L_CatAsset,$T18)&amp;"")</f>
        <v>Cash</v>
      </c>
      <c r="G18" s="78"/>
      <c r="H18" s="79" t="str">
        <f aca="true">IF($A18="","",IF($G18&lt;&gt;"",$G18,IF($T18="","",INDEX(L_CatBasket,$T18)&amp;"")))</f>
        <v>LQ</v>
      </c>
      <c r="I18" s="78" t="s">
        <v>698</v>
      </c>
      <c r="J18" s="78" t="s">
        <v>664</v>
      </c>
      <c r="K18" s="78"/>
      <c r="L18" s="79" t="str">
        <f aca="true">IF($A18="","",IF($K18&lt;&gt;"",$K18,IF($T18="","",INDEX(L_CatBench,$T18)&amp;"")))</f>
        <v>CRISIL Liquid Debt Index</v>
      </c>
      <c r="M18" s="78" t="s">
        <v>665</v>
      </c>
      <c r="N18" s="78" t="s">
        <v>666</v>
      </c>
      <c r="O18" s="94" t="n">
        <v>3412.5543</v>
      </c>
      <c r="P18" s="80" t="n">
        <v>46203</v>
      </c>
      <c r="Q18" s="94"/>
      <c r="R18" s="78"/>
      <c r="S18" s="79" t="str">
        <f aca="false">IF($A18&amp;$B18="","",IF($A18="","Missing ID",IF(COUNTIF($A$6:$A$105,$A18)&gt;1,"Duplicate ID",IF($B18="","Missing name",IF($T18="","Unknown category",IF(AND(OR($N18="Market price",$N18="NAV"),$O18=""),"No price",IF(AND(ISNUMBER($P18),$P18&gt;ValDate),"Price after valuation","OK")))))))</f>
        <v>OK</v>
      </c>
      <c r="T18" s="89" t="n">
        <f aca="true">IF($E18="","",IFERROR(MATCH($E18,L_Category,0),""))</f>
        <v>12</v>
      </c>
    </row>
    <row r="19" customFormat="false" ht="15" hidden="false" customHeight="false" outlineLevel="0" collapsed="false">
      <c r="A19" s="77" t="s">
        <v>358</v>
      </c>
      <c r="B19" s="78" t="s">
        <v>699</v>
      </c>
      <c r="C19" s="78" t="s">
        <v>700</v>
      </c>
      <c r="D19" s="78" t="s">
        <v>701</v>
      </c>
      <c r="E19" s="78" t="s">
        <v>702</v>
      </c>
      <c r="F19" s="79" t="str">
        <f aca="true">IF($T19="","",INDEX(L_CatAsset,$T19)&amp;"")</f>
        <v>Cash</v>
      </c>
      <c r="G19" s="78"/>
      <c r="H19" s="79" t="str">
        <f aca="true">IF($A19="","",IF($G19&lt;&gt;"",$G19,IF($T19="","",INDEX(L_CatBasket,$T19)&amp;"")))</f>
        <v>LQ</v>
      </c>
      <c r="I19" s="78" t="s">
        <v>703</v>
      </c>
      <c r="J19" s="78" t="s">
        <v>664</v>
      </c>
      <c r="K19" s="78"/>
      <c r="L19" s="79" t="str">
        <f aca="true">IF($A19="","",IF($K19&lt;&gt;"",$K19,IF($T19="","",INDEX(L_CatBench,$T19)&amp;"")))</f>
        <v>Nifty 50 Arbitrage Index</v>
      </c>
      <c r="M19" s="78" t="s">
        <v>665</v>
      </c>
      <c r="N19" s="78" t="s">
        <v>666</v>
      </c>
      <c r="O19" s="94" t="n">
        <v>18.7422</v>
      </c>
      <c r="P19" s="80" t="n">
        <v>46203</v>
      </c>
      <c r="Q19" s="94"/>
      <c r="R19" s="78"/>
      <c r="S19" s="79" t="str">
        <f aca="false">IF($A19&amp;$B19="","",IF($A19="","Missing ID",IF(COUNTIF($A$6:$A$105,$A19)&gt;1,"Duplicate ID",IF($B19="","Missing name",IF($T19="","Unknown category",IF(AND(OR($N19="Market price",$N19="NAV"),$O19=""),"No price",IF(AND(ISNUMBER($P19),$P19&gt;ValDate),"Price after valuation","OK")))))))</f>
        <v>OK</v>
      </c>
      <c r="T19" s="89" t="n">
        <f aca="true">IF($E19="","",IFERROR(MATCH($E19,L_Category,0),""))</f>
        <v>13</v>
      </c>
    </row>
    <row r="20" customFormat="false" ht="15" hidden="false" customHeight="false" outlineLevel="0" collapsed="false">
      <c r="A20" s="77" t="s">
        <v>365</v>
      </c>
      <c r="B20" s="78" t="s">
        <v>704</v>
      </c>
      <c r="C20" s="78"/>
      <c r="D20" s="78"/>
      <c r="E20" s="78" t="s">
        <v>705</v>
      </c>
      <c r="F20" s="79" t="str">
        <f aca="true">IF($T20="","",INDEX(L_CatAsset,$T20)&amp;"")</f>
        <v>Cash</v>
      </c>
      <c r="G20" s="78"/>
      <c r="H20" s="79" t="str">
        <f aca="true">IF($A20="","",IF($G20&lt;&gt;"",$G20,IF($T20="","",INDEX(L_CatBasket,$T20)&amp;"")))</f>
        <v>LQ</v>
      </c>
      <c r="I20" s="78" t="s">
        <v>706</v>
      </c>
      <c r="J20" s="78" t="s">
        <v>664</v>
      </c>
      <c r="K20" s="78"/>
      <c r="L20" s="79" t="str">
        <f aca="true">IF($A20="","",IF($K20&lt;&gt;"",$K20,IF($T20="","",INDEX(L_CatBench,$T20)&amp;"")))</f>
        <v/>
      </c>
      <c r="M20" s="78" t="s">
        <v>665</v>
      </c>
      <c r="N20" s="78" t="s">
        <v>678</v>
      </c>
      <c r="O20" s="94"/>
      <c r="P20" s="80"/>
      <c r="Q20" s="94"/>
      <c r="R20" s="78" t="s">
        <v>707</v>
      </c>
      <c r="S20" s="79" t="str">
        <f aca="false">IF($A20&amp;$B20="","",IF($A20="","Missing ID",IF(COUNTIF($A$6:$A$105,$A20)&gt;1,"Duplicate ID",IF($B20="","Missing name",IF($T20="","Unknown category",IF(AND(OR($N20="Market price",$N20="NAV"),$O20=""),"No price",IF(AND(ISNUMBER($P20),$P20&gt;ValDate),"Price after valuation","OK")))))))</f>
        <v>OK</v>
      </c>
      <c r="T20" s="89" t="n">
        <f aca="true">IF($E20="","",IFERROR(MATCH($E20,L_Category,0),""))</f>
        <v>14</v>
      </c>
    </row>
    <row r="21" customFormat="false" ht="15" hidden="false" customHeight="false" outlineLevel="0" collapsed="false">
      <c r="A21" s="77" t="s">
        <v>360</v>
      </c>
      <c r="B21" s="78" t="s">
        <v>708</v>
      </c>
      <c r="C21" s="78" t="s">
        <v>709</v>
      </c>
      <c r="D21" s="78" t="s">
        <v>710</v>
      </c>
      <c r="E21" s="78" t="s">
        <v>711</v>
      </c>
      <c r="F21" s="79" t="str">
        <f aca="true">IF($T21="","",INDEX(L_CatAsset,$T21)&amp;"")</f>
        <v>Debt</v>
      </c>
      <c r="G21" s="78"/>
      <c r="H21" s="79" t="str">
        <f aca="true">IF($A21="","",IF($G21&lt;&gt;"",$G21,IF($T21="","",INDEX(L_CatBasket,$T21)&amp;"")))</f>
        <v>SG</v>
      </c>
      <c r="I21" s="78" t="s">
        <v>712</v>
      </c>
      <c r="J21" s="78" t="s">
        <v>664</v>
      </c>
      <c r="K21" s="78"/>
      <c r="L21" s="79" t="str">
        <f aca="true">IF($A21="","",IF($K21&lt;&gt;"",$K21,IF($T21="","",INDEX(L_CatBench,$T21)&amp;"")))</f>
        <v>CRISIL Composite Bond Index</v>
      </c>
      <c r="M21" s="78" t="s">
        <v>665</v>
      </c>
      <c r="N21" s="78" t="s">
        <v>666</v>
      </c>
      <c r="O21" s="94" t="n">
        <v>31.2291</v>
      </c>
      <c r="P21" s="80" t="n">
        <v>46203</v>
      </c>
      <c r="Q21" s="94"/>
      <c r="R21" s="78"/>
      <c r="S21" s="79" t="str">
        <f aca="false">IF($A21&amp;$B21="","",IF($A21="","Missing ID",IF(COUNTIF($A$6:$A$105,$A21)&gt;1,"Duplicate ID",IF($B21="","Missing name",IF($T21="","Unknown category",IF(AND(OR($N21="Market price",$N21="NAV"),$O21=""),"No price",IF(AND(ISNUMBER($P21),$P21&gt;ValDate),"Price after valuation","OK")))))))</f>
        <v>OK</v>
      </c>
      <c r="T21" s="89" t="n">
        <f aca="true">IF($E21="","",IFERROR(MATCH($E21,L_Category,0),""))</f>
        <v>8</v>
      </c>
    </row>
    <row r="22" customFormat="false" ht="15" hidden="false" customHeight="false" outlineLevel="0" collapsed="false">
      <c r="A22" s="77" t="s">
        <v>355</v>
      </c>
      <c r="B22" s="78" t="s">
        <v>713</v>
      </c>
      <c r="C22" s="78" t="s">
        <v>714</v>
      </c>
      <c r="D22" s="78" t="s">
        <v>715</v>
      </c>
      <c r="E22" s="78" t="s">
        <v>716</v>
      </c>
      <c r="F22" s="79" t="str">
        <f aca="true">IF($T22="","",INDEX(L_CatAsset,$T22)&amp;"")</f>
        <v>Debt</v>
      </c>
      <c r="G22" s="78"/>
      <c r="H22" s="79" t="str">
        <f aca="true">IF($A22="","",IF($G22&lt;&gt;"",$G22,IF($T22="","",INDEX(L_CatBasket,$T22)&amp;"")))</f>
        <v>SG</v>
      </c>
      <c r="I22" s="78" t="s">
        <v>654</v>
      </c>
      <c r="J22" s="78" t="s">
        <v>664</v>
      </c>
      <c r="K22" s="78"/>
      <c r="L22" s="79" t="str">
        <f aca="true">IF($A22="","",IF($K22&lt;&gt;"",$K22,IF($T22="","",INDEX(L_CatBench,$T22)&amp;"")))</f>
        <v>CRISIL Composite Bond Index</v>
      </c>
      <c r="M22" s="78" t="s">
        <v>637</v>
      </c>
      <c r="N22" s="78" t="s">
        <v>638</v>
      </c>
      <c r="O22" s="94" t="n">
        <v>1012.4</v>
      </c>
      <c r="P22" s="80" t="n">
        <v>46203</v>
      </c>
      <c r="Q22" s="94"/>
      <c r="R22" s="78" t="s">
        <v>717</v>
      </c>
      <c r="S22" s="79" t="str">
        <f aca="false">IF($A22&amp;$B22="","",IF($A22="","Missing ID",IF(COUNTIF($A$6:$A$105,$A22)&gt;1,"Duplicate ID",IF($B22="","Missing name",IF($T22="","Unknown category",IF(AND(OR($N22="Market price",$N22="NAV"),$O22=""),"No price",IF(AND(ISNUMBER($P22),$P22&gt;ValDate),"Price after valuation","OK")))))))</f>
        <v>OK</v>
      </c>
      <c r="T22" s="89" t="n">
        <f aca="true">IF($E22="","",IFERROR(MATCH($E22,L_Category,0),""))</f>
        <v>9</v>
      </c>
    </row>
    <row r="23" customFormat="false" ht="15" hidden="false" customHeight="false" outlineLevel="0" collapsed="false">
      <c r="A23" s="77" t="s">
        <v>351</v>
      </c>
      <c r="B23" s="78" t="s">
        <v>718</v>
      </c>
      <c r="C23" s="78" t="s">
        <v>719</v>
      </c>
      <c r="D23" s="78" t="s">
        <v>720</v>
      </c>
      <c r="E23" s="78" t="s">
        <v>721</v>
      </c>
      <c r="F23" s="79" t="str">
        <f aca="true">IF($T23="","",INDEX(L_CatAsset,$T23)&amp;"")</f>
        <v>Alternate</v>
      </c>
      <c r="G23" s="78"/>
      <c r="H23" s="79" t="str">
        <f aca="true">IF($A23="","",IF($G23&lt;&gt;"",$G23,IF($T23="","",INDEX(L_CatBasket,$T23)&amp;"")))</f>
        <v>EG</v>
      </c>
      <c r="I23" s="78" t="s">
        <v>722</v>
      </c>
      <c r="J23" s="78" t="s">
        <v>664</v>
      </c>
      <c r="K23" s="78"/>
      <c r="L23" s="79" t="str">
        <f aca="true">IF($A23="","",IF($K23&lt;&gt;"",$K23,IF($T23="","",INDEX(L_CatBench,$T23)&amp;"")))</f>
        <v>Nifty 500 TRI</v>
      </c>
      <c r="M23" s="78" t="s">
        <v>665</v>
      </c>
      <c r="N23" s="78" t="s">
        <v>666</v>
      </c>
      <c r="O23" s="94" t="n">
        <v>1264.8</v>
      </c>
      <c r="P23" s="80" t="n">
        <v>46112</v>
      </c>
      <c r="Q23" s="94"/>
      <c r="R23" s="78" t="s">
        <v>723</v>
      </c>
      <c r="S23" s="79" t="str">
        <f aca="false">IF($A23&amp;$B23="","",IF($A23="","Missing ID",IF(COUNTIF($A$6:$A$105,$A23)&gt;1,"Duplicate ID",IF($B23="","Missing name",IF($T23="","Unknown category",IF(AND(OR($N23="Market price",$N23="NAV"),$O23=""),"No price",IF(AND(ISNUMBER($P23),$P23&gt;ValDate),"Price after valuation","OK")))))))</f>
        <v>OK</v>
      </c>
      <c r="T23" s="89" t="n">
        <f aca="true">IF($E23="","",IFERROR(MATCH($E23,L_Category,0),""))</f>
        <v>17</v>
      </c>
    </row>
    <row r="24" customFormat="false" ht="15" hidden="false" customHeight="false" outlineLevel="0" collapsed="false">
      <c r="A24" s="77" t="s">
        <v>323</v>
      </c>
      <c r="B24" s="78" t="s">
        <v>724</v>
      </c>
      <c r="C24" s="78" t="s">
        <v>725</v>
      </c>
      <c r="D24" s="78"/>
      <c r="E24" s="78" t="s">
        <v>726</v>
      </c>
      <c r="F24" s="79" t="str">
        <f aca="true">IF($T24="","",INDEX(L_CatAsset,$T24)&amp;"")</f>
        <v>Alternate</v>
      </c>
      <c r="G24" s="78"/>
      <c r="H24" s="79" t="str">
        <f aca="true">IF($A24="","",IF($G24&lt;&gt;"",$G24,IF($T24="","",INDEX(L_CatBasket,$T24)&amp;"")))</f>
        <v>EG</v>
      </c>
      <c r="I24" s="78" t="s">
        <v>642</v>
      </c>
      <c r="J24" s="78" t="s">
        <v>727</v>
      </c>
      <c r="K24" s="78"/>
      <c r="L24" s="79" t="str">
        <f aca="true">IF($A24="","",IF($K24&lt;&gt;"",$K24,IF($T24="","",INDEX(L_CatBench,$T24)&amp;"")))</f>
        <v/>
      </c>
      <c r="M24" s="78" t="s">
        <v>665</v>
      </c>
      <c r="N24" s="78" t="s">
        <v>728</v>
      </c>
      <c r="O24" s="94"/>
      <c r="P24" s="80"/>
      <c r="Q24" s="94"/>
      <c r="R24" s="78" t="s">
        <v>729</v>
      </c>
      <c r="S24" s="79" t="str">
        <f aca="false">IF($A24&amp;$B24="","",IF($A24="","Missing ID",IF(COUNTIF($A$6:$A$105,$A24)&gt;1,"Duplicate ID",IF($B24="","Missing name",IF($T24="","Unknown category",IF(AND(OR($N24="Market price",$N24="NAV"),$O24=""),"No price",IF(AND(ISNUMBER($P24),$P24&gt;ValDate),"Price after valuation","OK")))))))</f>
        <v>OK</v>
      </c>
      <c r="T24" s="89" t="n">
        <f aca="true">IF($E24="","",IFERROR(MATCH($E24,L_Category,0),""))</f>
        <v>18</v>
      </c>
    </row>
    <row r="25" customFormat="false" ht="15" hidden="false" customHeight="false" outlineLevel="0" collapsed="false">
      <c r="A25" s="77" t="s">
        <v>369</v>
      </c>
      <c r="B25" s="78" t="s">
        <v>730</v>
      </c>
      <c r="C25" s="78" t="s">
        <v>731</v>
      </c>
      <c r="D25" s="78"/>
      <c r="E25" s="78" t="s">
        <v>732</v>
      </c>
      <c r="F25" s="79" t="str">
        <f aca="true">IF($T25="","",INDEX(L_CatAsset,$T25)&amp;"")</f>
        <v>Alternate</v>
      </c>
      <c r="G25" s="78"/>
      <c r="H25" s="79" t="str">
        <f aca="true">IF($A25="","",IF($G25&lt;&gt;"",$G25,IF($T25="","",INDEX(L_CatBasket,$T25)&amp;"")))</f>
        <v>EG</v>
      </c>
      <c r="I25" s="78" t="s">
        <v>733</v>
      </c>
      <c r="J25" s="78" t="s">
        <v>727</v>
      </c>
      <c r="K25" s="78"/>
      <c r="L25" s="79" t="str">
        <f aca="true">IF($A25="","",IF($K25&lt;&gt;"",$K25,IF($T25="","",INDEX(L_CatBench,$T25)&amp;"")))</f>
        <v/>
      </c>
      <c r="M25" s="78" t="s">
        <v>665</v>
      </c>
      <c r="N25" s="78" t="s">
        <v>728</v>
      </c>
      <c r="O25" s="94"/>
      <c r="P25" s="80"/>
      <c r="Q25" s="94"/>
      <c r="R25" s="78" t="s">
        <v>734</v>
      </c>
      <c r="S25" s="79" t="str">
        <f aca="false">IF($A25&amp;$B25="","",IF($A25="","Missing ID",IF(COUNTIF($A$6:$A$105,$A25)&gt;1,"Duplicate ID",IF($B25="","Missing name",IF($T25="","Unknown category",IF(AND(OR($N25="Market price",$N25="NAV"),$O25=""),"No price",IF(AND(ISNUMBER($P25),$P25&gt;ValDate),"Price after valuation","OK")))))))</f>
        <v>OK</v>
      </c>
      <c r="T25" s="89" t="n">
        <f aca="true">IF($E25="","",IFERROR(MATCH($E25,L_Category,0),""))</f>
        <v>19</v>
      </c>
    </row>
    <row r="26" customFormat="false" ht="15" hidden="false" customHeight="false" outlineLevel="0" collapsed="false">
      <c r="A26" s="77" t="s">
        <v>362</v>
      </c>
      <c r="B26" s="78" t="s">
        <v>735</v>
      </c>
      <c r="C26" s="78" t="s">
        <v>736</v>
      </c>
      <c r="D26" s="78" t="s">
        <v>737</v>
      </c>
      <c r="E26" s="78" t="s">
        <v>738</v>
      </c>
      <c r="F26" s="79" t="str">
        <f aca="true">IF($T26="","",INDEX(L_CatAsset,$T26)&amp;"")</f>
        <v>Alternate</v>
      </c>
      <c r="G26" s="78"/>
      <c r="H26" s="79" t="str">
        <f aca="true">IF($A26="","",IF($G26&lt;&gt;"",$G26,IF($T26="","",INDEX(L_CatBasket,$T26)&amp;"")))</f>
        <v>SG</v>
      </c>
      <c r="I26" s="78" t="s">
        <v>739</v>
      </c>
      <c r="J26" s="78" t="s">
        <v>664</v>
      </c>
      <c r="K26" s="78"/>
      <c r="L26" s="79" t="str">
        <f aca="true">IF($A26="","",IF($K26&lt;&gt;"",$K26,IF($T26="","",INDEX(L_CatBench,$T26)&amp;"")))</f>
        <v>Nifty REITs &amp; InvITs Index</v>
      </c>
      <c r="M26" s="78" t="s">
        <v>637</v>
      </c>
      <c r="N26" s="78" t="s">
        <v>638</v>
      </c>
      <c r="O26" s="94" t="n">
        <v>118.2</v>
      </c>
      <c r="P26" s="80" t="n">
        <v>46203</v>
      </c>
      <c r="Q26" s="94"/>
      <c r="R26" s="78"/>
      <c r="S26" s="79" t="str">
        <f aca="false">IF($A26&amp;$B26="","",IF($A26="","Missing ID",IF(COUNTIF($A$6:$A$105,$A26)&gt;1,"Duplicate ID",IF($B26="","Missing name",IF($T26="","Unknown category",IF(AND(OR($N26="Market price",$N26="NAV"),$O26=""),"No price",IF(AND(ISNUMBER($P26),$P26&gt;ValDate),"Price after valuation","OK")))))))</f>
        <v>OK</v>
      </c>
      <c r="T26" s="89" t="n">
        <f aca="true">IF($E26="","",IFERROR(MATCH($E26,L_Category,0),""))</f>
        <v>16</v>
      </c>
    </row>
    <row r="27" customFormat="false" ht="15" hidden="false" customHeight="false" outlineLevel="0" collapsed="false">
      <c r="A27" s="77" t="s">
        <v>374</v>
      </c>
      <c r="B27" s="78" t="s">
        <v>740</v>
      </c>
      <c r="C27" s="78" t="s">
        <v>741</v>
      </c>
      <c r="D27" s="78" t="s">
        <v>742</v>
      </c>
      <c r="E27" s="78" t="s">
        <v>743</v>
      </c>
      <c r="F27" s="79" t="str">
        <f aca="true">IF($T27="","",INDEX(L_CatAsset,$T27)&amp;"")</f>
        <v>Debt</v>
      </c>
      <c r="G27" s="78"/>
      <c r="H27" s="79" t="str">
        <f aca="true">IF($A27="","",IF($G27&lt;&gt;"",$G27,IF($T27="","",INDEX(L_CatBasket,$T27)&amp;"")))</f>
        <v>SG</v>
      </c>
      <c r="I27" s="78" t="s">
        <v>744</v>
      </c>
      <c r="J27" s="78" t="s">
        <v>664</v>
      </c>
      <c r="K27" s="78"/>
      <c r="L27" s="79" t="str">
        <f aca="true">IF($A27="","",IF($K27&lt;&gt;"",$K27,IF($T27="","",INDEX(L_CatBench,$T27)&amp;"")))</f>
        <v>CRISIL Composite Bond Index</v>
      </c>
      <c r="M27" s="78" t="s">
        <v>665</v>
      </c>
      <c r="N27" s="78" t="s">
        <v>666</v>
      </c>
      <c r="O27" s="94" t="n">
        <v>1038.2</v>
      </c>
      <c r="P27" s="80" t="n">
        <v>46112</v>
      </c>
      <c r="Q27" s="94"/>
      <c r="R27" s="78" t="s">
        <v>723</v>
      </c>
      <c r="S27" s="79" t="str">
        <f aca="false">IF($A27&amp;$B27="","",IF($A27="","Missing ID",IF(COUNTIF($A$6:$A$105,$A27)&gt;1,"Duplicate ID",IF($B27="","Missing name",IF($T27="","Unknown category",IF(AND(OR($N27="Market price",$N27="NAV"),$O27=""),"No price",IF(AND(ISNUMBER($P27),$P27&gt;ValDate),"Price after valuation","OK")))))))</f>
        <v>OK</v>
      </c>
      <c r="T27" s="89" t="n">
        <f aca="true">IF($E27="","",IFERROR(MATCH($E27,L_Category,0),""))</f>
        <v>10</v>
      </c>
    </row>
    <row r="28" customFormat="false" ht="15" hidden="false" customHeight="false" outlineLevel="0" collapsed="false">
      <c r="A28" s="77"/>
      <c r="B28" s="78"/>
      <c r="C28" s="78"/>
      <c r="D28" s="78"/>
      <c r="E28" s="78"/>
      <c r="F28" s="79" t="str">
        <f aca="true">IF($T28="","",INDEX(L_CatAsset,$T28)&amp;"")</f>
        <v/>
      </c>
      <c r="G28" s="78"/>
      <c r="H28" s="79" t="str">
        <f aca="true">IF($A28="","",IF($G28&lt;&gt;"",$G28,IF($T28="","",INDEX(L_CatBasket,$T28)&amp;"")))</f>
        <v/>
      </c>
      <c r="I28" s="78"/>
      <c r="J28" s="78"/>
      <c r="K28" s="78"/>
      <c r="L28" s="79" t="str">
        <f aca="true">IF($A28="","",IF($K28&lt;&gt;"",$K28,IF($T28="","",INDEX(L_CatBench,$T28)&amp;"")))</f>
        <v/>
      </c>
      <c r="M28" s="78"/>
      <c r="N28" s="78"/>
      <c r="O28" s="94"/>
      <c r="P28" s="80"/>
      <c r="Q28" s="94"/>
      <c r="R28" s="78"/>
      <c r="S28" s="79" t="str">
        <f aca="false">IF($A28&amp;$B28="","",IF($A28="","Missing ID",IF(COUNTIF($A$6:$A$105,$A28)&gt;1,"Duplicate ID",IF($B28="","Missing name",IF($T28="","Unknown category",IF(AND(OR($N28="Market price",$N28="NAV"),$O28=""),"No price",IF(AND(ISNUMBER($P28),$P28&gt;ValDate),"Price after valuation","OK")))))))</f>
        <v/>
      </c>
      <c r="T28" s="89" t="str">
        <f aca="true">IF($E28="","",IFERROR(MATCH($E28,L_Category,0),""))</f>
        <v/>
      </c>
    </row>
    <row r="29" customFormat="false" ht="15" hidden="false" customHeight="false" outlineLevel="0" collapsed="false">
      <c r="A29" s="77"/>
      <c r="B29" s="78"/>
      <c r="C29" s="78"/>
      <c r="D29" s="78"/>
      <c r="E29" s="78"/>
      <c r="F29" s="79" t="str">
        <f aca="true">IF($T29="","",INDEX(L_CatAsset,$T29)&amp;"")</f>
        <v/>
      </c>
      <c r="G29" s="78"/>
      <c r="H29" s="79" t="str">
        <f aca="true">IF($A29="","",IF($G29&lt;&gt;"",$G29,IF($T29="","",INDEX(L_CatBasket,$T29)&amp;"")))</f>
        <v/>
      </c>
      <c r="I29" s="78"/>
      <c r="J29" s="78"/>
      <c r="K29" s="78"/>
      <c r="L29" s="79" t="str">
        <f aca="true">IF($A29="","",IF($K29&lt;&gt;"",$K29,IF($T29="","",INDEX(L_CatBench,$T29)&amp;"")))</f>
        <v/>
      </c>
      <c r="M29" s="78"/>
      <c r="N29" s="78"/>
      <c r="O29" s="94"/>
      <c r="P29" s="80"/>
      <c r="Q29" s="94"/>
      <c r="R29" s="78"/>
      <c r="S29" s="79" t="str">
        <f aca="false">IF($A29&amp;$B29="","",IF($A29="","Missing ID",IF(COUNTIF($A$6:$A$105,$A29)&gt;1,"Duplicate ID",IF($B29="","Missing name",IF($T29="","Unknown category",IF(AND(OR($N29="Market price",$N29="NAV"),$O29=""),"No price",IF(AND(ISNUMBER($P29),$P29&gt;ValDate),"Price after valuation","OK")))))))</f>
        <v/>
      </c>
      <c r="T29" s="89" t="str">
        <f aca="true">IF($E29="","",IFERROR(MATCH($E29,L_Category,0),""))</f>
        <v/>
      </c>
    </row>
    <row r="30" customFormat="false" ht="15" hidden="false" customHeight="false" outlineLevel="0" collapsed="false">
      <c r="A30" s="77"/>
      <c r="B30" s="78"/>
      <c r="C30" s="78"/>
      <c r="D30" s="78"/>
      <c r="E30" s="78"/>
      <c r="F30" s="79" t="str">
        <f aca="true">IF($T30="","",INDEX(L_CatAsset,$T30)&amp;"")</f>
        <v/>
      </c>
      <c r="G30" s="78"/>
      <c r="H30" s="79" t="str">
        <f aca="true">IF($A30="","",IF($G30&lt;&gt;"",$G30,IF($T30="","",INDEX(L_CatBasket,$T30)&amp;"")))</f>
        <v/>
      </c>
      <c r="I30" s="78"/>
      <c r="J30" s="78"/>
      <c r="K30" s="78"/>
      <c r="L30" s="79" t="str">
        <f aca="true">IF($A30="","",IF($K30&lt;&gt;"",$K30,IF($T30="","",INDEX(L_CatBench,$T30)&amp;"")))</f>
        <v/>
      </c>
      <c r="M30" s="78"/>
      <c r="N30" s="78"/>
      <c r="O30" s="94"/>
      <c r="P30" s="80"/>
      <c r="Q30" s="94"/>
      <c r="R30" s="78"/>
      <c r="S30" s="79" t="str">
        <f aca="false">IF($A30&amp;$B30="","",IF($A30="","Missing ID",IF(COUNTIF($A$6:$A$105,$A30)&gt;1,"Duplicate ID",IF($B30="","Missing name",IF($T30="","Unknown category",IF(AND(OR($N30="Market price",$N30="NAV"),$O30=""),"No price",IF(AND(ISNUMBER($P30),$P30&gt;ValDate),"Price after valuation","OK")))))))</f>
        <v/>
      </c>
      <c r="T30" s="89" t="str">
        <f aca="true">IF($E30="","",IFERROR(MATCH($E30,L_Category,0),""))</f>
        <v/>
      </c>
    </row>
    <row r="31" customFormat="false" ht="15" hidden="false" customHeight="false" outlineLevel="0" collapsed="false">
      <c r="A31" s="77"/>
      <c r="B31" s="78"/>
      <c r="C31" s="78"/>
      <c r="D31" s="78"/>
      <c r="E31" s="78"/>
      <c r="F31" s="79" t="str">
        <f aca="true">IF($T31="","",INDEX(L_CatAsset,$T31)&amp;"")</f>
        <v/>
      </c>
      <c r="G31" s="78"/>
      <c r="H31" s="79" t="str">
        <f aca="true">IF($A31="","",IF($G31&lt;&gt;"",$G31,IF($T31="","",INDEX(L_CatBasket,$T31)&amp;"")))</f>
        <v/>
      </c>
      <c r="I31" s="78"/>
      <c r="J31" s="78"/>
      <c r="K31" s="78"/>
      <c r="L31" s="79" t="str">
        <f aca="true">IF($A31="","",IF($K31&lt;&gt;"",$K31,IF($T31="","",INDEX(L_CatBench,$T31)&amp;"")))</f>
        <v/>
      </c>
      <c r="M31" s="78"/>
      <c r="N31" s="78"/>
      <c r="O31" s="94"/>
      <c r="P31" s="80"/>
      <c r="Q31" s="94"/>
      <c r="R31" s="78"/>
      <c r="S31" s="79" t="str">
        <f aca="false">IF($A31&amp;$B31="","",IF($A31="","Missing ID",IF(COUNTIF($A$6:$A$105,$A31)&gt;1,"Duplicate ID",IF($B31="","Missing name",IF($T31="","Unknown category",IF(AND(OR($N31="Market price",$N31="NAV"),$O31=""),"No price",IF(AND(ISNUMBER($P31),$P31&gt;ValDate),"Price after valuation","OK")))))))</f>
        <v/>
      </c>
      <c r="T31" s="89" t="str">
        <f aca="true">IF($E31="","",IFERROR(MATCH($E31,L_Category,0),""))</f>
        <v/>
      </c>
    </row>
    <row r="32" customFormat="false" ht="15" hidden="false" customHeight="false" outlineLevel="0" collapsed="false">
      <c r="A32" s="77"/>
      <c r="B32" s="78"/>
      <c r="C32" s="78"/>
      <c r="D32" s="78"/>
      <c r="E32" s="78"/>
      <c r="F32" s="79" t="str">
        <f aca="true">IF($T32="","",INDEX(L_CatAsset,$T32)&amp;"")</f>
        <v/>
      </c>
      <c r="G32" s="78"/>
      <c r="H32" s="79" t="str">
        <f aca="true">IF($A32="","",IF($G32&lt;&gt;"",$G32,IF($T32="","",INDEX(L_CatBasket,$T32)&amp;"")))</f>
        <v/>
      </c>
      <c r="I32" s="78"/>
      <c r="J32" s="78"/>
      <c r="K32" s="78"/>
      <c r="L32" s="79" t="str">
        <f aca="true">IF($A32="","",IF($K32&lt;&gt;"",$K32,IF($T32="","",INDEX(L_CatBench,$T32)&amp;"")))</f>
        <v/>
      </c>
      <c r="M32" s="78"/>
      <c r="N32" s="78"/>
      <c r="O32" s="94"/>
      <c r="P32" s="80"/>
      <c r="Q32" s="94"/>
      <c r="R32" s="78"/>
      <c r="S32" s="79" t="str">
        <f aca="false">IF($A32&amp;$B32="","",IF($A32="","Missing ID",IF(COUNTIF($A$6:$A$105,$A32)&gt;1,"Duplicate ID",IF($B32="","Missing name",IF($T32="","Unknown category",IF(AND(OR($N32="Market price",$N32="NAV"),$O32=""),"No price",IF(AND(ISNUMBER($P32),$P32&gt;ValDate),"Price after valuation","OK")))))))</f>
        <v/>
      </c>
      <c r="T32" s="89" t="str">
        <f aca="true">IF($E32="","",IFERROR(MATCH($E32,L_Category,0),""))</f>
        <v/>
      </c>
    </row>
    <row r="33" customFormat="false" ht="15" hidden="false" customHeight="false" outlineLevel="0" collapsed="false">
      <c r="A33" s="77"/>
      <c r="B33" s="78"/>
      <c r="C33" s="78"/>
      <c r="D33" s="78"/>
      <c r="E33" s="78"/>
      <c r="F33" s="79" t="str">
        <f aca="true">IF($T33="","",INDEX(L_CatAsset,$T33)&amp;"")</f>
        <v/>
      </c>
      <c r="G33" s="78"/>
      <c r="H33" s="79" t="str">
        <f aca="true">IF($A33="","",IF($G33&lt;&gt;"",$G33,IF($T33="","",INDEX(L_CatBasket,$T33)&amp;"")))</f>
        <v/>
      </c>
      <c r="I33" s="78"/>
      <c r="J33" s="78"/>
      <c r="K33" s="78"/>
      <c r="L33" s="79" t="str">
        <f aca="true">IF($A33="","",IF($K33&lt;&gt;"",$K33,IF($T33="","",INDEX(L_CatBench,$T33)&amp;"")))</f>
        <v/>
      </c>
      <c r="M33" s="78"/>
      <c r="N33" s="78"/>
      <c r="O33" s="94"/>
      <c r="P33" s="80"/>
      <c r="Q33" s="94"/>
      <c r="R33" s="78"/>
      <c r="S33" s="79" t="str">
        <f aca="false">IF($A33&amp;$B33="","",IF($A33="","Missing ID",IF(COUNTIF($A$6:$A$105,$A33)&gt;1,"Duplicate ID",IF($B33="","Missing name",IF($T33="","Unknown category",IF(AND(OR($N33="Market price",$N33="NAV"),$O33=""),"No price",IF(AND(ISNUMBER($P33),$P33&gt;ValDate),"Price after valuation","OK")))))))</f>
        <v/>
      </c>
      <c r="T33" s="89" t="str">
        <f aca="true">IF($E33="","",IFERROR(MATCH($E33,L_Category,0),""))</f>
        <v/>
      </c>
    </row>
    <row r="34" customFormat="false" ht="15" hidden="false" customHeight="false" outlineLevel="0" collapsed="false">
      <c r="A34" s="77"/>
      <c r="B34" s="78"/>
      <c r="C34" s="78"/>
      <c r="D34" s="78"/>
      <c r="E34" s="78"/>
      <c r="F34" s="79" t="str">
        <f aca="true">IF($T34="","",INDEX(L_CatAsset,$T34)&amp;"")</f>
        <v/>
      </c>
      <c r="G34" s="78"/>
      <c r="H34" s="79" t="str">
        <f aca="true">IF($A34="","",IF($G34&lt;&gt;"",$G34,IF($T34="","",INDEX(L_CatBasket,$T34)&amp;"")))</f>
        <v/>
      </c>
      <c r="I34" s="78"/>
      <c r="J34" s="78"/>
      <c r="K34" s="78"/>
      <c r="L34" s="79" t="str">
        <f aca="true">IF($A34="","",IF($K34&lt;&gt;"",$K34,IF($T34="","",INDEX(L_CatBench,$T34)&amp;"")))</f>
        <v/>
      </c>
      <c r="M34" s="78"/>
      <c r="N34" s="78"/>
      <c r="O34" s="94"/>
      <c r="P34" s="80"/>
      <c r="Q34" s="94"/>
      <c r="R34" s="78"/>
      <c r="S34" s="79" t="str">
        <f aca="false">IF($A34&amp;$B34="","",IF($A34="","Missing ID",IF(COUNTIF($A$6:$A$105,$A34)&gt;1,"Duplicate ID",IF($B34="","Missing name",IF($T34="","Unknown category",IF(AND(OR($N34="Market price",$N34="NAV"),$O34=""),"No price",IF(AND(ISNUMBER($P34),$P34&gt;ValDate),"Price after valuation","OK")))))))</f>
        <v/>
      </c>
      <c r="T34" s="89" t="str">
        <f aca="true">IF($E34="","",IFERROR(MATCH($E34,L_Category,0),""))</f>
        <v/>
      </c>
    </row>
    <row r="35" customFormat="false" ht="15" hidden="false" customHeight="false" outlineLevel="0" collapsed="false">
      <c r="A35" s="77"/>
      <c r="B35" s="78"/>
      <c r="C35" s="78"/>
      <c r="D35" s="78"/>
      <c r="E35" s="78"/>
      <c r="F35" s="79" t="str">
        <f aca="true">IF($T35="","",INDEX(L_CatAsset,$T35)&amp;"")</f>
        <v/>
      </c>
      <c r="G35" s="78"/>
      <c r="H35" s="79" t="str">
        <f aca="true">IF($A35="","",IF($G35&lt;&gt;"",$G35,IF($T35="","",INDEX(L_CatBasket,$T35)&amp;"")))</f>
        <v/>
      </c>
      <c r="I35" s="78"/>
      <c r="J35" s="78"/>
      <c r="K35" s="78"/>
      <c r="L35" s="79" t="str">
        <f aca="true">IF($A35="","",IF($K35&lt;&gt;"",$K35,IF($T35="","",INDEX(L_CatBench,$T35)&amp;"")))</f>
        <v/>
      </c>
      <c r="M35" s="78"/>
      <c r="N35" s="78"/>
      <c r="O35" s="94"/>
      <c r="P35" s="80"/>
      <c r="Q35" s="94"/>
      <c r="R35" s="78"/>
      <c r="S35" s="79" t="str">
        <f aca="false">IF($A35&amp;$B35="","",IF($A35="","Missing ID",IF(COUNTIF($A$6:$A$105,$A35)&gt;1,"Duplicate ID",IF($B35="","Missing name",IF($T35="","Unknown category",IF(AND(OR($N35="Market price",$N35="NAV"),$O35=""),"No price",IF(AND(ISNUMBER($P35),$P35&gt;ValDate),"Price after valuation","OK")))))))</f>
        <v/>
      </c>
      <c r="T35" s="89" t="str">
        <f aca="true">IF($E35="","",IFERROR(MATCH($E35,L_Category,0),""))</f>
        <v/>
      </c>
    </row>
    <row r="36" customFormat="false" ht="15" hidden="false" customHeight="false" outlineLevel="0" collapsed="false">
      <c r="A36" s="77"/>
      <c r="B36" s="78"/>
      <c r="C36" s="78"/>
      <c r="D36" s="78"/>
      <c r="E36" s="78"/>
      <c r="F36" s="79" t="str">
        <f aca="true">IF($T36="","",INDEX(L_CatAsset,$T36)&amp;"")</f>
        <v/>
      </c>
      <c r="G36" s="78"/>
      <c r="H36" s="79" t="str">
        <f aca="true">IF($A36="","",IF($G36&lt;&gt;"",$G36,IF($T36="","",INDEX(L_CatBasket,$T36)&amp;"")))</f>
        <v/>
      </c>
      <c r="I36" s="78"/>
      <c r="J36" s="78"/>
      <c r="K36" s="78"/>
      <c r="L36" s="79" t="str">
        <f aca="true">IF($A36="","",IF($K36&lt;&gt;"",$K36,IF($T36="","",INDEX(L_CatBench,$T36)&amp;"")))</f>
        <v/>
      </c>
      <c r="M36" s="78"/>
      <c r="N36" s="78"/>
      <c r="O36" s="94"/>
      <c r="P36" s="80"/>
      <c r="Q36" s="94"/>
      <c r="R36" s="78"/>
      <c r="S36" s="79" t="str">
        <f aca="false">IF($A36&amp;$B36="","",IF($A36="","Missing ID",IF(COUNTIF($A$6:$A$105,$A36)&gt;1,"Duplicate ID",IF($B36="","Missing name",IF($T36="","Unknown category",IF(AND(OR($N36="Market price",$N36="NAV"),$O36=""),"No price",IF(AND(ISNUMBER($P36),$P36&gt;ValDate),"Price after valuation","OK")))))))</f>
        <v/>
      </c>
      <c r="T36" s="89" t="str">
        <f aca="true">IF($E36="","",IFERROR(MATCH($E36,L_Category,0),""))</f>
        <v/>
      </c>
    </row>
    <row r="37" customFormat="false" ht="15" hidden="false" customHeight="false" outlineLevel="0" collapsed="false">
      <c r="A37" s="77"/>
      <c r="B37" s="78"/>
      <c r="C37" s="78"/>
      <c r="D37" s="78"/>
      <c r="E37" s="78"/>
      <c r="F37" s="79" t="str">
        <f aca="true">IF($T37="","",INDEX(L_CatAsset,$T37)&amp;"")</f>
        <v/>
      </c>
      <c r="G37" s="78"/>
      <c r="H37" s="79" t="str">
        <f aca="true">IF($A37="","",IF($G37&lt;&gt;"",$G37,IF($T37="","",INDEX(L_CatBasket,$T37)&amp;"")))</f>
        <v/>
      </c>
      <c r="I37" s="78"/>
      <c r="J37" s="78"/>
      <c r="K37" s="78"/>
      <c r="L37" s="79" t="str">
        <f aca="true">IF($A37="","",IF($K37&lt;&gt;"",$K37,IF($T37="","",INDEX(L_CatBench,$T37)&amp;"")))</f>
        <v/>
      </c>
      <c r="M37" s="78"/>
      <c r="N37" s="78"/>
      <c r="O37" s="94"/>
      <c r="P37" s="80"/>
      <c r="Q37" s="94"/>
      <c r="R37" s="78"/>
      <c r="S37" s="79" t="str">
        <f aca="false">IF($A37&amp;$B37="","",IF($A37="","Missing ID",IF(COUNTIF($A$6:$A$105,$A37)&gt;1,"Duplicate ID",IF($B37="","Missing name",IF($T37="","Unknown category",IF(AND(OR($N37="Market price",$N37="NAV"),$O37=""),"No price",IF(AND(ISNUMBER($P37),$P37&gt;ValDate),"Price after valuation","OK")))))))</f>
        <v/>
      </c>
      <c r="T37" s="89" t="str">
        <f aca="true">IF($E37="","",IFERROR(MATCH($E37,L_Category,0),""))</f>
        <v/>
      </c>
    </row>
    <row r="38" customFormat="false" ht="15" hidden="false" customHeight="false" outlineLevel="0" collapsed="false">
      <c r="A38" s="77"/>
      <c r="B38" s="78"/>
      <c r="C38" s="78"/>
      <c r="D38" s="78"/>
      <c r="E38" s="78"/>
      <c r="F38" s="79" t="str">
        <f aca="true">IF($T38="","",INDEX(L_CatAsset,$T38)&amp;"")</f>
        <v/>
      </c>
      <c r="G38" s="78"/>
      <c r="H38" s="79" t="str">
        <f aca="true">IF($A38="","",IF($G38&lt;&gt;"",$G38,IF($T38="","",INDEX(L_CatBasket,$T38)&amp;"")))</f>
        <v/>
      </c>
      <c r="I38" s="78"/>
      <c r="J38" s="78"/>
      <c r="K38" s="78"/>
      <c r="L38" s="79" t="str">
        <f aca="true">IF($A38="","",IF($K38&lt;&gt;"",$K38,IF($T38="","",INDEX(L_CatBench,$T38)&amp;"")))</f>
        <v/>
      </c>
      <c r="M38" s="78"/>
      <c r="N38" s="78"/>
      <c r="O38" s="94"/>
      <c r="P38" s="80"/>
      <c r="Q38" s="94"/>
      <c r="R38" s="78"/>
      <c r="S38" s="79" t="str">
        <f aca="false">IF($A38&amp;$B38="","",IF($A38="","Missing ID",IF(COUNTIF($A$6:$A$105,$A38)&gt;1,"Duplicate ID",IF($B38="","Missing name",IF($T38="","Unknown category",IF(AND(OR($N38="Market price",$N38="NAV"),$O38=""),"No price",IF(AND(ISNUMBER($P38),$P38&gt;ValDate),"Price after valuation","OK")))))))</f>
        <v/>
      </c>
      <c r="T38" s="89" t="str">
        <f aca="true">IF($E38="","",IFERROR(MATCH($E38,L_Category,0),""))</f>
        <v/>
      </c>
    </row>
    <row r="39" customFormat="false" ht="15" hidden="false" customHeight="false" outlineLevel="0" collapsed="false">
      <c r="A39" s="77"/>
      <c r="B39" s="78"/>
      <c r="C39" s="78"/>
      <c r="D39" s="78"/>
      <c r="E39" s="78"/>
      <c r="F39" s="79" t="str">
        <f aca="true">IF($T39="","",INDEX(L_CatAsset,$T39)&amp;"")</f>
        <v/>
      </c>
      <c r="G39" s="78"/>
      <c r="H39" s="79" t="str">
        <f aca="true">IF($A39="","",IF($G39&lt;&gt;"",$G39,IF($T39="","",INDEX(L_CatBasket,$T39)&amp;"")))</f>
        <v/>
      </c>
      <c r="I39" s="78"/>
      <c r="J39" s="78"/>
      <c r="K39" s="78"/>
      <c r="L39" s="79" t="str">
        <f aca="true">IF($A39="","",IF($K39&lt;&gt;"",$K39,IF($T39="","",INDEX(L_CatBench,$T39)&amp;"")))</f>
        <v/>
      </c>
      <c r="M39" s="78"/>
      <c r="N39" s="78"/>
      <c r="O39" s="94"/>
      <c r="P39" s="80"/>
      <c r="Q39" s="94"/>
      <c r="R39" s="78"/>
      <c r="S39" s="79" t="str">
        <f aca="false">IF($A39&amp;$B39="","",IF($A39="","Missing ID",IF(COUNTIF($A$6:$A$105,$A39)&gt;1,"Duplicate ID",IF($B39="","Missing name",IF($T39="","Unknown category",IF(AND(OR($N39="Market price",$N39="NAV"),$O39=""),"No price",IF(AND(ISNUMBER($P39),$P39&gt;ValDate),"Price after valuation","OK")))))))</f>
        <v/>
      </c>
      <c r="T39" s="89" t="str">
        <f aca="true">IF($E39="","",IFERROR(MATCH($E39,L_Category,0),""))</f>
        <v/>
      </c>
    </row>
    <row r="40" customFormat="false" ht="15" hidden="false" customHeight="false" outlineLevel="0" collapsed="false">
      <c r="A40" s="77"/>
      <c r="B40" s="78"/>
      <c r="C40" s="78"/>
      <c r="D40" s="78"/>
      <c r="E40" s="78"/>
      <c r="F40" s="79" t="str">
        <f aca="true">IF($T40="","",INDEX(L_CatAsset,$T40)&amp;"")</f>
        <v/>
      </c>
      <c r="G40" s="78"/>
      <c r="H40" s="79" t="str">
        <f aca="true">IF($A40="","",IF($G40&lt;&gt;"",$G40,IF($T40="","",INDEX(L_CatBasket,$T40)&amp;"")))</f>
        <v/>
      </c>
      <c r="I40" s="78"/>
      <c r="J40" s="78"/>
      <c r="K40" s="78"/>
      <c r="L40" s="79" t="str">
        <f aca="true">IF($A40="","",IF($K40&lt;&gt;"",$K40,IF($T40="","",INDEX(L_CatBench,$T40)&amp;"")))</f>
        <v/>
      </c>
      <c r="M40" s="78"/>
      <c r="N40" s="78"/>
      <c r="O40" s="94"/>
      <c r="P40" s="80"/>
      <c r="Q40" s="94"/>
      <c r="R40" s="78"/>
      <c r="S40" s="79" t="str">
        <f aca="false">IF($A40&amp;$B40="","",IF($A40="","Missing ID",IF(COUNTIF($A$6:$A$105,$A40)&gt;1,"Duplicate ID",IF($B40="","Missing name",IF($T40="","Unknown category",IF(AND(OR($N40="Market price",$N40="NAV"),$O40=""),"No price",IF(AND(ISNUMBER($P40),$P40&gt;ValDate),"Price after valuation","OK")))))))</f>
        <v/>
      </c>
      <c r="T40" s="89" t="str">
        <f aca="true">IF($E40="","",IFERROR(MATCH($E40,L_Category,0),""))</f>
        <v/>
      </c>
    </row>
    <row r="41" customFormat="false" ht="15" hidden="false" customHeight="false" outlineLevel="0" collapsed="false">
      <c r="A41" s="77"/>
      <c r="B41" s="78"/>
      <c r="C41" s="78"/>
      <c r="D41" s="78"/>
      <c r="E41" s="78"/>
      <c r="F41" s="79" t="str">
        <f aca="true">IF($T41="","",INDEX(L_CatAsset,$T41)&amp;"")</f>
        <v/>
      </c>
      <c r="G41" s="78"/>
      <c r="H41" s="79" t="str">
        <f aca="true">IF($A41="","",IF($G41&lt;&gt;"",$G41,IF($T41="","",INDEX(L_CatBasket,$T41)&amp;"")))</f>
        <v/>
      </c>
      <c r="I41" s="78"/>
      <c r="J41" s="78"/>
      <c r="K41" s="78"/>
      <c r="L41" s="79" t="str">
        <f aca="true">IF($A41="","",IF($K41&lt;&gt;"",$K41,IF($T41="","",INDEX(L_CatBench,$T41)&amp;"")))</f>
        <v/>
      </c>
      <c r="M41" s="78"/>
      <c r="N41" s="78"/>
      <c r="O41" s="94"/>
      <c r="P41" s="80"/>
      <c r="Q41" s="94"/>
      <c r="R41" s="78"/>
      <c r="S41" s="79" t="str">
        <f aca="false">IF($A41&amp;$B41="","",IF($A41="","Missing ID",IF(COUNTIF($A$6:$A$105,$A41)&gt;1,"Duplicate ID",IF($B41="","Missing name",IF($T41="","Unknown category",IF(AND(OR($N41="Market price",$N41="NAV"),$O41=""),"No price",IF(AND(ISNUMBER($P41),$P41&gt;ValDate),"Price after valuation","OK")))))))</f>
        <v/>
      </c>
      <c r="T41" s="89" t="str">
        <f aca="true">IF($E41="","",IFERROR(MATCH($E41,L_Category,0),""))</f>
        <v/>
      </c>
    </row>
    <row r="42" customFormat="false" ht="15" hidden="false" customHeight="false" outlineLevel="0" collapsed="false">
      <c r="A42" s="77"/>
      <c r="B42" s="78"/>
      <c r="C42" s="78"/>
      <c r="D42" s="78"/>
      <c r="E42" s="78"/>
      <c r="F42" s="79" t="str">
        <f aca="true">IF($T42="","",INDEX(L_CatAsset,$T42)&amp;"")</f>
        <v/>
      </c>
      <c r="G42" s="78"/>
      <c r="H42" s="79" t="str">
        <f aca="true">IF($A42="","",IF($G42&lt;&gt;"",$G42,IF($T42="","",INDEX(L_CatBasket,$T42)&amp;"")))</f>
        <v/>
      </c>
      <c r="I42" s="78"/>
      <c r="J42" s="78"/>
      <c r="K42" s="78"/>
      <c r="L42" s="79" t="str">
        <f aca="true">IF($A42="","",IF($K42&lt;&gt;"",$K42,IF($T42="","",INDEX(L_CatBench,$T42)&amp;"")))</f>
        <v/>
      </c>
      <c r="M42" s="78"/>
      <c r="N42" s="78"/>
      <c r="O42" s="94"/>
      <c r="P42" s="80"/>
      <c r="Q42" s="94"/>
      <c r="R42" s="78"/>
      <c r="S42" s="79" t="str">
        <f aca="false">IF($A42&amp;$B42="","",IF($A42="","Missing ID",IF(COUNTIF($A$6:$A$105,$A42)&gt;1,"Duplicate ID",IF($B42="","Missing name",IF($T42="","Unknown category",IF(AND(OR($N42="Market price",$N42="NAV"),$O42=""),"No price",IF(AND(ISNUMBER($P42),$P42&gt;ValDate),"Price after valuation","OK")))))))</f>
        <v/>
      </c>
      <c r="T42" s="89" t="str">
        <f aca="true">IF($E42="","",IFERROR(MATCH($E42,L_Category,0),""))</f>
        <v/>
      </c>
    </row>
    <row r="43" customFormat="false" ht="15" hidden="false" customHeight="false" outlineLevel="0" collapsed="false">
      <c r="A43" s="77"/>
      <c r="B43" s="78"/>
      <c r="C43" s="78"/>
      <c r="D43" s="78"/>
      <c r="E43" s="78"/>
      <c r="F43" s="79" t="str">
        <f aca="true">IF($T43="","",INDEX(L_CatAsset,$T43)&amp;"")</f>
        <v/>
      </c>
      <c r="G43" s="78"/>
      <c r="H43" s="79" t="str">
        <f aca="true">IF($A43="","",IF($G43&lt;&gt;"",$G43,IF($T43="","",INDEX(L_CatBasket,$T43)&amp;"")))</f>
        <v/>
      </c>
      <c r="I43" s="78"/>
      <c r="J43" s="78"/>
      <c r="K43" s="78"/>
      <c r="L43" s="79" t="str">
        <f aca="true">IF($A43="","",IF($K43&lt;&gt;"",$K43,IF($T43="","",INDEX(L_CatBench,$T43)&amp;"")))</f>
        <v/>
      </c>
      <c r="M43" s="78"/>
      <c r="N43" s="78"/>
      <c r="O43" s="94"/>
      <c r="P43" s="80"/>
      <c r="Q43" s="94"/>
      <c r="R43" s="78"/>
      <c r="S43" s="79" t="str">
        <f aca="false">IF($A43&amp;$B43="","",IF($A43="","Missing ID",IF(COUNTIF($A$6:$A$105,$A43)&gt;1,"Duplicate ID",IF($B43="","Missing name",IF($T43="","Unknown category",IF(AND(OR($N43="Market price",$N43="NAV"),$O43=""),"No price",IF(AND(ISNUMBER($P43),$P43&gt;ValDate),"Price after valuation","OK")))))))</f>
        <v/>
      </c>
      <c r="T43" s="89" t="str">
        <f aca="true">IF($E43="","",IFERROR(MATCH($E43,L_Category,0),""))</f>
        <v/>
      </c>
    </row>
    <row r="44" customFormat="false" ht="15" hidden="false" customHeight="false" outlineLevel="0" collapsed="false">
      <c r="A44" s="77"/>
      <c r="B44" s="78"/>
      <c r="C44" s="78"/>
      <c r="D44" s="78"/>
      <c r="E44" s="78"/>
      <c r="F44" s="79" t="str">
        <f aca="true">IF($T44="","",INDEX(L_CatAsset,$T44)&amp;"")</f>
        <v/>
      </c>
      <c r="G44" s="78"/>
      <c r="H44" s="79" t="str">
        <f aca="true">IF($A44="","",IF($G44&lt;&gt;"",$G44,IF($T44="","",INDEX(L_CatBasket,$T44)&amp;"")))</f>
        <v/>
      </c>
      <c r="I44" s="78"/>
      <c r="J44" s="78"/>
      <c r="K44" s="78"/>
      <c r="L44" s="79" t="str">
        <f aca="true">IF($A44="","",IF($K44&lt;&gt;"",$K44,IF($T44="","",INDEX(L_CatBench,$T44)&amp;"")))</f>
        <v/>
      </c>
      <c r="M44" s="78"/>
      <c r="N44" s="78"/>
      <c r="O44" s="94"/>
      <c r="P44" s="80"/>
      <c r="Q44" s="94"/>
      <c r="R44" s="78"/>
      <c r="S44" s="79" t="str">
        <f aca="false">IF($A44&amp;$B44="","",IF($A44="","Missing ID",IF(COUNTIF($A$6:$A$105,$A44)&gt;1,"Duplicate ID",IF($B44="","Missing name",IF($T44="","Unknown category",IF(AND(OR($N44="Market price",$N44="NAV"),$O44=""),"No price",IF(AND(ISNUMBER($P44),$P44&gt;ValDate),"Price after valuation","OK")))))))</f>
        <v/>
      </c>
      <c r="T44" s="89" t="str">
        <f aca="true">IF($E44="","",IFERROR(MATCH($E44,L_Category,0),""))</f>
        <v/>
      </c>
    </row>
    <row r="45" customFormat="false" ht="15" hidden="false" customHeight="false" outlineLevel="0" collapsed="false">
      <c r="A45" s="77"/>
      <c r="B45" s="78"/>
      <c r="C45" s="78"/>
      <c r="D45" s="78"/>
      <c r="E45" s="78"/>
      <c r="F45" s="79" t="str">
        <f aca="true">IF($T45="","",INDEX(L_CatAsset,$T45)&amp;"")</f>
        <v/>
      </c>
      <c r="G45" s="78"/>
      <c r="H45" s="79" t="str">
        <f aca="true">IF($A45="","",IF($G45&lt;&gt;"",$G45,IF($T45="","",INDEX(L_CatBasket,$T45)&amp;"")))</f>
        <v/>
      </c>
      <c r="I45" s="78"/>
      <c r="J45" s="78"/>
      <c r="K45" s="78"/>
      <c r="L45" s="79" t="str">
        <f aca="true">IF($A45="","",IF($K45&lt;&gt;"",$K45,IF($T45="","",INDEX(L_CatBench,$T45)&amp;"")))</f>
        <v/>
      </c>
      <c r="M45" s="78"/>
      <c r="N45" s="78"/>
      <c r="O45" s="94"/>
      <c r="P45" s="80"/>
      <c r="Q45" s="94"/>
      <c r="R45" s="78"/>
      <c r="S45" s="79" t="str">
        <f aca="false">IF($A45&amp;$B45="","",IF($A45="","Missing ID",IF(COUNTIF($A$6:$A$105,$A45)&gt;1,"Duplicate ID",IF($B45="","Missing name",IF($T45="","Unknown category",IF(AND(OR($N45="Market price",$N45="NAV"),$O45=""),"No price",IF(AND(ISNUMBER($P45),$P45&gt;ValDate),"Price after valuation","OK")))))))</f>
        <v/>
      </c>
      <c r="T45" s="89" t="str">
        <f aca="true">IF($E45="","",IFERROR(MATCH($E45,L_Category,0),""))</f>
        <v/>
      </c>
    </row>
    <row r="46" customFormat="false" ht="15" hidden="false" customHeight="false" outlineLevel="0" collapsed="false">
      <c r="A46" s="77"/>
      <c r="B46" s="78"/>
      <c r="C46" s="78"/>
      <c r="D46" s="78"/>
      <c r="E46" s="78"/>
      <c r="F46" s="79" t="str">
        <f aca="true">IF($T46="","",INDEX(L_CatAsset,$T46)&amp;"")</f>
        <v/>
      </c>
      <c r="G46" s="78"/>
      <c r="H46" s="79" t="str">
        <f aca="true">IF($A46="","",IF($G46&lt;&gt;"",$G46,IF($T46="","",INDEX(L_CatBasket,$T46)&amp;"")))</f>
        <v/>
      </c>
      <c r="I46" s="78"/>
      <c r="J46" s="78"/>
      <c r="K46" s="78"/>
      <c r="L46" s="79" t="str">
        <f aca="true">IF($A46="","",IF($K46&lt;&gt;"",$K46,IF($T46="","",INDEX(L_CatBench,$T46)&amp;"")))</f>
        <v/>
      </c>
      <c r="M46" s="78"/>
      <c r="N46" s="78"/>
      <c r="O46" s="94"/>
      <c r="P46" s="80"/>
      <c r="Q46" s="94"/>
      <c r="R46" s="78"/>
      <c r="S46" s="79" t="str">
        <f aca="false">IF($A46&amp;$B46="","",IF($A46="","Missing ID",IF(COUNTIF($A$6:$A$105,$A46)&gt;1,"Duplicate ID",IF($B46="","Missing name",IF($T46="","Unknown category",IF(AND(OR($N46="Market price",$N46="NAV"),$O46=""),"No price",IF(AND(ISNUMBER($P46),$P46&gt;ValDate),"Price after valuation","OK")))))))</f>
        <v/>
      </c>
      <c r="T46" s="89" t="str">
        <f aca="true">IF($E46="","",IFERROR(MATCH($E46,L_Category,0),""))</f>
        <v/>
      </c>
    </row>
    <row r="47" customFormat="false" ht="15" hidden="false" customHeight="false" outlineLevel="0" collapsed="false">
      <c r="A47" s="77"/>
      <c r="B47" s="78"/>
      <c r="C47" s="78"/>
      <c r="D47" s="78"/>
      <c r="E47" s="78"/>
      <c r="F47" s="79" t="str">
        <f aca="true">IF($T47="","",INDEX(L_CatAsset,$T47)&amp;"")</f>
        <v/>
      </c>
      <c r="G47" s="78"/>
      <c r="H47" s="79" t="str">
        <f aca="true">IF($A47="","",IF($G47&lt;&gt;"",$G47,IF($T47="","",INDEX(L_CatBasket,$T47)&amp;"")))</f>
        <v/>
      </c>
      <c r="I47" s="78"/>
      <c r="J47" s="78"/>
      <c r="K47" s="78"/>
      <c r="L47" s="79" t="str">
        <f aca="true">IF($A47="","",IF($K47&lt;&gt;"",$K47,IF($T47="","",INDEX(L_CatBench,$T47)&amp;"")))</f>
        <v/>
      </c>
      <c r="M47" s="78"/>
      <c r="N47" s="78"/>
      <c r="O47" s="94"/>
      <c r="P47" s="80"/>
      <c r="Q47" s="94"/>
      <c r="R47" s="78"/>
      <c r="S47" s="79" t="str">
        <f aca="false">IF($A47&amp;$B47="","",IF($A47="","Missing ID",IF(COUNTIF($A$6:$A$105,$A47)&gt;1,"Duplicate ID",IF($B47="","Missing name",IF($T47="","Unknown category",IF(AND(OR($N47="Market price",$N47="NAV"),$O47=""),"No price",IF(AND(ISNUMBER($P47),$P47&gt;ValDate),"Price after valuation","OK")))))))</f>
        <v/>
      </c>
      <c r="T47" s="89" t="str">
        <f aca="true">IF($E47="","",IFERROR(MATCH($E47,L_Category,0),""))</f>
        <v/>
      </c>
    </row>
    <row r="48" customFormat="false" ht="15" hidden="false" customHeight="false" outlineLevel="0" collapsed="false">
      <c r="A48" s="77"/>
      <c r="B48" s="78"/>
      <c r="C48" s="78"/>
      <c r="D48" s="78"/>
      <c r="E48" s="78"/>
      <c r="F48" s="79" t="str">
        <f aca="true">IF($T48="","",INDEX(L_CatAsset,$T48)&amp;"")</f>
        <v/>
      </c>
      <c r="G48" s="78"/>
      <c r="H48" s="79" t="str">
        <f aca="true">IF($A48="","",IF($G48&lt;&gt;"",$G48,IF($T48="","",INDEX(L_CatBasket,$T48)&amp;"")))</f>
        <v/>
      </c>
      <c r="I48" s="78"/>
      <c r="J48" s="78"/>
      <c r="K48" s="78"/>
      <c r="L48" s="79" t="str">
        <f aca="true">IF($A48="","",IF($K48&lt;&gt;"",$K48,IF($T48="","",INDEX(L_CatBench,$T48)&amp;"")))</f>
        <v/>
      </c>
      <c r="M48" s="78"/>
      <c r="N48" s="78"/>
      <c r="O48" s="94"/>
      <c r="P48" s="80"/>
      <c r="Q48" s="94"/>
      <c r="R48" s="78"/>
      <c r="S48" s="79" t="str">
        <f aca="false">IF($A48&amp;$B48="","",IF($A48="","Missing ID",IF(COUNTIF($A$6:$A$105,$A48)&gt;1,"Duplicate ID",IF($B48="","Missing name",IF($T48="","Unknown category",IF(AND(OR($N48="Market price",$N48="NAV"),$O48=""),"No price",IF(AND(ISNUMBER($P48),$P48&gt;ValDate),"Price after valuation","OK")))))))</f>
        <v/>
      </c>
      <c r="T48" s="89" t="str">
        <f aca="true">IF($E48="","",IFERROR(MATCH($E48,L_Category,0),""))</f>
        <v/>
      </c>
    </row>
    <row r="49" customFormat="false" ht="15" hidden="false" customHeight="false" outlineLevel="0" collapsed="false">
      <c r="A49" s="77"/>
      <c r="B49" s="78"/>
      <c r="C49" s="78"/>
      <c r="D49" s="78"/>
      <c r="E49" s="78"/>
      <c r="F49" s="79" t="str">
        <f aca="true">IF($T49="","",INDEX(L_CatAsset,$T49)&amp;"")</f>
        <v/>
      </c>
      <c r="G49" s="78"/>
      <c r="H49" s="79" t="str">
        <f aca="true">IF($A49="","",IF($G49&lt;&gt;"",$G49,IF($T49="","",INDEX(L_CatBasket,$T49)&amp;"")))</f>
        <v/>
      </c>
      <c r="I49" s="78"/>
      <c r="J49" s="78"/>
      <c r="K49" s="78"/>
      <c r="L49" s="79" t="str">
        <f aca="true">IF($A49="","",IF($K49&lt;&gt;"",$K49,IF($T49="","",INDEX(L_CatBench,$T49)&amp;"")))</f>
        <v/>
      </c>
      <c r="M49" s="78"/>
      <c r="N49" s="78"/>
      <c r="O49" s="94"/>
      <c r="P49" s="80"/>
      <c r="Q49" s="94"/>
      <c r="R49" s="78"/>
      <c r="S49" s="79" t="str">
        <f aca="false">IF($A49&amp;$B49="","",IF($A49="","Missing ID",IF(COUNTIF($A$6:$A$105,$A49)&gt;1,"Duplicate ID",IF($B49="","Missing name",IF($T49="","Unknown category",IF(AND(OR($N49="Market price",$N49="NAV"),$O49=""),"No price",IF(AND(ISNUMBER($P49),$P49&gt;ValDate),"Price after valuation","OK")))))))</f>
        <v/>
      </c>
      <c r="T49" s="89" t="str">
        <f aca="true">IF($E49="","",IFERROR(MATCH($E49,L_Category,0),""))</f>
        <v/>
      </c>
    </row>
    <row r="50" customFormat="false" ht="15" hidden="false" customHeight="false" outlineLevel="0" collapsed="false">
      <c r="A50" s="77"/>
      <c r="B50" s="78"/>
      <c r="C50" s="78"/>
      <c r="D50" s="78"/>
      <c r="E50" s="78"/>
      <c r="F50" s="79" t="str">
        <f aca="true">IF($T50="","",INDEX(L_CatAsset,$T50)&amp;"")</f>
        <v/>
      </c>
      <c r="G50" s="78"/>
      <c r="H50" s="79" t="str">
        <f aca="true">IF($A50="","",IF($G50&lt;&gt;"",$G50,IF($T50="","",INDEX(L_CatBasket,$T50)&amp;"")))</f>
        <v/>
      </c>
      <c r="I50" s="78"/>
      <c r="J50" s="78"/>
      <c r="K50" s="78"/>
      <c r="L50" s="79" t="str">
        <f aca="true">IF($A50="","",IF($K50&lt;&gt;"",$K50,IF($T50="","",INDEX(L_CatBench,$T50)&amp;"")))</f>
        <v/>
      </c>
      <c r="M50" s="78"/>
      <c r="N50" s="78"/>
      <c r="O50" s="94"/>
      <c r="P50" s="80"/>
      <c r="Q50" s="94"/>
      <c r="R50" s="78"/>
      <c r="S50" s="79" t="str">
        <f aca="false">IF($A50&amp;$B50="","",IF($A50="","Missing ID",IF(COUNTIF($A$6:$A$105,$A50)&gt;1,"Duplicate ID",IF($B50="","Missing name",IF($T50="","Unknown category",IF(AND(OR($N50="Market price",$N50="NAV"),$O50=""),"No price",IF(AND(ISNUMBER($P50),$P50&gt;ValDate),"Price after valuation","OK")))))))</f>
        <v/>
      </c>
      <c r="T50" s="89" t="str">
        <f aca="true">IF($E50="","",IFERROR(MATCH($E50,L_Category,0),""))</f>
        <v/>
      </c>
    </row>
    <row r="51" customFormat="false" ht="15" hidden="false" customHeight="false" outlineLevel="0" collapsed="false">
      <c r="A51" s="77"/>
      <c r="B51" s="78"/>
      <c r="C51" s="78"/>
      <c r="D51" s="78"/>
      <c r="E51" s="78"/>
      <c r="F51" s="79" t="str">
        <f aca="true">IF($T51="","",INDEX(L_CatAsset,$T51)&amp;"")</f>
        <v/>
      </c>
      <c r="G51" s="78"/>
      <c r="H51" s="79" t="str">
        <f aca="true">IF($A51="","",IF($G51&lt;&gt;"",$G51,IF($T51="","",INDEX(L_CatBasket,$T51)&amp;"")))</f>
        <v/>
      </c>
      <c r="I51" s="78"/>
      <c r="J51" s="78"/>
      <c r="K51" s="78"/>
      <c r="L51" s="79" t="str">
        <f aca="true">IF($A51="","",IF($K51&lt;&gt;"",$K51,IF($T51="","",INDEX(L_CatBench,$T51)&amp;"")))</f>
        <v/>
      </c>
      <c r="M51" s="78"/>
      <c r="N51" s="78"/>
      <c r="O51" s="94"/>
      <c r="P51" s="80"/>
      <c r="Q51" s="94"/>
      <c r="R51" s="78"/>
      <c r="S51" s="79" t="str">
        <f aca="false">IF($A51&amp;$B51="","",IF($A51="","Missing ID",IF(COUNTIF($A$6:$A$105,$A51)&gt;1,"Duplicate ID",IF($B51="","Missing name",IF($T51="","Unknown category",IF(AND(OR($N51="Market price",$N51="NAV"),$O51=""),"No price",IF(AND(ISNUMBER($P51),$P51&gt;ValDate),"Price after valuation","OK")))))))</f>
        <v/>
      </c>
      <c r="T51" s="89" t="str">
        <f aca="true">IF($E51="","",IFERROR(MATCH($E51,L_Category,0),""))</f>
        <v/>
      </c>
    </row>
    <row r="52" customFormat="false" ht="15" hidden="false" customHeight="false" outlineLevel="0" collapsed="false">
      <c r="A52" s="77"/>
      <c r="B52" s="78"/>
      <c r="C52" s="78"/>
      <c r="D52" s="78"/>
      <c r="E52" s="78"/>
      <c r="F52" s="79" t="str">
        <f aca="true">IF($T52="","",INDEX(L_CatAsset,$T52)&amp;"")</f>
        <v/>
      </c>
      <c r="G52" s="78"/>
      <c r="H52" s="79" t="str">
        <f aca="true">IF($A52="","",IF($G52&lt;&gt;"",$G52,IF($T52="","",INDEX(L_CatBasket,$T52)&amp;"")))</f>
        <v/>
      </c>
      <c r="I52" s="78"/>
      <c r="J52" s="78"/>
      <c r="K52" s="78"/>
      <c r="L52" s="79" t="str">
        <f aca="true">IF($A52="","",IF($K52&lt;&gt;"",$K52,IF($T52="","",INDEX(L_CatBench,$T52)&amp;"")))</f>
        <v/>
      </c>
      <c r="M52" s="78"/>
      <c r="N52" s="78"/>
      <c r="O52" s="94"/>
      <c r="P52" s="80"/>
      <c r="Q52" s="94"/>
      <c r="R52" s="78"/>
      <c r="S52" s="79" t="str">
        <f aca="false">IF($A52&amp;$B52="","",IF($A52="","Missing ID",IF(COUNTIF($A$6:$A$105,$A52)&gt;1,"Duplicate ID",IF($B52="","Missing name",IF($T52="","Unknown category",IF(AND(OR($N52="Market price",$N52="NAV"),$O52=""),"No price",IF(AND(ISNUMBER($P52),$P52&gt;ValDate),"Price after valuation","OK")))))))</f>
        <v/>
      </c>
      <c r="T52" s="89" t="str">
        <f aca="true">IF($E52="","",IFERROR(MATCH($E52,L_Category,0),""))</f>
        <v/>
      </c>
    </row>
    <row r="53" customFormat="false" ht="15" hidden="false" customHeight="false" outlineLevel="0" collapsed="false">
      <c r="A53" s="77"/>
      <c r="B53" s="78"/>
      <c r="C53" s="78"/>
      <c r="D53" s="78"/>
      <c r="E53" s="78"/>
      <c r="F53" s="79" t="str">
        <f aca="true">IF($T53="","",INDEX(L_CatAsset,$T53)&amp;"")</f>
        <v/>
      </c>
      <c r="G53" s="78"/>
      <c r="H53" s="79" t="str">
        <f aca="true">IF($A53="","",IF($G53&lt;&gt;"",$G53,IF($T53="","",INDEX(L_CatBasket,$T53)&amp;"")))</f>
        <v/>
      </c>
      <c r="I53" s="78"/>
      <c r="J53" s="78"/>
      <c r="K53" s="78"/>
      <c r="L53" s="79" t="str">
        <f aca="true">IF($A53="","",IF($K53&lt;&gt;"",$K53,IF($T53="","",INDEX(L_CatBench,$T53)&amp;"")))</f>
        <v/>
      </c>
      <c r="M53" s="78"/>
      <c r="N53" s="78"/>
      <c r="O53" s="94"/>
      <c r="P53" s="80"/>
      <c r="Q53" s="94"/>
      <c r="R53" s="78"/>
      <c r="S53" s="79" t="str">
        <f aca="false">IF($A53&amp;$B53="","",IF($A53="","Missing ID",IF(COUNTIF($A$6:$A$105,$A53)&gt;1,"Duplicate ID",IF($B53="","Missing name",IF($T53="","Unknown category",IF(AND(OR($N53="Market price",$N53="NAV"),$O53=""),"No price",IF(AND(ISNUMBER($P53),$P53&gt;ValDate),"Price after valuation","OK")))))))</f>
        <v/>
      </c>
      <c r="T53" s="89" t="str">
        <f aca="true">IF($E53="","",IFERROR(MATCH($E53,L_Category,0),""))</f>
        <v/>
      </c>
    </row>
    <row r="54" customFormat="false" ht="15" hidden="false" customHeight="false" outlineLevel="0" collapsed="false">
      <c r="A54" s="77"/>
      <c r="B54" s="78"/>
      <c r="C54" s="78"/>
      <c r="D54" s="78"/>
      <c r="E54" s="78"/>
      <c r="F54" s="79" t="str">
        <f aca="true">IF($T54="","",INDEX(L_CatAsset,$T54)&amp;"")</f>
        <v/>
      </c>
      <c r="G54" s="78"/>
      <c r="H54" s="79" t="str">
        <f aca="true">IF($A54="","",IF($G54&lt;&gt;"",$G54,IF($T54="","",INDEX(L_CatBasket,$T54)&amp;"")))</f>
        <v/>
      </c>
      <c r="I54" s="78"/>
      <c r="J54" s="78"/>
      <c r="K54" s="78"/>
      <c r="L54" s="79" t="str">
        <f aca="true">IF($A54="","",IF($K54&lt;&gt;"",$K54,IF($T54="","",INDEX(L_CatBench,$T54)&amp;"")))</f>
        <v/>
      </c>
      <c r="M54" s="78"/>
      <c r="N54" s="78"/>
      <c r="O54" s="94"/>
      <c r="P54" s="80"/>
      <c r="Q54" s="94"/>
      <c r="R54" s="78"/>
      <c r="S54" s="79" t="str">
        <f aca="false">IF($A54&amp;$B54="","",IF($A54="","Missing ID",IF(COUNTIF($A$6:$A$105,$A54)&gt;1,"Duplicate ID",IF($B54="","Missing name",IF($T54="","Unknown category",IF(AND(OR($N54="Market price",$N54="NAV"),$O54=""),"No price",IF(AND(ISNUMBER($P54),$P54&gt;ValDate),"Price after valuation","OK")))))))</f>
        <v/>
      </c>
      <c r="T54" s="89" t="str">
        <f aca="true">IF($E54="","",IFERROR(MATCH($E54,L_Category,0),""))</f>
        <v/>
      </c>
    </row>
    <row r="55" customFormat="false" ht="15" hidden="false" customHeight="false" outlineLevel="0" collapsed="false">
      <c r="A55" s="77"/>
      <c r="B55" s="78"/>
      <c r="C55" s="78"/>
      <c r="D55" s="78"/>
      <c r="E55" s="78"/>
      <c r="F55" s="79" t="str">
        <f aca="true">IF($T55="","",INDEX(L_CatAsset,$T55)&amp;"")</f>
        <v/>
      </c>
      <c r="G55" s="78"/>
      <c r="H55" s="79" t="str">
        <f aca="true">IF($A55="","",IF($G55&lt;&gt;"",$G55,IF($T55="","",INDEX(L_CatBasket,$T55)&amp;"")))</f>
        <v/>
      </c>
      <c r="I55" s="78"/>
      <c r="J55" s="78"/>
      <c r="K55" s="78"/>
      <c r="L55" s="79" t="str">
        <f aca="true">IF($A55="","",IF($K55&lt;&gt;"",$K55,IF($T55="","",INDEX(L_CatBench,$T55)&amp;"")))</f>
        <v/>
      </c>
      <c r="M55" s="78"/>
      <c r="N55" s="78"/>
      <c r="O55" s="94"/>
      <c r="P55" s="80"/>
      <c r="Q55" s="94"/>
      <c r="R55" s="78"/>
      <c r="S55" s="79" t="str">
        <f aca="false">IF($A55&amp;$B55="","",IF($A55="","Missing ID",IF(COUNTIF($A$6:$A$105,$A55)&gt;1,"Duplicate ID",IF($B55="","Missing name",IF($T55="","Unknown category",IF(AND(OR($N55="Market price",$N55="NAV"),$O55=""),"No price",IF(AND(ISNUMBER($P55),$P55&gt;ValDate),"Price after valuation","OK")))))))</f>
        <v/>
      </c>
      <c r="T55" s="89" t="str">
        <f aca="true">IF($E55="","",IFERROR(MATCH($E55,L_Category,0),""))</f>
        <v/>
      </c>
    </row>
    <row r="56" customFormat="false" ht="15" hidden="false" customHeight="false" outlineLevel="0" collapsed="false">
      <c r="A56" s="77"/>
      <c r="B56" s="78"/>
      <c r="C56" s="78"/>
      <c r="D56" s="78"/>
      <c r="E56" s="78"/>
      <c r="F56" s="79" t="str">
        <f aca="true">IF($T56="","",INDEX(L_CatAsset,$T56)&amp;"")</f>
        <v/>
      </c>
      <c r="G56" s="78"/>
      <c r="H56" s="79" t="str">
        <f aca="true">IF($A56="","",IF($G56&lt;&gt;"",$G56,IF($T56="","",INDEX(L_CatBasket,$T56)&amp;"")))</f>
        <v/>
      </c>
      <c r="I56" s="78"/>
      <c r="J56" s="78"/>
      <c r="K56" s="78"/>
      <c r="L56" s="79" t="str">
        <f aca="true">IF($A56="","",IF($K56&lt;&gt;"",$K56,IF($T56="","",INDEX(L_CatBench,$T56)&amp;"")))</f>
        <v/>
      </c>
      <c r="M56" s="78"/>
      <c r="N56" s="78"/>
      <c r="O56" s="94"/>
      <c r="P56" s="80"/>
      <c r="Q56" s="94"/>
      <c r="R56" s="78"/>
      <c r="S56" s="79" t="str">
        <f aca="false">IF($A56&amp;$B56="","",IF($A56="","Missing ID",IF(COUNTIF($A$6:$A$105,$A56)&gt;1,"Duplicate ID",IF($B56="","Missing name",IF($T56="","Unknown category",IF(AND(OR($N56="Market price",$N56="NAV"),$O56=""),"No price",IF(AND(ISNUMBER($P56),$P56&gt;ValDate),"Price after valuation","OK")))))))</f>
        <v/>
      </c>
      <c r="T56" s="89" t="str">
        <f aca="true">IF($E56="","",IFERROR(MATCH($E56,L_Category,0),""))</f>
        <v/>
      </c>
    </row>
    <row r="57" customFormat="false" ht="15" hidden="false" customHeight="false" outlineLevel="0" collapsed="false">
      <c r="A57" s="77"/>
      <c r="B57" s="78"/>
      <c r="C57" s="78"/>
      <c r="D57" s="78"/>
      <c r="E57" s="78"/>
      <c r="F57" s="79" t="str">
        <f aca="true">IF($T57="","",INDEX(L_CatAsset,$T57)&amp;"")</f>
        <v/>
      </c>
      <c r="G57" s="78"/>
      <c r="H57" s="79" t="str">
        <f aca="true">IF($A57="","",IF($G57&lt;&gt;"",$G57,IF($T57="","",INDEX(L_CatBasket,$T57)&amp;"")))</f>
        <v/>
      </c>
      <c r="I57" s="78"/>
      <c r="J57" s="78"/>
      <c r="K57" s="78"/>
      <c r="L57" s="79" t="str">
        <f aca="true">IF($A57="","",IF($K57&lt;&gt;"",$K57,IF($T57="","",INDEX(L_CatBench,$T57)&amp;"")))</f>
        <v/>
      </c>
      <c r="M57" s="78"/>
      <c r="N57" s="78"/>
      <c r="O57" s="94"/>
      <c r="P57" s="80"/>
      <c r="Q57" s="94"/>
      <c r="R57" s="78"/>
      <c r="S57" s="79" t="str">
        <f aca="false">IF($A57&amp;$B57="","",IF($A57="","Missing ID",IF(COUNTIF($A$6:$A$105,$A57)&gt;1,"Duplicate ID",IF($B57="","Missing name",IF($T57="","Unknown category",IF(AND(OR($N57="Market price",$N57="NAV"),$O57=""),"No price",IF(AND(ISNUMBER($P57),$P57&gt;ValDate),"Price after valuation","OK")))))))</f>
        <v/>
      </c>
      <c r="T57" s="89" t="str">
        <f aca="true">IF($E57="","",IFERROR(MATCH($E57,L_Category,0),""))</f>
        <v/>
      </c>
    </row>
    <row r="58" customFormat="false" ht="15" hidden="false" customHeight="false" outlineLevel="0" collapsed="false">
      <c r="A58" s="77"/>
      <c r="B58" s="78"/>
      <c r="C58" s="78"/>
      <c r="D58" s="78"/>
      <c r="E58" s="78"/>
      <c r="F58" s="79" t="str">
        <f aca="true">IF($T58="","",INDEX(L_CatAsset,$T58)&amp;"")</f>
        <v/>
      </c>
      <c r="G58" s="78"/>
      <c r="H58" s="79" t="str">
        <f aca="true">IF($A58="","",IF($G58&lt;&gt;"",$G58,IF($T58="","",INDEX(L_CatBasket,$T58)&amp;"")))</f>
        <v/>
      </c>
      <c r="I58" s="78"/>
      <c r="J58" s="78"/>
      <c r="K58" s="78"/>
      <c r="L58" s="79" t="str">
        <f aca="true">IF($A58="","",IF($K58&lt;&gt;"",$K58,IF($T58="","",INDEX(L_CatBench,$T58)&amp;"")))</f>
        <v/>
      </c>
      <c r="M58" s="78"/>
      <c r="N58" s="78"/>
      <c r="O58" s="94"/>
      <c r="P58" s="80"/>
      <c r="Q58" s="94"/>
      <c r="R58" s="78"/>
      <c r="S58" s="79" t="str">
        <f aca="false">IF($A58&amp;$B58="","",IF($A58="","Missing ID",IF(COUNTIF($A$6:$A$105,$A58)&gt;1,"Duplicate ID",IF($B58="","Missing name",IF($T58="","Unknown category",IF(AND(OR($N58="Market price",$N58="NAV"),$O58=""),"No price",IF(AND(ISNUMBER($P58),$P58&gt;ValDate),"Price after valuation","OK")))))))</f>
        <v/>
      </c>
      <c r="T58" s="89" t="str">
        <f aca="true">IF($E58="","",IFERROR(MATCH($E58,L_Category,0),""))</f>
        <v/>
      </c>
    </row>
    <row r="59" customFormat="false" ht="15" hidden="false" customHeight="false" outlineLevel="0" collapsed="false">
      <c r="A59" s="77"/>
      <c r="B59" s="78"/>
      <c r="C59" s="78"/>
      <c r="D59" s="78"/>
      <c r="E59" s="78"/>
      <c r="F59" s="79" t="str">
        <f aca="true">IF($T59="","",INDEX(L_CatAsset,$T59)&amp;"")</f>
        <v/>
      </c>
      <c r="G59" s="78"/>
      <c r="H59" s="79" t="str">
        <f aca="true">IF($A59="","",IF($G59&lt;&gt;"",$G59,IF($T59="","",INDEX(L_CatBasket,$T59)&amp;"")))</f>
        <v/>
      </c>
      <c r="I59" s="78"/>
      <c r="J59" s="78"/>
      <c r="K59" s="78"/>
      <c r="L59" s="79" t="str">
        <f aca="true">IF($A59="","",IF($K59&lt;&gt;"",$K59,IF($T59="","",INDEX(L_CatBench,$T59)&amp;"")))</f>
        <v/>
      </c>
      <c r="M59" s="78"/>
      <c r="N59" s="78"/>
      <c r="O59" s="94"/>
      <c r="P59" s="80"/>
      <c r="Q59" s="94"/>
      <c r="R59" s="78"/>
      <c r="S59" s="79" t="str">
        <f aca="false">IF($A59&amp;$B59="","",IF($A59="","Missing ID",IF(COUNTIF($A$6:$A$105,$A59)&gt;1,"Duplicate ID",IF($B59="","Missing name",IF($T59="","Unknown category",IF(AND(OR($N59="Market price",$N59="NAV"),$O59=""),"No price",IF(AND(ISNUMBER($P59),$P59&gt;ValDate),"Price after valuation","OK")))))))</f>
        <v/>
      </c>
      <c r="T59" s="89" t="str">
        <f aca="true">IF($E59="","",IFERROR(MATCH($E59,L_Category,0),""))</f>
        <v/>
      </c>
    </row>
    <row r="60" customFormat="false" ht="15" hidden="false" customHeight="false" outlineLevel="0" collapsed="false">
      <c r="A60" s="77"/>
      <c r="B60" s="78"/>
      <c r="C60" s="78"/>
      <c r="D60" s="78"/>
      <c r="E60" s="78"/>
      <c r="F60" s="79" t="str">
        <f aca="true">IF($T60="","",INDEX(L_CatAsset,$T60)&amp;"")</f>
        <v/>
      </c>
      <c r="G60" s="78"/>
      <c r="H60" s="79" t="str">
        <f aca="true">IF($A60="","",IF($G60&lt;&gt;"",$G60,IF($T60="","",INDEX(L_CatBasket,$T60)&amp;"")))</f>
        <v/>
      </c>
      <c r="I60" s="78"/>
      <c r="J60" s="78"/>
      <c r="K60" s="78"/>
      <c r="L60" s="79" t="str">
        <f aca="true">IF($A60="","",IF($K60&lt;&gt;"",$K60,IF($T60="","",INDEX(L_CatBench,$T60)&amp;"")))</f>
        <v/>
      </c>
      <c r="M60" s="78"/>
      <c r="N60" s="78"/>
      <c r="O60" s="94"/>
      <c r="P60" s="80"/>
      <c r="Q60" s="94"/>
      <c r="R60" s="78"/>
      <c r="S60" s="79" t="str">
        <f aca="false">IF($A60&amp;$B60="","",IF($A60="","Missing ID",IF(COUNTIF($A$6:$A$105,$A60)&gt;1,"Duplicate ID",IF($B60="","Missing name",IF($T60="","Unknown category",IF(AND(OR($N60="Market price",$N60="NAV"),$O60=""),"No price",IF(AND(ISNUMBER($P60),$P60&gt;ValDate),"Price after valuation","OK")))))))</f>
        <v/>
      </c>
      <c r="T60" s="89" t="str">
        <f aca="true">IF($E60="","",IFERROR(MATCH($E60,L_Category,0),""))</f>
        <v/>
      </c>
    </row>
    <row r="61" customFormat="false" ht="15" hidden="false" customHeight="false" outlineLevel="0" collapsed="false">
      <c r="A61" s="77"/>
      <c r="B61" s="78"/>
      <c r="C61" s="78"/>
      <c r="D61" s="78"/>
      <c r="E61" s="78"/>
      <c r="F61" s="79" t="str">
        <f aca="true">IF($T61="","",INDEX(L_CatAsset,$T61)&amp;"")</f>
        <v/>
      </c>
      <c r="G61" s="78"/>
      <c r="H61" s="79" t="str">
        <f aca="true">IF($A61="","",IF($G61&lt;&gt;"",$G61,IF($T61="","",INDEX(L_CatBasket,$T61)&amp;"")))</f>
        <v/>
      </c>
      <c r="I61" s="78"/>
      <c r="J61" s="78"/>
      <c r="K61" s="78"/>
      <c r="L61" s="79" t="str">
        <f aca="true">IF($A61="","",IF($K61&lt;&gt;"",$K61,IF($T61="","",INDEX(L_CatBench,$T61)&amp;"")))</f>
        <v/>
      </c>
      <c r="M61" s="78"/>
      <c r="N61" s="78"/>
      <c r="O61" s="94"/>
      <c r="P61" s="80"/>
      <c r="Q61" s="94"/>
      <c r="R61" s="78"/>
      <c r="S61" s="79" t="str">
        <f aca="false">IF($A61&amp;$B61="","",IF($A61="","Missing ID",IF(COUNTIF($A$6:$A$105,$A61)&gt;1,"Duplicate ID",IF($B61="","Missing name",IF($T61="","Unknown category",IF(AND(OR($N61="Market price",$N61="NAV"),$O61=""),"No price",IF(AND(ISNUMBER($P61),$P61&gt;ValDate),"Price after valuation","OK")))))))</f>
        <v/>
      </c>
      <c r="T61" s="89" t="str">
        <f aca="true">IF($E61="","",IFERROR(MATCH($E61,L_Category,0),""))</f>
        <v/>
      </c>
    </row>
    <row r="62" customFormat="false" ht="15" hidden="false" customHeight="false" outlineLevel="0" collapsed="false">
      <c r="A62" s="77"/>
      <c r="B62" s="78"/>
      <c r="C62" s="78"/>
      <c r="D62" s="78"/>
      <c r="E62" s="78"/>
      <c r="F62" s="79" t="str">
        <f aca="true">IF($T62="","",INDEX(L_CatAsset,$T62)&amp;"")</f>
        <v/>
      </c>
      <c r="G62" s="78"/>
      <c r="H62" s="79" t="str">
        <f aca="true">IF($A62="","",IF($G62&lt;&gt;"",$G62,IF($T62="","",INDEX(L_CatBasket,$T62)&amp;"")))</f>
        <v/>
      </c>
      <c r="I62" s="78"/>
      <c r="J62" s="78"/>
      <c r="K62" s="78"/>
      <c r="L62" s="79" t="str">
        <f aca="true">IF($A62="","",IF($K62&lt;&gt;"",$K62,IF($T62="","",INDEX(L_CatBench,$T62)&amp;"")))</f>
        <v/>
      </c>
      <c r="M62" s="78"/>
      <c r="N62" s="78"/>
      <c r="O62" s="94"/>
      <c r="P62" s="80"/>
      <c r="Q62" s="94"/>
      <c r="R62" s="78"/>
      <c r="S62" s="79" t="str">
        <f aca="false">IF($A62&amp;$B62="","",IF($A62="","Missing ID",IF(COUNTIF($A$6:$A$105,$A62)&gt;1,"Duplicate ID",IF($B62="","Missing name",IF($T62="","Unknown category",IF(AND(OR($N62="Market price",$N62="NAV"),$O62=""),"No price",IF(AND(ISNUMBER($P62),$P62&gt;ValDate),"Price after valuation","OK")))))))</f>
        <v/>
      </c>
      <c r="T62" s="89" t="str">
        <f aca="true">IF($E62="","",IFERROR(MATCH($E62,L_Category,0),""))</f>
        <v/>
      </c>
    </row>
    <row r="63" customFormat="false" ht="15" hidden="false" customHeight="false" outlineLevel="0" collapsed="false">
      <c r="A63" s="77"/>
      <c r="B63" s="78"/>
      <c r="C63" s="78"/>
      <c r="D63" s="78"/>
      <c r="E63" s="78"/>
      <c r="F63" s="79" t="str">
        <f aca="true">IF($T63="","",INDEX(L_CatAsset,$T63)&amp;"")</f>
        <v/>
      </c>
      <c r="G63" s="78"/>
      <c r="H63" s="79" t="str">
        <f aca="true">IF($A63="","",IF($G63&lt;&gt;"",$G63,IF($T63="","",INDEX(L_CatBasket,$T63)&amp;"")))</f>
        <v/>
      </c>
      <c r="I63" s="78"/>
      <c r="J63" s="78"/>
      <c r="K63" s="78"/>
      <c r="L63" s="79" t="str">
        <f aca="true">IF($A63="","",IF($K63&lt;&gt;"",$K63,IF($T63="","",INDEX(L_CatBench,$T63)&amp;"")))</f>
        <v/>
      </c>
      <c r="M63" s="78"/>
      <c r="N63" s="78"/>
      <c r="O63" s="94"/>
      <c r="P63" s="80"/>
      <c r="Q63" s="94"/>
      <c r="R63" s="78"/>
      <c r="S63" s="79" t="str">
        <f aca="false">IF($A63&amp;$B63="","",IF($A63="","Missing ID",IF(COUNTIF($A$6:$A$105,$A63)&gt;1,"Duplicate ID",IF($B63="","Missing name",IF($T63="","Unknown category",IF(AND(OR($N63="Market price",$N63="NAV"),$O63=""),"No price",IF(AND(ISNUMBER($P63),$P63&gt;ValDate),"Price after valuation","OK")))))))</f>
        <v/>
      </c>
      <c r="T63" s="89" t="str">
        <f aca="true">IF($E63="","",IFERROR(MATCH($E63,L_Category,0),""))</f>
        <v/>
      </c>
    </row>
    <row r="64" customFormat="false" ht="15" hidden="false" customHeight="false" outlineLevel="0" collapsed="false">
      <c r="A64" s="77"/>
      <c r="B64" s="78"/>
      <c r="C64" s="78"/>
      <c r="D64" s="78"/>
      <c r="E64" s="78"/>
      <c r="F64" s="79" t="str">
        <f aca="true">IF($T64="","",INDEX(L_CatAsset,$T64)&amp;"")</f>
        <v/>
      </c>
      <c r="G64" s="78"/>
      <c r="H64" s="79" t="str">
        <f aca="true">IF($A64="","",IF($G64&lt;&gt;"",$G64,IF($T64="","",INDEX(L_CatBasket,$T64)&amp;"")))</f>
        <v/>
      </c>
      <c r="I64" s="78"/>
      <c r="J64" s="78"/>
      <c r="K64" s="78"/>
      <c r="L64" s="79" t="str">
        <f aca="true">IF($A64="","",IF($K64&lt;&gt;"",$K64,IF($T64="","",INDEX(L_CatBench,$T64)&amp;"")))</f>
        <v/>
      </c>
      <c r="M64" s="78"/>
      <c r="N64" s="78"/>
      <c r="O64" s="94"/>
      <c r="P64" s="80"/>
      <c r="Q64" s="94"/>
      <c r="R64" s="78"/>
      <c r="S64" s="79" t="str">
        <f aca="false">IF($A64&amp;$B64="","",IF($A64="","Missing ID",IF(COUNTIF($A$6:$A$105,$A64)&gt;1,"Duplicate ID",IF($B64="","Missing name",IF($T64="","Unknown category",IF(AND(OR($N64="Market price",$N64="NAV"),$O64=""),"No price",IF(AND(ISNUMBER($P64),$P64&gt;ValDate),"Price after valuation","OK")))))))</f>
        <v/>
      </c>
      <c r="T64" s="89" t="str">
        <f aca="true">IF($E64="","",IFERROR(MATCH($E64,L_Category,0),""))</f>
        <v/>
      </c>
    </row>
    <row r="65" customFormat="false" ht="15" hidden="false" customHeight="false" outlineLevel="0" collapsed="false">
      <c r="A65" s="77"/>
      <c r="B65" s="78"/>
      <c r="C65" s="78"/>
      <c r="D65" s="78"/>
      <c r="E65" s="78"/>
      <c r="F65" s="79" t="str">
        <f aca="true">IF($T65="","",INDEX(L_CatAsset,$T65)&amp;"")</f>
        <v/>
      </c>
      <c r="G65" s="78"/>
      <c r="H65" s="79" t="str">
        <f aca="true">IF($A65="","",IF($G65&lt;&gt;"",$G65,IF($T65="","",INDEX(L_CatBasket,$T65)&amp;"")))</f>
        <v/>
      </c>
      <c r="I65" s="78"/>
      <c r="J65" s="78"/>
      <c r="K65" s="78"/>
      <c r="L65" s="79" t="str">
        <f aca="true">IF($A65="","",IF($K65&lt;&gt;"",$K65,IF($T65="","",INDEX(L_CatBench,$T65)&amp;"")))</f>
        <v/>
      </c>
      <c r="M65" s="78"/>
      <c r="N65" s="78"/>
      <c r="O65" s="94"/>
      <c r="P65" s="80"/>
      <c r="Q65" s="94"/>
      <c r="R65" s="78"/>
      <c r="S65" s="79" t="str">
        <f aca="false">IF($A65&amp;$B65="","",IF($A65="","Missing ID",IF(COUNTIF($A$6:$A$105,$A65)&gt;1,"Duplicate ID",IF($B65="","Missing name",IF($T65="","Unknown category",IF(AND(OR($N65="Market price",$N65="NAV"),$O65=""),"No price",IF(AND(ISNUMBER($P65),$P65&gt;ValDate),"Price after valuation","OK")))))))</f>
        <v/>
      </c>
      <c r="T65" s="89" t="str">
        <f aca="true">IF($E65="","",IFERROR(MATCH($E65,L_Category,0),""))</f>
        <v/>
      </c>
    </row>
    <row r="66" customFormat="false" ht="15" hidden="false" customHeight="false" outlineLevel="0" collapsed="false">
      <c r="A66" s="77"/>
      <c r="B66" s="78"/>
      <c r="C66" s="78"/>
      <c r="D66" s="78"/>
      <c r="E66" s="78"/>
      <c r="F66" s="79" t="str">
        <f aca="true">IF($T66="","",INDEX(L_CatAsset,$T66)&amp;"")</f>
        <v/>
      </c>
      <c r="G66" s="78"/>
      <c r="H66" s="79" t="str">
        <f aca="true">IF($A66="","",IF($G66&lt;&gt;"",$G66,IF($T66="","",INDEX(L_CatBasket,$T66)&amp;"")))</f>
        <v/>
      </c>
      <c r="I66" s="78"/>
      <c r="J66" s="78"/>
      <c r="K66" s="78"/>
      <c r="L66" s="79" t="str">
        <f aca="true">IF($A66="","",IF($K66&lt;&gt;"",$K66,IF($T66="","",INDEX(L_CatBench,$T66)&amp;"")))</f>
        <v/>
      </c>
      <c r="M66" s="78"/>
      <c r="N66" s="78"/>
      <c r="O66" s="94"/>
      <c r="P66" s="80"/>
      <c r="Q66" s="94"/>
      <c r="R66" s="78"/>
      <c r="S66" s="79" t="str">
        <f aca="false">IF($A66&amp;$B66="","",IF($A66="","Missing ID",IF(COUNTIF($A$6:$A$105,$A66)&gt;1,"Duplicate ID",IF($B66="","Missing name",IF($T66="","Unknown category",IF(AND(OR($N66="Market price",$N66="NAV"),$O66=""),"No price",IF(AND(ISNUMBER($P66),$P66&gt;ValDate),"Price after valuation","OK")))))))</f>
        <v/>
      </c>
      <c r="T66" s="89" t="str">
        <f aca="true">IF($E66="","",IFERROR(MATCH($E66,L_Category,0),""))</f>
        <v/>
      </c>
    </row>
    <row r="67" customFormat="false" ht="15" hidden="false" customHeight="false" outlineLevel="0" collapsed="false">
      <c r="A67" s="77"/>
      <c r="B67" s="78"/>
      <c r="C67" s="78"/>
      <c r="D67" s="78"/>
      <c r="E67" s="78"/>
      <c r="F67" s="79" t="str">
        <f aca="true">IF($T67="","",INDEX(L_CatAsset,$T67)&amp;"")</f>
        <v/>
      </c>
      <c r="G67" s="78"/>
      <c r="H67" s="79" t="str">
        <f aca="true">IF($A67="","",IF($G67&lt;&gt;"",$G67,IF($T67="","",INDEX(L_CatBasket,$T67)&amp;"")))</f>
        <v/>
      </c>
      <c r="I67" s="78"/>
      <c r="J67" s="78"/>
      <c r="K67" s="78"/>
      <c r="L67" s="79" t="str">
        <f aca="true">IF($A67="","",IF($K67&lt;&gt;"",$K67,IF($T67="","",INDEX(L_CatBench,$T67)&amp;"")))</f>
        <v/>
      </c>
      <c r="M67" s="78"/>
      <c r="N67" s="78"/>
      <c r="O67" s="94"/>
      <c r="P67" s="80"/>
      <c r="Q67" s="94"/>
      <c r="R67" s="78"/>
      <c r="S67" s="79" t="str">
        <f aca="false">IF($A67&amp;$B67="","",IF($A67="","Missing ID",IF(COUNTIF($A$6:$A$105,$A67)&gt;1,"Duplicate ID",IF($B67="","Missing name",IF($T67="","Unknown category",IF(AND(OR($N67="Market price",$N67="NAV"),$O67=""),"No price",IF(AND(ISNUMBER($P67),$P67&gt;ValDate),"Price after valuation","OK")))))))</f>
        <v/>
      </c>
      <c r="T67" s="89" t="str">
        <f aca="true">IF($E67="","",IFERROR(MATCH($E67,L_Category,0),""))</f>
        <v/>
      </c>
    </row>
    <row r="68" customFormat="false" ht="15" hidden="false" customHeight="false" outlineLevel="0" collapsed="false">
      <c r="A68" s="77"/>
      <c r="B68" s="78"/>
      <c r="C68" s="78"/>
      <c r="D68" s="78"/>
      <c r="E68" s="78"/>
      <c r="F68" s="79" t="str">
        <f aca="true">IF($T68="","",INDEX(L_CatAsset,$T68)&amp;"")</f>
        <v/>
      </c>
      <c r="G68" s="78"/>
      <c r="H68" s="79" t="str">
        <f aca="true">IF($A68="","",IF($G68&lt;&gt;"",$G68,IF($T68="","",INDEX(L_CatBasket,$T68)&amp;"")))</f>
        <v/>
      </c>
      <c r="I68" s="78"/>
      <c r="J68" s="78"/>
      <c r="K68" s="78"/>
      <c r="L68" s="79" t="str">
        <f aca="true">IF($A68="","",IF($K68&lt;&gt;"",$K68,IF($T68="","",INDEX(L_CatBench,$T68)&amp;"")))</f>
        <v/>
      </c>
      <c r="M68" s="78"/>
      <c r="N68" s="78"/>
      <c r="O68" s="94"/>
      <c r="P68" s="80"/>
      <c r="Q68" s="94"/>
      <c r="R68" s="78"/>
      <c r="S68" s="79" t="str">
        <f aca="false">IF($A68&amp;$B68="","",IF($A68="","Missing ID",IF(COUNTIF($A$6:$A$105,$A68)&gt;1,"Duplicate ID",IF($B68="","Missing name",IF($T68="","Unknown category",IF(AND(OR($N68="Market price",$N68="NAV"),$O68=""),"No price",IF(AND(ISNUMBER($P68),$P68&gt;ValDate),"Price after valuation","OK")))))))</f>
        <v/>
      </c>
      <c r="T68" s="89" t="str">
        <f aca="true">IF($E68="","",IFERROR(MATCH($E68,L_Category,0),""))</f>
        <v/>
      </c>
    </row>
    <row r="69" customFormat="false" ht="15" hidden="false" customHeight="false" outlineLevel="0" collapsed="false">
      <c r="A69" s="77"/>
      <c r="B69" s="78"/>
      <c r="C69" s="78"/>
      <c r="D69" s="78"/>
      <c r="E69" s="78"/>
      <c r="F69" s="79" t="str">
        <f aca="true">IF($T69="","",INDEX(L_CatAsset,$T69)&amp;"")</f>
        <v/>
      </c>
      <c r="G69" s="78"/>
      <c r="H69" s="79" t="str">
        <f aca="true">IF($A69="","",IF($G69&lt;&gt;"",$G69,IF($T69="","",INDEX(L_CatBasket,$T69)&amp;"")))</f>
        <v/>
      </c>
      <c r="I69" s="78"/>
      <c r="J69" s="78"/>
      <c r="K69" s="78"/>
      <c r="L69" s="79" t="str">
        <f aca="true">IF($A69="","",IF($K69&lt;&gt;"",$K69,IF($T69="","",INDEX(L_CatBench,$T69)&amp;"")))</f>
        <v/>
      </c>
      <c r="M69" s="78"/>
      <c r="N69" s="78"/>
      <c r="O69" s="94"/>
      <c r="P69" s="80"/>
      <c r="Q69" s="94"/>
      <c r="R69" s="78"/>
      <c r="S69" s="79" t="str">
        <f aca="false">IF($A69&amp;$B69="","",IF($A69="","Missing ID",IF(COUNTIF($A$6:$A$105,$A69)&gt;1,"Duplicate ID",IF($B69="","Missing name",IF($T69="","Unknown category",IF(AND(OR($N69="Market price",$N69="NAV"),$O69=""),"No price",IF(AND(ISNUMBER($P69),$P69&gt;ValDate),"Price after valuation","OK")))))))</f>
        <v/>
      </c>
      <c r="T69" s="89" t="str">
        <f aca="true">IF($E69="","",IFERROR(MATCH($E69,L_Category,0),""))</f>
        <v/>
      </c>
    </row>
    <row r="70" customFormat="false" ht="15" hidden="false" customHeight="false" outlineLevel="0" collapsed="false">
      <c r="A70" s="77"/>
      <c r="B70" s="78"/>
      <c r="C70" s="78"/>
      <c r="D70" s="78"/>
      <c r="E70" s="78"/>
      <c r="F70" s="79" t="str">
        <f aca="true">IF($T70="","",INDEX(L_CatAsset,$T70)&amp;"")</f>
        <v/>
      </c>
      <c r="G70" s="78"/>
      <c r="H70" s="79" t="str">
        <f aca="true">IF($A70="","",IF($G70&lt;&gt;"",$G70,IF($T70="","",INDEX(L_CatBasket,$T70)&amp;"")))</f>
        <v/>
      </c>
      <c r="I70" s="78"/>
      <c r="J70" s="78"/>
      <c r="K70" s="78"/>
      <c r="L70" s="79" t="str">
        <f aca="true">IF($A70="","",IF($K70&lt;&gt;"",$K70,IF($T70="","",INDEX(L_CatBench,$T70)&amp;"")))</f>
        <v/>
      </c>
      <c r="M70" s="78"/>
      <c r="N70" s="78"/>
      <c r="O70" s="94"/>
      <c r="P70" s="80"/>
      <c r="Q70" s="94"/>
      <c r="R70" s="78"/>
      <c r="S70" s="79" t="str">
        <f aca="false">IF($A70&amp;$B70="","",IF($A70="","Missing ID",IF(COUNTIF($A$6:$A$105,$A70)&gt;1,"Duplicate ID",IF($B70="","Missing name",IF($T70="","Unknown category",IF(AND(OR($N70="Market price",$N70="NAV"),$O70=""),"No price",IF(AND(ISNUMBER($P70),$P70&gt;ValDate),"Price after valuation","OK")))))))</f>
        <v/>
      </c>
      <c r="T70" s="89" t="str">
        <f aca="true">IF($E70="","",IFERROR(MATCH($E70,L_Category,0),""))</f>
        <v/>
      </c>
    </row>
    <row r="71" customFormat="false" ht="15" hidden="false" customHeight="false" outlineLevel="0" collapsed="false">
      <c r="A71" s="77"/>
      <c r="B71" s="78"/>
      <c r="C71" s="78"/>
      <c r="D71" s="78"/>
      <c r="E71" s="78"/>
      <c r="F71" s="79" t="str">
        <f aca="true">IF($T71="","",INDEX(L_CatAsset,$T71)&amp;"")</f>
        <v/>
      </c>
      <c r="G71" s="78"/>
      <c r="H71" s="79" t="str">
        <f aca="true">IF($A71="","",IF($G71&lt;&gt;"",$G71,IF($T71="","",INDEX(L_CatBasket,$T71)&amp;"")))</f>
        <v/>
      </c>
      <c r="I71" s="78"/>
      <c r="J71" s="78"/>
      <c r="K71" s="78"/>
      <c r="L71" s="79" t="str">
        <f aca="true">IF($A71="","",IF($K71&lt;&gt;"",$K71,IF($T71="","",INDEX(L_CatBench,$T71)&amp;"")))</f>
        <v/>
      </c>
      <c r="M71" s="78"/>
      <c r="N71" s="78"/>
      <c r="O71" s="94"/>
      <c r="P71" s="80"/>
      <c r="Q71" s="94"/>
      <c r="R71" s="78"/>
      <c r="S71" s="79" t="str">
        <f aca="false">IF($A71&amp;$B71="","",IF($A71="","Missing ID",IF(COUNTIF($A$6:$A$105,$A71)&gt;1,"Duplicate ID",IF($B71="","Missing name",IF($T71="","Unknown category",IF(AND(OR($N71="Market price",$N71="NAV"),$O71=""),"No price",IF(AND(ISNUMBER($P71),$P71&gt;ValDate),"Price after valuation","OK")))))))</f>
        <v/>
      </c>
      <c r="T71" s="89" t="str">
        <f aca="true">IF($E71="","",IFERROR(MATCH($E71,L_Category,0),""))</f>
        <v/>
      </c>
    </row>
    <row r="72" customFormat="false" ht="15" hidden="false" customHeight="false" outlineLevel="0" collapsed="false">
      <c r="A72" s="77"/>
      <c r="B72" s="78"/>
      <c r="C72" s="78"/>
      <c r="D72" s="78"/>
      <c r="E72" s="78"/>
      <c r="F72" s="79" t="str">
        <f aca="true">IF($T72="","",INDEX(L_CatAsset,$T72)&amp;"")</f>
        <v/>
      </c>
      <c r="G72" s="78"/>
      <c r="H72" s="79" t="str">
        <f aca="true">IF($A72="","",IF($G72&lt;&gt;"",$G72,IF($T72="","",INDEX(L_CatBasket,$T72)&amp;"")))</f>
        <v/>
      </c>
      <c r="I72" s="78"/>
      <c r="J72" s="78"/>
      <c r="K72" s="78"/>
      <c r="L72" s="79" t="str">
        <f aca="true">IF($A72="","",IF($K72&lt;&gt;"",$K72,IF($T72="","",INDEX(L_CatBench,$T72)&amp;"")))</f>
        <v/>
      </c>
      <c r="M72" s="78"/>
      <c r="N72" s="78"/>
      <c r="O72" s="94"/>
      <c r="P72" s="80"/>
      <c r="Q72" s="94"/>
      <c r="R72" s="78"/>
      <c r="S72" s="79" t="str">
        <f aca="false">IF($A72&amp;$B72="","",IF($A72="","Missing ID",IF(COUNTIF($A$6:$A$105,$A72)&gt;1,"Duplicate ID",IF($B72="","Missing name",IF($T72="","Unknown category",IF(AND(OR($N72="Market price",$N72="NAV"),$O72=""),"No price",IF(AND(ISNUMBER($P72),$P72&gt;ValDate),"Price after valuation","OK")))))))</f>
        <v/>
      </c>
      <c r="T72" s="89" t="str">
        <f aca="true">IF($E72="","",IFERROR(MATCH($E72,L_Category,0),""))</f>
        <v/>
      </c>
    </row>
    <row r="73" customFormat="false" ht="15" hidden="false" customHeight="false" outlineLevel="0" collapsed="false">
      <c r="A73" s="77"/>
      <c r="B73" s="78"/>
      <c r="C73" s="78"/>
      <c r="D73" s="78"/>
      <c r="E73" s="78"/>
      <c r="F73" s="79" t="str">
        <f aca="true">IF($T73="","",INDEX(L_CatAsset,$T73)&amp;"")</f>
        <v/>
      </c>
      <c r="G73" s="78"/>
      <c r="H73" s="79" t="str">
        <f aca="true">IF($A73="","",IF($G73&lt;&gt;"",$G73,IF($T73="","",INDEX(L_CatBasket,$T73)&amp;"")))</f>
        <v/>
      </c>
      <c r="I73" s="78"/>
      <c r="J73" s="78"/>
      <c r="K73" s="78"/>
      <c r="L73" s="79" t="str">
        <f aca="true">IF($A73="","",IF($K73&lt;&gt;"",$K73,IF($T73="","",INDEX(L_CatBench,$T73)&amp;"")))</f>
        <v/>
      </c>
      <c r="M73" s="78"/>
      <c r="N73" s="78"/>
      <c r="O73" s="94"/>
      <c r="P73" s="80"/>
      <c r="Q73" s="94"/>
      <c r="R73" s="78"/>
      <c r="S73" s="79" t="str">
        <f aca="false">IF($A73&amp;$B73="","",IF($A73="","Missing ID",IF(COUNTIF($A$6:$A$105,$A73)&gt;1,"Duplicate ID",IF($B73="","Missing name",IF($T73="","Unknown category",IF(AND(OR($N73="Market price",$N73="NAV"),$O73=""),"No price",IF(AND(ISNUMBER($P73),$P73&gt;ValDate),"Price after valuation","OK")))))))</f>
        <v/>
      </c>
      <c r="T73" s="89" t="str">
        <f aca="true">IF($E73="","",IFERROR(MATCH($E73,L_Category,0),""))</f>
        <v/>
      </c>
    </row>
    <row r="74" customFormat="false" ht="15" hidden="false" customHeight="false" outlineLevel="0" collapsed="false">
      <c r="A74" s="77"/>
      <c r="B74" s="78"/>
      <c r="C74" s="78"/>
      <c r="D74" s="78"/>
      <c r="E74" s="78"/>
      <c r="F74" s="79" t="str">
        <f aca="true">IF($T74="","",INDEX(L_CatAsset,$T74)&amp;"")</f>
        <v/>
      </c>
      <c r="G74" s="78"/>
      <c r="H74" s="79" t="str">
        <f aca="true">IF($A74="","",IF($G74&lt;&gt;"",$G74,IF($T74="","",INDEX(L_CatBasket,$T74)&amp;"")))</f>
        <v/>
      </c>
      <c r="I74" s="78"/>
      <c r="J74" s="78"/>
      <c r="K74" s="78"/>
      <c r="L74" s="79" t="str">
        <f aca="true">IF($A74="","",IF($K74&lt;&gt;"",$K74,IF($T74="","",INDEX(L_CatBench,$T74)&amp;"")))</f>
        <v/>
      </c>
      <c r="M74" s="78"/>
      <c r="N74" s="78"/>
      <c r="O74" s="94"/>
      <c r="P74" s="80"/>
      <c r="Q74" s="94"/>
      <c r="R74" s="78"/>
      <c r="S74" s="79" t="str">
        <f aca="false">IF($A74&amp;$B74="","",IF($A74="","Missing ID",IF(COUNTIF($A$6:$A$105,$A74)&gt;1,"Duplicate ID",IF($B74="","Missing name",IF($T74="","Unknown category",IF(AND(OR($N74="Market price",$N74="NAV"),$O74=""),"No price",IF(AND(ISNUMBER($P74),$P74&gt;ValDate),"Price after valuation","OK")))))))</f>
        <v/>
      </c>
      <c r="T74" s="89" t="str">
        <f aca="true">IF($E74="","",IFERROR(MATCH($E74,L_Category,0),""))</f>
        <v/>
      </c>
    </row>
    <row r="75" customFormat="false" ht="15" hidden="false" customHeight="false" outlineLevel="0" collapsed="false">
      <c r="A75" s="77"/>
      <c r="B75" s="78"/>
      <c r="C75" s="78"/>
      <c r="D75" s="78"/>
      <c r="E75" s="78"/>
      <c r="F75" s="79" t="str">
        <f aca="true">IF($T75="","",INDEX(L_CatAsset,$T75)&amp;"")</f>
        <v/>
      </c>
      <c r="G75" s="78"/>
      <c r="H75" s="79" t="str">
        <f aca="true">IF($A75="","",IF($G75&lt;&gt;"",$G75,IF($T75="","",INDEX(L_CatBasket,$T75)&amp;"")))</f>
        <v/>
      </c>
      <c r="I75" s="78"/>
      <c r="J75" s="78"/>
      <c r="K75" s="78"/>
      <c r="L75" s="79" t="str">
        <f aca="true">IF($A75="","",IF($K75&lt;&gt;"",$K75,IF($T75="","",INDEX(L_CatBench,$T75)&amp;"")))</f>
        <v/>
      </c>
      <c r="M75" s="78"/>
      <c r="N75" s="78"/>
      <c r="O75" s="94"/>
      <c r="P75" s="80"/>
      <c r="Q75" s="94"/>
      <c r="R75" s="78"/>
      <c r="S75" s="79" t="str">
        <f aca="false">IF($A75&amp;$B75="","",IF($A75="","Missing ID",IF(COUNTIF($A$6:$A$105,$A75)&gt;1,"Duplicate ID",IF($B75="","Missing name",IF($T75="","Unknown category",IF(AND(OR($N75="Market price",$N75="NAV"),$O75=""),"No price",IF(AND(ISNUMBER($P75),$P75&gt;ValDate),"Price after valuation","OK")))))))</f>
        <v/>
      </c>
      <c r="T75" s="89" t="str">
        <f aca="true">IF($E75="","",IFERROR(MATCH($E75,L_Category,0),""))</f>
        <v/>
      </c>
    </row>
    <row r="76" customFormat="false" ht="15" hidden="false" customHeight="false" outlineLevel="0" collapsed="false">
      <c r="A76" s="77"/>
      <c r="B76" s="78"/>
      <c r="C76" s="78"/>
      <c r="D76" s="78"/>
      <c r="E76" s="78"/>
      <c r="F76" s="79" t="str">
        <f aca="true">IF($T76="","",INDEX(L_CatAsset,$T76)&amp;"")</f>
        <v/>
      </c>
      <c r="G76" s="78"/>
      <c r="H76" s="79" t="str">
        <f aca="true">IF($A76="","",IF($G76&lt;&gt;"",$G76,IF($T76="","",INDEX(L_CatBasket,$T76)&amp;"")))</f>
        <v/>
      </c>
      <c r="I76" s="78"/>
      <c r="J76" s="78"/>
      <c r="K76" s="78"/>
      <c r="L76" s="79" t="str">
        <f aca="true">IF($A76="","",IF($K76&lt;&gt;"",$K76,IF($T76="","",INDEX(L_CatBench,$T76)&amp;"")))</f>
        <v/>
      </c>
      <c r="M76" s="78"/>
      <c r="N76" s="78"/>
      <c r="O76" s="94"/>
      <c r="P76" s="80"/>
      <c r="Q76" s="94"/>
      <c r="R76" s="78"/>
      <c r="S76" s="79" t="str">
        <f aca="false">IF($A76&amp;$B76="","",IF($A76="","Missing ID",IF(COUNTIF($A$6:$A$105,$A76)&gt;1,"Duplicate ID",IF($B76="","Missing name",IF($T76="","Unknown category",IF(AND(OR($N76="Market price",$N76="NAV"),$O76=""),"No price",IF(AND(ISNUMBER($P76),$P76&gt;ValDate),"Price after valuation","OK")))))))</f>
        <v/>
      </c>
      <c r="T76" s="89" t="str">
        <f aca="true">IF($E76="","",IFERROR(MATCH($E76,L_Category,0),""))</f>
        <v/>
      </c>
    </row>
    <row r="77" customFormat="false" ht="15" hidden="false" customHeight="false" outlineLevel="0" collapsed="false">
      <c r="A77" s="77"/>
      <c r="B77" s="78"/>
      <c r="C77" s="78"/>
      <c r="D77" s="78"/>
      <c r="E77" s="78"/>
      <c r="F77" s="79" t="str">
        <f aca="true">IF($T77="","",INDEX(L_CatAsset,$T77)&amp;"")</f>
        <v/>
      </c>
      <c r="G77" s="78"/>
      <c r="H77" s="79" t="str">
        <f aca="true">IF($A77="","",IF($G77&lt;&gt;"",$G77,IF($T77="","",INDEX(L_CatBasket,$T77)&amp;"")))</f>
        <v/>
      </c>
      <c r="I77" s="78"/>
      <c r="J77" s="78"/>
      <c r="K77" s="78"/>
      <c r="L77" s="79" t="str">
        <f aca="true">IF($A77="","",IF($K77&lt;&gt;"",$K77,IF($T77="","",INDEX(L_CatBench,$T77)&amp;"")))</f>
        <v/>
      </c>
      <c r="M77" s="78"/>
      <c r="N77" s="78"/>
      <c r="O77" s="94"/>
      <c r="P77" s="80"/>
      <c r="Q77" s="94"/>
      <c r="R77" s="78"/>
      <c r="S77" s="79" t="str">
        <f aca="false">IF($A77&amp;$B77="","",IF($A77="","Missing ID",IF(COUNTIF($A$6:$A$105,$A77)&gt;1,"Duplicate ID",IF($B77="","Missing name",IF($T77="","Unknown category",IF(AND(OR($N77="Market price",$N77="NAV"),$O77=""),"No price",IF(AND(ISNUMBER($P77),$P77&gt;ValDate),"Price after valuation","OK")))))))</f>
        <v/>
      </c>
      <c r="T77" s="89" t="str">
        <f aca="true">IF($E77="","",IFERROR(MATCH($E77,L_Category,0),""))</f>
        <v/>
      </c>
    </row>
    <row r="78" customFormat="false" ht="15" hidden="false" customHeight="false" outlineLevel="0" collapsed="false">
      <c r="A78" s="77"/>
      <c r="B78" s="78"/>
      <c r="C78" s="78"/>
      <c r="D78" s="78"/>
      <c r="E78" s="78"/>
      <c r="F78" s="79" t="str">
        <f aca="true">IF($T78="","",INDEX(L_CatAsset,$T78)&amp;"")</f>
        <v/>
      </c>
      <c r="G78" s="78"/>
      <c r="H78" s="79" t="str">
        <f aca="true">IF($A78="","",IF($G78&lt;&gt;"",$G78,IF($T78="","",INDEX(L_CatBasket,$T78)&amp;"")))</f>
        <v/>
      </c>
      <c r="I78" s="78"/>
      <c r="J78" s="78"/>
      <c r="K78" s="78"/>
      <c r="L78" s="79" t="str">
        <f aca="true">IF($A78="","",IF($K78&lt;&gt;"",$K78,IF($T78="","",INDEX(L_CatBench,$T78)&amp;"")))</f>
        <v/>
      </c>
      <c r="M78" s="78"/>
      <c r="N78" s="78"/>
      <c r="O78" s="94"/>
      <c r="P78" s="80"/>
      <c r="Q78" s="94"/>
      <c r="R78" s="78"/>
      <c r="S78" s="79" t="str">
        <f aca="false">IF($A78&amp;$B78="","",IF($A78="","Missing ID",IF(COUNTIF($A$6:$A$105,$A78)&gt;1,"Duplicate ID",IF($B78="","Missing name",IF($T78="","Unknown category",IF(AND(OR($N78="Market price",$N78="NAV"),$O78=""),"No price",IF(AND(ISNUMBER($P78),$P78&gt;ValDate),"Price after valuation","OK")))))))</f>
        <v/>
      </c>
      <c r="T78" s="89" t="str">
        <f aca="true">IF($E78="","",IFERROR(MATCH($E78,L_Category,0),""))</f>
        <v/>
      </c>
    </row>
    <row r="79" customFormat="false" ht="15" hidden="false" customHeight="false" outlineLevel="0" collapsed="false">
      <c r="A79" s="77"/>
      <c r="B79" s="78"/>
      <c r="C79" s="78"/>
      <c r="D79" s="78"/>
      <c r="E79" s="78"/>
      <c r="F79" s="79" t="str">
        <f aca="true">IF($T79="","",INDEX(L_CatAsset,$T79)&amp;"")</f>
        <v/>
      </c>
      <c r="G79" s="78"/>
      <c r="H79" s="79" t="str">
        <f aca="true">IF($A79="","",IF($G79&lt;&gt;"",$G79,IF($T79="","",INDEX(L_CatBasket,$T79)&amp;"")))</f>
        <v/>
      </c>
      <c r="I79" s="78"/>
      <c r="J79" s="78"/>
      <c r="K79" s="78"/>
      <c r="L79" s="79" t="str">
        <f aca="true">IF($A79="","",IF($K79&lt;&gt;"",$K79,IF($T79="","",INDEX(L_CatBench,$T79)&amp;"")))</f>
        <v/>
      </c>
      <c r="M79" s="78"/>
      <c r="N79" s="78"/>
      <c r="O79" s="94"/>
      <c r="P79" s="80"/>
      <c r="Q79" s="94"/>
      <c r="R79" s="78"/>
      <c r="S79" s="79" t="str">
        <f aca="false">IF($A79&amp;$B79="","",IF($A79="","Missing ID",IF(COUNTIF($A$6:$A$105,$A79)&gt;1,"Duplicate ID",IF($B79="","Missing name",IF($T79="","Unknown category",IF(AND(OR($N79="Market price",$N79="NAV"),$O79=""),"No price",IF(AND(ISNUMBER($P79),$P79&gt;ValDate),"Price after valuation","OK")))))))</f>
        <v/>
      </c>
      <c r="T79" s="89" t="str">
        <f aca="true">IF($E79="","",IFERROR(MATCH($E79,L_Category,0),""))</f>
        <v/>
      </c>
    </row>
    <row r="80" customFormat="false" ht="15" hidden="false" customHeight="false" outlineLevel="0" collapsed="false">
      <c r="A80" s="77"/>
      <c r="B80" s="78"/>
      <c r="C80" s="78"/>
      <c r="D80" s="78"/>
      <c r="E80" s="78"/>
      <c r="F80" s="79" t="str">
        <f aca="true">IF($T80="","",INDEX(L_CatAsset,$T80)&amp;"")</f>
        <v/>
      </c>
      <c r="G80" s="78"/>
      <c r="H80" s="79" t="str">
        <f aca="true">IF($A80="","",IF($G80&lt;&gt;"",$G80,IF($T80="","",INDEX(L_CatBasket,$T80)&amp;"")))</f>
        <v/>
      </c>
      <c r="I80" s="78"/>
      <c r="J80" s="78"/>
      <c r="K80" s="78"/>
      <c r="L80" s="79" t="str">
        <f aca="true">IF($A80="","",IF($K80&lt;&gt;"",$K80,IF($T80="","",INDEX(L_CatBench,$T80)&amp;"")))</f>
        <v/>
      </c>
      <c r="M80" s="78"/>
      <c r="N80" s="78"/>
      <c r="O80" s="94"/>
      <c r="P80" s="80"/>
      <c r="Q80" s="94"/>
      <c r="R80" s="78"/>
      <c r="S80" s="79" t="str">
        <f aca="false">IF($A80&amp;$B80="","",IF($A80="","Missing ID",IF(COUNTIF($A$6:$A$105,$A80)&gt;1,"Duplicate ID",IF($B80="","Missing name",IF($T80="","Unknown category",IF(AND(OR($N80="Market price",$N80="NAV"),$O80=""),"No price",IF(AND(ISNUMBER($P80),$P80&gt;ValDate),"Price after valuation","OK")))))))</f>
        <v/>
      </c>
      <c r="T80" s="89" t="str">
        <f aca="true">IF($E80="","",IFERROR(MATCH($E80,L_Category,0),""))</f>
        <v/>
      </c>
    </row>
    <row r="81" customFormat="false" ht="15" hidden="false" customHeight="false" outlineLevel="0" collapsed="false">
      <c r="A81" s="77"/>
      <c r="B81" s="78"/>
      <c r="C81" s="78"/>
      <c r="D81" s="78"/>
      <c r="E81" s="78"/>
      <c r="F81" s="79" t="str">
        <f aca="true">IF($T81="","",INDEX(L_CatAsset,$T81)&amp;"")</f>
        <v/>
      </c>
      <c r="G81" s="78"/>
      <c r="H81" s="79" t="str">
        <f aca="true">IF($A81="","",IF($G81&lt;&gt;"",$G81,IF($T81="","",INDEX(L_CatBasket,$T81)&amp;"")))</f>
        <v/>
      </c>
      <c r="I81" s="78"/>
      <c r="J81" s="78"/>
      <c r="K81" s="78"/>
      <c r="L81" s="79" t="str">
        <f aca="true">IF($A81="","",IF($K81&lt;&gt;"",$K81,IF($T81="","",INDEX(L_CatBench,$T81)&amp;"")))</f>
        <v/>
      </c>
      <c r="M81" s="78"/>
      <c r="N81" s="78"/>
      <c r="O81" s="94"/>
      <c r="P81" s="80"/>
      <c r="Q81" s="94"/>
      <c r="R81" s="78"/>
      <c r="S81" s="79" t="str">
        <f aca="false">IF($A81&amp;$B81="","",IF($A81="","Missing ID",IF(COUNTIF($A$6:$A$105,$A81)&gt;1,"Duplicate ID",IF($B81="","Missing name",IF($T81="","Unknown category",IF(AND(OR($N81="Market price",$N81="NAV"),$O81=""),"No price",IF(AND(ISNUMBER($P81),$P81&gt;ValDate),"Price after valuation","OK")))))))</f>
        <v/>
      </c>
      <c r="T81" s="89" t="str">
        <f aca="true">IF($E81="","",IFERROR(MATCH($E81,L_Category,0),""))</f>
        <v/>
      </c>
    </row>
    <row r="82" customFormat="false" ht="15" hidden="false" customHeight="false" outlineLevel="0" collapsed="false">
      <c r="A82" s="77"/>
      <c r="B82" s="78"/>
      <c r="C82" s="78"/>
      <c r="D82" s="78"/>
      <c r="E82" s="78"/>
      <c r="F82" s="79" t="str">
        <f aca="true">IF($T82="","",INDEX(L_CatAsset,$T82)&amp;"")</f>
        <v/>
      </c>
      <c r="G82" s="78"/>
      <c r="H82" s="79" t="str">
        <f aca="true">IF($A82="","",IF($G82&lt;&gt;"",$G82,IF($T82="","",INDEX(L_CatBasket,$T82)&amp;"")))</f>
        <v/>
      </c>
      <c r="I82" s="78"/>
      <c r="J82" s="78"/>
      <c r="K82" s="78"/>
      <c r="L82" s="79" t="str">
        <f aca="true">IF($A82="","",IF($K82&lt;&gt;"",$K82,IF($T82="","",INDEX(L_CatBench,$T82)&amp;"")))</f>
        <v/>
      </c>
      <c r="M82" s="78"/>
      <c r="N82" s="78"/>
      <c r="O82" s="94"/>
      <c r="P82" s="80"/>
      <c r="Q82" s="94"/>
      <c r="R82" s="78"/>
      <c r="S82" s="79" t="str">
        <f aca="false">IF($A82&amp;$B82="","",IF($A82="","Missing ID",IF(COUNTIF($A$6:$A$105,$A82)&gt;1,"Duplicate ID",IF($B82="","Missing name",IF($T82="","Unknown category",IF(AND(OR($N82="Market price",$N82="NAV"),$O82=""),"No price",IF(AND(ISNUMBER($P82),$P82&gt;ValDate),"Price after valuation","OK")))))))</f>
        <v/>
      </c>
      <c r="T82" s="89" t="str">
        <f aca="true">IF($E82="","",IFERROR(MATCH($E82,L_Category,0),""))</f>
        <v/>
      </c>
    </row>
    <row r="83" customFormat="false" ht="15" hidden="false" customHeight="false" outlineLevel="0" collapsed="false">
      <c r="A83" s="77"/>
      <c r="B83" s="78"/>
      <c r="C83" s="78"/>
      <c r="D83" s="78"/>
      <c r="E83" s="78"/>
      <c r="F83" s="79" t="str">
        <f aca="true">IF($T83="","",INDEX(L_CatAsset,$T83)&amp;"")</f>
        <v/>
      </c>
      <c r="G83" s="78"/>
      <c r="H83" s="79" t="str">
        <f aca="true">IF($A83="","",IF($G83&lt;&gt;"",$G83,IF($T83="","",INDEX(L_CatBasket,$T83)&amp;"")))</f>
        <v/>
      </c>
      <c r="I83" s="78"/>
      <c r="J83" s="78"/>
      <c r="K83" s="78"/>
      <c r="L83" s="79" t="str">
        <f aca="true">IF($A83="","",IF($K83&lt;&gt;"",$K83,IF($T83="","",INDEX(L_CatBench,$T83)&amp;"")))</f>
        <v/>
      </c>
      <c r="M83" s="78"/>
      <c r="N83" s="78"/>
      <c r="O83" s="94"/>
      <c r="P83" s="80"/>
      <c r="Q83" s="94"/>
      <c r="R83" s="78"/>
      <c r="S83" s="79" t="str">
        <f aca="false">IF($A83&amp;$B83="","",IF($A83="","Missing ID",IF(COUNTIF($A$6:$A$105,$A83)&gt;1,"Duplicate ID",IF($B83="","Missing name",IF($T83="","Unknown category",IF(AND(OR($N83="Market price",$N83="NAV"),$O83=""),"No price",IF(AND(ISNUMBER($P83),$P83&gt;ValDate),"Price after valuation","OK")))))))</f>
        <v/>
      </c>
      <c r="T83" s="89" t="str">
        <f aca="true">IF($E83="","",IFERROR(MATCH($E83,L_Category,0),""))</f>
        <v/>
      </c>
    </row>
    <row r="84" customFormat="false" ht="15" hidden="false" customHeight="false" outlineLevel="0" collapsed="false">
      <c r="A84" s="77"/>
      <c r="B84" s="78"/>
      <c r="C84" s="78"/>
      <c r="D84" s="78"/>
      <c r="E84" s="78"/>
      <c r="F84" s="79" t="str">
        <f aca="true">IF($T84="","",INDEX(L_CatAsset,$T84)&amp;"")</f>
        <v/>
      </c>
      <c r="G84" s="78"/>
      <c r="H84" s="79" t="str">
        <f aca="true">IF($A84="","",IF($G84&lt;&gt;"",$G84,IF($T84="","",INDEX(L_CatBasket,$T84)&amp;"")))</f>
        <v/>
      </c>
      <c r="I84" s="78"/>
      <c r="J84" s="78"/>
      <c r="K84" s="78"/>
      <c r="L84" s="79" t="str">
        <f aca="true">IF($A84="","",IF($K84&lt;&gt;"",$K84,IF($T84="","",INDEX(L_CatBench,$T84)&amp;"")))</f>
        <v/>
      </c>
      <c r="M84" s="78"/>
      <c r="N84" s="78"/>
      <c r="O84" s="94"/>
      <c r="P84" s="80"/>
      <c r="Q84" s="94"/>
      <c r="R84" s="78"/>
      <c r="S84" s="79" t="str">
        <f aca="false">IF($A84&amp;$B84="","",IF($A84="","Missing ID",IF(COUNTIF($A$6:$A$105,$A84)&gt;1,"Duplicate ID",IF($B84="","Missing name",IF($T84="","Unknown category",IF(AND(OR($N84="Market price",$N84="NAV"),$O84=""),"No price",IF(AND(ISNUMBER($P84),$P84&gt;ValDate),"Price after valuation","OK")))))))</f>
        <v/>
      </c>
      <c r="T84" s="89" t="str">
        <f aca="true">IF($E84="","",IFERROR(MATCH($E84,L_Category,0),""))</f>
        <v/>
      </c>
    </row>
    <row r="85" customFormat="false" ht="15" hidden="false" customHeight="false" outlineLevel="0" collapsed="false">
      <c r="A85" s="77"/>
      <c r="B85" s="78"/>
      <c r="C85" s="78"/>
      <c r="D85" s="78"/>
      <c r="E85" s="78"/>
      <c r="F85" s="79" t="str">
        <f aca="true">IF($T85="","",INDEX(L_CatAsset,$T85)&amp;"")</f>
        <v/>
      </c>
      <c r="G85" s="78"/>
      <c r="H85" s="79" t="str">
        <f aca="true">IF($A85="","",IF($G85&lt;&gt;"",$G85,IF($T85="","",INDEX(L_CatBasket,$T85)&amp;"")))</f>
        <v/>
      </c>
      <c r="I85" s="78"/>
      <c r="J85" s="78"/>
      <c r="K85" s="78"/>
      <c r="L85" s="79" t="str">
        <f aca="true">IF($A85="","",IF($K85&lt;&gt;"",$K85,IF($T85="","",INDEX(L_CatBench,$T85)&amp;"")))</f>
        <v/>
      </c>
      <c r="M85" s="78"/>
      <c r="N85" s="78"/>
      <c r="O85" s="94"/>
      <c r="P85" s="80"/>
      <c r="Q85" s="94"/>
      <c r="R85" s="78"/>
      <c r="S85" s="79" t="str">
        <f aca="false">IF($A85&amp;$B85="","",IF($A85="","Missing ID",IF(COUNTIF($A$6:$A$105,$A85)&gt;1,"Duplicate ID",IF($B85="","Missing name",IF($T85="","Unknown category",IF(AND(OR($N85="Market price",$N85="NAV"),$O85=""),"No price",IF(AND(ISNUMBER($P85),$P85&gt;ValDate),"Price after valuation","OK")))))))</f>
        <v/>
      </c>
      <c r="T85" s="89" t="str">
        <f aca="true">IF($E85="","",IFERROR(MATCH($E85,L_Category,0),""))</f>
        <v/>
      </c>
    </row>
    <row r="86" customFormat="false" ht="15" hidden="false" customHeight="false" outlineLevel="0" collapsed="false">
      <c r="A86" s="77"/>
      <c r="B86" s="78"/>
      <c r="C86" s="78"/>
      <c r="D86" s="78"/>
      <c r="E86" s="78"/>
      <c r="F86" s="79" t="str">
        <f aca="true">IF($T86="","",INDEX(L_CatAsset,$T86)&amp;"")</f>
        <v/>
      </c>
      <c r="G86" s="78"/>
      <c r="H86" s="79" t="str">
        <f aca="true">IF($A86="","",IF($G86&lt;&gt;"",$G86,IF($T86="","",INDEX(L_CatBasket,$T86)&amp;"")))</f>
        <v/>
      </c>
      <c r="I86" s="78"/>
      <c r="J86" s="78"/>
      <c r="K86" s="78"/>
      <c r="L86" s="79" t="str">
        <f aca="true">IF($A86="","",IF($K86&lt;&gt;"",$K86,IF($T86="","",INDEX(L_CatBench,$T86)&amp;"")))</f>
        <v/>
      </c>
      <c r="M86" s="78"/>
      <c r="N86" s="78"/>
      <c r="O86" s="94"/>
      <c r="P86" s="80"/>
      <c r="Q86" s="94"/>
      <c r="R86" s="78"/>
      <c r="S86" s="79" t="str">
        <f aca="false">IF($A86&amp;$B86="","",IF($A86="","Missing ID",IF(COUNTIF($A$6:$A$105,$A86)&gt;1,"Duplicate ID",IF($B86="","Missing name",IF($T86="","Unknown category",IF(AND(OR($N86="Market price",$N86="NAV"),$O86=""),"No price",IF(AND(ISNUMBER($P86),$P86&gt;ValDate),"Price after valuation","OK")))))))</f>
        <v/>
      </c>
      <c r="T86" s="89" t="str">
        <f aca="true">IF($E86="","",IFERROR(MATCH($E86,L_Category,0),""))</f>
        <v/>
      </c>
    </row>
    <row r="87" customFormat="false" ht="15" hidden="false" customHeight="false" outlineLevel="0" collapsed="false">
      <c r="A87" s="77"/>
      <c r="B87" s="78"/>
      <c r="C87" s="78"/>
      <c r="D87" s="78"/>
      <c r="E87" s="78"/>
      <c r="F87" s="79" t="str">
        <f aca="true">IF($T87="","",INDEX(L_CatAsset,$T87)&amp;"")</f>
        <v/>
      </c>
      <c r="G87" s="78"/>
      <c r="H87" s="79" t="str">
        <f aca="true">IF($A87="","",IF($G87&lt;&gt;"",$G87,IF($T87="","",INDEX(L_CatBasket,$T87)&amp;"")))</f>
        <v/>
      </c>
      <c r="I87" s="78"/>
      <c r="J87" s="78"/>
      <c r="K87" s="78"/>
      <c r="L87" s="79" t="str">
        <f aca="true">IF($A87="","",IF($K87&lt;&gt;"",$K87,IF($T87="","",INDEX(L_CatBench,$T87)&amp;"")))</f>
        <v/>
      </c>
      <c r="M87" s="78"/>
      <c r="N87" s="78"/>
      <c r="O87" s="94"/>
      <c r="P87" s="80"/>
      <c r="Q87" s="94"/>
      <c r="R87" s="78"/>
      <c r="S87" s="79" t="str">
        <f aca="false">IF($A87&amp;$B87="","",IF($A87="","Missing ID",IF(COUNTIF($A$6:$A$105,$A87)&gt;1,"Duplicate ID",IF($B87="","Missing name",IF($T87="","Unknown category",IF(AND(OR($N87="Market price",$N87="NAV"),$O87=""),"No price",IF(AND(ISNUMBER($P87),$P87&gt;ValDate),"Price after valuation","OK")))))))</f>
        <v/>
      </c>
      <c r="T87" s="89" t="str">
        <f aca="true">IF($E87="","",IFERROR(MATCH($E87,L_Category,0),""))</f>
        <v/>
      </c>
    </row>
    <row r="88" customFormat="false" ht="15" hidden="false" customHeight="false" outlineLevel="0" collapsed="false">
      <c r="A88" s="77"/>
      <c r="B88" s="78"/>
      <c r="C88" s="78"/>
      <c r="D88" s="78"/>
      <c r="E88" s="78"/>
      <c r="F88" s="79" t="str">
        <f aca="true">IF($T88="","",INDEX(L_CatAsset,$T88)&amp;"")</f>
        <v/>
      </c>
      <c r="G88" s="78"/>
      <c r="H88" s="79" t="str">
        <f aca="true">IF($A88="","",IF($G88&lt;&gt;"",$G88,IF($T88="","",INDEX(L_CatBasket,$T88)&amp;"")))</f>
        <v/>
      </c>
      <c r="I88" s="78"/>
      <c r="J88" s="78"/>
      <c r="K88" s="78"/>
      <c r="L88" s="79" t="str">
        <f aca="true">IF($A88="","",IF($K88&lt;&gt;"",$K88,IF($T88="","",INDEX(L_CatBench,$T88)&amp;"")))</f>
        <v/>
      </c>
      <c r="M88" s="78"/>
      <c r="N88" s="78"/>
      <c r="O88" s="94"/>
      <c r="P88" s="80"/>
      <c r="Q88" s="94"/>
      <c r="R88" s="78"/>
      <c r="S88" s="79" t="str">
        <f aca="false">IF($A88&amp;$B88="","",IF($A88="","Missing ID",IF(COUNTIF($A$6:$A$105,$A88)&gt;1,"Duplicate ID",IF($B88="","Missing name",IF($T88="","Unknown category",IF(AND(OR($N88="Market price",$N88="NAV"),$O88=""),"No price",IF(AND(ISNUMBER($P88),$P88&gt;ValDate),"Price after valuation","OK")))))))</f>
        <v/>
      </c>
      <c r="T88" s="89" t="str">
        <f aca="true">IF($E88="","",IFERROR(MATCH($E88,L_Category,0),""))</f>
        <v/>
      </c>
    </row>
    <row r="89" customFormat="false" ht="15" hidden="false" customHeight="false" outlineLevel="0" collapsed="false">
      <c r="A89" s="77"/>
      <c r="B89" s="78"/>
      <c r="C89" s="78"/>
      <c r="D89" s="78"/>
      <c r="E89" s="78"/>
      <c r="F89" s="79" t="str">
        <f aca="true">IF($T89="","",INDEX(L_CatAsset,$T89)&amp;"")</f>
        <v/>
      </c>
      <c r="G89" s="78"/>
      <c r="H89" s="79" t="str">
        <f aca="true">IF($A89="","",IF($G89&lt;&gt;"",$G89,IF($T89="","",INDEX(L_CatBasket,$T89)&amp;"")))</f>
        <v/>
      </c>
      <c r="I89" s="78"/>
      <c r="J89" s="78"/>
      <c r="K89" s="78"/>
      <c r="L89" s="79" t="str">
        <f aca="true">IF($A89="","",IF($K89&lt;&gt;"",$K89,IF($T89="","",INDEX(L_CatBench,$T89)&amp;"")))</f>
        <v/>
      </c>
      <c r="M89" s="78"/>
      <c r="N89" s="78"/>
      <c r="O89" s="94"/>
      <c r="P89" s="80"/>
      <c r="Q89" s="94"/>
      <c r="R89" s="78"/>
      <c r="S89" s="79" t="str">
        <f aca="false">IF($A89&amp;$B89="","",IF($A89="","Missing ID",IF(COUNTIF($A$6:$A$105,$A89)&gt;1,"Duplicate ID",IF($B89="","Missing name",IF($T89="","Unknown category",IF(AND(OR($N89="Market price",$N89="NAV"),$O89=""),"No price",IF(AND(ISNUMBER($P89),$P89&gt;ValDate),"Price after valuation","OK")))))))</f>
        <v/>
      </c>
      <c r="T89" s="89" t="str">
        <f aca="true">IF($E89="","",IFERROR(MATCH($E89,L_Category,0),""))</f>
        <v/>
      </c>
    </row>
    <row r="90" customFormat="false" ht="15" hidden="false" customHeight="false" outlineLevel="0" collapsed="false">
      <c r="A90" s="77"/>
      <c r="B90" s="78"/>
      <c r="C90" s="78"/>
      <c r="D90" s="78"/>
      <c r="E90" s="78"/>
      <c r="F90" s="79" t="str">
        <f aca="true">IF($T90="","",INDEX(L_CatAsset,$T90)&amp;"")</f>
        <v/>
      </c>
      <c r="G90" s="78"/>
      <c r="H90" s="79" t="str">
        <f aca="true">IF($A90="","",IF($G90&lt;&gt;"",$G90,IF($T90="","",INDEX(L_CatBasket,$T90)&amp;"")))</f>
        <v/>
      </c>
      <c r="I90" s="78"/>
      <c r="J90" s="78"/>
      <c r="K90" s="78"/>
      <c r="L90" s="79" t="str">
        <f aca="true">IF($A90="","",IF($K90&lt;&gt;"",$K90,IF($T90="","",INDEX(L_CatBench,$T90)&amp;"")))</f>
        <v/>
      </c>
      <c r="M90" s="78"/>
      <c r="N90" s="78"/>
      <c r="O90" s="94"/>
      <c r="P90" s="80"/>
      <c r="Q90" s="94"/>
      <c r="R90" s="78"/>
      <c r="S90" s="79" t="str">
        <f aca="false">IF($A90&amp;$B90="","",IF($A90="","Missing ID",IF(COUNTIF($A$6:$A$105,$A90)&gt;1,"Duplicate ID",IF($B90="","Missing name",IF($T90="","Unknown category",IF(AND(OR($N90="Market price",$N90="NAV"),$O90=""),"No price",IF(AND(ISNUMBER($P90),$P90&gt;ValDate),"Price after valuation","OK")))))))</f>
        <v/>
      </c>
      <c r="T90" s="89" t="str">
        <f aca="true">IF($E90="","",IFERROR(MATCH($E90,L_Category,0),""))</f>
        <v/>
      </c>
    </row>
    <row r="91" customFormat="false" ht="15" hidden="false" customHeight="false" outlineLevel="0" collapsed="false">
      <c r="A91" s="77"/>
      <c r="B91" s="78"/>
      <c r="C91" s="78"/>
      <c r="D91" s="78"/>
      <c r="E91" s="78"/>
      <c r="F91" s="79" t="str">
        <f aca="true">IF($T91="","",INDEX(L_CatAsset,$T91)&amp;"")</f>
        <v/>
      </c>
      <c r="G91" s="78"/>
      <c r="H91" s="79" t="str">
        <f aca="true">IF($A91="","",IF($G91&lt;&gt;"",$G91,IF($T91="","",INDEX(L_CatBasket,$T91)&amp;"")))</f>
        <v/>
      </c>
      <c r="I91" s="78"/>
      <c r="J91" s="78"/>
      <c r="K91" s="78"/>
      <c r="L91" s="79" t="str">
        <f aca="true">IF($A91="","",IF($K91&lt;&gt;"",$K91,IF($T91="","",INDEX(L_CatBench,$T91)&amp;"")))</f>
        <v/>
      </c>
      <c r="M91" s="78"/>
      <c r="N91" s="78"/>
      <c r="O91" s="94"/>
      <c r="P91" s="80"/>
      <c r="Q91" s="94"/>
      <c r="R91" s="78"/>
      <c r="S91" s="79" t="str">
        <f aca="false">IF($A91&amp;$B91="","",IF($A91="","Missing ID",IF(COUNTIF($A$6:$A$105,$A91)&gt;1,"Duplicate ID",IF($B91="","Missing name",IF($T91="","Unknown category",IF(AND(OR($N91="Market price",$N91="NAV"),$O91=""),"No price",IF(AND(ISNUMBER($P91),$P91&gt;ValDate),"Price after valuation","OK")))))))</f>
        <v/>
      </c>
      <c r="T91" s="89" t="str">
        <f aca="true">IF($E91="","",IFERROR(MATCH($E91,L_Category,0),""))</f>
        <v/>
      </c>
    </row>
    <row r="92" customFormat="false" ht="15" hidden="false" customHeight="false" outlineLevel="0" collapsed="false">
      <c r="A92" s="77"/>
      <c r="B92" s="78"/>
      <c r="C92" s="78"/>
      <c r="D92" s="78"/>
      <c r="E92" s="78"/>
      <c r="F92" s="79" t="str">
        <f aca="true">IF($T92="","",INDEX(L_CatAsset,$T92)&amp;"")</f>
        <v/>
      </c>
      <c r="G92" s="78"/>
      <c r="H92" s="79" t="str">
        <f aca="true">IF($A92="","",IF($G92&lt;&gt;"",$G92,IF($T92="","",INDEX(L_CatBasket,$T92)&amp;"")))</f>
        <v/>
      </c>
      <c r="I92" s="78"/>
      <c r="J92" s="78"/>
      <c r="K92" s="78"/>
      <c r="L92" s="79" t="str">
        <f aca="true">IF($A92="","",IF($K92&lt;&gt;"",$K92,IF($T92="","",INDEX(L_CatBench,$T92)&amp;"")))</f>
        <v/>
      </c>
      <c r="M92" s="78"/>
      <c r="N92" s="78"/>
      <c r="O92" s="94"/>
      <c r="P92" s="80"/>
      <c r="Q92" s="94"/>
      <c r="R92" s="78"/>
      <c r="S92" s="79" t="str">
        <f aca="false">IF($A92&amp;$B92="","",IF($A92="","Missing ID",IF(COUNTIF($A$6:$A$105,$A92)&gt;1,"Duplicate ID",IF($B92="","Missing name",IF($T92="","Unknown category",IF(AND(OR($N92="Market price",$N92="NAV"),$O92=""),"No price",IF(AND(ISNUMBER($P92),$P92&gt;ValDate),"Price after valuation","OK")))))))</f>
        <v/>
      </c>
      <c r="T92" s="89" t="str">
        <f aca="true">IF($E92="","",IFERROR(MATCH($E92,L_Category,0),""))</f>
        <v/>
      </c>
    </row>
    <row r="93" customFormat="false" ht="15" hidden="false" customHeight="false" outlineLevel="0" collapsed="false">
      <c r="A93" s="77"/>
      <c r="B93" s="78"/>
      <c r="C93" s="78"/>
      <c r="D93" s="78"/>
      <c r="E93" s="78"/>
      <c r="F93" s="79" t="str">
        <f aca="true">IF($T93="","",INDEX(L_CatAsset,$T93)&amp;"")</f>
        <v/>
      </c>
      <c r="G93" s="78"/>
      <c r="H93" s="79" t="str">
        <f aca="true">IF($A93="","",IF($G93&lt;&gt;"",$G93,IF($T93="","",INDEX(L_CatBasket,$T93)&amp;"")))</f>
        <v/>
      </c>
      <c r="I93" s="78"/>
      <c r="J93" s="78"/>
      <c r="K93" s="78"/>
      <c r="L93" s="79" t="str">
        <f aca="true">IF($A93="","",IF($K93&lt;&gt;"",$K93,IF($T93="","",INDEX(L_CatBench,$T93)&amp;"")))</f>
        <v/>
      </c>
      <c r="M93" s="78"/>
      <c r="N93" s="78"/>
      <c r="O93" s="94"/>
      <c r="P93" s="80"/>
      <c r="Q93" s="94"/>
      <c r="R93" s="78"/>
      <c r="S93" s="79" t="str">
        <f aca="false">IF($A93&amp;$B93="","",IF($A93="","Missing ID",IF(COUNTIF($A$6:$A$105,$A93)&gt;1,"Duplicate ID",IF($B93="","Missing name",IF($T93="","Unknown category",IF(AND(OR($N93="Market price",$N93="NAV"),$O93=""),"No price",IF(AND(ISNUMBER($P93),$P93&gt;ValDate),"Price after valuation","OK")))))))</f>
        <v/>
      </c>
      <c r="T93" s="89" t="str">
        <f aca="true">IF($E93="","",IFERROR(MATCH($E93,L_Category,0),""))</f>
        <v/>
      </c>
    </row>
    <row r="94" customFormat="false" ht="15" hidden="false" customHeight="false" outlineLevel="0" collapsed="false">
      <c r="A94" s="77"/>
      <c r="B94" s="78"/>
      <c r="C94" s="78"/>
      <c r="D94" s="78"/>
      <c r="E94" s="78"/>
      <c r="F94" s="79" t="str">
        <f aca="true">IF($T94="","",INDEX(L_CatAsset,$T94)&amp;"")</f>
        <v/>
      </c>
      <c r="G94" s="78"/>
      <c r="H94" s="79" t="str">
        <f aca="true">IF($A94="","",IF($G94&lt;&gt;"",$G94,IF($T94="","",INDEX(L_CatBasket,$T94)&amp;"")))</f>
        <v/>
      </c>
      <c r="I94" s="78"/>
      <c r="J94" s="78"/>
      <c r="K94" s="78"/>
      <c r="L94" s="79" t="str">
        <f aca="true">IF($A94="","",IF($K94&lt;&gt;"",$K94,IF($T94="","",INDEX(L_CatBench,$T94)&amp;"")))</f>
        <v/>
      </c>
      <c r="M94" s="78"/>
      <c r="N94" s="78"/>
      <c r="O94" s="94"/>
      <c r="P94" s="80"/>
      <c r="Q94" s="94"/>
      <c r="R94" s="78"/>
      <c r="S94" s="79" t="str">
        <f aca="false">IF($A94&amp;$B94="","",IF($A94="","Missing ID",IF(COUNTIF($A$6:$A$105,$A94)&gt;1,"Duplicate ID",IF($B94="","Missing name",IF($T94="","Unknown category",IF(AND(OR($N94="Market price",$N94="NAV"),$O94=""),"No price",IF(AND(ISNUMBER($P94),$P94&gt;ValDate),"Price after valuation","OK")))))))</f>
        <v/>
      </c>
      <c r="T94" s="89" t="str">
        <f aca="true">IF($E94="","",IFERROR(MATCH($E94,L_Category,0),""))</f>
        <v/>
      </c>
    </row>
    <row r="95" customFormat="false" ht="15" hidden="false" customHeight="false" outlineLevel="0" collapsed="false">
      <c r="A95" s="77"/>
      <c r="B95" s="78"/>
      <c r="C95" s="78"/>
      <c r="D95" s="78"/>
      <c r="E95" s="78"/>
      <c r="F95" s="79" t="str">
        <f aca="true">IF($T95="","",INDEX(L_CatAsset,$T95)&amp;"")</f>
        <v/>
      </c>
      <c r="G95" s="78"/>
      <c r="H95" s="79" t="str">
        <f aca="true">IF($A95="","",IF($G95&lt;&gt;"",$G95,IF($T95="","",INDEX(L_CatBasket,$T95)&amp;"")))</f>
        <v/>
      </c>
      <c r="I95" s="78"/>
      <c r="J95" s="78"/>
      <c r="K95" s="78"/>
      <c r="L95" s="79" t="str">
        <f aca="true">IF($A95="","",IF($K95&lt;&gt;"",$K95,IF($T95="","",INDEX(L_CatBench,$T95)&amp;"")))</f>
        <v/>
      </c>
      <c r="M95" s="78"/>
      <c r="N95" s="78"/>
      <c r="O95" s="94"/>
      <c r="P95" s="80"/>
      <c r="Q95" s="94"/>
      <c r="R95" s="78"/>
      <c r="S95" s="79" t="str">
        <f aca="false">IF($A95&amp;$B95="","",IF($A95="","Missing ID",IF(COUNTIF($A$6:$A$105,$A95)&gt;1,"Duplicate ID",IF($B95="","Missing name",IF($T95="","Unknown category",IF(AND(OR($N95="Market price",$N95="NAV"),$O95=""),"No price",IF(AND(ISNUMBER($P95),$P95&gt;ValDate),"Price after valuation","OK")))))))</f>
        <v/>
      </c>
      <c r="T95" s="89" t="str">
        <f aca="true">IF($E95="","",IFERROR(MATCH($E95,L_Category,0),""))</f>
        <v/>
      </c>
    </row>
    <row r="96" customFormat="false" ht="15" hidden="false" customHeight="false" outlineLevel="0" collapsed="false">
      <c r="A96" s="77"/>
      <c r="B96" s="78"/>
      <c r="C96" s="78"/>
      <c r="D96" s="78"/>
      <c r="E96" s="78"/>
      <c r="F96" s="79" t="str">
        <f aca="true">IF($T96="","",INDEX(L_CatAsset,$T96)&amp;"")</f>
        <v/>
      </c>
      <c r="G96" s="78"/>
      <c r="H96" s="79" t="str">
        <f aca="true">IF($A96="","",IF($G96&lt;&gt;"",$G96,IF($T96="","",INDEX(L_CatBasket,$T96)&amp;"")))</f>
        <v/>
      </c>
      <c r="I96" s="78"/>
      <c r="J96" s="78"/>
      <c r="K96" s="78"/>
      <c r="L96" s="79" t="str">
        <f aca="true">IF($A96="","",IF($K96&lt;&gt;"",$K96,IF($T96="","",INDEX(L_CatBench,$T96)&amp;"")))</f>
        <v/>
      </c>
      <c r="M96" s="78"/>
      <c r="N96" s="78"/>
      <c r="O96" s="94"/>
      <c r="P96" s="80"/>
      <c r="Q96" s="94"/>
      <c r="R96" s="78"/>
      <c r="S96" s="79" t="str">
        <f aca="false">IF($A96&amp;$B96="","",IF($A96="","Missing ID",IF(COUNTIF($A$6:$A$105,$A96)&gt;1,"Duplicate ID",IF($B96="","Missing name",IF($T96="","Unknown category",IF(AND(OR($N96="Market price",$N96="NAV"),$O96=""),"No price",IF(AND(ISNUMBER($P96),$P96&gt;ValDate),"Price after valuation","OK")))))))</f>
        <v/>
      </c>
      <c r="T96" s="89" t="str">
        <f aca="true">IF($E96="","",IFERROR(MATCH($E96,L_Category,0),""))</f>
        <v/>
      </c>
    </row>
    <row r="97" customFormat="false" ht="15" hidden="false" customHeight="false" outlineLevel="0" collapsed="false">
      <c r="A97" s="77"/>
      <c r="B97" s="78"/>
      <c r="C97" s="78"/>
      <c r="D97" s="78"/>
      <c r="E97" s="78"/>
      <c r="F97" s="79" t="str">
        <f aca="true">IF($T97="","",INDEX(L_CatAsset,$T97)&amp;"")</f>
        <v/>
      </c>
      <c r="G97" s="78"/>
      <c r="H97" s="79" t="str">
        <f aca="true">IF($A97="","",IF($G97&lt;&gt;"",$G97,IF($T97="","",INDEX(L_CatBasket,$T97)&amp;"")))</f>
        <v/>
      </c>
      <c r="I97" s="78"/>
      <c r="J97" s="78"/>
      <c r="K97" s="78"/>
      <c r="L97" s="79" t="str">
        <f aca="true">IF($A97="","",IF($K97&lt;&gt;"",$K97,IF($T97="","",INDEX(L_CatBench,$T97)&amp;"")))</f>
        <v/>
      </c>
      <c r="M97" s="78"/>
      <c r="N97" s="78"/>
      <c r="O97" s="94"/>
      <c r="P97" s="80"/>
      <c r="Q97" s="94"/>
      <c r="R97" s="78"/>
      <c r="S97" s="79" t="str">
        <f aca="false">IF($A97&amp;$B97="","",IF($A97="","Missing ID",IF(COUNTIF($A$6:$A$105,$A97)&gt;1,"Duplicate ID",IF($B97="","Missing name",IF($T97="","Unknown category",IF(AND(OR($N97="Market price",$N97="NAV"),$O97=""),"No price",IF(AND(ISNUMBER($P97),$P97&gt;ValDate),"Price after valuation","OK")))))))</f>
        <v/>
      </c>
      <c r="T97" s="89" t="str">
        <f aca="true">IF($E97="","",IFERROR(MATCH($E97,L_Category,0),""))</f>
        <v/>
      </c>
    </row>
    <row r="98" customFormat="false" ht="15" hidden="false" customHeight="false" outlineLevel="0" collapsed="false">
      <c r="A98" s="77"/>
      <c r="B98" s="78"/>
      <c r="C98" s="78"/>
      <c r="D98" s="78"/>
      <c r="E98" s="78"/>
      <c r="F98" s="79" t="str">
        <f aca="true">IF($T98="","",INDEX(L_CatAsset,$T98)&amp;"")</f>
        <v/>
      </c>
      <c r="G98" s="78"/>
      <c r="H98" s="79" t="str">
        <f aca="true">IF($A98="","",IF($G98&lt;&gt;"",$G98,IF($T98="","",INDEX(L_CatBasket,$T98)&amp;"")))</f>
        <v/>
      </c>
      <c r="I98" s="78"/>
      <c r="J98" s="78"/>
      <c r="K98" s="78"/>
      <c r="L98" s="79" t="str">
        <f aca="true">IF($A98="","",IF($K98&lt;&gt;"",$K98,IF($T98="","",INDEX(L_CatBench,$T98)&amp;"")))</f>
        <v/>
      </c>
      <c r="M98" s="78"/>
      <c r="N98" s="78"/>
      <c r="O98" s="94"/>
      <c r="P98" s="80"/>
      <c r="Q98" s="94"/>
      <c r="R98" s="78"/>
      <c r="S98" s="79" t="str">
        <f aca="false">IF($A98&amp;$B98="","",IF($A98="","Missing ID",IF(COUNTIF($A$6:$A$105,$A98)&gt;1,"Duplicate ID",IF($B98="","Missing name",IF($T98="","Unknown category",IF(AND(OR($N98="Market price",$N98="NAV"),$O98=""),"No price",IF(AND(ISNUMBER($P98),$P98&gt;ValDate),"Price after valuation","OK")))))))</f>
        <v/>
      </c>
      <c r="T98" s="89" t="str">
        <f aca="true">IF($E98="","",IFERROR(MATCH($E98,L_Category,0),""))</f>
        <v/>
      </c>
    </row>
    <row r="99" customFormat="false" ht="15" hidden="false" customHeight="false" outlineLevel="0" collapsed="false">
      <c r="A99" s="77"/>
      <c r="B99" s="78"/>
      <c r="C99" s="78"/>
      <c r="D99" s="78"/>
      <c r="E99" s="78"/>
      <c r="F99" s="79" t="str">
        <f aca="true">IF($T99="","",INDEX(L_CatAsset,$T99)&amp;"")</f>
        <v/>
      </c>
      <c r="G99" s="78"/>
      <c r="H99" s="79" t="str">
        <f aca="true">IF($A99="","",IF($G99&lt;&gt;"",$G99,IF($T99="","",INDEX(L_CatBasket,$T99)&amp;"")))</f>
        <v/>
      </c>
      <c r="I99" s="78"/>
      <c r="J99" s="78"/>
      <c r="K99" s="78"/>
      <c r="L99" s="79" t="str">
        <f aca="true">IF($A99="","",IF($K99&lt;&gt;"",$K99,IF($T99="","",INDEX(L_CatBench,$T99)&amp;"")))</f>
        <v/>
      </c>
      <c r="M99" s="78"/>
      <c r="N99" s="78"/>
      <c r="O99" s="94"/>
      <c r="P99" s="80"/>
      <c r="Q99" s="94"/>
      <c r="R99" s="78"/>
      <c r="S99" s="79" t="str">
        <f aca="false">IF($A99&amp;$B99="","",IF($A99="","Missing ID",IF(COUNTIF($A$6:$A$105,$A99)&gt;1,"Duplicate ID",IF($B99="","Missing name",IF($T99="","Unknown category",IF(AND(OR($N99="Market price",$N99="NAV"),$O99=""),"No price",IF(AND(ISNUMBER($P99),$P99&gt;ValDate),"Price after valuation","OK")))))))</f>
        <v/>
      </c>
      <c r="T99" s="89" t="str">
        <f aca="true">IF($E99="","",IFERROR(MATCH($E99,L_Category,0),""))</f>
        <v/>
      </c>
    </row>
    <row r="100" customFormat="false" ht="15" hidden="false" customHeight="false" outlineLevel="0" collapsed="false">
      <c r="A100" s="77"/>
      <c r="B100" s="78"/>
      <c r="C100" s="78"/>
      <c r="D100" s="78"/>
      <c r="E100" s="78"/>
      <c r="F100" s="79" t="str">
        <f aca="true">IF($T100="","",INDEX(L_CatAsset,$T100)&amp;"")</f>
        <v/>
      </c>
      <c r="G100" s="78"/>
      <c r="H100" s="79" t="str">
        <f aca="true">IF($A100="","",IF($G100&lt;&gt;"",$G100,IF($T100="","",INDEX(L_CatBasket,$T100)&amp;"")))</f>
        <v/>
      </c>
      <c r="I100" s="78"/>
      <c r="J100" s="78"/>
      <c r="K100" s="78"/>
      <c r="L100" s="79" t="str">
        <f aca="true">IF($A100="","",IF($K100&lt;&gt;"",$K100,IF($T100="","",INDEX(L_CatBench,$T100)&amp;"")))</f>
        <v/>
      </c>
      <c r="M100" s="78"/>
      <c r="N100" s="78"/>
      <c r="O100" s="94"/>
      <c r="P100" s="80"/>
      <c r="Q100" s="94"/>
      <c r="R100" s="78"/>
      <c r="S100" s="79" t="str">
        <f aca="false">IF($A100&amp;$B100="","",IF($A100="","Missing ID",IF(COUNTIF($A$6:$A$105,$A100)&gt;1,"Duplicate ID",IF($B100="","Missing name",IF($T100="","Unknown category",IF(AND(OR($N100="Market price",$N100="NAV"),$O100=""),"No price",IF(AND(ISNUMBER($P100),$P100&gt;ValDate),"Price after valuation","OK")))))))</f>
        <v/>
      </c>
      <c r="T100" s="89" t="str">
        <f aca="true">IF($E100="","",IFERROR(MATCH($E100,L_Category,0),""))</f>
        <v/>
      </c>
    </row>
    <row r="101" customFormat="false" ht="15" hidden="false" customHeight="false" outlineLevel="0" collapsed="false">
      <c r="A101" s="77"/>
      <c r="B101" s="78"/>
      <c r="C101" s="78"/>
      <c r="D101" s="78"/>
      <c r="E101" s="78"/>
      <c r="F101" s="79" t="str">
        <f aca="true">IF($T101="","",INDEX(L_CatAsset,$T101)&amp;"")</f>
        <v/>
      </c>
      <c r="G101" s="78"/>
      <c r="H101" s="79" t="str">
        <f aca="true">IF($A101="","",IF($G101&lt;&gt;"",$G101,IF($T101="","",INDEX(L_CatBasket,$T101)&amp;"")))</f>
        <v/>
      </c>
      <c r="I101" s="78"/>
      <c r="J101" s="78"/>
      <c r="K101" s="78"/>
      <c r="L101" s="79" t="str">
        <f aca="true">IF($A101="","",IF($K101&lt;&gt;"",$K101,IF($T101="","",INDEX(L_CatBench,$T101)&amp;"")))</f>
        <v/>
      </c>
      <c r="M101" s="78"/>
      <c r="N101" s="78"/>
      <c r="O101" s="94"/>
      <c r="P101" s="80"/>
      <c r="Q101" s="94"/>
      <c r="R101" s="78"/>
      <c r="S101" s="79" t="str">
        <f aca="false">IF($A101&amp;$B101="","",IF($A101="","Missing ID",IF(COUNTIF($A$6:$A$105,$A101)&gt;1,"Duplicate ID",IF($B101="","Missing name",IF($T101="","Unknown category",IF(AND(OR($N101="Market price",$N101="NAV"),$O101=""),"No price",IF(AND(ISNUMBER($P101),$P101&gt;ValDate),"Price after valuation","OK")))))))</f>
        <v/>
      </c>
      <c r="T101" s="89" t="str">
        <f aca="true">IF($E101="","",IFERROR(MATCH($E101,L_Category,0),""))</f>
        <v/>
      </c>
    </row>
    <row r="102" customFormat="false" ht="15" hidden="false" customHeight="false" outlineLevel="0" collapsed="false">
      <c r="A102" s="77"/>
      <c r="B102" s="78"/>
      <c r="C102" s="78"/>
      <c r="D102" s="78"/>
      <c r="E102" s="78"/>
      <c r="F102" s="79" t="str">
        <f aca="true">IF($T102="","",INDEX(L_CatAsset,$T102)&amp;"")</f>
        <v/>
      </c>
      <c r="G102" s="78"/>
      <c r="H102" s="79" t="str">
        <f aca="true">IF($A102="","",IF($G102&lt;&gt;"",$G102,IF($T102="","",INDEX(L_CatBasket,$T102)&amp;"")))</f>
        <v/>
      </c>
      <c r="I102" s="78"/>
      <c r="J102" s="78"/>
      <c r="K102" s="78"/>
      <c r="L102" s="79" t="str">
        <f aca="true">IF($A102="","",IF($K102&lt;&gt;"",$K102,IF($T102="","",INDEX(L_CatBench,$T102)&amp;"")))</f>
        <v/>
      </c>
      <c r="M102" s="78"/>
      <c r="N102" s="78"/>
      <c r="O102" s="94"/>
      <c r="P102" s="80"/>
      <c r="Q102" s="94"/>
      <c r="R102" s="78"/>
      <c r="S102" s="79" t="str">
        <f aca="false">IF($A102&amp;$B102="","",IF($A102="","Missing ID",IF(COUNTIF($A$6:$A$105,$A102)&gt;1,"Duplicate ID",IF($B102="","Missing name",IF($T102="","Unknown category",IF(AND(OR($N102="Market price",$N102="NAV"),$O102=""),"No price",IF(AND(ISNUMBER($P102),$P102&gt;ValDate),"Price after valuation","OK")))))))</f>
        <v/>
      </c>
      <c r="T102" s="89" t="str">
        <f aca="true">IF($E102="","",IFERROR(MATCH($E102,L_Category,0),""))</f>
        <v/>
      </c>
    </row>
    <row r="103" customFormat="false" ht="15" hidden="false" customHeight="false" outlineLevel="0" collapsed="false">
      <c r="A103" s="77"/>
      <c r="B103" s="78"/>
      <c r="C103" s="78"/>
      <c r="D103" s="78"/>
      <c r="E103" s="78"/>
      <c r="F103" s="79" t="str">
        <f aca="true">IF($T103="","",INDEX(L_CatAsset,$T103)&amp;"")</f>
        <v/>
      </c>
      <c r="G103" s="78"/>
      <c r="H103" s="79" t="str">
        <f aca="true">IF($A103="","",IF($G103&lt;&gt;"",$G103,IF($T103="","",INDEX(L_CatBasket,$T103)&amp;"")))</f>
        <v/>
      </c>
      <c r="I103" s="78"/>
      <c r="J103" s="78"/>
      <c r="K103" s="78"/>
      <c r="L103" s="79" t="str">
        <f aca="true">IF($A103="","",IF($K103&lt;&gt;"",$K103,IF($T103="","",INDEX(L_CatBench,$T103)&amp;"")))</f>
        <v/>
      </c>
      <c r="M103" s="78"/>
      <c r="N103" s="78"/>
      <c r="O103" s="94"/>
      <c r="P103" s="80"/>
      <c r="Q103" s="94"/>
      <c r="R103" s="78"/>
      <c r="S103" s="79" t="str">
        <f aca="false">IF($A103&amp;$B103="","",IF($A103="","Missing ID",IF(COUNTIF($A$6:$A$105,$A103)&gt;1,"Duplicate ID",IF($B103="","Missing name",IF($T103="","Unknown category",IF(AND(OR($N103="Market price",$N103="NAV"),$O103=""),"No price",IF(AND(ISNUMBER($P103),$P103&gt;ValDate),"Price after valuation","OK")))))))</f>
        <v/>
      </c>
      <c r="T103" s="89" t="str">
        <f aca="true">IF($E103="","",IFERROR(MATCH($E103,L_Category,0),""))</f>
        <v/>
      </c>
    </row>
    <row r="104" customFormat="false" ht="15" hidden="false" customHeight="false" outlineLevel="0" collapsed="false">
      <c r="A104" s="77"/>
      <c r="B104" s="78"/>
      <c r="C104" s="78"/>
      <c r="D104" s="78"/>
      <c r="E104" s="78"/>
      <c r="F104" s="79" t="str">
        <f aca="true">IF($T104="","",INDEX(L_CatAsset,$T104)&amp;"")</f>
        <v/>
      </c>
      <c r="G104" s="78"/>
      <c r="H104" s="79" t="str">
        <f aca="true">IF($A104="","",IF($G104&lt;&gt;"",$G104,IF($T104="","",INDEX(L_CatBasket,$T104)&amp;"")))</f>
        <v/>
      </c>
      <c r="I104" s="78"/>
      <c r="J104" s="78"/>
      <c r="K104" s="78"/>
      <c r="L104" s="79" t="str">
        <f aca="true">IF($A104="","",IF($K104&lt;&gt;"",$K104,IF($T104="","",INDEX(L_CatBench,$T104)&amp;"")))</f>
        <v/>
      </c>
      <c r="M104" s="78"/>
      <c r="N104" s="78"/>
      <c r="O104" s="94"/>
      <c r="P104" s="80"/>
      <c r="Q104" s="94"/>
      <c r="R104" s="78"/>
      <c r="S104" s="79" t="str">
        <f aca="false">IF($A104&amp;$B104="","",IF($A104="","Missing ID",IF(COUNTIF($A$6:$A$105,$A104)&gt;1,"Duplicate ID",IF($B104="","Missing name",IF($T104="","Unknown category",IF(AND(OR($N104="Market price",$N104="NAV"),$O104=""),"No price",IF(AND(ISNUMBER($P104),$P104&gt;ValDate),"Price after valuation","OK")))))))</f>
        <v/>
      </c>
      <c r="T104" s="89" t="str">
        <f aca="true">IF($E104="","",IFERROR(MATCH($E104,L_Category,0),""))</f>
        <v/>
      </c>
    </row>
    <row r="105" customFormat="false" ht="15" hidden="false" customHeight="false" outlineLevel="0" collapsed="false">
      <c r="A105" s="77"/>
      <c r="B105" s="78"/>
      <c r="C105" s="78"/>
      <c r="D105" s="78"/>
      <c r="E105" s="78"/>
      <c r="F105" s="79" t="str">
        <f aca="true">IF($T105="","",INDEX(L_CatAsset,$T105)&amp;"")</f>
        <v/>
      </c>
      <c r="G105" s="78"/>
      <c r="H105" s="79" t="str">
        <f aca="true">IF($A105="","",IF($G105&lt;&gt;"",$G105,IF($T105="","",INDEX(L_CatBasket,$T105)&amp;"")))</f>
        <v/>
      </c>
      <c r="I105" s="78"/>
      <c r="J105" s="78"/>
      <c r="K105" s="78"/>
      <c r="L105" s="79" t="str">
        <f aca="true">IF($A105="","",IF($K105&lt;&gt;"",$K105,IF($T105="","",INDEX(L_CatBench,$T105)&amp;"")))</f>
        <v/>
      </c>
      <c r="M105" s="78"/>
      <c r="N105" s="78"/>
      <c r="O105" s="94"/>
      <c r="P105" s="80"/>
      <c r="Q105" s="94"/>
      <c r="R105" s="78"/>
      <c r="S105" s="79" t="str">
        <f aca="false">IF($A105&amp;$B105="","",IF($A105="","Missing ID",IF(COUNTIF($A$6:$A$105,$A105)&gt;1,"Duplicate ID",IF($B105="","Missing name",IF($T105="","Unknown category",IF(AND(OR($N105="Market price",$N105="NAV"),$O105=""),"No price",IF(AND(ISNUMBER($P105),$P105&gt;ValDate),"Price after valuation","OK")))))))</f>
        <v/>
      </c>
      <c r="T105" s="89" t="str">
        <f aca="true">IF($E105="","",IFERROR(MATCH($E105,L_Category,0),""))</f>
        <v/>
      </c>
    </row>
  </sheetData>
  <autoFilter ref="A5:T105"/>
  <mergeCells count="4">
    <mergeCell ref="A4:D4"/>
    <mergeCell ref="E4:L4"/>
    <mergeCell ref="M4:Q4"/>
    <mergeCell ref="R4:T4"/>
  </mergeCells>
  <conditionalFormatting sqref="S6:S105">
    <cfRule type="expression" priority="2" aboveAverage="0" equalAverage="0" bottom="0" percent="0" rank="0" text="" dxfId="3">
      <formula>AND($S6&lt;&gt;"",$S6&lt;&gt;"OK")</formula>
    </cfRule>
    <cfRule type="expression" priority="3" aboveAverage="0" equalAverage="0" bottom="0" percent="0" rank="0" text="" dxfId="19">
      <formula>$S6="OK"</formula>
    </cfRule>
  </conditionalFormatting>
  <dataValidations count="5">
    <dataValidation allowBlank="true" error="Pick a value from the list (see the Lists sheet)." errorStyle="stop" errorTitle="Not in the list" operator="between" prompt="The category decides asset class, basket and benchmark." promptTitle="How to fill" showDropDown="false" showErrorMessage="false" showInputMessage="true" sqref="E6:E105" type="list">
      <formula1>L_Category</formula1>
      <formula2>0</formula2>
    </dataValidation>
    <dataValidation allowBlank="true" error="Pick a value from the list (see the Lists sheet)." errorStyle="stop" errorTitle="Not in the list" operator="between" prompt="Leave blank to use the category's basket." promptTitle="How to fill" showDropDown="false" showErrorMessage="false" showInputMessage="true" sqref="G6:G105" type="list">
      <formula1>L_BasketCode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J6:J105" type="list">
      <formula1>L_MCap</formula1>
      <formula2>0</formula2>
    </dataValidation>
    <dataValidation allowBlank="true" error="Pick a value from the list (see the Lists sheet)." errorStyle="stop" errorTitle="Not in the list" operator="between" showDropDown="false" showErrorMessage="false" showInputMessage="false" sqref="M6:M105" type="list">
      <formula1>L_YN</formula1>
      <formula2>0</formula2>
    </dataValidation>
    <dataValidation allowBlank="true" error="Pick a value from the list (see the Lists sheet)." errorStyle="stop" errorTitle="Not in the list" operator="between" prompt="Market price or NAV: typed below. Statement value: the holding's own value. At cost: shown at invested cost." promptTitle="How to fill" showDropDown="false" showErrorMessage="false" showInputMessage="true" sqref="N6:N105" type="list">
      <formula1>L_Basis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58"/>
    <col collapsed="false" customWidth="true" hidden="false" outlineLevel="0" max="10" min="10" style="0" width="2"/>
    <col collapsed="false" customWidth="true" hidden="false" outlineLevel="0" max="11" min="11" style="0" width="7"/>
    <col collapsed="false" customWidth="true" hidden="false" outlineLevel="0" max="12" min="12" style="0" width="22"/>
    <col collapsed="false" customWidth="true" hidden="false" outlineLevel="0" max="13" min="13" style="0" width="44"/>
    <col collapsed="false" customWidth="true" hidden="false" outlineLevel="0" max="14" min="14" style="0" width="2"/>
    <col collapsed="false" customWidth="true" hidden="false" outlineLevel="0" max="15" min="15" style="0" width="20"/>
    <col collapsed="false" customWidth="true" hidden="false" outlineLevel="0" max="16" min="16" style="0" width="2"/>
    <col collapsed="false" customWidth="true" hidden="false" outlineLevel="0" max="17" min="17" style="0" width="16"/>
    <col collapsed="false" customWidth="true" hidden="false" outlineLevel="0" max="18" min="18" style="0" width="2"/>
    <col collapsed="false" customWidth="true" hidden="false" outlineLevel="0" max="19" min="19" style="0" width="16"/>
    <col collapsed="false" customWidth="true" hidden="false" outlineLevel="0" max="20" min="20" style="0" width="2"/>
    <col collapsed="false" customWidth="true" hidden="false" outlineLevel="0" max="21" min="21" style="0" width="15"/>
    <col collapsed="false" customWidth="true" hidden="false" outlineLevel="0" max="22" min="22" style="0" width="2"/>
    <col collapsed="false" customWidth="true" hidden="false" outlineLevel="0" max="23" min="23" style="0" width="15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2"/>
    <col collapsed="false" customWidth="true" hidden="false" outlineLevel="0" max="27" min="27" style="0" width="10"/>
    <col collapsed="false" customWidth="true" hidden="false" outlineLevel="0" max="28" min="28" style="0" width="12"/>
    <col collapsed="false" customWidth="true" hidden="false" outlineLevel="0" max="29" min="29" style="0" width="7"/>
    <col collapsed="false" customWidth="true" hidden="false" outlineLevel="0" max="30" min="30" style="0" width="2"/>
    <col collapsed="false" customWidth="true" hidden="false" outlineLevel="0" max="31" min="31" style="0" width="7"/>
    <col collapsed="false" customWidth="true" hidden="false" outlineLevel="0" max="32" min="32" style="0" width="2"/>
    <col collapsed="false" customWidth="true" hidden="false" outlineLevel="0" max="33" min="33" style="0" width="16"/>
    <col collapsed="false" customWidth="true" hidden="false" outlineLevel="0" max="34" min="34" style="0" width="2"/>
    <col collapsed="false" customWidth="true" hidden="false" outlineLevel="0" max="35" min="35" style="0" width="11"/>
  </cols>
  <sheetData>
    <row r="1" customFormat="false" ht="21.75" hidden="false" customHeight="true" outlineLevel="0" collapsed="false">
      <c r="A1" s="28" t="s">
        <v>745</v>
      </c>
      <c r="M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746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A4" s="96" t="s">
        <v>747</v>
      </c>
      <c r="D4" s="75" t="s">
        <v>748</v>
      </c>
      <c r="E4" s="75"/>
      <c r="F4" s="75"/>
      <c r="G4" s="75"/>
      <c r="H4" s="75"/>
      <c r="I4" s="75"/>
      <c r="K4" s="75" t="s">
        <v>749</v>
      </c>
      <c r="L4" s="75"/>
      <c r="M4" s="75"/>
      <c r="O4" s="96" t="s">
        <v>750</v>
      </c>
      <c r="Q4" s="96" t="s">
        <v>751</v>
      </c>
      <c r="S4" s="96" t="s">
        <v>752</v>
      </c>
      <c r="U4" s="96" t="s">
        <v>753</v>
      </c>
      <c r="W4" s="75" t="s">
        <v>754</v>
      </c>
      <c r="X4" s="75"/>
      <c r="Y4" s="75"/>
      <c r="AA4" s="75" t="s">
        <v>755</v>
      </c>
      <c r="AB4" s="75"/>
      <c r="AC4" s="75"/>
      <c r="AE4" s="96" t="s">
        <v>756</v>
      </c>
      <c r="AG4" s="96" t="s">
        <v>757</v>
      </c>
      <c r="AI4" s="96" t="s">
        <v>758</v>
      </c>
    </row>
    <row r="5" customFormat="false" ht="30" hidden="false" customHeight="true" outlineLevel="0" collapsed="false">
      <c r="A5" s="23" t="s">
        <v>279</v>
      </c>
      <c r="D5" s="23" t="s">
        <v>78</v>
      </c>
      <c r="E5" s="23" t="s">
        <v>279</v>
      </c>
      <c r="F5" s="23" t="s">
        <v>759</v>
      </c>
      <c r="G5" s="23" t="s">
        <v>404</v>
      </c>
      <c r="H5" s="23" t="s">
        <v>760</v>
      </c>
      <c r="I5" s="23" t="s">
        <v>761</v>
      </c>
      <c r="K5" s="23" t="s">
        <v>115</v>
      </c>
      <c r="L5" s="23" t="s">
        <v>114</v>
      </c>
      <c r="M5" s="23" t="s">
        <v>762</v>
      </c>
      <c r="O5" s="23" t="s">
        <v>562</v>
      </c>
      <c r="Q5" s="23" t="s">
        <v>523</v>
      </c>
      <c r="S5" s="23" t="s">
        <v>526</v>
      </c>
      <c r="U5" s="23" t="s">
        <v>286</v>
      </c>
      <c r="W5" s="23" t="s">
        <v>436</v>
      </c>
      <c r="X5" s="23" t="s">
        <v>763</v>
      </c>
      <c r="Y5" s="23" t="s">
        <v>440</v>
      </c>
      <c r="AA5" s="23" t="s">
        <v>764</v>
      </c>
      <c r="AB5" s="23" t="s">
        <v>14</v>
      </c>
      <c r="AC5" s="23" t="s">
        <v>765</v>
      </c>
      <c r="AE5" s="23" t="s">
        <v>766</v>
      </c>
      <c r="AG5" s="23" t="s">
        <v>624</v>
      </c>
      <c r="AI5" s="23" t="s">
        <v>767</v>
      </c>
    </row>
    <row r="6" customFormat="false" ht="24" hidden="false" customHeight="true" outlineLevel="0" collapsed="false">
      <c r="A6" s="97" t="s">
        <v>768</v>
      </c>
      <c r="D6" s="97" t="s">
        <v>634</v>
      </c>
      <c r="E6" s="97" t="s">
        <v>768</v>
      </c>
      <c r="F6" s="98" t="s">
        <v>769</v>
      </c>
      <c r="G6" s="99" t="n">
        <v>365</v>
      </c>
      <c r="H6" s="97" t="s">
        <v>770</v>
      </c>
      <c r="I6" s="100" t="s">
        <v>771</v>
      </c>
      <c r="K6" s="101" t="s">
        <v>647</v>
      </c>
      <c r="L6" s="97" t="s">
        <v>772</v>
      </c>
      <c r="M6" s="100" t="s">
        <v>773</v>
      </c>
      <c r="O6" s="97" t="s">
        <v>569</v>
      </c>
      <c r="Q6" s="97" t="s">
        <v>530</v>
      </c>
      <c r="S6" s="97" t="s">
        <v>533</v>
      </c>
      <c r="U6" s="97" t="s">
        <v>638</v>
      </c>
      <c r="W6" s="97" t="s">
        <v>446</v>
      </c>
      <c r="X6" s="102" t="n">
        <v>-1</v>
      </c>
      <c r="Y6" s="97" t="s">
        <v>774</v>
      </c>
      <c r="AA6" s="97" t="s">
        <v>12</v>
      </c>
      <c r="AB6" s="103" t="n">
        <v>10000000</v>
      </c>
      <c r="AC6" s="98" t="s">
        <v>775</v>
      </c>
      <c r="AE6" s="98" t="s">
        <v>637</v>
      </c>
      <c r="AG6" s="104" t="s">
        <v>649</v>
      </c>
      <c r="AI6" s="98" t="s">
        <v>776</v>
      </c>
    </row>
    <row r="7" customFormat="false" ht="24" hidden="false" customHeight="true" outlineLevel="0" collapsed="false">
      <c r="A7" s="97" t="s">
        <v>777</v>
      </c>
      <c r="D7" s="97" t="s">
        <v>662</v>
      </c>
      <c r="E7" s="97" t="s">
        <v>768</v>
      </c>
      <c r="F7" s="98" t="s">
        <v>647</v>
      </c>
      <c r="G7" s="99" t="n">
        <v>365</v>
      </c>
      <c r="H7" s="97" t="s">
        <v>770</v>
      </c>
      <c r="I7" s="100" t="s">
        <v>778</v>
      </c>
      <c r="K7" s="101" t="s">
        <v>779</v>
      </c>
      <c r="L7" s="97" t="s">
        <v>780</v>
      </c>
      <c r="M7" s="100" t="s">
        <v>781</v>
      </c>
      <c r="O7" s="97" t="s">
        <v>575</v>
      </c>
      <c r="Q7" s="97" t="s">
        <v>782</v>
      </c>
      <c r="S7" s="97" t="s">
        <v>783</v>
      </c>
      <c r="U7" s="97" t="s">
        <v>666</v>
      </c>
      <c r="W7" s="97" t="s">
        <v>460</v>
      </c>
      <c r="X7" s="102" t="n">
        <v>-1</v>
      </c>
      <c r="Y7" s="97" t="s">
        <v>774</v>
      </c>
      <c r="AA7" s="97" t="s">
        <v>784</v>
      </c>
      <c r="AB7" s="103" t="n">
        <v>100000</v>
      </c>
      <c r="AC7" s="98" t="s">
        <v>785</v>
      </c>
      <c r="AE7" s="98" t="s">
        <v>665</v>
      </c>
      <c r="AG7" s="104" t="s">
        <v>636</v>
      </c>
      <c r="AI7" s="98" t="s">
        <v>786</v>
      </c>
    </row>
    <row r="8" customFormat="false" ht="24" hidden="false" customHeight="true" outlineLevel="0" collapsed="false">
      <c r="A8" s="97" t="s">
        <v>706</v>
      </c>
      <c r="D8" s="97" t="s">
        <v>670</v>
      </c>
      <c r="E8" s="97" t="s">
        <v>768</v>
      </c>
      <c r="F8" s="98" t="s">
        <v>769</v>
      </c>
      <c r="G8" s="99" t="n">
        <v>365</v>
      </c>
      <c r="H8" s="97" t="s">
        <v>787</v>
      </c>
      <c r="I8" s="100" t="s">
        <v>778</v>
      </c>
      <c r="K8" s="101" t="s">
        <v>788</v>
      </c>
      <c r="L8" s="97" t="s">
        <v>789</v>
      </c>
      <c r="M8" s="100" t="s">
        <v>790</v>
      </c>
      <c r="O8" s="97" t="s">
        <v>586</v>
      </c>
      <c r="Q8" s="97" t="s">
        <v>547</v>
      </c>
      <c r="S8" s="97" t="s">
        <v>791</v>
      </c>
      <c r="U8" s="97" t="s">
        <v>728</v>
      </c>
      <c r="W8" s="97" t="s">
        <v>465</v>
      </c>
      <c r="X8" s="102" t="n">
        <v>-1</v>
      </c>
      <c r="Y8" s="97" t="s">
        <v>774</v>
      </c>
      <c r="AA8" s="97" t="s">
        <v>792</v>
      </c>
      <c r="AB8" s="103" t="n">
        <v>1</v>
      </c>
      <c r="AC8" s="98" t="s">
        <v>792</v>
      </c>
      <c r="AG8" s="104" t="s">
        <v>643</v>
      </c>
      <c r="AI8" s="98" t="s">
        <v>793</v>
      </c>
    </row>
    <row r="9" customFormat="false" ht="24" hidden="false" customHeight="true" outlineLevel="0" collapsed="false">
      <c r="A9" s="97" t="s">
        <v>794</v>
      </c>
      <c r="D9" s="97" t="s">
        <v>674</v>
      </c>
      <c r="E9" s="97" t="s">
        <v>768</v>
      </c>
      <c r="F9" s="98" t="s">
        <v>647</v>
      </c>
      <c r="G9" s="99" t="n">
        <v>365</v>
      </c>
      <c r="H9" s="97" t="s">
        <v>795</v>
      </c>
      <c r="I9" s="100" t="s">
        <v>796</v>
      </c>
      <c r="K9" s="101" t="s">
        <v>769</v>
      </c>
      <c r="L9" s="97" t="s">
        <v>797</v>
      </c>
      <c r="M9" s="100" t="s">
        <v>798</v>
      </c>
      <c r="O9" s="97" t="s">
        <v>579</v>
      </c>
      <c r="Q9" s="97" t="s">
        <v>799</v>
      </c>
      <c r="U9" s="97" t="s">
        <v>678</v>
      </c>
      <c r="W9" s="97" t="s">
        <v>800</v>
      </c>
      <c r="X9" s="102" t="n">
        <v>-1</v>
      </c>
      <c r="Y9" s="97" t="s">
        <v>774</v>
      </c>
      <c r="AG9" s="104" t="s">
        <v>727</v>
      </c>
      <c r="AI9" s="98" t="s">
        <v>801</v>
      </c>
    </row>
    <row r="10" customFormat="false" ht="24" hidden="false" customHeight="true" outlineLevel="0" collapsed="false">
      <c r="D10" s="97" t="s">
        <v>802</v>
      </c>
      <c r="E10" s="97" t="s">
        <v>768</v>
      </c>
      <c r="F10" s="98" t="s">
        <v>647</v>
      </c>
      <c r="G10" s="99" t="n">
        <v>365</v>
      </c>
      <c r="H10" s="97" t="s">
        <v>803</v>
      </c>
      <c r="I10" s="100" t="s">
        <v>804</v>
      </c>
      <c r="O10" s="97" t="s">
        <v>593</v>
      </c>
      <c r="Q10" s="97" t="s">
        <v>554</v>
      </c>
      <c r="W10" s="97" t="s">
        <v>805</v>
      </c>
      <c r="X10" s="102" t="n">
        <v>-1</v>
      </c>
      <c r="Y10" s="97" t="s">
        <v>774</v>
      </c>
      <c r="AG10" s="104" t="s">
        <v>664</v>
      </c>
      <c r="AI10" s="98" t="s">
        <v>806</v>
      </c>
    </row>
    <row r="11" customFormat="false" ht="24" hidden="false" customHeight="true" outlineLevel="0" collapsed="false">
      <c r="D11" s="97" t="s">
        <v>677</v>
      </c>
      <c r="E11" s="97" t="s">
        <v>768</v>
      </c>
      <c r="F11" s="98" t="s">
        <v>647</v>
      </c>
      <c r="G11" s="99" t="n">
        <v>365</v>
      </c>
      <c r="H11" s="97" t="s">
        <v>770</v>
      </c>
      <c r="I11" s="100" t="s">
        <v>807</v>
      </c>
      <c r="O11" s="97" t="s">
        <v>808</v>
      </c>
      <c r="Q11" s="97" t="s">
        <v>809</v>
      </c>
      <c r="W11" s="97" t="s">
        <v>443</v>
      </c>
      <c r="X11" s="102" t="n">
        <v>1</v>
      </c>
      <c r="Y11" s="97" t="s">
        <v>810</v>
      </c>
      <c r="AI11" s="98" t="s">
        <v>811</v>
      </c>
    </row>
    <row r="12" customFormat="false" ht="24" hidden="false" customHeight="true" outlineLevel="0" collapsed="false">
      <c r="D12" s="97" t="s">
        <v>683</v>
      </c>
      <c r="E12" s="97" t="s">
        <v>768</v>
      </c>
      <c r="F12" s="98" t="s">
        <v>647</v>
      </c>
      <c r="G12" s="99" t="n">
        <v>365</v>
      </c>
      <c r="H12" s="97" t="s">
        <v>770</v>
      </c>
      <c r="I12" s="100" t="s">
        <v>812</v>
      </c>
      <c r="O12" s="97" t="s">
        <v>597</v>
      </c>
      <c r="W12" s="97" t="s">
        <v>457</v>
      </c>
      <c r="X12" s="102" t="n">
        <v>1</v>
      </c>
      <c r="Y12" s="97" t="s">
        <v>810</v>
      </c>
      <c r="AI12" s="98" t="s">
        <v>813</v>
      </c>
    </row>
    <row r="13" customFormat="false" ht="24" hidden="false" customHeight="true" outlineLevel="0" collapsed="false">
      <c r="D13" s="97" t="s">
        <v>711</v>
      </c>
      <c r="E13" s="97" t="s">
        <v>777</v>
      </c>
      <c r="F13" s="98" t="s">
        <v>647</v>
      </c>
      <c r="G13" s="99"/>
      <c r="H13" s="97" t="s">
        <v>814</v>
      </c>
      <c r="I13" s="100" t="s">
        <v>815</v>
      </c>
      <c r="O13" s="97" t="s">
        <v>602</v>
      </c>
      <c r="W13" s="97" t="s">
        <v>816</v>
      </c>
      <c r="X13" s="102" t="n">
        <v>1</v>
      </c>
      <c r="Y13" s="97" t="s">
        <v>810</v>
      </c>
      <c r="AI13" s="98" t="s">
        <v>817</v>
      </c>
    </row>
    <row r="14" customFormat="false" ht="24" hidden="false" customHeight="true" outlineLevel="0" collapsed="false">
      <c r="D14" s="97" t="s">
        <v>716</v>
      </c>
      <c r="E14" s="97" t="s">
        <v>777</v>
      </c>
      <c r="F14" s="98" t="s">
        <v>647</v>
      </c>
      <c r="G14" s="99" t="n">
        <v>365</v>
      </c>
      <c r="H14" s="97" t="s">
        <v>814</v>
      </c>
      <c r="I14" s="100" t="s">
        <v>818</v>
      </c>
      <c r="W14" s="97" t="s">
        <v>819</v>
      </c>
      <c r="X14" s="102" t="n">
        <v>1</v>
      </c>
      <c r="Y14" s="97" t="s">
        <v>810</v>
      </c>
      <c r="AI14" s="98" t="s">
        <v>820</v>
      </c>
    </row>
    <row r="15" customFormat="false" ht="24" hidden="false" customHeight="true" outlineLevel="0" collapsed="false">
      <c r="D15" s="97" t="s">
        <v>743</v>
      </c>
      <c r="E15" s="97" t="s">
        <v>777</v>
      </c>
      <c r="F15" s="98" t="s">
        <v>647</v>
      </c>
      <c r="G15" s="99" t="n">
        <v>730</v>
      </c>
      <c r="H15" s="97" t="s">
        <v>814</v>
      </c>
      <c r="I15" s="100" t="s">
        <v>821</v>
      </c>
      <c r="W15" s="97" t="s">
        <v>468</v>
      </c>
      <c r="X15" s="102" t="n">
        <v>1</v>
      </c>
      <c r="Y15" s="97" t="s">
        <v>810</v>
      </c>
      <c r="AI15" s="98" t="s">
        <v>162</v>
      </c>
    </row>
    <row r="16" customFormat="false" ht="24" hidden="false" customHeight="true" outlineLevel="0" collapsed="false">
      <c r="D16" s="97" t="s">
        <v>822</v>
      </c>
      <c r="E16" s="97" t="s">
        <v>777</v>
      </c>
      <c r="F16" s="98" t="s">
        <v>647</v>
      </c>
      <c r="G16" s="99"/>
      <c r="H16" s="97" t="s">
        <v>814</v>
      </c>
      <c r="I16" s="100" t="s">
        <v>823</v>
      </c>
      <c r="W16" s="97" t="s">
        <v>474</v>
      </c>
      <c r="X16" s="102" t="n">
        <v>1</v>
      </c>
      <c r="Y16" s="97" t="s">
        <v>824</v>
      </c>
      <c r="AI16" s="98" t="s">
        <v>825</v>
      </c>
    </row>
    <row r="17" customFormat="false" ht="24" hidden="false" customHeight="true" outlineLevel="0" collapsed="false">
      <c r="D17" s="97" t="s">
        <v>697</v>
      </c>
      <c r="E17" s="97" t="s">
        <v>706</v>
      </c>
      <c r="F17" s="98" t="s">
        <v>788</v>
      </c>
      <c r="G17" s="99"/>
      <c r="H17" s="97" t="s">
        <v>826</v>
      </c>
      <c r="I17" s="100" t="s">
        <v>827</v>
      </c>
      <c r="W17" s="97" t="s">
        <v>471</v>
      </c>
      <c r="X17" s="102" t="n">
        <v>1</v>
      </c>
      <c r="Y17" s="97" t="s">
        <v>824</v>
      </c>
      <c r="AI17" s="98" t="s">
        <v>828</v>
      </c>
    </row>
    <row r="18" customFormat="false" ht="24" hidden="false" customHeight="true" outlineLevel="0" collapsed="false">
      <c r="D18" s="97" t="s">
        <v>702</v>
      </c>
      <c r="E18" s="97" t="s">
        <v>706</v>
      </c>
      <c r="F18" s="98" t="s">
        <v>788</v>
      </c>
      <c r="G18" s="99" t="n">
        <v>365</v>
      </c>
      <c r="H18" s="97" t="s">
        <v>829</v>
      </c>
      <c r="I18" s="100" t="s">
        <v>830</v>
      </c>
      <c r="W18" s="97" t="s">
        <v>480</v>
      </c>
      <c r="X18" s="102" t="n">
        <v>-1</v>
      </c>
      <c r="Y18" s="97" t="s">
        <v>831</v>
      </c>
    </row>
    <row r="19" customFormat="false" ht="24" hidden="false" customHeight="true" outlineLevel="0" collapsed="false">
      <c r="D19" s="97" t="s">
        <v>705</v>
      </c>
      <c r="E19" s="97" t="s">
        <v>706</v>
      </c>
      <c r="F19" s="98" t="s">
        <v>788</v>
      </c>
      <c r="G19" s="99"/>
      <c r="H19" s="97"/>
      <c r="I19" s="100" t="s">
        <v>832</v>
      </c>
      <c r="W19" s="97" t="s">
        <v>833</v>
      </c>
      <c r="X19" s="102" t="n">
        <v>0</v>
      </c>
      <c r="Y19" s="97" t="s">
        <v>834</v>
      </c>
    </row>
    <row r="20" customFormat="false" ht="24" hidden="false" customHeight="true" outlineLevel="0" collapsed="false">
      <c r="D20" s="97" t="s">
        <v>687</v>
      </c>
      <c r="E20" s="97" t="s">
        <v>794</v>
      </c>
      <c r="F20" s="98" t="s">
        <v>769</v>
      </c>
      <c r="G20" s="99" t="n">
        <v>365</v>
      </c>
      <c r="H20" s="97" t="s">
        <v>835</v>
      </c>
      <c r="I20" s="100" t="s">
        <v>836</v>
      </c>
    </row>
    <row r="21" customFormat="false" ht="24" hidden="false" customHeight="true" outlineLevel="0" collapsed="false">
      <c r="D21" s="97" t="s">
        <v>738</v>
      </c>
      <c r="E21" s="97" t="s">
        <v>794</v>
      </c>
      <c r="F21" s="98" t="s">
        <v>647</v>
      </c>
      <c r="G21" s="99" t="n">
        <v>365</v>
      </c>
      <c r="H21" s="97" t="s">
        <v>837</v>
      </c>
      <c r="I21" s="100" t="s">
        <v>804</v>
      </c>
    </row>
    <row r="22" customFormat="false" ht="24" hidden="false" customHeight="true" outlineLevel="0" collapsed="false">
      <c r="D22" s="97" t="s">
        <v>721</v>
      </c>
      <c r="E22" s="97" t="s">
        <v>794</v>
      </c>
      <c r="F22" s="98" t="s">
        <v>779</v>
      </c>
      <c r="G22" s="99" t="n">
        <v>730</v>
      </c>
      <c r="H22" s="97" t="s">
        <v>770</v>
      </c>
      <c r="I22" s="100" t="s">
        <v>821</v>
      </c>
    </row>
    <row r="23" customFormat="false" ht="24" hidden="false" customHeight="true" outlineLevel="0" collapsed="false">
      <c r="D23" s="97" t="s">
        <v>726</v>
      </c>
      <c r="E23" s="97" t="s">
        <v>794</v>
      </c>
      <c r="F23" s="98" t="s">
        <v>779</v>
      </c>
      <c r="G23" s="99" t="n">
        <v>730</v>
      </c>
      <c r="H23" s="97"/>
      <c r="I23" s="100" t="s">
        <v>838</v>
      </c>
    </row>
    <row r="24" customFormat="false" ht="24" hidden="false" customHeight="true" outlineLevel="0" collapsed="false">
      <c r="D24" s="97" t="s">
        <v>732</v>
      </c>
      <c r="E24" s="97" t="s">
        <v>794</v>
      </c>
      <c r="F24" s="98" t="s">
        <v>779</v>
      </c>
      <c r="G24" s="99" t="n">
        <v>730</v>
      </c>
      <c r="H24" s="97"/>
      <c r="I24" s="100" t="s">
        <v>839</v>
      </c>
    </row>
    <row r="26" customFormat="false" ht="15" hidden="false" customHeight="false" outlineLevel="0" collapsed="false">
      <c r="E26" s="7" t="s">
        <v>840</v>
      </c>
    </row>
  </sheetData>
  <mergeCells count="4">
    <mergeCell ref="D4:I4"/>
    <mergeCell ref="K4:M4"/>
    <mergeCell ref="W4:Y4"/>
    <mergeCell ref="AA4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56"/>
  </cols>
  <sheetData>
    <row r="1" customFormat="false" ht="21.75" hidden="false" customHeight="true" outlineLevel="0" collapsed="false">
      <c r="A1" s="28" t="s">
        <v>841</v>
      </c>
      <c r="F1" s="29" t="str">
        <f aca="false">HYPERLINK("#'Start Here'!A1","← Start Here")</f>
        <v>← Start Here</v>
      </c>
    </row>
    <row r="2" customFormat="false" ht="15" hidden="false" customHeight="false" outlineLevel="0" collapsed="false">
      <c r="A2" s="2" t="s">
        <v>842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B5" s="23" t="s">
        <v>843</v>
      </c>
      <c r="C5" s="23" t="s">
        <v>844</v>
      </c>
      <c r="D5" s="23" t="s">
        <v>845</v>
      </c>
      <c r="E5" s="23" t="s">
        <v>846</v>
      </c>
      <c r="F5" s="23" t="s">
        <v>847</v>
      </c>
    </row>
    <row r="6" customFormat="false" ht="15" hidden="false" customHeight="true" outlineLevel="0" collapsed="false">
      <c r="B6" s="105" t="s">
        <v>848</v>
      </c>
      <c r="C6" s="105"/>
      <c r="D6" s="105"/>
      <c r="E6" s="105"/>
      <c r="F6" s="105"/>
    </row>
    <row r="7" customFormat="false" ht="27.75" hidden="false" customHeight="true" outlineLevel="0" collapsed="false">
      <c r="B7" s="15" t="s">
        <v>849</v>
      </c>
      <c r="C7" s="15" t="s">
        <v>7</v>
      </c>
      <c r="D7" s="15" t="s">
        <v>850</v>
      </c>
      <c r="E7" s="15" t="s">
        <v>851</v>
      </c>
      <c r="F7" s="15" t="s">
        <v>852</v>
      </c>
    </row>
    <row r="8" customFormat="false" ht="27.75" hidden="false" customHeight="true" outlineLevel="0" collapsed="false">
      <c r="B8" s="15" t="s">
        <v>849</v>
      </c>
      <c r="C8" s="15" t="s">
        <v>9</v>
      </c>
      <c r="D8" s="15" t="s">
        <v>853</v>
      </c>
      <c r="E8" s="15" t="s">
        <v>854</v>
      </c>
      <c r="F8" s="15" t="s">
        <v>855</v>
      </c>
    </row>
    <row r="9" customFormat="false" ht="27.75" hidden="false" customHeight="true" outlineLevel="0" collapsed="false">
      <c r="B9" s="15" t="s">
        <v>849</v>
      </c>
      <c r="C9" s="15" t="s">
        <v>11</v>
      </c>
      <c r="D9" s="15" t="s">
        <v>856</v>
      </c>
      <c r="E9" s="15" t="s">
        <v>857</v>
      </c>
      <c r="F9" s="15" t="s">
        <v>858</v>
      </c>
    </row>
    <row r="10" customFormat="false" ht="15" hidden="false" customHeight="true" outlineLevel="0" collapsed="false">
      <c r="B10" s="105" t="s">
        <v>859</v>
      </c>
      <c r="C10" s="105"/>
      <c r="D10" s="105"/>
      <c r="E10" s="105"/>
      <c r="F10" s="105"/>
    </row>
    <row r="11" customFormat="false" ht="27.75" hidden="false" customHeight="true" outlineLevel="0" collapsed="false">
      <c r="B11" s="15" t="s">
        <v>860</v>
      </c>
      <c r="C11" s="15" t="s">
        <v>861</v>
      </c>
      <c r="D11" s="15" t="s">
        <v>854</v>
      </c>
      <c r="E11" s="15" t="s">
        <v>862</v>
      </c>
      <c r="F11" s="15" t="s">
        <v>863</v>
      </c>
    </row>
    <row r="12" customFormat="false" ht="15" hidden="false" customHeight="true" outlineLevel="0" collapsed="false">
      <c r="B12" s="105" t="s">
        <v>864</v>
      </c>
      <c r="C12" s="105"/>
      <c r="D12" s="105"/>
      <c r="E12" s="105"/>
      <c r="F12" s="105"/>
    </row>
    <row r="13" customFormat="false" ht="39.75" hidden="false" customHeight="true" outlineLevel="0" collapsed="false">
      <c r="B13" s="15" t="s">
        <v>865</v>
      </c>
      <c r="C13" s="15" t="s">
        <v>866</v>
      </c>
      <c r="D13" s="15" t="s">
        <v>867</v>
      </c>
      <c r="E13" s="15" t="s">
        <v>868</v>
      </c>
      <c r="F13" s="15" t="s">
        <v>869</v>
      </c>
    </row>
    <row r="14" customFormat="false" ht="15.75" hidden="false" customHeight="true" outlineLevel="0" collapsed="false">
      <c r="B14" s="15" t="s">
        <v>865</v>
      </c>
      <c r="C14" s="15" t="s">
        <v>870</v>
      </c>
      <c r="D14" s="15" t="s">
        <v>854</v>
      </c>
      <c r="E14" s="15" t="s">
        <v>854</v>
      </c>
      <c r="F14" s="15" t="s">
        <v>871</v>
      </c>
    </row>
    <row r="15" customFormat="false" ht="15" hidden="false" customHeight="true" outlineLevel="0" collapsed="false">
      <c r="B15" s="105" t="s">
        <v>872</v>
      </c>
      <c r="C15" s="105"/>
      <c r="D15" s="105"/>
      <c r="E15" s="105"/>
      <c r="F15" s="105"/>
    </row>
    <row r="16" customFormat="false" ht="27.75" hidden="false" customHeight="true" outlineLevel="0" collapsed="false">
      <c r="B16" s="15" t="s">
        <v>873</v>
      </c>
      <c r="C16" s="15" t="s">
        <v>874</v>
      </c>
      <c r="D16" s="15" t="s">
        <v>875</v>
      </c>
      <c r="E16" s="15" t="s">
        <v>876</v>
      </c>
      <c r="F16" s="15" t="s">
        <v>877</v>
      </c>
    </row>
    <row r="17" customFormat="false" ht="15.75" hidden="false" customHeight="true" outlineLevel="0" collapsed="false">
      <c r="B17" s="15" t="s">
        <v>873</v>
      </c>
      <c r="C17" s="15" t="s">
        <v>297</v>
      </c>
      <c r="D17" s="15" t="s">
        <v>854</v>
      </c>
      <c r="E17" s="15" t="s">
        <v>854</v>
      </c>
      <c r="F17" s="15" t="s">
        <v>878</v>
      </c>
    </row>
    <row r="18" customFormat="false" ht="15" hidden="false" customHeight="true" outlineLevel="0" collapsed="false">
      <c r="B18" s="105" t="s">
        <v>879</v>
      </c>
      <c r="C18" s="105"/>
      <c r="D18" s="105"/>
      <c r="E18" s="105"/>
      <c r="F18" s="105"/>
    </row>
    <row r="19" customFormat="false" ht="27.75" hidden="false" customHeight="true" outlineLevel="0" collapsed="false">
      <c r="B19" s="15" t="s">
        <v>880</v>
      </c>
      <c r="C19" s="15" t="s">
        <v>881</v>
      </c>
      <c r="D19" s="15" t="s">
        <v>882</v>
      </c>
      <c r="E19" s="15" t="s">
        <v>883</v>
      </c>
      <c r="F19" s="15" t="s">
        <v>854</v>
      </c>
    </row>
    <row r="20" customFormat="false" ht="15.75" hidden="false" customHeight="true" outlineLevel="0" collapsed="false">
      <c r="B20" s="15" t="s">
        <v>880</v>
      </c>
      <c r="C20" s="15" t="s">
        <v>390</v>
      </c>
      <c r="D20" s="15" t="s">
        <v>854</v>
      </c>
      <c r="E20" s="15" t="s">
        <v>884</v>
      </c>
      <c r="F20" s="15" t="s">
        <v>885</v>
      </c>
    </row>
    <row r="21" customFormat="false" ht="27.75" hidden="false" customHeight="true" outlineLevel="0" collapsed="false">
      <c r="B21" s="15" t="s">
        <v>880</v>
      </c>
      <c r="C21" s="15" t="s">
        <v>78</v>
      </c>
      <c r="D21" s="15" t="s">
        <v>886</v>
      </c>
      <c r="E21" s="15" t="s">
        <v>854</v>
      </c>
      <c r="F21" s="15" t="s">
        <v>887</v>
      </c>
    </row>
    <row r="22" customFormat="false" ht="27.75" hidden="false" customHeight="true" outlineLevel="0" collapsed="false">
      <c r="B22" s="15" t="s">
        <v>880</v>
      </c>
      <c r="C22" s="15" t="s">
        <v>888</v>
      </c>
      <c r="D22" s="15" t="s">
        <v>889</v>
      </c>
      <c r="E22" s="15" t="s">
        <v>854</v>
      </c>
      <c r="F22" s="15" t="s">
        <v>890</v>
      </c>
    </row>
    <row r="23" customFormat="false" ht="15.75" hidden="false" customHeight="true" outlineLevel="0" collapsed="false">
      <c r="B23" s="15" t="s">
        <v>880</v>
      </c>
      <c r="C23" s="15" t="s">
        <v>891</v>
      </c>
      <c r="D23" s="15" t="s">
        <v>892</v>
      </c>
      <c r="E23" s="15" t="s">
        <v>854</v>
      </c>
      <c r="F23" s="15" t="s">
        <v>893</v>
      </c>
    </row>
    <row r="24" customFormat="false" ht="15.75" hidden="false" customHeight="true" outlineLevel="0" collapsed="false">
      <c r="B24" s="15" t="s">
        <v>880</v>
      </c>
      <c r="C24" s="15" t="s">
        <v>894</v>
      </c>
      <c r="D24" s="15" t="s">
        <v>895</v>
      </c>
      <c r="E24" s="15" t="s">
        <v>896</v>
      </c>
      <c r="F24" s="15" t="s">
        <v>897</v>
      </c>
    </row>
    <row r="25" customFormat="false" ht="27.75" hidden="false" customHeight="true" outlineLevel="0" collapsed="false">
      <c r="B25" s="15" t="s">
        <v>880</v>
      </c>
      <c r="C25" s="15" t="s">
        <v>898</v>
      </c>
      <c r="D25" s="15" t="s">
        <v>854</v>
      </c>
      <c r="E25" s="15" t="s">
        <v>899</v>
      </c>
      <c r="F25" s="15" t="s">
        <v>900</v>
      </c>
    </row>
    <row r="26" customFormat="false" ht="15.75" hidden="false" customHeight="true" outlineLevel="0" collapsed="false">
      <c r="B26" s="15" t="s">
        <v>880</v>
      </c>
      <c r="C26" s="15" t="s">
        <v>901</v>
      </c>
      <c r="D26" s="15" t="s">
        <v>902</v>
      </c>
      <c r="E26" s="15" t="s">
        <v>854</v>
      </c>
      <c r="F26" s="15" t="s">
        <v>903</v>
      </c>
    </row>
    <row r="27" customFormat="false" ht="27.75" hidden="false" customHeight="true" outlineLevel="0" collapsed="false">
      <c r="B27" s="15" t="s">
        <v>880</v>
      </c>
      <c r="C27" s="15" t="s">
        <v>417</v>
      </c>
      <c r="D27" s="15" t="s">
        <v>904</v>
      </c>
      <c r="E27" s="15" t="s">
        <v>854</v>
      </c>
      <c r="F27" s="15" t="s">
        <v>905</v>
      </c>
    </row>
    <row r="28" customFormat="false" ht="15" hidden="false" customHeight="true" outlineLevel="0" collapsed="false">
      <c r="B28" s="105" t="s">
        <v>906</v>
      </c>
      <c r="C28" s="105"/>
      <c r="D28" s="105"/>
      <c r="E28" s="105"/>
      <c r="F28" s="105"/>
    </row>
    <row r="29" customFormat="false" ht="27.75" hidden="false" customHeight="true" outlineLevel="0" collapsed="false">
      <c r="B29" s="15" t="s">
        <v>907</v>
      </c>
      <c r="C29" s="15" t="s">
        <v>908</v>
      </c>
      <c r="D29" s="15" t="s">
        <v>909</v>
      </c>
      <c r="E29" s="15" t="s">
        <v>910</v>
      </c>
      <c r="F29" s="15" t="s">
        <v>911</v>
      </c>
    </row>
    <row r="30" customFormat="false" ht="27.75" hidden="false" customHeight="true" outlineLevel="0" collapsed="false">
      <c r="B30" s="15" t="s">
        <v>907</v>
      </c>
      <c r="C30" s="15" t="s">
        <v>912</v>
      </c>
      <c r="D30" s="15" t="s">
        <v>913</v>
      </c>
      <c r="E30" s="15" t="s">
        <v>914</v>
      </c>
      <c r="F30" s="15" t="s">
        <v>915</v>
      </c>
    </row>
    <row r="31" customFormat="false" ht="15.75" hidden="false" customHeight="true" outlineLevel="0" collapsed="false">
      <c r="B31" s="15" t="s">
        <v>907</v>
      </c>
      <c r="C31" s="15" t="s">
        <v>916</v>
      </c>
      <c r="D31" s="15" t="s">
        <v>917</v>
      </c>
      <c r="E31" s="15" t="s">
        <v>918</v>
      </c>
      <c r="F31" s="15" t="s">
        <v>919</v>
      </c>
    </row>
    <row r="32" customFormat="false" ht="27.75" hidden="false" customHeight="true" outlineLevel="0" collapsed="false">
      <c r="B32" s="15" t="s">
        <v>907</v>
      </c>
      <c r="C32" s="15" t="s">
        <v>920</v>
      </c>
      <c r="D32" s="15" t="s">
        <v>921</v>
      </c>
      <c r="E32" s="15" t="s">
        <v>922</v>
      </c>
      <c r="F32" s="15" t="s">
        <v>854</v>
      </c>
    </row>
    <row r="33" customFormat="false" ht="27.75" hidden="false" customHeight="true" outlineLevel="0" collapsed="false">
      <c r="B33" s="15" t="s">
        <v>907</v>
      </c>
      <c r="C33" s="15" t="s">
        <v>923</v>
      </c>
      <c r="D33" s="15" t="s">
        <v>924</v>
      </c>
      <c r="E33" s="15" t="s">
        <v>925</v>
      </c>
      <c r="F33" s="15" t="s">
        <v>854</v>
      </c>
    </row>
    <row r="34" customFormat="false" ht="27.75" hidden="false" customHeight="true" outlineLevel="0" collapsed="false">
      <c r="B34" s="15" t="s">
        <v>907</v>
      </c>
      <c r="C34" s="15" t="s">
        <v>926</v>
      </c>
      <c r="D34" s="15" t="s">
        <v>927</v>
      </c>
      <c r="E34" s="15" t="s">
        <v>854</v>
      </c>
      <c r="F34" s="15" t="s">
        <v>928</v>
      </c>
    </row>
    <row r="35" customFormat="false" ht="27.75" hidden="false" customHeight="true" outlineLevel="0" collapsed="false">
      <c r="B35" s="15" t="s">
        <v>907</v>
      </c>
      <c r="C35" s="15" t="s">
        <v>929</v>
      </c>
      <c r="D35" s="15" t="s">
        <v>930</v>
      </c>
      <c r="E35" s="15" t="s">
        <v>854</v>
      </c>
      <c r="F35" s="15" t="s">
        <v>931</v>
      </c>
    </row>
    <row r="36" customFormat="false" ht="15.75" hidden="false" customHeight="true" outlineLevel="0" collapsed="false">
      <c r="B36" s="15" t="s">
        <v>907</v>
      </c>
      <c r="C36" s="15" t="s">
        <v>932</v>
      </c>
      <c r="D36" s="15" t="s">
        <v>854</v>
      </c>
      <c r="E36" s="15" t="s">
        <v>854</v>
      </c>
      <c r="F36" s="15" t="s">
        <v>933</v>
      </c>
    </row>
    <row r="37" customFormat="false" ht="27.75" hidden="false" customHeight="true" outlineLevel="0" collapsed="false">
      <c r="B37" s="15" t="s">
        <v>907</v>
      </c>
      <c r="C37" s="15" t="s">
        <v>934</v>
      </c>
      <c r="D37" s="15" t="s">
        <v>935</v>
      </c>
      <c r="E37" s="15" t="s">
        <v>854</v>
      </c>
      <c r="F37" s="15" t="s">
        <v>936</v>
      </c>
    </row>
    <row r="38" customFormat="false" ht="15" hidden="false" customHeight="true" outlineLevel="0" collapsed="false">
      <c r="B38" s="105" t="s">
        <v>937</v>
      </c>
      <c r="C38" s="105"/>
      <c r="D38" s="105"/>
      <c r="E38" s="105"/>
      <c r="F38" s="105"/>
    </row>
    <row r="39" customFormat="false" ht="15.75" hidden="false" customHeight="true" outlineLevel="0" collapsed="false">
      <c r="B39" s="15" t="s">
        <v>938</v>
      </c>
      <c r="C39" s="15" t="s">
        <v>388</v>
      </c>
      <c r="D39" s="15" t="s">
        <v>854</v>
      </c>
      <c r="E39" s="15" t="s">
        <v>939</v>
      </c>
      <c r="F39" s="15" t="s">
        <v>940</v>
      </c>
    </row>
    <row r="40" customFormat="false" ht="15.75" hidden="false" customHeight="true" outlineLevel="0" collapsed="false">
      <c r="B40" s="15" t="s">
        <v>938</v>
      </c>
      <c r="C40" s="15" t="s">
        <v>941</v>
      </c>
      <c r="D40" s="15" t="s">
        <v>854</v>
      </c>
      <c r="E40" s="15" t="s">
        <v>942</v>
      </c>
      <c r="F40" s="15" t="s">
        <v>943</v>
      </c>
    </row>
    <row r="41" customFormat="false" ht="27.75" hidden="false" customHeight="true" outlineLevel="0" collapsed="false">
      <c r="B41" s="15" t="s">
        <v>938</v>
      </c>
      <c r="C41" s="15" t="s">
        <v>944</v>
      </c>
      <c r="D41" s="15" t="s">
        <v>854</v>
      </c>
      <c r="E41" s="15" t="s">
        <v>945</v>
      </c>
      <c r="F41" s="15" t="s">
        <v>946</v>
      </c>
    </row>
    <row r="42" customFormat="false" ht="27.75" hidden="false" customHeight="true" outlineLevel="0" collapsed="false">
      <c r="B42" s="15" t="s">
        <v>938</v>
      </c>
      <c r="C42" s="15" t="s">
        <v>947</v>
      </c>
      <c r="D42" s="15" t="s">
        <v>854</v>
      </c>
      <c r="E42" s="15" t="s">
        <v>948</v>
      </c>
      <c r="F42" s="15" t="s">
        <v>854</v>
      </c>
    </row>
    <row r="43" customFormat="false" ht="15.75" hidden="false" customHeight="true" outlineLevel="0" collapsed="false">
      <c r="B43" s="15" t="s">
        <v>938</v>
      </c>
      <c r="C43" s="15" t="s">
        <v>949</v>
      </c>
      <c r="D43" s="15" t="s">
        <v>854</v>
      </c>
      <c r="E43" s="15" t="s">
        <v>950</v>
      </c>
      <c r="F43" s="15" t="s">
        <v>951</v>
      </c>
    </row>
    <row r="44" customFormat="false" ht="15.75" hidden="false" customHeight="true" outlineLevel="0" collapsed="false">
      <c r="B44" s="15" t="s">
        <v>938</v>
      </c>
      <c r="C44" s="15" t="s">
        <v>952</v>
      </c>
      <c r="D44" s="15" t="s">
        <v>854</v>
      </c>
      <c r="E44" s="15" t="s">
        <v>953</v>
      </c>
      <c r="F44" s="15" t="s">
        <v>954</v>
      </c>
    </row>
    <row r="45" customFormat="false" ht="39.75" hidden="false" customHeight="true" outlineLevel="0" collapsed="false">
      <c r="B45" s="15" t="s">
        <v>938</v>
      </c>
      <c r="C45" s="15" t="s">
        <v>955</v>
      </c>
      <c r="D45" s="15" t="s">
        <v>854</v>
      </c>
      <c r="E45" s="15" t="s">
        <v>956</v>
      </c>
      <c r="F45" s="15" t="s">
        <v>957</v>
      </c>
    </row>
    <row r="46" customFormat="false" ht="15.75" hidden="false" customHeight="true" outlineLevel="0" collapsed="false">
      <c r="B46" s="15" t="s">
        <v>938</v>
      </c>
      <c r="C46" s="15" t="s">
        <v>958</v>
      </c>
      <c r="D46" s="15" t="s">
        <v>854</v>
      </c>
      <c r="E46" s="15" t="s">
        <v>959</v>
      </c>
      <c r="F46" s="15" t="s">
        <v>960</v>
      </c>
    </row>
    <row r="47" customFormat="false" ht="27.75" hidden="false" customHeight="true" outlineLevel="0" collapsed="false">
      <c r="B47" s="15" t="s">
        <v>938</v>
      </c>
      <c r="C47" s="15" t="s">
        <v>961</v>
      </c>
      <c r="D47" s="15" t="s">
        <v>854</v>
      </c>
      <c r="E47" s="15" t="s">
        <v>962</v>
      </c>
      <c r="F47" s="15" t="s">
        <v>960</v>
      </c>
    </row>
    <row r="48" customFormat="false" ht="15.75" hidden="false" customHeight="true" outlineLevel="0" collapsed="false">
      <c r="B48" s="15" t="s">
        <v>938</v>
      </c>
      <c r="C48" s="15" t="s">
        <v>963</v>
      </c>
      <c r="D48" s="15" t="s">
        <v>854</v>
      </c>
      <c r="E48" s="15" t="s">
        <v>964</v>
      </c>
      <c r="F48" s="15" t="s">
        <v>965</v>
      </c>
    </row>
    <row r="49" customFormat="false" ht="15" hidden="false" customHeight="true" outlineLevel="0" collapsed="false">
      <c r="B49" s="105" t="s">
        <v>966</v>
      </c>
      <c r="C49" s="105"/>
      <c r="D49" s="105"/>
      <c r="E49" s="105"/>
      <c r="F49" s="105"/>
    </row>
    <row r="50" customFormat="false" ht="39.75" hidden="false" customHeight="true" outlineLevel="0" collapsed="false">
      <c r="B50" s="15" t="s">
        <v>967</v>
      </c>
      <c r="C50" s="15" t="s">
        <v>968</v>
      </c>
      <c r="D50" s="15" t="s">
        <v>969</v>
      </c>
      <c r="E50" s="15" t="s">
        <v>854</v>
      </c>
      <c r="F50" s="15" t="s">
        <v>970</v>
      </c>
    </row>
    <row r="51" customFormat="false" ht="27.75" hidden="false" customHeight="true" outlineLevel="0" collapsed="false">
      <c r="B51" s="15" t="s">
        <v>967</v>
      </c>
      <c r="C51" s="15" t="s">
        <v>971</v>
      </c>
      <c r="D51" s="15" t="s">
        <v>972</v>
      </c>
      <c r="E51" s="15" t="s">
        <v>854</v>
      </c>
      <c r="F51" s="15" t="s">
        <v>973</v>
      </c>
    </row>
    <row r="52" customFormat="false" ht="15.75" hidden="false" customHeight="true" outlineLevel="0" collapsed="false">
      <c r="B52" s="15" t="s">
        <v>967</v>
      </c>
      <c r="C52" s="15" t="s">
        <v>974</v>
      </c>
      <c r="D52" s="15" t="s">
        <v>854</v>
      </c>
      <c r="E52" s="15" t="s">
        <v>854</v>
      </c>
      <c r="F52" s="15" t="s">
        <v>975</v>
      </c>
    </row>
    <row r="53" customFormat="false" ht="15" hidden="false" customHeight="true" outlineLevel="0" collapsed="false">
      <c r="B53" s="105" t="s">
        <v>976</v>
      </c>
      <c r="C53" s="105"/>
      <c r="D53" s="105"/>
      <c r="E53" s="105"/>
      <c r="F53" s="105"/>
    </row>
    <row r="54" customFormat="false" ht="27.75" hidden="false" customHeight="true" outlineLevel="0" collapsed="false">
      <c r="B54" s="15" t="s">
        <v>977</v>
      </c>
      <c r="C54" s="15" t="s">
        <v>978</v>
      </c>
      <c r="D54" s="15" t="s">
        <v>979</v>
      </c>
      <c r="E54" s="15" t="s">
        <v>854</v>
      </c>
      <c r="F54" s="15" t="s">
        <v>980</v>
      </c>
    </row>
    <row r="55" customFormat="false" ht="15" hidden="false" customHeight="true" outlineLevel="0" collapsed="false">
      <c r="B55" s="105" t="s">
        <v>981</v>
      </c>
      <c r="C55" s="105"/>
      <c r="D55" s="105"/>
      <c r="E55" s="105"/>
      <c r="F55" s="105"/>
    </row>
    <row r="56" customFormat="false" ht="15.75" hidden="false" customHeight="true" outlineLevel="0" collapsed="false">
      <c r="B56" s="15" t="s">
        <v>982</v>
      </c>
      <c r="C56" s="15" t="s">
        <v>983</v>
      </c>
      <c r="D56" s="15" t="s">
        <v>984</v>
      </c>
      <c r="E56" s="15" t="s">
        <v>854</v>
      </c>
      <c r="F56" s="15" t="s">
        <v>854</v>
      </c>
    </row>
    <row r="57" customFormat="false" ht="39.75" hidden="false" customHeight="true" outlineLevel="0" collapsed="false">
      <c r="B57" s="15" t="s">
        <v>982</v>
      </c>
      <c r="C57" s="15" t="s">
        <v>985</v>
      </c>
      <c r="D57" s="15" t="s">
        <v>986</v>
      </c>
      <c r="E57" s="15" t="s">
        <v>854</v>
      </c>
      <c r="F57" s="15" t="s">
        <v>987</v>
      </c>
    </row>
    <row r="58" customFormat="false" ht="15.75" hidden="false" customHeight="true" outlineLevel="0" collapsed="false">
      <c r="B58" s="15" t="s">
        <v>982</v>
      </c>
      <c r="C58" s="15" t="s">
        <v>988</v>
      </c>
      <c r="D58" s="15" t="s">
        <v>989</v>
      </c>
      <c r="E58" s="15" t="s">
        <v>854</v>
      </c>
      <c r="F58" s="15" t="s">
        <v>854</v>
      </c>
    </row>
    <row r="59" customFormat="false" ht="27.75" hidden="false" customHeight="true" outlineLevel="0" collapsed="false">
      <c r="B59" s="15" t="s">
        <v>982</v>
      </c>
      <c r="C59" s="15" t="s">
        <v>990</v>
      </c>
      <c r="D59" s="15" t="s">
        <v>991</v>
      </c>
      <c r="E59" s="15" t="s">
        <v>854</v>
      </c>
      <c r="F59" s="15" t="s">
        <v>992</v>
      </c>
    </row>
    <row r="60" customFormat="false" ht="15.75" hidden="false" customHeight="true" outlineLevel="0" collapsed="false">
      <c r="B60" s="15" t="s">
        <v>982</v>
      </c>
      <c r="C60" s="15" t="s">
        <v>860</v>
      </c>
      <c r="D60" s="15" t="s">
        <v>854</v>
      </c>
      <c r="E60" s="15" t="s">
        <v>993</v>
      </c>
      <c r="F60" s="15" t="s">
        <v>854</v>
      </c>
    </row>
    <row r="61" customFormat="false" ht="15" hidden="false" customHeight="true" outlineLevel="0" collapsed="false">
      <c r="B61" s="105" t="s">
        <v>994</v>
      </c>
      <c r="C61" s="105"/>
      <c r="D61" s="105"/>
      <c r="E61" s="105"/>
      <c r="F61" s="105"/>
    </row>
    <row r="62" customFormat="false" ht="39.75" hidden="false" customHeight="true" outlineLevel="0" collapsed="false">
      <c r="B62" s="15" t="s">
        <v>995</v>
      </c>
      <c r="C62" s="15" t="s">
        <v>854</v>
      </c>
      <c r="D62" s="15" t="s">
        <v>996</v>
      </c>
      <c r="E62" s="15" t="s">
        <v>997</v>
      </c>
      <c r="F62" s="15" t="s">
        <v>998</v>
      </c>
    </row>
    <row r="63" customFormat="false" ht="15" hidden="false" customHeight="true" outlineLevel="0" collapsed="false">
      <c r="B63" s="105" t="s">
        <v>999</v>
      </c>
      <c r="C63" s="105"/>
      <c r="D63" s="105"/>
      <c r="E63" s="105"/>
      <c r="F63" s="105"/>
    </row>
    <row r="64" customFormat="false" ht="27.75" hidden="false" customHeight="true" outlineLevel="0" collapsed="false">
      <c r="B64" s="15" t="s">
        <v>1000</v>
      </c>
      <c r="C64" s="15" t="s">
        <v>1001</v>
      </c>
      <c r="D64" s="15"/>
      <c r="E64" s="15"/>
      <c r="F64" s="15" t="s">
        <v>1002</v>
      </c>
    </row>
    <row r="65" customFormat="false" ht="27.75" hidden="false" customHeight="true" outlineLevel="0" collapsed="false">
      <c r="B65" s="15" t="s">
        <v>1000</v>
      </c>
      <c r="C65" s="15" t="s">
        <v>1003</v>
      </c>
      <c r="D65" s="15"/>
      <c r="E65" s="15"/>
      <c r="F65" s="15" t="s">
        <v>1004</v>
      </c>
    </row>
    <row r="66" customFormat="false" ht="27.75" hidden="false" customHeight="true" outlineLevel="0" collapsed="false">
      <c r="B66" s="15" t="s">
        <v>1000</v>
      </c>
      <c r="C66" s="15" t="s">
        <v>1005</v>
      </c>
      <c r="D66" s="15"/>
      <c r="E66" s="15"/>
      <c r="F66" s="15" t="s">
        <v>1006</v>
      </c>
    </row>
    <row r="67" customFormat="false" ht="27.75" hidden="false" customHeight="true" outlineLevel="0" collapsed="false">
      <c r="B67" s="15" t="s">
        <v>1000</v>
      </c>
      <c r="C67" s="15" t="s">
        <v>1007</v>
      </c>
      <c r="D67" s="15"/>
      <c r="E67" s="15"/>
      <c r="F67" s="15" t="s">
        <v>1008</v>
      </c>
    </row>
    <row r="68" customFormat="false" ht="27.75" hidden="false" customHeight="true" outlineLevel="0" collapsed="false">
      <c r="B68" s="15" t="s">
        <v>1000</v>
      </c>
      <c r="C68" s="15" t="s">
        <v>1009</v>
      </c>
      <c r="D68" s="15"/>
      <c r="E68" s="15"/>
      <c r="F68" s="15" t="s">
        <v>1010</v>
      </c>
    </row>
    <row r="69" customFormat="false" ht="27.75" hidden="false" customHeight="true" outlineLevel="0" collapsed="false">
      <c r="B69" s="15" t="s">
        <v>1000</v>
      </c>
      <c r="C69" s="15" t="s">
        <v>1011</v>
      </c>
      <c r="D69" s="15"/>
      <c r="E69" s="15"/>
      <c r="F69" s="15" t="s">
        <v>1012</v>
      </c>
    </row>
    <row r="70" customFormat="false" ht="27.75" hidden="false" customHeight="true" outlineLevel="0" collapsed="false">
      <c r="B70" s="15" t="s">
        <v>1000</v>
      </c>
      <c r="C70" s="15" t="s">
        <v>1013</v>
      </c>
      <c r="D70" s="15"/>
      <c r="E70" s="15"/>
      <c r="F70" s="15" t="s">
        <v>1014</v>
      </c>
    </row>
    <row r="71" customFormat="false" ht="15.75" hidden="false" customHeight="true" outlineLevel="0" collapsed="false">
      <c r="B71" s="15" t="s">
        <v>1000</v>
      </c>
      <c r="C71" s="15" t="s">
        <v>1015</v>
      </c>
      <c r="D71" s="15"/>
      <c r="E71" s="15"/>
      <c r="F71" s="15" t="s">
        <v>1016</v>
      </c>
    </row>
    <row r="72" customFormat="false" ht="15.75" hidden="false" customHeight="true" outlineLevel="0" collapsed="false">
      <c r="B72" s="15" t="s">
        <v>1017</v>
      </c>
      <c r="C72" s="15" t="s">
        <v>1018</v>
      </c>
      <c r="D72" s="15"/>
      <c r="E72" s="15"/>
      <c r="F72" s="15" t="s">
        <v>1019</v>
      </c>
    </row>
    <row r="73" customFormat="false" ht="27.75" hidden="false" customHeight="true" outlineLevel="0" collapsed="false">
      <c r="B73" s="15" t="s">
        <v>1017</v>
      </c>
      <c r="C73" s="15" t="s">
        <v>1020</v>
      </c>
      <c r="D73" s="15"/>
      <c r="E73" s="15"/>
      <c r="F73" s="15" t="s">
        <v>1021</v>
      </c>
    </row>
    <row r="74" customFormat="false" ht="39.75" hidden="false" customHeight="true" outlineLevel="0" collapsed="false">
      <c r="B74" s="15" t="s">
        <v>1017</v>
      </c>
      <c r="C74" s="15" t="s">
        <v>1022</v>
      </c>
      <c r="D74" s="15"/>
      <c r="E74" s="15"/>
      <c r="F74" s="15" t="s">
        <v>1023</v>
      </c>
    </row>
    <row r="75" customFormat="false" ht="39.75" hidden="false" customHeight="true" outlineLevel="0" collapsed="false">
      <c r="B75" s="15" t="s">
        <v>1017</v>
      </c>
      <c r="C75" s="15" t="s">
        <v>1024</v>
      </c>
      <c r="D75" s="15"/>
      <c r="E75" s="15"/>
      <c r="F75" s="15" t="s">
        <v>1025</v>
      </c>
    </row>
  </sheetData>
  <mergeCells count="24">
    <mergeCell ref="B6:F6"/>
    <mergeCell ref="B10:F10"/>
    <mergeCell ref="B12:F12"/>
    <mergeCell ref="B15:F15"/>
    <mergeCell ref="B18:F18"/>
    <mergeCell ref="B28:F28"/>
    <mergeCell ref="B38:F38"/>
    <mergeCell ref="B49:F49"/>
    <mergeCell ref="B53:F53"/>
    <mergeCell ref="B55:F55"/>
    <mergeCell ref="B61:F61"/>
    <mergeCell ref="B63:F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2026-09-28T13:40:45Z</dcterms:created>
  <dc:creator>openpyxl</dc:creator>
  <dc:description/>
  <dc:language>en-US</dc:language>
  <cp:lastModifiedBy/>
  <dcterms:modified xsi:type="dcterms:W3CDTF">2026-09-28T13:40:46Z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