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hecklist" sheetId="2" state="visible" r:id="rId2"/>
  </sheets>
  <definedNames>
    <definedName name="_xlnm._FilterDatabase" localSheetId="1" hidden="1">'Checklist'!$A$1:$M$68</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0"/>
    </font>
    <font>
      <name val="Arial"/>
      <sz val="10"/>
    </font>
    <font>
      <name val="Arial"/>
      <b val="1"/>
      <sz val="10"/>
    </font>
    <font>
      <name val="Arial"/>
      <b val="1"/>
      <color rgb="001F4E79"/>
      <sz val="10"/>
    </font>
    <font>
      <name val="Arial"/>
      <b val="1"/>
      <color rgb="001B2432"/>
      <sz val="18"/>
    </font>
    <font>
      <name val="Arial"/>
      <color rgb="0055606E"/>
      <sz val="10"/>
    </font>
    <font>
      <name val="Arial"/>
      <b val="1"/>
      <color rgb="001B2432"/>
      <sz val="26"/>
    </font>
    <font>
      <name val="Arial"/>
      <color rgb="0055606E"/>
      <sz val="9"/>
    </font>
    <font>
      <name val="Arial"/>
      <b val="1"/>
      <color rgb="001B2432"/>
      <sz val="12"/>
    </font>
    <font>
      <name val="Arial"/>
      <b val="1"/>
      <color rgb="001E6B2E"/>
      <sz val="10"/>
    </font>
    <font>
      <name val="Arial"/>
      <b val="1"/>
      <color rgb="008A5D00"/>
      <sz val="10"/>
    </font>
    <font>
      <name val="Arial"/>
      <b val="1"/>
      <color rgb="00922B21"/>
      <sz val="10"/>
    </font>
    <font>
      <name val="Arial"/>
      <color rgb="003A424E"/>
      <sz val="10"/>
    </font>
    <font>
      <name val="Arial"/>
      <i val="1"/>
      <color rgb="006B7480"/>
      <sz val="9"/>
    </font>
  </fonts>
  <fills count="8">
    <fill>
      <patternFill/>
    </fill>
    <fill>
      <patternFill patternType="gray125"/>
    </fill>
    <fill>
      <patternFill patternType="solid">
        <fgColor rgb="001B2432"/>
      </patternFill>
    </fill>
    <fill>
      <patternFill patternType="solid">
        <fgColor rgb="00E7F0FB"/>
      </patternFill>
    </fill>
    <fill>
      <patternFill patternType="solid">
        <fgColor rgb="00E8EBF0"/>
      </patternFill>
    </fill>
    <fill>
      <patternFill patternType="solid">
        <fgColor rgb="00D8EFD3"/>
      </patternFill>
    </fill>
    <fill>
      <patternFill patternType="solid">
        <fgColor rgb="00FDF0CE"/>
      </patternFill>
    </fill>
    <fill>
      <patternFill patternType="solid">
        <fgColor rgb="00FADBD8"/>
      </patternFill>
    </fill>
  </fills>
  <borders count="2">
    <border>
      <left/>
      <right/>
      <top/>
      <bottom/>
      <diagonal/>
    </border>
    <border>
      <left style="thin">
        <color rgb="00C7CDD6"/>
      </left>
      <right style="thin">
        <color rgb="00C7CDD6"/>
      </right>
      <top style="thin">
        <color rgb="00C7CDD6"/>
      </top>
      <bottom style="thin">
        <color rgb="00C7CDD6"/>
      </bottom>
    </border>
  </borders>
  <cellStyleXfs count="1">
    <xf numFmtId="0" fontId="0" fillId="0" borderId="0"/>
  </cellStyleXfs>
  <cellXfs count="28">
    <xf numFmtId="0" fontId="0" fillId="0" borderId="0" pivotButton="0" quotePrefix="0" xfId="0"/>
    <xf numFmtId="0" fontId="5" fillId="0" borderId="0" pivotButton="0" quotePrefix="0" xfId="0"/>
    <xf numFmtId="0" fontId="6" fillId="0" borderId="0" applyAlignment="1" pivotButton="0" quotePrefix="0" xfId="0">
      <alignment vertical="top" wrapText="1"/>
    </xf>
    <xf numFmtId="0" fontId="1" fillId="2" borderId="0" applyAlignment="1" pivotButton="0" quotePrefix="0" xfId="0">
      <alignment horizontal="center" vertical="center"/>
    </xf>
    <xf numFmtId="9" fontId="7" fillId="4" borderId="0" applyAlignment="1" pivotButton="0" quotePrefix="0" xfId="0">
      <alignment horizontal="center" vertical="center"/>
    </xf>
    <xf numFmtId="0" fontId="8" fillId="0" borderId="0" pivotButton="0" quotePrefix="0" xfId="0"/>
    <xf numFmtId="0" fontId="9" fillId="0" borderId="0" pivotButton="0" quotePrefix="0" xfId="0"/>
    <xf numFmtId="0" fontId="1" fillId="2" borderId="1" applyAlignment="1" pivotButton="0" quotePrefix="0" xfId="0">
      <alignment horizontal="center" wrapText="1"/>
    </xf>
    <xf numFmtId="0" fontId="10" fillId="5" borderId="1" applyAlignment="1" pivotButton="0" quotePrefix="0" xfId="0">
      <alignment horizontal="left"/>
    </xf>
    <xf numFmtId="0" fontId="2" fillId="0" borderId="1" applyAlignment="1" pivotButton="0" quotePrefix="0" xfId="0">
      <alignment horizontal="center"/>
    </xf>
    <xf numFmtId="9" fontId="2" fillId="0" borderId="1" applyAlignment="1" pivotButton="0" quotePrefix="0" xfId="0">
      <alignment horizontal="center"/>
    </xf>
    <xf numFmtId="0" fontId="11" fillId="6" borderId="1" applyAlignment="1" pivotButton="0" quotePrefix="0" xfId="0">
      <alignment horizontal="left"/>
    </xf>
    <xf numFmtId="0" fontId="12" fillId="7" borderId="1" applyAlignment="1" pivotButton="0" quotePrefix="0" xfId="0">
      <alignment horizontal="left"/>
    </xf>
    <xf numFmtId="0" fontId="3" fillId="0" borderId="1" applyAlignment="1" pivotButton="0" quotePrefix="0" xfId="0">
      <alignment horizontal="left"/>
    </xf>
    <xf numFmtId="0" fontId="3" fillId="0" borderId="1" applyAlignment="1" pivotButton="0" quotePrefix="0" xfId="0">
      <alignment horizontal="center"/>
    </xf>
    <xf numFmtId="9" fontId="3" fillId="0" borderId="1" applyAlignment="1" pivotButton="0" quotePrefix="0" xfId="0">
      <alignment horizontal="center"/>
    </xf>
    <xf numFmtId="0" fontId="1" fillId="2" borderId="1" applyAlignment="1" pivotButton="0" quotePrefix="0" xfId="0">
      <alignment horizontal="left"/>
    </xf>
    <xf numFmtId="0" fontId="1" fillId="2" borderId="1" applyAlignment="1" pivotButton="0" quotePrefix="0" xfId="0">
      <alignment horizontal="center"/>
    </xf>
    <xf numFmtId="9" fontId="1" fillId="2" borderId="1" applyAlignment="1" pivotButton="0" quotePrefix="0" xfId="0">
      <alignment horizontal="center"/>
    </xf>
    <xf numFmtId="0" fontId="13" fillId="0" borderId="0" applyAlignment="1" pivotButton="0" quotePrefix="0" xfId="0">
      <alignment vertical="top" wrapText="1"/>
    </xf>
    <xf numFmtId="0" fontId="14" fillId="0" borderId="0" applyAlignment="1" pivotButton="0" quotePrefix="0" xfId="0">
      <alignment vertical="top" wrapText="1"/>
    </xf>
    <xf numFmtId="0" fontId="1"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2" fillId="0" borderId="1" applyAlignment="1" pivotButton="0" quotePrefix="0" xfId="0">
      <alignment horizontal="center" vertical="top" wrapText="1"/>
    </xf>
    <xf numFmtId="9" fontId="3" fillId="0" borderId="1" applyAlignment="1" pivotButton="0" quotePrefix="0" xfId="0">
      <alignment horizontal="center" vertical="top" wrapText="1"/>
    </xf>
    <xf numFmtId="0" fontId="4" fillId="3" borderId="1" applyAlignment="1" pivotButton="0" quotePrefix="0" xfId="0">
      <alignment horizontal="center" vertical="top" wrapText="1"/>
    </xf>
  </cellXfs>
  <cellStyles count="1">
    <cellStyle name="Normal" xfId="0" builtinId="0" hidden="0"/>
  </cellStyles>
  <dxfs count="3">
    <dxf>
      <font>
        <name val="Arial"/>
        <b val="1"/>
        <color rgb="001E6B2E"/>
        <sz val="10"/>
      </font>
      <fill>
        <patternFill patternType="solid">
          <fgColor rgb="00D8EFD3"/>
          <bgColor rgb="00D8EFD3"/>
        </patternFill>
      </fill>
    </dxf>
    <dxf>
      <font>
        <name val="Arial"/>
        <b val="1"/>
        <color rgb="008A5D00"/>
        <sz val="10"/>
      </font>
      <fill>
        <patternFill patternType="solid">
          <fgColor rgb="00FDF0CE"/>
          <bgColor rgb="00FDF0CE"/>
        </patternFill>
      </fill>
    </dxf>
    <dxf>
      <font>
        <name val="Arial"/>
        <b val="1"/>
        <color rgb="00922B21"/>
        <sz val="10"/>
      </font>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47"/>
  <sheetViews>
    <sheetView showGridLines="0" workbookViewId="0">
      <selection activeCell="A1" sqref="A1"/>
    </sheetView>
  </sheetViews>
  <sheetFormatPr baseColWidth="8" defaultRowHeight="15"/>
  <cols>
    <col width="3" customWidth="1" min="1" max="1"/>
    <col width="34" customWidth="1" min="2" max="2"/>
    <col width="13" customWidth="1" min="3" max="3"/>
    <col width="11" customWidth="1" min="4" max="4"/>
    <col width="11" customWidth="1" min="5" max="5"/>
    <col width="22" customWidth="1" min="6" max="6"/>
    <col width="11" customWidth="1" min="7" max="7"/>
    <col width="14" customWidth="1" min="8" max="8"/>
  </cols>
  <sheetData>
    <row r="2">
      <c r="B2" s="1" t="inlineStr">
        <is>
          <t>Glow Ventures — Client Requirements Tracker</t>
        </is>
      </c>
    </row>
    <row r="3">
      <c r="B3" s="2" t="inlineStr">
        <is>
          <t>Every requirement from the client call and from the written follow-up that came after it, measured against the dashboard as it stands. Repeated asks are stated once.</t>
        </is>
      </c>
    </row>
    <row r="5">
      <c r="B5" s="3" t="inlineStr">
        <is>
          <t>Overall complete</t>
        </is>
      </c>
      <c r="D5" s="3" t="inlineStr">
        <is>
          <t>Dashboard</t>
        </is>
      </c>
      <c r="F5" s="3" t="inlineStr">
        <is>
          <t>Research Centre</t>
        </is>
      </c>
    </row>
    <row r="6" ht="40" customHeight="1">
      <c r="B6" s="4">
        <f>SUM(Checklist!$I$2:$I$68)/COUNTA(Checklist!$H$2:$H$68)</f>
        <v>0.477611940299</v>
      </c>
      <c r="D6" s="4">
        <f>SUMIF(Checklist!$B$2:$B$68,"Dashboard",Checklist!$I$2:$I$68)/COUNTIF(Checklist!$B$2:$B$68,"Dashboard")</f>
        <v>0.644444444444</v>
      </c>
      <c r="F6" s="4">
        <f>SUMIF(Checklist!$B$2:$B$68,"Research Centre",Checklist!$I$2:$I$68)/COUNTIF(Checklist!$B$2:$B$68,"Research Centre")</f>
        <v>0.1875</v>
      </c>
    </row>
    <row r="8">
      <c r="B8" s="5" t="inlineStr">
        <is>
          <t>Done counts 100%, Partial 50%, Not started 0%. Every line item weighs the same. The tiles above are live formulas; as measured on 2 Sep 2026 they read 48% overall, 64% dashboard, 19% research centre. They read 29% / 37% / 19% on 1 Sep, before the push recorded in the last column of the Checklist tab.</t>
        </is>
      </c>
    </row>
    <row r="10">
      <c r="B10" s="6" t="inlineStr">
        <is>
          <t>By status</t>
        </is>
      </c>
    </row>
    <row r="11">
      <c r="B11" s="7" t="inlineStr">
        <is>
          <t>Status</t>
        </is>
      </c>
      <c r="C11" s="7" t="inlineStr">
        <is>
          <t>Items</t>
        </is>
      </c>
      <c r="D11" s="7" t="inlineStr">
        <is>
          <t>Share</t>
        </is>
      </c>
    </row>
    <row r="12">
      <c r="B12" s="8" t="inlineStr">
        <is>
          <t>Done</t>
        </is>
      </c>
      <c r="C12" s="9">
        <f>COUNTIF(Checklist!$H$2:$H$68,$B12)</f>
        <v>24</v>
      </c>
      <c r="D12" s="10">
        <f>C12/COUNTA(Checklist!$H$2:$H$68)</f>
        <v>0.358208955224</v>
      </c>
    </row>
    <row r="13">
      <c r="B13" s="11" t="inlineStr">
        <is>
          <t>Partial</t>
        </is>
      </c>
      <c r="C13" s="9">
        <f>COUNTIF(Checklist!$H$2:$H$68,$B13)</f>
        <v>16</v>
      </c>
      <c r="D13" s="10">
        <f>C13/COUNTA(Checklist!$H$2:$H$68)</f>
        <v>0.238805970149</v>
      </c>
    </row>
    <row r="14">
      <c r="B14" s="12" t="inlineStr">
        <is>
          <t>Not started</t>
        </is>
      </c>
      <c r="C14" s="9">
        <f>COUNTIF(Checklist!$H$2:$H$68,$B14)</f>
        <v>27</v>
      </c>
      <c r="D14" s="10">
        <f>C14/COUNTA(Checklist!$H$2:$H$68)</f>
        <v>0.402985074627</v>
      </c>
    </row>
    <row r="15">
      <c r="B15" s="13" t="inlineStr">
        <is>
          <t>Total</t>
        </is>
      </c>
      <c r="C15" s="14">
        <f>COUNTA(Checklist!$H$2:$H$68)</f>
        <v>67</v>
      </c>
    </row>
    <row r="18">
      <c r="B18" s="6" t="inlineStr">
        <is>
          <t>By workstream</t>
        </is>
      </c>
    </row>
    <row r="19">
      <c r="B19" s="7" t="inlineStr">
        <is>
          <t>Workstream</t>
        </is>
      </c>
      <c r="C19" s="7" t="inlineStr">
        <is>
          <t>Items</t>
        </is>
      </c>
      <c r="D19" s="7" t="inlineStr">
        <is>
          <t>Done</t>
        </is>
      </c>
      <c r="E19" s="7" t="inlineStr">
        <is>
          <t>Partial</t>
        </is>
      </c>
      <c r="F19" s="7" t="inlineStr">
        <is>
          <t>Not started</t>
        </is>
      </c>
      <c r="G19" s="7" t="inlineStr">
        <is>
          <t>% complete</t>
        </is>
      </c>
    </row>
    <row r="20">
      <c r="B20" s="13" t="inlineStr">
        <is>
          <t>A. Structure &amp; Polycab</t>
        </is>
      </c>
      <c r="C20" s="9">
        <f>COUNTIF(Checklist!$C$2:$C$68,$B20)</f>
        <v>10</v>
      </c>
      <c r="D20" s="9">
        <f>COUNTIFS(Checklist!$C$2:$C$68,$B20,Checklist!$H$2:$H$68,"Done")</f>
        <v>8</v>
      </c>
      <c r="E20" s="9">
        <f>COUNTIFS(Checklist!$C$2:$C$68,$B20,Checklist!$H$2:$H$68,"Partial")</f>
        <v>1</v>
      </c>
      <c r="F20" s="9">
        <f>COUNTIFS(Checklist!$C$2:$C$68,$B20,Checklist!$H$2:$H$68,"Not started")</f>
        <v>1</v>
      </c>
      <c r="G20" s="15">
        <f>IFERROR(SUMIF(Checklist!$C$2:$C$68,$B20,Checklist!$I$2:$I$68)/C20,"")</f>
        <v>0.85</v>
      </c>
    </row>
    <row r="21">
      <c r="B21" s="13" t="inlineStr">
        <is>
          <t>B. Holdings table</t>
        </is>
      </c>
      <c r="C21" s="9">
        <f>COUNTIF(Checklist!$C$2:$C$68,$B21)</f>
        <v>11</v>
      </c>
      <c r="D21" s="9">
        <f>COUNTIFS(Checklist!$C$2:$C$68,$B21,Checklist!$H$2:$H$68,"Done")</f>
        <v>5</v>
      </c>
      <c r="E21" s="9">
        <f>COUNTIFS(Checklist!$C$2:$C$68,$B21,Checklist!$H$2:$H$68,"Partial")</f>
        <v>4</v>
      </c>
      <c r="F21" s="9">
        <f>COUNTIFS(Checklist!$C$2:$C$68,$B21,Checklist!$H$2:$H$68,"Not started")</f>
        <v>2</v>
      </c>
      <c r="G21" s="15">
        <f>IFERROR(SUMIF(Checklist!$C$2:$C$68,$B21,Checklist!$I$2:$I$68)/C21,"")</f>
        <v>0.636363636364</v>
      </c>
    </row>
    <row r="22">
      <c r="B22" s="13" t="inlineStr">
        <is>
          <t>C. Transactions</t>
        </is>
      </c>
      <c r="C22" s="9">
        <f>COUNTIF(Checklist!$C$2:$C$68,$B22)</f>
        <v>4</v>
      </c>
      <c r="D22" s="9">
        <f>COUNTIFS(Checklist!$C$2:$C$68,$B22,Checklist!$H$2:$H$68,"Done")</f>
        <v>3</v>
      </c>
      <c r="E22" s="9">
        <f>COUNTIFS(Checklist!$C$2:$C$68,$B22,Checklist!$H$2:$H$68,"Partial")</f>
        <v>0</v>
      </c>
      <c r="F22" s="9">
        <f>COUNTIFS(Checklist!$C$2:$C$68,$B22,Checklist!$H$2:$H$68,"Not started")</f>
        <v>1</v>
      </c>
      <c r="G22" s="15">
        <f>IFERROR(SUMIF(Checklist!$C$2:$C$68,$B22,Checklist!$I$2:$I$68)/C22,"")</f>
        <v>0.75</v>
      </c>
    </row>
    <row r="23">
      <c r="B23" s="13" t="inlineStr">
        <is>
          <t>D. Overview (Morning CIO)</t>
        </is>
      </c>
      <c r="C23" s="9">
        <f>COUNTIF(Checklist!$C$2:$C$68,$B23)</f>
        <v>9</v>
      </c>
      <c r="D23" s="9">
        <f>COUNTIFS(Checklist!$C$2:$C$68,$B23,Checklist!$H$2:$H$68,"Done")</f>
        <v>5</v>
      </c>
      <c r="E23" s="9">
        <f>COUNTIFS(Checklist!$C$2:$C$68,$B23,Checklist!$H$2:$H$68,"Partial")</f>
        <v>2</v>
      </c>
      <c r="F23" s="9">
        <f>COUNTIFS(Checklist!$C$2:$C$68,$B23,Checklist!$H$2:$H$68,"Not started")</f>
        <v>2</v>
      </c>
      <c r="G23" s="15">
        <f>IFERROR(SUMIF(Checklist!$C$2:$C$68,$B23,Checklist!$I$2:$I$68)/C23,"")</f>
        <v>0.666666666667</v>
      </c>
    </row>
    <row r="24">
      <c r="B24" s="13" t="inlineStr">
        <is>
          <t>E. Baskets &amp; family view</t>
        </is>
      </c>
      <c r="C24" s="9">
        <f>COUNTIF(Checklist!$C$2:$C$68,$B24)</f>
        <v>3</v>
      </c>
      <c r="D24" s="9">
        <f>COUNTIFS(Checklist!$C$2:$C$68,$B24,Checklist!$H$2:$H$68,"Done")</f>
        <v>0</v>
      </c>
      <c r="E24" s="9">
        <f>COUNTIFS(Checklist!$C$2:$C$68,$B24,Checklist!$H$2:$H$68,"Partial")</f>
        <v>1</v>
      </c>
      <c r="F24" s="9">
        <f>COUNTIFS(Checklist!$C$2:$C$68,$B24,Checklist!$H$2:$H$68,"Not started")</f>
        <v>2</v>
      </c>
      <c r="G24" s="15">
        <f>IFERROR(SUMIF(Checklist!$C$2:$C$68,$B24,Checklist!$I$2:$I$68)/C24,"")</f>
        <v>0.166666666667</v>
      </c>
    </row>
    <row r="25">
      <c r="B25" s="13" t="inlineStr">
        <is>
          <t>F. Data, pricing &amp; look-through</t>
        </is>
      </c>
      <c r="C25" s="9">
        <f>COUNTIF(Checklist!$C$2:$C$68,$B25)</f>
        <v>8</v>
      </c>
      <c r="D25" s="9">
        <f>COUNTIFS(Checklist!$C$2:$C$68,$B25,Checklist!$H$2:$H$68,"Done")</f>
        <v>2</v>
      </c>
      <c r="E25" s="9">
        <f>COUNTIFS(Checklist!$C$2:$C$68,$B25,Checklist!$H$2:$H$68,"Partial")</f>
        <v>4</v>
      </c>
      <c r="F25" s="9">
        <f>COUNTIFS(Checklist!$C$2:$C$68,$B25,Checklist!$H$2:$H$68,"Not started")</f>
        <v>2</v>
      </c>
      <c r="G25" s="15">
        <f>IFERROR(SUMIF(Checklist!$C$2:$C$68,$B25,Checklist!$I$2:$I$68)/C25,"")</f>
        <v>0.5</v>
      </c>
    </row>
    <row r="26">
      <c r="B26" s="13" t="inlineStr">
        <is>
          <t>G. Fund research</t>
        </is>
      </c>
      <c r="C26" s="9">
        <f>COUNTIF(Checklist!$C$2:$C$68,$B26)</f>
        <v>10</v>
      </c>
      <c r="D26" s="9">
        <f>COUNTIFS(Checklist!$C$2:$C$68,$B26,Checklist!$H$2:$H$68,"Done")</f>
        <v>1</v>
      </c>
      <c r="E26" s="9">
        <f>COUNTIFS(Checklist!$C$2:$C$68,$B26,Checklist!$H$2:$H$68,"Partial")</f>
        <v>2</v>
      </c>
      <c r="F26" s="9">
        <f>COUNTIFS(Checklist!$C$2:$C$68,$B26,Checklist!$H$2:$H$68,"Not started")</f>
        <v>7</v>
      </c>
      <c r="G26" s="15">
        <f>IFERROR(SUMIF(Checklist!$C$2:$C$68,$B26,Checklist!$I$2:$I$68)/C26,"")</f>
        <v>0.2</v>
      </c>
    </row>
    <row r="27">
      <c r="B27" s="13" t="inlineStr">
        <is>
          <t>H. News &amp; announcements</t>
        </is>
      </c>
      <c r="C27" s="9">
        <f>COUNTIF(Checklist!$C$2:$C$68,$B27)</f>
        <v>6</v>
      </c>
      <c r="D27" s="9">
        <f>COUNTIFS(Checklist!$C$2:$C$68,$B27,Checklist!$H$2:$H$68,"Done")</f>
        <v>0</v>
      </c>
      <c r="E27" s="9">
        <f>COUNTIFS(Checklist!$C$2:$C$68,$B27,Checklist!$H$2:$H$68,"Partial")</f>
        <v>2</v>
      </c>
      <c r="F27" s="9">
        <f>COUNTIFS(Checklist!$C$2:$C$68,$B27,Checklist!$H$2:$H$68,"Not started")</f>
        <v>4</v>
      </c>
      <c r="G27" s="15">
        <f>IFERROR(SUMIF(Checklist!$C$2:$C$68,$B27,Checklist!$I$2:$I$68)/C27,"")</f>
        <v>0.166666666667</v>
      </c>
    </row>
    <row r="28">
      <c r="B28" s="13" t="inlineStr">
        <is>
          <t>I. Process &amp; access</t>
        </is>
      </c>
      <c r="C28" s="9">
        <f>COUNTIF(Checklist!$C$2:$C$68,$B28)</f>
        <v>6</v>
      </c>
      <c r="D28" s="9">
        <f>COUNTIFS(Checklist!$C$2:$C$68,$B28,Checklist!$H$2:$H$68,"Done")</f>
        <v>0</v>
      </c>
      <c r="E28" s="9">
        <f>COUNTIFS(Checklist!$C$2:$C$68,$B28,Checklist!$H$2:$H$68,"Partial")</f>
        <v>0</v>
      </c>
      <c r="F28" s="9">
        <f>COUNTIFS(Checklist!$C$2:$C$68,$B28,Checklist!$H$2:$H$68,"Not started")</f>
        <v>6</v>
      </c>
      <c r="G28" s="15">
        <f>IFERROR(SUMIF(Checklist!$C$2:$C$68,$B28,Checklist!$I$2:$I$68)/C28,"")</f>
        <v>0.0</v>
      </c>
    </row>
    <row r="29">
      <c r="B29" s="16" t="inlineStr">
        <is>
          <t>All workstreams</t>
        </is>
      </c>
      <c r="C29" s="17">
        <f>SUM(C20:C28)</f>
        <v>67</v>
      </c>
      <c r="D29" s="17">
        <f>SUM(D20:D28)</f>
        <v>24</v>
      </c>
      <c r="E29" s="17">
        <f>SUM(E20:E28)</f>
        <v>16</v>
      </c>
      <c r="F29" s="17">
        <f>SUM(F20:F28)</f>
        <v>27</v>
      </c>
      <c r="G29" s="18">
        <f>SUM(Checklist!$I$2:$I$68)/C29</f>
        <v>0.477611940299</v>
      </c>
    </row>
    <row r="32">
      <c r="B32" s="6" t="inlineStr">
        <is>
          <t>By round — where the ask came from</t>
        </is>
      </c>
    </row>
    <row r="33">
      <c r="B33" s="7" t="inlineStr">
        <is>
          <t>Raised in</t>
        </is>
      </c>
      <c r="C33" s="7" t="inlineStr">
        <is>
          <t>Items</t>
        </is>
      </c>
      <c r="D33" s="7" t="inlineStr">
        <is>
          <t>Not started</t>
        </is>
      </c>
      <c r="E33" s="7" t="inlineStr">
        <is>
          <t>% complete</t>
        </is>
      </c>
    </row>
    <row r="34">
      <c r="B34" s="13" t="inlineStr">
        <is>
          <t>Call</t>
        </is>
      </c>
      <c r="C34" s="9">
        <f>COUNTIF(Checklist!$F$2:$F$68,$B34)</f>
        <v>54</v>
      </c>
      <c r="D34" s="9">
        <f>COUNTIFS(Checklist!$F$2:$F$68,$B34,Checklist!$H$2:$H$68,"Not started")</f>
        <v>22</v>
      </c>
      <c r="E34" s="15">
        <f>IFERROR(SUMIF(Checklist!$F$2:$F$68,$B34,Checklist!$I$2:$I$68)/C34,"")</f>
        <v>0.490740740741</v>
      </c>
    </row>
    <row r="35">
      <c r="B35" s="13" t="inlineStr">
        <is>
          <t>Call + written</t>
        </is>
      </c>
      <c r="C35" s="9">
        <f>COUNTIF(Checklist!$F$2:$F$68,$B35)</f>
        <v>2</v>
      </c>
      <c r="D35" s="9">
        <f>COUNTIFS(Checklist!$F$2:$F$68,$B35,Checklist!$H$2:$H$68,"Not started")</f>
        <v>0</v>
      </c>
      <c r="E35" s="15">
        <f>IFERROR(SUMIF(Checklist!$F$2:$F$68,$B35,Checklist!$I$2:$I$68)/C35,"")</f>
        <v>1.0</v>
      </c>
    </row>
    <row r="36">
      <c r="B36" s="13" t="inlineStr">
        <is>
          <t>Written feedback</t>
        </is>
      </c>
      <c r="C36" s="9">
        <f>COUNTIF(Checklist!$F$2:$F$68,$B36)</f>
        <v>11</v>
      </c>
      <c r="D36" s="9">
        <f>COUNTIFS(Checklist!$F$2:$F$68,$B36,Checklist!$H$2:$H$68,"Not started")</f>
        <v>5</v>
      </c>
      <c r="E36" s="15">
        <f>IFERROR(SUMIF(Checklist!$F$2:$F$68,$B36,Checklist!$I$2:$I$68)/C36,"")</f>
        <v>0.318181818182</v>
      </c>
    </row>
    <row r="39">
      <c r="B39" s="6" t="inlineStr">
        <is>
          <t>How to read this</t>
        </is>
      </c>
    </row>
    <row r="40" ht="44" customHeight="1">
      <c r="B40" s="19" t="inlineStr">
        <is>
          <t>•  Two products are in scope. Dashboard rows were checked against the code in techmuns/glowventures. Research Centre rows are a separate application not in that repository, so their status is what the client was shown live on the call.</t>
        </is>
      </c>
    </row>
    <row r="41" ht="44" customHeight="1">
      <c r="B41" s="19" t="inlineStr">
        <is>
          <t>•  The written follow-up added 11 requirements and sharpened 2 the client had already made on the call. Filter the “Raised in” column to see them: of the 11, 5 are still not started, 5 are part-built and 1 is complete — the four index levels carried on every screen. Both of the two it sharpened are now done. What the push did NOT touch on this list is the FIFO realised gain (B10), the Consolidated NAV rename (D9), the capital-invested gap (F8) and the two process items.</t>
        </is>
      </c>
    </row>
    <row r="42" ht="30" customHeight="1">
      <c r="B42" s="19" t="inlineStr">
        <is>
          <t>•  "Partial" means the plumbing is there and the screen is not, or the ask is met on one page and not the others. The "What is left to do" column says which.</t>
        </is>
      </c>
    </row>
    <row r="43" ht="44" customHeight="1">
      <c r="B43" s="19" t="inlineStr">
        <is>
          <t>•  Two of the open items are blocked on data rather than on build effort, and are worth raising with the client directly: fund look-through (F6, F7) now has the mutual-fund half from the AMCs' own monthly disclosures, but no Category II or III AIF is required to publish one, so ₹352 Cr of the book still has nothing to join; and the incomplete capital-invested figure (F8) needs a priced transaction history from the demats. The dated portfolio value series that blocked the Nifty comparison (D2) and the day / week / month returns (D7) has since been built — it covers 13 of 49 accounts, and widening it needs a monthly valuation statement from any of the other 36.</t>
        </is>
      </c>
    </row>
    <row r="44" ht="30" customHeight="1">
      <c r="B44" s="19" t="inlineStr">
        <is>
          <t>•  Change a Status cell on the Checklist tab and every percentage here recalculates — the roll-ups are formulas, not typed numbers.</t>
        </is>
      </c>
    </row>
    <row r="45" ht="44" customHeight="1">
      <c r="B45" s="19" t="inlineStr">
        <is>
          <t>•  What moved in the last 36 hours: 16 line items changed status — 12 to Done and 4 from Not started to Part-built — across the holdings table, the transactions view and the Morning CIO front page. The last column of the Checklist tab names the change and the commit behind each, so the ones that did NOT move are as visible as the ones that did.</t>
        </is>
      </c>
    </row>
    <row r="46" ht="8" customHeight="1">
      <c r="B46" s="20" t="n"/>
    </row>
    <row r="47" ht="44" customHeight="1">
      <c r="B47" s="20" t="inlineStr">
        <is>
          <t>Sources: client call transcript, and the written follow-up (“Some more feedback to incorporate pls”, points 1–5). Dashboard status re-measured against techmuns/glowventures at commit 857b689, 2 September 2026 — 29 commits after the 1 September baseline (3b46e97) this sheet was first written against. Book as measured: current value of holdings 710.39 Cr ex-Polycab, 49 accounts, 371 positions, 6 holders and 2 trusts, unchanged over the push. Research Centre rows are a separate application and were not re-measured.</t>
        </is>
      </c>
    </row>
  </sheetData>
  <mergeCells count="15">
    <mergeCell ref="D6:E6"/>
    <mergeCell ref="B6:C6"/>
    <mergeCell ref="B8:H8"/>
    <mergeCell ref="B40:H40"/>
    <mergeCell ref="B41:H41"/>
    <mergeCell ref="B5:C5"/>
    <mergeCell ref="B44:H44"/>
    <mergeCell ref="F5:G5"/>
    <mergeCell ref="D5:E5"/>
    <mergeCell ref="B43:H43"/>
    <mergeCell ref="B47:H47"/>
    <mergeCell ref="F6:G6"/>
    <mergeCell ref="B42:H42"/>
    <mergeCell ref="B3:H3"/>
    <mergeCell ref="B45:H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7" customWidth="1" min="2" max="2"/>
    <col width="26" customWidth="1" min="3" max="3"/>
    <col width="46" customWidth="1" min="4" max="4"/>
    <col width="54" customWidth="1" min="5" max="5"/>
    <col width="15" customWidth="1" min="6" max="6"/>
    <col width="24" customWidth="1" min="7" max="7"/>
    <col width="13" customWidth="1" min="8" max="8"/>
    <col width="9" customWidth="1" min="9" max="9"/>
    <col width="74" customWidth="1" min="10" max="10"/>
    <col width="58" customWidth="1" min="11" max="11"/>
    <col width="26" customWidth="1" min="12" max="12"/>
    <col width="52" customWidth="1" min="13" max="13"/>
  </cols>
  <sheetData>
    <row r="1" ht="34" customHeight="1">
      <c r="A1" s="21" t="inlineStr">
        <is>
          <t>ID</t>
        </is>
      </c>
      <c r="B1" s="21" t="inlineStr">
        <is>
          <t>Scope</t>
        </is>
      </c>
      <c r="C1" s="21" t="inlineStr">
        <is>
          <t>Workstream</t>
        </is>
      </c>
      <c r="D1" s="21" t="inlineStr">
        <is>
          <t>Requirement</t>
        </is>
      </c>
      <c r="E1" s="21" t="inlineStr">
        <is>
          <t>What the client asked for</t>
        </is>
      </c>
      <c r="F1" s="21" t="inlineStr">
        <is>
          <t>Raised in</t>
        </is>
      </c>
      <c r="G1" s="21" t="inlineStr">
        <is>
          <t>Where it lives</t>
        </is>
      </c>
      <c r="H1" s="21" t="inlineStr">
        <is>
          <t>Status</t>
        </is>
      </c>
      <c r="I1" s="21" t="inlineStr">
        <is>
          <t>% done</t>
        </is>
      </c>
      <c r="J1" s="21" t="inlineStr">
        <is>
          <t>Current state of the dashboard</t>
        </is>
      </c>
      <c r="K1" s="21" t="inlineStr">
        <is>
          <t>What is left to do</t>
        </is>
      </c>
      <c r="L1" s="21" t="inlineStr">
        <is>
          <t>Status verified</t>
        </is>
      </c>
      <c r="M1" s="21" t="inlineStr">
        <is>
          <t>Moved in the 1–2 Sep push</t>
        </is>
      </c>
    </row>
    <row r="2">
      <c r="A2" s="22" t="inlineStr">
        <is>
          <t>A1</t>
        </is>
      </c>
      <c r="B2" s="23" t="inlineStr">
        <is>
          <t>Dashboard</t>
        </is>
      </c>
      <c r="C2" s="23" t="inlineStr">
        <is>
          <t>A. Structure &amp; Polycab</t>
        </is>
      </c>
      <c r="D2" s="24" t="inlineStr">
        <is>
          <t>Remove Polycab from the consolidated NAV and from every calculation on the dashboard</t>
        </is>
      </c>
      <c r="E2" s="23" t="inlineStr">
        <is>
          <t>"Polycab must not be included in any data set information and any calculation in any other part of the dashboard" — consolidated NAV was reading 13,000 Cr</t>
        </is>
      </c>
      <c r="F2" s="25" t="inlineStr">
        <is>
          <t>Call</t>
        </is>
      </c>
      <c r="G2" s="23" t="inlineStr">
        <is>
          <t>scripts/build-book.mjs · whole app</t>
        </is>
      </c>
      <c r="H2" s="22" t="inlineStr">
        <is>
          <t>Done</t>
        </is>
      </c>
      <c r="I2" s="26">
        <f>IF(H2="Done",1,IF(H2="Partial",0.5,0))</f>
        <v>1.0</v>
      </c>
      <c r="J2" s="23" t="inlineStr">
        <is>
          <t>Ring-fenced at the book layer: the holding is spliced into BOOK_POLYCAB before any total, split, weight, sector or XIRR is struck. Consolidated NAV is 710.39 Cr ex-Polycab (was 13,061.63 Cr). `npm run check:pages` asserts the name appears nowhere in &lt;main&gt; on the other 26 routes.</t>
        </is>
      </c>
      <c r="K2" s="23" t="inlineStr">
        <is>
          <t>—</t>
        </is>
      </c>
      <c r="L2" s="23" t="inlineStr">
        <is>
          <t>Verified in repo</t>
        </is>
      </c>
      <c r="M2" s="23" t="inlineStr">
        <is>
          <t>—</t>
        </is>
      </c>
    </row>
    <row r="3">
      <c r="A3" s="22" t="inlineStr">
        <is>
          <t>A2</t>
        </is>
      </c>
      <c r="B3" s="23" t="inlineStr">
        <is>
          <t>Dashboard</t>
        </is>
      </c>
      <c r="C3" s="23" t="inlineStr">
        <is>
          <t>A. Structure &amp; Polycab</t>
        </is>
      </c>
      <c r="D3" s="24" t="inlineStr">
        <is>
          <t>Give Polycab its own single page</t>
        </is>
      </c>
      <c r="E3" s="23" t="inlineStr">
        <is>
          <t>"Let it be as a single page" — keep it visible but out of the book</t>
        </is>
      </c>
      <c r="F3" s="25" t="inlineStr">
        <is>
          <t>Call</t>
        </is>
      </c>
      <c r="G3" s="23" t="inlineStr">
        <is>
          <t>/polycab</t>
        </is>
      </c>
      <c r="H3" s="22" t="inlineStr">
        <is>
          <t>Done</t>
        </is>
      </c>
      <c r="I3" s="26">
        <f>IF(H3="Done",1,IF(H3="Partial",0.5,0))</f>
        <v>1.0</v>
      </c>
      <c r="J3" s="23" t="inlineStr">
        <is>
          <t>Page live and first in the Daily nav group. Reads BOOK_POLYCAB directly rather than the portfolio context, so it cannot leak back into a total. /stock/&lt;polycab&gt; redirects here instead of rendering the holding as fully exited at 0.</t>
        </is>
      </c>
      <c r="K3" s="23" t="inlineStr">
        <is>
          <t>—</t>
        </is>
      </c>
      <c r="L3" s="23" t="inlineStr">
        <is>
          <t>Verified in repo</t>
        </is>
      </c>
      <c r="M3" s="23" t="inlineStr">
        <is>
          <t>—</t>
        </is>
      </c>
    </row>
    <row r="4">
      <c r="A4" s="22" t="inlineStr">
        <is>
          <t>A3</t>
        </is>
      </c>
      <c r="B4" s="23" t="inlineStr">
        <is>
          <t>Dashboard</t>
        </is>
      </c>
      <c r="C4" s="23" t="inlineStr">
        <is>
          <t>A. Structure &amp; Polycab</t>
        </is>
      </c>
      <c r="D4" s="24" t="inlineStr">
        <is>
          <t>No include/exclude toggle — Polycab out entirely, retained in one place only</t>
        </is>
      </c>
      <c r="E4" s="23" t="inlineStr">
        <is>
          <t>"No no no toggle button… just keep it somewhere in the data or statements"</t>
        </is>
      </c>
      <c r="F4" s="25" t="inlineStr">
        <is>
          <t>Call</t>
        </is>
      </c>
      <c r="G4" s="23" t="inlineStr">
        <is>
          <t>/polycab · /audit</t>
        </is>
      </c>
      <c r="H4" s="22" t="inlineStr">
        <is>
          <t>Done</t>
        </is>
      </c>
      <c r="I4" s="26">
        <f>IF(H4="Done",1,IF(H4="Partial",0.5,0))</f>
        <v>1.0</v>
      </c>
      <c r="J4" s="23" t="inlineStr">
        <is>
          <t>No toggle anywhere. The statement stays in source/ and the full 38-row extraction stays in the audit archive, so provenance is intact without any dashboard figure moving.</t>
        </is>
      </c>
      <c r="K4" s="23" t="inlineStr">
        <is>
          <t>—</t>
        </is>
      </c>
      <c r="L4" s="23" t="inlineStr">
        <is>
          <t>Verified in repo</t>
        </is>
      </c>
      <c r="M4" s="23" t="inlineStr">
        <is>
          <t>—</t>
        </is>
      </c>
    </row>
    <row r="5">
      <c r="A5" s="22" t="inlineStr">
        <is>
          <t>A4</t>
        </is>
      </c>
      <c r="B5" s="23" t="inlineStr">
        <is>
          <t>Dashboard</t>
        </is>
      </c>
      <c r="C5" s="23" t="inlineStr">
        <is>
          <t>A. Structure &amp; Polycab</t>
        </is>
      </c>
      <c r="D5" s="24" t="inlineStr">
        <is>
          <t>Polycab page to show the holding per demat, per holder, pledges, dividends and splits</t>
        </is>
      </c>
      <c r="E5" s="23" t="inlineStr">
        <is>
          <t>"How many Polycab shares are lying in which DMAT, how many belong to who, if there is a pledge created… what dividend has come in, is there a stock split"</t>
        </is>
      </c>
      <c r="F5" s="25" t="inlineStr">
        <is>
          <t>Call</t>
        </is>
      </c>
      <c r="G5" s="23" t="inlineStr">
        <is>
          <t>/polycab</t>
        </is>
      </c>
      <c r="H5" s="22" t="inlineStr">
        <is>
          <t>Done</t>
        </is>
      </c>
      <c r="I5" s="26">
        <f>IF(H5="Done",1,IF(H5="Partial",0.5,0))</f>
        <v>1.0</v>
      </c>
      <c r="J5" s="23" t="inlineStr">
        <is>
          <t>The page carries the holding per demat account and a per-holder rollup, each row with its share of the block, plus one card holding the three facts no document reports. Pledges, dividends and splits are READ FROM THE BOOK — corporate actions filtered on this holding's own securityKey, dividends summed off the position — so a drop that brings one in fills the row with no code change, and each row names the document that would carry it. An NSDL Statement of Holding has five columns and no pledge, lock-in or freeze column at all, so a nil pledge is never printed: check:pages asserts that row can never acquire a figure that parses as zero. Six invariants reconcile the rendered tables against BOOK_POLYCAB in both directions.</t>
        </is>
      </c>
      <c r="K5" s="23" t="inlineStr">
        <is>
          <t>Nothing on the build. Bharat's HDFC NSDL statement (51,08,911 further shares) is four JPEG pages with no text layer and no value column at all — re-measured 2 Sep, so OCR would not recover a figure either. It needs a text PDF from HDFC.</t>
        </is>
      </c>
      <c r="L5" s="23" t="inlineStr">
        <is>
          <t>Verified in repo · 2 Sep</t>
        </is>
      </c>
      <c r="M5" s="23" t="inlineStr">
        <is>
          <t>Yes · 1 Sep — the per-demat and per-holder tables, and the three absences named rather than drawn as empty boxes (6361b9d).</t>
        </is>
      </c>
    </row>
    <row r="6">
      <c r="A6" s="22" t="inlineStr">
        <is>
          <t>A5</t>
        </is>
      </c>
      <c r="B6" s="23" t="inlineStr">
        <is>
          <t>Dashboard</t>
        </is>
      </c>
      <c r="C6" s="23" t="inlineStr">
        <is>
          <t>A. Structure &amp; Polycab</t>
        </is>
      </c>
      <c r="D6" s="24" t="inlineStr">
        <is>
          <t>Show every PMS / AIF as a single line item — never explode a manager's holdings into the main table</t>
        </is>
      </c>
      <c r="E6" s="23" t="inlineStr">
        <is>
          <t>"PMS should come as line items… I've been repeating this point again and again" · "we have to mirror that everywhere"</t>
        </is>
      </c>
      <c r="F6" s="25" t="inlineStr">
        <is>
          <t>Call</t>
        </is>
      </c>
      <c r="G6" s="23" t="inlineStr">
        <is>
          <t>/monitor · /cio · /family</t>
        </is>
      </c>
      <c r="H6" s="22" t="inlineStr">
        <is>
          <t>Done</t>
        </is>
      </c>
      <c r="I6" s="26">
        <f>IF(H6="Done",1,IF(H6="Partial",0.5,0))</f>
        <v>1.0</v>
      </c>
      <c r="J6" s="23" t="inlineStr">
        <is>
          <t>holdingBucket groups shares a manager chose into a 'PMS mandates' section (10 mandates standing for 281 holdings, 138.7 Cr); the rest groups by what it is. Applied on Portfolio Monitor, Morning CIO allocation, Family &amp; Entities and the review deck.</t>
        </is>
      </c>
      <c r="K6" s="23" t="inlineStr">
        <is>
          <t>—</t>
        </is>
      </c>
      <c r="L6" s="23" t="inlineStr">
        <is>
          <t>Verified in repo</t>
        </is>
      </c>
      <c r="M6" s="23" t="inlineStr">
        <is>
          <t>—</t>
        </is>
      </c>
    </row>
    <row r="7">
      <c r="A7" s="22" t="inlineStr">
        <is>
          <t>A6</t>
        </is>
      </c>
      <c r="B7" s="23" t="inlineStr">
        <is>
          <t>Dashboard</t>
        </is>
      </c>
      <c r="C7" s="23" t="inlineStr">
        <is>
          <t>A. Structure &amp; Polycab</t>
        </is>
      </c>
      <c r="D7" s="24" t="inlineStr">
        <is>
          <t>Drill down from a manager line into the holdings underneath it</t>
        </is>
      </c>
      <c r="E7" s="23" t="inlineStr">
        <is>
          <t>"When I click VEC it should expand and show me the holdings"</t>
        </is>
      </c>
      <c r="F7" s="25" t="inlineStr">
        <is>
          <t>Call</t>
        </is>
      </c>
      <c r="G7" s="23" t="inlineStr">
        <is>
          <t>/mandate/:accountId</t>
        </is>
      </c>
      <c r="H7" s="22" t="inlineStr">
        <is>
          <t>Done</t>
        </is>
      </c>
      <c r="I7" s="26">
        <f>IF(H7="Done",1,IF(H7="Partial",0.5,0))</f>
        <v>1.0</v>
      </c>
      <c r="J7" s="23" t="inlineStr">
        <is>
          <t>One page per mandate, keyed on the account, showing every share inside it with the manager, strategy and as-of, tying to that statement's own total. An AIF folio states plainly that its constituents are not reported to this book rather than drawing an empty table.</t>
        </is>
      </c>
      <c r="K7" s="23" t="inlineStr">
        <is>
          <t>—</t>
        </is>
      </c>
      <c r="L7" s="23" t="inlineStr">
        <is>
          <t>Verified in repo</t>
        </is>
      </c>
      <c r="M7" s="23" t="inlineStr">
        <is>
          <t>—</t>
        </is>
      </c>
    </row>
    <row r="8">
      <c r="A8" s="22" t="inlineStr">
        <is>
          <t>A7</t>
        </is>
      </c>
      <c r="B8" s="23" t="inlineStr">
        <is>
          <t>Dashboard</t>
        </is>
      </c>
      <c r="C8" s="23" t="inlineStr">
        <is>
          <t>A. Structure &amp; Polycab</t>
        </is>
      </c>
      <c r="D8" s="24" t="inlineStr">
        <is>
          <t>Entity first, security second — club by entity, holdings only on drill-down</t>
        </is>
      </c>
      <c r="E8" s="23" t="inlineStr">
        <is>
          <t>"Entity goes first and then the security… only if I'm drilling down further"</t>
        </is>
      </c>
      <c r="F8" s="25" t="inlineStr">
        <is>
          <t>Call</t>
        </is>
      </c>
      <c r="G8" s="23" t="inlineStr">
        <is>
          <t>/monitor · /family</t>
        </is>
      </c>
      <c r="H8" s="22" t="inlineStr">
        <is>
          <t>Done</t>
        </is>
      </c>
      <c r="I8" s="26">
        <f>IF(H8="Done",1,IF(H8="Partial",0.5,0))</f>
        <v>1.0</v>
      </c>
      <c r="J8" s="23" t="inlineStr">
        <is>
          <t>By security / By entity toggle on the holdings table, expandable rows on both, and a per-member drill-down at /family?entity=&lt;owner&gt; that names, per row, whether the family or a manager chose the holding.</t>
        </is>
      </c>
      <c r="K8" s="23" t="inlineStr">
        <is>
          <t>—</t>
        </is>
      </c>
      <c r="L8" s="23" t="inlineStr">
        <is>
          <t>Verified in repo</t>
        </is>
      </c>
      <c r="M8" s="23" t="inlineStr">
        <is>
          <t>—</t>
        </is>
      </c>
    </row>
    <row r="9">
      <c r="A9" s="22" t="inlineStr">
        <is>
          <t>A8</t>
        </is>
      </c>
      <c r="B9" s="23" t="inlineStr">
        <is>
          <t>Dashboard</t>
        </is>
      </c>
      <c r="C9" s="23" t="inlineStr">
        <is>
          <t>A. Structure &amp; Polycab</t>
        </is>
      </c>
      <c r="D9" s="24" t="inlineStr">
        <is>
          <t>Move the research tabs out of the dashboard's left nav into the Research Centre</t>
        </is>
      </c>
      <c r="E9" s="23" t="inlineStr">
        <is>
          <t>"Move all the research tab also from the left to the research centre. Nothing over here — over here we just want to see what our allocations are"</t>
        </is>
      </c>
      <c r="F9" s="25" t="inlineStr">
        <is>
          <t>Call</t>
        </is>
      </c>
      <c r="G9" s="23" t="inlineStr">
        <is>
          <t>src/components/Sidebar.tsx</t>
        </is>
      </c>
      <c r="H9" s="22" t="inlineStr">
        <is>
          <t>Not started</t>
        </is>
      </c>
      <c r="I9" s="26">
        <f>IF(H9="Done",1,IF(H9="Partial",0.5,0))</f>
        <v>0.0</v>
      </c>
      <c r="J9" s="23" t="inlineStr">
        <is>
          <t>The left nav still carries Knowledge &amp; Memory, Compare Companies, Watchlist &amp; Targets, Macro Research, Economy &amp; Macro, Thesis &amp; Triggers and Alerts alongside the portfolio pages.</t>
        </is>
      </c>
      <c r="K9" s="23" t="inlineStr">
        <is>
          <t>Decide what moves to the Research Centre, strip those entries and their routes, and leave the dashboard nav to allocation, holdings and performance.</t>
        </is>
      </c>
      <c r="L9" s="23" t="inlineStr">
        <is>
          <t>Verified in repo</t>
        </is>
      </c>
      <c r="M9" s="23" t="inlineStr">
        <is>
          <t>—</t>
        </is>
      </c>
    </row>
    <row r="10">
      <c r="A10" s="22" t="inlineStr">
        <is>
          <t>A9</t>
        </is>
      </c>
      <c r="B10" s="23" t="inlineStr">
        <is>
          <t>Dashboard</t>
        </is>
      </c>
      <c r="C10" s="23" t="inlineStr">
        <is>
          <t>A. Structure &amp; Polycab</t>
        </is>
      </c>
      <c r="D10" s="24" t="inlineStr">
        <is>
          <t>Every summary tile and allocation row clicks through to its own holdings — never to Data Audit</t>
        </is>
      </c>
      <c r="E10" s="23" t="inlineStr">
        <is>
          <t>"We need drill down for all line items, these ones" — pointing at the Morning CIO allocation table (AIF, PMS mandates, Mutual Fund, Direct Equity, ETF) · repeated from the call: "when I click on direct equity it should just take me to direct equity… it is taking me to data audit"</t>
        </is>
      </c>
      <c r="F10" s="27" t="inlineStr">
        <is>
          <t>Call + written</t>
        </is>
      </c>
      <c r="G10" s="23" t="inlineStr">
        <is>
          <t>/cio · /monitor · /family</t>
        </is>
      </c>
      <c r="H10" s="22" t="inlineStr">
        <is>
          <t>Done</t>
        </is>
      </c>
      <c r="I10" s="26">
        <f>IF(H10="Done",1,IF(H10="Partial",0.5,0))</f>
        <v>1.0</v>
      </c>
      <c r="J10" s="23" t="inlineStr">
        <is>
          <t>Every KPI tile is one click target — the whole card, with the arithmetic popover still clickable inside it — and every allocation row, concentration figure and coverage line opens the holdings behind it at /holdings. One definition per set in src/lib/drilldown.ts, read both by the page that PRINTS a figure and by the page that LISTS the rows, so a tile and its drill-down cannot disagree. A row is the thing you would click into: 19 AIF statement lines render as 14 funds, 281 mandate-held shares as 10 mandates. The listed / private / no-cost sub-scopes became a toggle inside the tile's own page instead of competing links on the tile, and the old addresses still resolve.</t>
        </is>
      </c>
      <c r="K10" s="23" t="inlineStr">
        <is>
          <t>—</t>
        </is>
      </c>
      <c r="L10" s="23" t="inlineStr">
        <is>
          <t>Verified in repo · 2 Sep</t>
        </is>
      </c>
      <c r="M10" s="23" t="inlineStr">
        <is>
          <t>Yes · 2 Sep — the drill-down layer, then one row per thing you would click into, then one destination per tile (86c46d6, 9b517de, 857b689).</t>
        </is>
      </c>
    </row>
    <row r="11">
      <c r="A11" s="22" t="inlineStr">
        <is>
          <t>A10</t>
        </is>
      </c>
      <c r="B11" s="23" t="inlineStr">
        <is>
          <t>Dashboard</t>
        </is>
      </c>
      <c r="C11" s="23" t="inlineStr">
        <is>
          <t>A. Structure &amp; Polycab</t>
        </is>
      </c>
      <c r="D11" s="24" t="inlineStr">
        <is>
          <t>Cleaner, more minimal dashboard — strip what the family does not read</t>
        </is>
      </c>
      <c r="E11" s="23" t="inlineStr">
        <is>
          <t>"It's not looking clean at all… too much happening. Remove the garbage which you don't want to see, make it minimal"</t>
        </is>
      </c>
      <c r="F11" s="25" t="inlineStr">
        <is>
          <t>Call</t>
        </is>
      </c>
      <c r="G11" s="23" t="inlineStr">
        <is>
          <t>whole app</t>
        </is>
      </c>
      <c r="H11" s="22" t="inlineStr">
        <is>
          <t>Partial</t>
        </is>
      </c>
      <c r="I11" s="26">
        <f>IF(H11="Done",1,IF(H11="Partial",0.5,0))</f>
        <v>0.5</v>
      </c>
      <c r="J11" s="23" t="inlineStr">
        <is>
          <t>Density rather than a design pass, and it is measured rather than asserted. The app defaults to the zoomed-out layout the family was reaching for with Ctrl-minus (--app-zoom, one custom property at &gt;=1024px); the Portfolio Monitor went from four rows of chrome to two; the mandate rows lost their sub-line; and the holdings table went from 2 holdings visible at 1500x950 to 21. Morning CIO lost the Book performance card and three explanatory captions with not one figure lost — check:pages asserts both halves, because a page that dropped the card and the split together would pass a removal check while losing a measurement. The Review deck button, its 403-line module and pptxgenjs are deleted; the Holdings basis switch is gone and the basis is not.</t>
        </is>
      </c>
      <c r="K11" s="23" t="inlineStr">
        <is>
          <t>The rest is editorial rather than mechanical: decide what the family actually opens each morning and demote the rest behind the drill-downs that now exist. Morning CIO still carries method notes, coverage captions and absence panels written for an auditor.</t>
        </is>
      </c>
      <c r="L11" s="23" t="inlineStr">
        <is>
          <t>Verified in repo · 2 Sep</t>
        </is>
      </c>
      <c r="M11" s="23" t="inlineStr">
        <is>
          <t>Yes · 2 Sep — six separate passes: the zoom default, two density passes, the one-line headline, three chrome rows down to two, and the Book performance card removed (c6b8b2e, 0b51b73, af5aa5f, 298c4b6, a5574d8, 759d246).</t>
        </is>
      </c>
    </row>
    <row r="12">
      <c r="A12" s="22" t="inlineStr">
        <is>
          <t>B1</t>
        </is>
      </c>
      <c r="B12" s="23" t="inlineStr">
        <is>
          <t>Dashboard</t>
        </is>
      </c>
      <c r="C12" s="23" t="inlineStr">
        <is>
          <t>B. Holdings table</t>
        </is>
      </c>
      <c r="D12" s="24" t="inlineStr">
        <is>
          <t>Call it "all holdings", not "all companies"</t>
        </is>
      </c>
      <c r="E12" s="23" t="inlineStr">
        <is>
          <t>"In the portfolio monitor tab it should be all holdings, it's not all companies, because I'm buying multiple things"</t>
        </is>
      </c>
      <c r="F12" s="25" t="inlineStr">
        <is>
          <t>Call</t>
        </is>
      </c>
      <c r="G12" s="23" t="inlineStr">
        <is>
          <t>/monitor</t>
        </is>
      </c>
      <c r="H12" s="22" t="inlineStr">
        <is>
          <t>Done</t>
        </is>
      </c>
      <c r="I12" s="26">
        <f>IF(H12="Done",1,IF(H12="Partial",0.5,0))</f>
        <v>1.0</v>
      </c>
      <c r="J12" s="23" t="inlineStr">
        <is>
          <t>The security pick-list reads All holdings, its unit is holdings and its placeholder is Search holdings; the weight caption under the table says “the holdings you picked” to match. The first options it offers are an AIF folio, a Category-III strategy and two schemes, which is why the old label was a claim the list did not support. The shared MultiSelectFilter no longer hardcodes one caller's noun either, so the economic calendar's country filter stopped printing “No companies match” over a list of countries.</t>
        </is>
      </c>
      <c r="K12" s="23" t="inlineStr">
        <is>
          <t>—</t>
        </is>
      </c>
      <c r="L12" s="23" t="inlineStr">
        <is>
          <t>Verified in repo · 2 Sep</t>
        </is>
      </c>
      <c r="M12" s="23" t="inlineStr">
        <is>
          <t>Yes · 1 Sep (7312c08).</t>
        </is>
      </c>
    </row>
    <row r="13">
      <c r="A13" s="22" t="inlineStr">
        <is>
          <t>B2</t>
        </is>
      </c>
      <c r="B13" s="23" t="inlineStr">
        <is>
          <t>Dashboard</t>
        </is>
      </c>
      <c r="C13" s="23" t="inlineStr">
        <is>
          <t>B. Holdings table</t>
        </is>
      </c>
      <c r="D13" s="24" t="inlineStr">
        <is>
          <t>Move the Sector and Entity columns to the far right</t>
        </is>
      </c>
      <c r="E13" s="23" t="inlineStr">
        <is>
          <t>"The sector and entities column I had said can go to extreme right"</t>
        </is>
      </c>
      <c r="F13" s="25" t="inlineStr">
        <is>
          <t>Call</t>
        </is>
      </c>
      <c r="G13" s="23" t="inlineStr">
        <is>
          <t>/monitor</t>
        </is>
      </c>
      <c r="H13" s="22" t="inlineStr">
        <is>
          <t>Done</t>
        </is>
      </c>
      <c r="I13" s="26">
        <f>IF(H13="Done",1,IF(H13="Partial",0.5,0))</f>
        <v>1.0</v>
      </c>
      <c r="J13" s="23" t="inlineStr">
        <is>
          <t>The row reads Security, Qty, Avg cost, Invested, CMP, Day, Market value, Weight, Unrealised P&amp;L, Realised P&amp;L, Return, then Sector and Entities last — the money first and the two descriptor columns closing the table. Nothing about what any cell renders changed: every absent-cell reason, formula popover and basis note moved verbatim. The same order is applied to both drill-downs, the transactions tape and, at the family's request, the Excel export — whose cells are now keyed by column NAME rather than by literal index, which is what makes the next reorder one edit instead of fourteen and is covered by a new round-trip test.</t>
        </is>
      </c>
      <c r="K13" s="23" t="inlineStr">
        <is>
          <t>—</t>
        </is>
      </c>
      <c r="L13" s="23" t="inlineStr">
        <is>
          <t>Verified in repo · 2 Sep</t>
        </is>
      </c>
      <c r="M13" s="23" t="inlineStr">
        <is>
          <t>Yes · 1 Sep — the tab, then the export (7312c08, 7c155fa).</t>
        </is>
      </c>
    </row>
    <row r="14">
      <c r="A14" s="22" t="inlineStr">
        <is>
          <t>B3</t>
        </is>
      </c>
      <c r="B14" s="23" t="inlineStr">
        <is>
          <t>Dashboard</t>
        </is>
      </c>
      <c r="C14" s="23" t="inlineStr">
        <is>
          <t>B. Holdings table</t>
        </is>
      </c>
      <c r="D14" s="24" t="inlineStr">
        <is>
          <t>Toggle between absolute and CAGR return (CAGR over a year, absolute under)</t>
        </is>
      </c>
      <c r="E14" s="23" t="inlineStr">
        <is>
          <t>"There should be a toggle between absolute and CAGR return… more than one year it'll be CAGR, less than one year I'd rather see absolute"</t>
        </is>
      </c>
      <c r="F14" s="25" t="inlineStr">
        <is>
          <t>Call</t>
        </is>
      </c>
      <c r="G14" s="23" t="inlineStr">
        <is>
          <t>/monitor · /stock/:key</t>
        </is>
      </c>
      <c r="H14" s="22" t="inlineStr">
        <is>
          <t>Done</t>
        </is>
      </c>
      <c r="I14" s="26">
        <f>IF(H14="Done",1,IF(H14="Partial",0.5,0))</f>
        <v>1.0</v>
      </c>
      <c r="J14" s="23" t="inlineStr">
        <is>
          <t>An Absolute / CAGR toggle on the Return column, and the guard is the feature: a window of at least 365 days annualises and names the window; under a year renders the ABSOLUTE figure marked “abs”, because a rate for a year the holding has not seen is a claim about a year; a holding whose purchase date nobody reports renders absent rather than silently absolute. The caption counts all three states against the row total. The PMS statements' own per-position IRR is deliberately never read — it reaches +47,695% on this book, being a provider annualising a few months.</t>
        </is>
      </c>
      <c r="K14" s="23" t="inlineStr">
        <is>
          <t>The window can only come from a lot register that accounts for the units held exactly, so CAGR is measurable on 3 of 371 positions today. Every other row states why, which is the honest answer rather than a shortfall.</t>
        </is>
      </c>
      <c r="L14" s="23" t="inlineStr">
        <is>
          <t>Verified in repo · 2 Sep</t>
        </is>
      </c>
      <c r="M14" s="23" t="inlineStr">
        <is>
          <t>Yes · 2 Sep (1d9081e).</t>
        </is>
      </c>
    </row>
    <row r="15">
      <c r="A15" s="22" t="inlineStr">
        <is>
          <t>B4</t>
        </is>
      </c>
      <c r="B15" s="23" t="inlineStr">
        <is>
          <t>Dashboard</t>
        </is>
      </c>
      <c r="C15" s="23" t="inlineStr">
        <is>
          <t>B. Holdings table</t>
        </is>
      </c>
      <c r="D15" s="24" t="inlineStr">
        <is>
          <t>Show YTD and calendar-year return per holding</t>
        </is>
      </c>
      <c r="E15" s="23" t="inlineStr">
        <is>
          <t>"What's the YTD return on the stock? Calendar year return should be shown also"</t>
        </is>
      </c>
      <c r="F15" s="25" t="inlineStr">
        <is>
          <t>Call</t>
        </is>
      </c>
      <c r="G15" s="23" t="inlineStr">
        <is>
          <t>/monitor · /stock/:key</t>
        </is>
      </c>
      <c r="H15" s="22" t="inlineStr">
        <is>
          <t>Partial</t>
        </is>
      </c>
      <c r="I15" s="26">
        <f>IF(H15="Done",1,IF(H15="Partial",0.5,0))</f>
        <v>0.5</v>
      </c>
      <c r="J15" s="23" t="inlineStr">
        <is>
          <t>The holding's own YTD column is built and renders a dash on every row of this drop, under a caption that COUNTS what it covers rather than leaving a wall of dashes to be interpreted. Measured, not assumed: the archive's earliest holdings statement is 31 March, no valuation is dated on or before 1 January and 0 of 839 trades predate it, so no position has an opening value. One case is genuinely measurable and is why this is a function rather than a constant dash — a holding OPENED during the year has no opening value to be missing, so its YTD is its return since purchase, and it fills in on its own when a drop brings one. The check is anchored off glowData.ts, because reconciling the column against its own caption could not fail.</t>
        </is>
      </c>
      <c r="K15" s="23" t="inlineStr">
        <is>
          <t>Calendar-year columns (2025, 2024) are not built and have no fill path on this corpus at all — the whole archive is four and a half months long, so no drop of the current statements can supply a 2024 opening value. YTD becomes real on the first within-year purchase, or immediately with one holdings statement dated on or before 1 January per account.</t>
        </is>
      </c>
      <c r="L15" s="23" t="inlineStr">
        <is>
          <t>Verified in repo · 2 Sep</t>
        </is>
      </c>
      <c r="M15" s="23" t="inlineStr">
        <is>
          <t>Yes · 2 Sep — the column and its guard; the calendar-year half is declared unmeasurable rather than drawn (a8d774e).</t>
        </is>
      </c>
    </row>
    <row r="16">
      <c r="A16" s="22" t="inlineStr">
        <is>
          <t>B5</t>
        </is>
      </c>
      <c r="B16" s="23" t="inlineStr">
        <is>
          <t>Dashboard</t>
        </is>
      </c>
      <c r="C16" s="23" t="inlineStr">
        <is>
          <t>B. Holdings table</t>
        </is>
      </c>
      <c r="D16" s="24" t="inlineStr">
        <is>
          <t>Explain how the holding-period return is calculated</t>
        </is>
      </c>
      <c r="E16" s="23" t="inlineStr">
        <is>
          <t>"I asked you how are you arriving at holding period return — I wanted to understand what is the back end calculation"</t>
        </is>
      </c>
      <c r="F16" s="25" t="inlineStr">
        <is>
          <t>Call</t>
        </is>
      </c>
      <c r="G16" s="23" t="inlineStr">
        <is>
          <t>/monitor</t>
        </is>
      </c>
      <c r="H16" s="22" t="inlineStr">
        <is>
          <t>Partial</t>
        </is>
      </c>
      <c r="I16" s="26">
        <f>IF(H16="Done",1,IF(H16="Partial",0.5,0))</f>
        <v>0.5</v>
      </c>
      <c r="J16" s="23" t="inlineStr">
        <is>
          <t>Every derived figure opens a formula popover carrying the formula, a plain-English statement and a worked example on that row's own numbers. The Return column now also states its basis on the face of the table: how many rows are annualised over a measured window, how many show their absolute return because they are held under a year, and how many report no purchase date at all.</t>
        </is>
      </c>
      <c r="K16" s="23" t="inlineStr">
        <is>
          <t>A written answer to the specific question, on the email thread. The on-screen half is now covered.</t>
        </is>
      </c>
      <c r="L16" s="23" t="inlineStr">
        <is>
          <t>Verified in repo · 2 Sep</t>
        </is>
      </c>
      <c r="M16" s="23" t="inlineStr">
        <is>
          <t>Partly · 2 Sep — the return basis is stated on the table rather than only in a hover (1d9081e).</t>
        </is>
      </c>
    </row>
    <row r="17">
      <c r="A17" s="22" t="inlineStr">
        <is>
          <t>B6</t>
        </is>
      </c>
      <c r="B17" s="23" t="inlineStr">
        <is>
          <t>Dashboard</t>
        </is>
      </c>
      <c r="C17" s="23" t="inlineStr">
        <is>
          <t>B. Holdings table</t>
        </is>
      </c>
      <c r="D17" s="24" t="inlineStr">
        <is>
          <t>Columns per the client's reference screen — quantity, amount invested, current price, today's gain, unrealised gain, current value</t>
        </is>
      </c>
      <c r="E17" s="23" t="inlineStr">
        <is>
          <t>"Qty, avg pur price, amt invested, current price, today's gain (dod movement), realised gain, unrealised gain, current value" — restated in writing after the call walkthrough of her own MIS</t>
        </is>
      </c>
      <c r="F17" s="27" t="inlineStr">
        <is>
          <t>Call + written</t>
        </is>
      </c>
      <c r="G17" s="23" t="inlineStr">
        <is>
          <t>/monitor</t>
        </is>
      </c>
      <c r="H17" s="22" t="inlineStr">
        <is>
          <t>Done</t>
        </is>
      </c>
      <c r="I17" s="26">
        <f>IF(H17="Done",1,IF(H17="Partial",0.5,0))</f>
        <v>1.0</v>
      </c>
      <c r="J17" s="23" t="inlineStr">
        <is>
          <t>The table carries Security, Qty, Avg cost, Invested, CMP, Day, Market value, Weight, Unrealised P&amp;L, Realised P&amp;L, Return, Sector and Entities — reordered this push so the money reads first. 60 of 371 positions carry no cost (depository accounts) and name the custodian rather than printing a bare dash.</t>
        </is>
      </c>
      <c r="K17" s="23" t="inlineStr">
        <is>
          <t>Realised gain is on the manager's statement basis, not the FIFO basis the client asked for in writing — see B10.</t>
        </is>
      </c>
      <c r="L17" s="23" t="inlineStr">
        <is>
          <t>Verified in repo · 2 Sep</t>
        </is>
      </c>
      <c r="M17" s="23" t="inlineStr">
        <is>
          <t>Column order only · 1 Sep (7312c08).</t>
        </is>
      </c>
    </row>
    <row r="18">
      <c r="A18" s="22" t="inlineStr">
        <is>
          <t>B7</t>
        </is>
      </c>
      <c r="B18" s="23" t="inlineStr">
        <is>
          <t>Dashboard</t>
        </is>
      </c>
      <c r="C18" s="23" t="inlineStr">
        <is>
          <t>B. Holdings table</t>
        </is>
      </c>
      <c r="D18" s="24" t="inlineStr">
        <is>
          <t>Sub-total each asset-class block, and have the blocks tie to the footer</t>
        </is>
      </c>
      <c r="E18" s="23" t="inlineStr">
        <is>
          <t>"Here also down I can see what's my overall in this, what's my gain, what's the unrealized gain"</t>
        </is>
      </c>
      <c r="F18" s="25" t="inlineStr">
        <is>
          <t>Call</t>
        </is>
      </c>
      <c r="G18" s="23" t="inlineStr">
        <is>
          <t>/monitor</t>
        </is>
      </c>
      <c r="H18" s="22" t="inlineStr">
        <is>
          <t>Done</t>
        </is>
      </c>
      <c r="I18" s="26">
        <f>IF(H18="Done",1,IF(H18="Partial",0.5,0))</f>
        <v>1.0</v>
      </c>
      <c r="J18" s="23" t="inlineStr">
        <is>
          <t>Each section heading carries its own subtotal on the footer's basis, names the holdings behind it, and states what it collapsed (3.17 Cr reported under two members, counted once).</t>
        </is>
      </c>
      <c r="K18" s="23" t="inlineStr">
        <is>
          <t>—</t>
        </is>
      </c>
      <c r="L18" s="23" t="inlineStr">
        <is>
          <t>Verified in repo</t>
        </is>
      </c>
      <c r="M18" s="23" t="inlineStr">
        <is>
          <t>—</t>
        </is>
      </c>
    </row>
    <row r="19">
      <c r="A19" s="22" t="inlineStr">
        <is>
          <t>B8</t>
        </is>
      </c>
      <c r="B19" s="23" t="inlineStr">
        <is>
          <t>Dashboard</t>
        </is>
      </c>
      <c r="C19" s="23" t="inlineStr">
        <is>
          <t>B. Holdings table</t>
        </is>
      </c>
      <c r="D19" s="24" t="inlineStr">
        <is>
          <t>Stocks and ETFs together — or one tab each for Stocks / ETF / Mutual Fund / Debt / AIF / PE</t>
        </is>
      </c>
      <c r="E19" s="23" t="inlineStr">
        <is>
          <t>"ETFs can be a part of stocks… or else you just have separate tab stocks, one tab ETF, one tab mutual fund"</t>
        </is>
      </c>
      <c r="F19" s="25" t="inlineStr">
        <is>
          <t>Call</t>
        </is>
      </c>
      <c r="G19" s="23" t="inlineStr">
        <is>
          <t>/monitor</t>
        </is>
      </c>
      <c r="H19" s="22" t="inlineStr">
        <is>
          <t>Partial</t>
        </is>
      </c>
      <c r="I19" s="26">
        <f>IF(H19="Done",1,IF(H19="Partial",0.5,0))</f>
        <v>0.5</v>
      </c>
      <c r="J19" s="23" t="inlineStr">
        <is>
          <t>One section per class inside a single table: Direct Equity (37 · 94.9 Cr), PMS mandates (138.7 Cr), AIF (352.3 Cr), Mutual Fund (99.9 Cr), ETF (24.6 Cr), Cash.</t>
        </is>
      </c>
      <c r="K19" s="23" t="inlineStr">
        <is>
          <t>Either fold ETFs into the equity block or split the classes into tabs — the client offered both, neither is built.</t>
        </is>
      </c>
      <c r="L19" s="23" t="inlineStr">
        <is>
          <t>Verified in repo</t>
        </is>
      </c>
      <c r="M19" s="23" t="inlineStr">
        <is>
          <t>—</t>
        </is>
      </c>
    </row>
    <row r="20">
      <c r="A20" s="22" t="inlineStr">
        <is>
          <t>B9</t>
        </is>
      </c>
      <c r="B20" s="23" t="inlineStr">
        <is>
          <t>Dashboard</t>
        </is>
      </c>
      <c r="C20" s="23" t="inlineStr">
        <is>
          <t>B. Holdings table</t>
        </is>
      </c>
      <c r="D20" s="24" t="inlineStr">
        <is>
          <t>Portfolio XIRR with and without zero-value holdings</t>
        </is>
      </c>
      <c r="E20" s="23" t="inlineStr">
        <is>
          <t>"Portfolio XIRR again — with zero holdings, without zero holdings. I need to see with and without both"</t>
        </is>
      </c>
      <c r="F20" s="25" t="inlineStr">
        <is>
          <t>Call</t>
        </is>
      </c>
      <c r="G20" s="23" t="inlineStr">
        <is>
          <t>/cio · /performance</t>
        </is>
      </c>
      <c r="H20" s="22" t="inlineStr">
        <is>
          <t>Not started</t>
        </is>
      </c>
      <c r="I20" s="26">
        <f>IF(H20="Done",1,IF(H20="Partial",0.5,0))</f>
        <v>0.0</v>
      </c>
      <c r="J20" s="23" t="inlineStr">
        <is>
          <t>No such toggle. The money-weighted return covers only the 7 of 49 accounts whose statements publish an opening portfolio value (99.4 Cr of the book) and names every account it excludes.</t>
        </is>
      </c>
      <c r="K20" s="23" t="inlineStr">
        <is>
          <t>Add the with/without-nil-holdings switch, and state which accounts each basis covers.</t>
        </is>
      </c>
      <c r="L20" s="23" t="inlineStr">
        <is>
          <t>Verified in repo</t>
        </is>
      </c>
      <c r="M20" s="23" t="inlineStr">
        <is>
          <t>—</t>
        </is>
      </c>
    </row>
    <row r="21">
      <c r="A21" s="22" t="inlineStr">
        <is>
          <t>B10</t>
        </is>
      </c>
      <c r="B21" s="23" t="inlineStr">
        <is>
          <t>Dashboard</t>
        </is>
      </c>
      <c r="C21" s="23" t="inlineStr">
        <is>
          <t>B. Holdings table</t>
        </is>
      </c>
      <c r="D21" s="24" t="inlineStr">
        <is>
          <t>Compute realised gain FIFO, from the units actually redeemed</t>
        </is>
      </c>
      <c r="E21" s="23" t="inlineStr">
        <is>
          <t>"Realised gain (profit booked based on units redeemed on FIFO basis)"</t>
        </is>
      </c>
      <c r="F21" s="27" t="inlineStr">
        <is>
          <t>Written feedback</t>
        </is>
      </c>
      <c r="G21" s="23" t="inlineStr">
        <is>
          <t>/monitor · /capital-gains</t>
        </is>
      </c>
      <c r="H21" s="22" t="inlineStr">
        <is>
          <t>Not started</t>
        </is>
      </c>
      <c r="I21" s="26">
        <f>IF(H21="Done",1,IF(H21="Partial",0.5,0))</f>
        <v>0.0</v>
      </c>
      <c r="J21" s="23" t="inlineStr">
        <is>
          <t>There is no FIFO engine anywhere in the codebase. Realised gain is taken verbatim from each manager's own capital gain statement — 90 lots totalling −41.29 L across 7 of 49 accounts, split short/long term as the manager split it. The other 42 accounts render an em dash and are named. The demat transaction statements carry units in and out with no price at all, so they cannot feed a FIFO calculation as they stand.</t>
        </is>
      </c>
      <c r="K21" s="23" t="inlineStr">
        <is>
          <t>Build the FIFO lot engine over the transaction tape, and reconcile it against the managers' printed realised totals before it replaces them. For the demat accounts it needs contract notes or a priced transaction history first.</t>
        </is>
      </c>
      <c r="L21" s="23" t="inlineStr">
        <is>
          <t>Verified in repo</t>
        </is>
      </c>
      <c r="M21" s="23" t="inlineStr">
        <is>
          <t>—</t>
        </is>
      </c>
    </row>
    <row r="22">
      <c r="A22" s="22" t="inlineStr">
        <is>
          <t>B11</t>
        </is>
      </c>
      <c r="B22" s="23" t="inlineStr">
        <is>
          <t>Dashboard</t>
        </is>
      </c>
      <c r="C22" s="23" t="inlineStr">
        <is>
          <t>B. Holdings table</t>
        </is>
      </c>
      <c r="D22" s="24" t="inlineStr">
        <is>
          <t>Slice the same holdings three ways — product category, asset class, and the family's baskets</t>
        </is>
      </c>
      <c r="E22" s="23" t="inlineStr">
        <is>
          <t>"We should also be able to see this information: category wise (MF, direct equity, Bonds, PMS, AIF etc), asset class wise (Equity, debt etc), my basket definition wise (core, tactical etc)"</t>
        </is>
      </c>
      <c r="F22" s="27" t="inlineStr">
        <is>
          <t>Written feedback</t>
        </is>
      </c>
      <c r="G22" s="23" t="inlineStr">
        <is>
          <t>/monitor</t>
        </is>
      </c>
      <c r="H22" s="22" t="inlineStr">
        <is>
          <t>Partial</t>
        </is>
      </c>
      <c r="I22" s="26">
        <f>IF(H22="Done",1,IF(H22="Partial",0.5,0))</f>
        <v>0.5</v>
      </c>
      <c r="J22" s="23" t="inlineStr">
        <is>
          <t>One axis exists: holdingBucket gives the product categories the client lists — Direct Equity, PMS mandates, AIF, Mutual Fund, ETF, Cash (Bonds would appear if any were held). There is no asset-class-only view collapsing those into Equity / Debt, and no basket view at all.</t>
        </is>
      </c>
      <c r="K22" s="23" t="inlineStr">
        <is>
          <t>Add the two missing axes as a switch over the same table. The basket axis is blocked on E1 — the family's own basket definitions have to exist before holdings can be grouped by them.</t>
        </is>
      </c>
      <c r="L22" s="23" t="inlineStr">
        <is>
          <t>Verified in repo</t>
        </is>
      </c>
      <c r="M22" s="23" t="inlineStr">
        <is>
          <t>—</t>
        </is>
      </c>
    </row>
    <row r="23">
      <c r="A23" s="22" t="inlineStr">
        <is>
          <t>C1</t>
        </is>
      </c>
      <c r="B23" s="23" t="inlineStr">
        <is>
          <t>Dashboard</t>
        </is>
      </c>
      <c r="C23" s="23" t="inlineStr">
        <is>
          <t>C. Transactions</t>
        </is>
      </c>
      <c r="D23" s="24" t="inlineStr">
        <is>
          <t>Show the year's transactions as one line per entity / manager / instrument, not a raw tape</t>
        </is>
      </c>
      <c r="E23" s="23" t="inlineStr">
        <is>
          <t>"I will only see five items — Buoyant, VEC, Carnelian and the direct stocks — then I can drill down"</t>
        </is>
      </c>
      <c r="F23" s="25" t="inlineStr">
        <is>
          <t>Call</t>
        </is>
      </c>
      <c r="G23" s="23" t="inlineStr">
        <is>
          <t>/monitor → Transactions</t>
        </is>
      </c>
      <c r="H23" s="22" t="inlineStr">
        <is>
          <t>Done</t>
        </is>
      </c>
      <c r="I23" s="26">
        <f>IF(H23="Done",1,IF(H23="Partial",0.5,0))</f>
        <v>1.0</v>
      </c>
      <c r="J23" s="23" t="inlineStr">
        <is>
          <t>src/lib/txnRollup.ts collapses the tape three levels deep — group, instrument, tranche — rendered expandable, with By manager as the default plus By entity, Direct Equity and Tape. Tape stays, because reconciling against a PDF needs the printed rows in printed order. Every total goes through sumOrNull and carries a COVERAGE COUNT: a realised total over 13 of a manager's 18 sells is a different fact from one over all 18, and on screen they are the same number. Settled amounts became number | null in the model rather than being defaulted to 0 at the point of render, which only mattered once they were summed.</t>
        </is>
      </c>
      <c r="K23" s="23" t="inlineStr">
        <is>
          <t>—</t>
        </is>
      </c>
      <c r="L23" s="23" t="inlineStr">
        <is>
          <t>Verified in repo · 2 Sep</t>
        </is>
      </c>
      <c r="M23" s="23" t="inlineStr">
        <is>
          <t>Yes · 2 Sep (c6b8b2e).</t>
        </is>
      </c>
    </row>
    <row r="24">
      <c r="A24" s="22" t="inlineStr">
        <is>
          <t>C2</t>
        </is>
      </c>
      <c r="B24" s="23" t="inlineStr">
        <is>
          <t>Dashboard</t>
        </is>
      </c>
      <c r="C24" s="23" t="inlineStr">
        <is>
          <t>C. Transactions</t>
        </is>
      </c>
      <c r="D24" s="24" t="inlineStr">
        <is>
          <t>Roll staggered SIP / STP purchases into one line with the tranches on drill-down</t>
        </is>
      </c>
      <c r="E24" s="23" t="inlineStr">
        <is>
          <t>"Bandhan mutual fund staggered for the last seven eight months… I want to see that as one line item and then drill down"</t>
        </is>
      </c>
      <c r="F24" s="25" t="inlineStr">
        <is>
          <t>Call</t>
        </is>
      </c>
      <c r="G24" s="23" t="inlineStr">
        <is>
          <t>/monitor → Transactions</t>
        </is>
      </c>
      <c r="H24" s="22" t="inlineStr">
        <is>
          <t>Done</t>
        </is>
      </c>
      <c r="I24" s="26">
        <f>IF(H24="Done",1,IF(H24="Partial",0.5,0))</f>
        <v>1.0</v>
      </c>
      <c r="J24" s="23" t="inlineStr">
        <is>
          <t>Grouping by instrument collapses a series whether it was a monthly SIP, a broker working one order over five weeks, or two unrelated buys — so NO detector was built, and that is deliberate: a detector would have to fix a cadence, a tolerance and a minimum count, none of which the statements state, and apply them to real money. “Staggered” is a label on a row already collapsed, so a wrong threshold costs a chip and never a figure. Measured: 60 (account, security, side) groups carry four or more dated rows, and Green Lantern bought The Anup Engineering on fifty separate days across five months in two accounts.</t>
        </is>
      </c>
      <c r="K24" s="23" t="inlineStr">
        <is>
          <t>The client's own Bandhan example is not in the book, and the card says so rather than leaving a gap: those purchases sit in the Motilal Oswal demat transaction statements, whose rows carry no price, no counterparty and no consideration and are therefore not trades. Filling it needs that folio's own AMC account statement or a CAS.</t>
        </is>
      </c>
      <c r="L24" s="23" t="inlineStr">
        <is>
          <t>Verified in repo · 2 Sep</t>
        </is>
      </c>
      <c r="M24" s="23" t="inlineStr">
        <is>
          <t>Yes · 2 Sep (c6b8b2e).</t>
        </is>
      </c>
    </row>
    <row r="25">
      <c r="A25" s="22" t="inlineStr">
        <is>
          <t>C3</t>
        </is>
      </c>
      <c r="B25" s="23" t="inlineStr">
        <is>
          <t>Dashboard</t>
        </is>
      </c>
      <c r="C25" s="23" t="inlineStr">
        <is>
          <t>C. Transactions</t>
        </is>
      </c>
      <c r="D25" s="24" t="inlineStr">
        <is>
          <t>Return / XIRR per transaction line — the earlier money against the new tranche</t>
        </is>
      </c>
      <c r="E25" s="23" t="inlineStr">
        <is>
          <t>"My previous amount to them was 15-20 crores, now I gave them another 10 crores — for my previous amount what was the return, this 10 crores in the last two months what it has done, what's the overall portfolio return"</t>
        </is>
      </c>
      <c r="F25" s="25" t="inlineStr">
        <is>
          <t>Call</t>
        </is>
      </c>
      <c r="G25" s="23" t="inlineStr">
        <is>
          <t>/monitor → Transactions</t>
        </is>
      </c>
      <c r="H25" s="22" t="inlineStr">
        <is>
          <t>Not started</t>
        </is>
      </c>
      <c r="I25" s="26">
        <f>IF(H25="Done",1,IF(H25="Partial",0.5,0))</f>
        <v>0.0</v>
      </c>
      <c r="J25" s="23" t="inlineStr">
        <is>
          <t>Not built, but its stated blocker is cleared — the grouping it was waiting on exists now, and each rolled-up line carries bought, sold, net invested and realised P&amp;L, each with the count of rows it covers. There is still no money-weighted return per line.</t>
        </is>
      </c>
      <c r="K25" s="23" t="inlineStr">
        <is>
          <t>Strike an XIRR per grouped line, and refuse it where the account publishes no opening value rather than showing a rate over a partial history.</t>
        </is>
      </c>
      <c r="L25" s="23" t="inlineStr">
        <is>
          <t>Verified in repo · 2 Sep</t>
        </is>
      </c>
      <c r="M25" s="23" t="inlineStr">
        <is>
          <t>Blocker cleared · 2 Sep — the rollup this was waiting on now exists (c6b8b2e).</t>
        </is>
      </c>
    </row>
    <row r="26">
      <c r="A26" s="22" t="inlineStr">
        <is>
          <t>C4</t>
        </is>
      </c>
      <c r="B26" s="23" t="inlineStr">
        <is>
          <t>Dashboard</t>
        </is>
      </c>
      <c r="C26" s="23" t="inlineStr">
        <is>
          <t>C. Transactions</t>
        </is>
      </c>
      <c r="D26" s="24" t="inlineStr">
        <is>
          <t>Toggle between direct holdings and entities / managers on the transactions view</t>
        </is>
      </c>
      <c r="E26" s="23" t="inlineStr">
        <is>
          <t>"When you show transactions on the top give us a simple toggle where direct holdings and the entities that we are holding"</t>
        </is>
      </c>
      <c r="F26" s="25" t="inlineStr">
        <is>
          <t>Call</t>
        </is>
      </c>
      <c r="G26" s="23" t="inlineStr">
        <is>
          <t>/monitor → Transactions</t>
        </is>
      </c>
      <c r="H26" s="22" t="inlineStr">
        <is>
          <t>Done</t>
        </is>
      </c>
      <c r="I26" s="26">
        <f>IF(H26="Done",1,IF(H26="Partial",0.5,0))</f>
        <v>1.0</v>
      </c>
      <c r="J26" s="23" t="inlineStr">
        <is>
          <t>Four views over the same rollup: By manager, By entity, Direct Equity and Tape. Direct Equity is a SET rather than a grouping — it filters the tape to the accounts the family runs itself (Direct / Execution) and then rolls those up per security, because “direct equity” means shares the family chose everywhere else in this app and re-using the word for “grouped by security” would have reopened an argument settled three times. Measured: of the twelve accounts issuing a transaction statement, ten are PMS, one is an AIF folio and exactly one is own-account (LKP 98245, 21 trades across 14 securities, tying to the rupee to its own row in the By-manager view).</t>
        </is>
      </c>
      <c r="K26" s="23" t="inlineStr">
        <is>
          <t>—</t>
        </is>
      </c>
      <c r="L26" s="23" t="inlineStr">
        <is>
          <t>Verified in repo · 2 Sep</t>
        </is>
      </c>
      <c r="M26" s="23" t="inlineStr">
        <is>
          <t>Yes · 2 Sep (c6b8b2e, af5aa5f).</t>
        </is>
      </c>
    </row>
    <row r="27">
      <c r="A27" s="22" t="inlineStr">
        <is>
          <t>D1</t>
        </is>
      </c>
      <c r="B27" s="23" t="inlineStr">
        <is>
          <t>Dashboard</t>
        </is>
      </c>
      <c r="C27" s="23" t="inlineStr">
        <is>
          <t>D. Overview (Morning CIO)</t>
        </is>
      </c>
      <c r="D27" s="24" t="inlineStr">
        <is>
          <t>Today's gainers and losers, named</t>
        </is>
      </c>
      <c r="E27" s="23" t="inlineStr">
        <is>
          <t>"First we need to see which are today's movers, which are gainers… what are my gainers, what are my losers — focus on that first"</t>
        </is>
      </c>
      <c r="F27" s="25" t="inlineStr">
        <is>
          <t>Call</t>
        </is>
      </c>
      <c r="G27" s="23" t="inlineStr">
        <is>
          <t>/cio</t>
        </is>
      </c>
      <c r="H27" s="22" t="inlineStr">
        <is>
          <t>Done</t>
        </is>
      </c>
      <c r="I27" s="26">
        <f>IF(H27="Done",1,IF(H27="Partial",0.5,0))</f>
        <v>1.0</v>
      </c>
      <c r="J27" s="23" t="inlineStr">
        <is>
          <t>A movers card at the top of Morning CIO: top gainers and losers by day change, ranked by rupee impact or by percentage — both offered, because a 9% move on a ₹40 L holding is the larger mover by one measure and the smaller by the other. Scoped to Direct Equity at the client's later request (37 holdings, of which 33 names can reach the quote feed), with the ₹164.9 Cr of mandate, ETF and fund holdings that also moved NAMED rather than silently dropped. The day's move divides by the priced subset, not the whole NAV, or it would read a quarter of the true figure. Three states are separated — still fetching, feed failed, feed settled and priced nothing — so a card in flight no longer asserts that no holding carries a day change, and the app opens on the last snapshot from localStorage, discarded above twelve hours old so yesterday's move can never print under a heading reading Today.</t>
        </is>
      </c>
      <c r="K27" s="23" t="inlineStr">
        <is>
          <t>—</t>
        </is>
      </c>
      <c r="L27" s="23" t="inlineStr">
        <is>
          <t>Verified in repo · 2 Sep</t>
        </is>
      </c>
      <c r="M27" s="23" t="inlineStr">
        <is>
          <t>Yes · 2 Sep — the card, then its loading states and cached open, then the rescope to Direct Equity (e7befc8, f7db8f0, 759d246).</t>
        </is>
      </c>
    </row>
    <row r="28">
      <c r="A28" s="22" t="inlineStr">
        <is>
          <t>D2</t>
        </is>
      </c>
      <c r="B28" s="23" t="inlineStr">
        <is>
          <t>Dashboard</t>
        </is>
      </c>
      <c r="C28" s="23" t="inlineStr">
        <is>
          <t>D. Overview (Morning CIO)</t>
        </is>
      </c>
      <c r="D28" s="24" t="inlineStr">
        <is>
          <t>Compare the portfolio against Nifty 500 / Sensex on the overview</t>
        </is>
      </c>
      <c r="E28" s="23" t="inlineStr">
        <is>
          <t>"My stocks and ETFs are up, Sensex is down this much, Nifty — I want to see this with Nifty 500"</t>
        </is>
      </c>
      <c r="F28" s="25" t="inlineStr">
        <is>
          <t>Call</t>
        </is>
      </c>
      <c r="G28" s="23" t="inlineStr">
        <is>
          <t>/cio · /performance</t>
        </is>
      </c>
      <c r="H28" s="22" t="inlineStr">
        <is>
          <t>Done</t>
        </is>
      </c>
      <c r="I28" s="26">
        <f>IF(H28="Done",1,IF(H28="Partial",0.5,0))</f>
        <v>1.0</v>
      </c>
      <c r="J28" s="23" t="inlineStr">
        <is>
          <t>BOOK_NAV_HISTORY is populated, and the note that said two points are not a series turned out to have been written against a nine-account corpus and false since the august-2026-b delivery. 13 of 49 accounts publish two or more dated valuations and form the series; 23 publish one and 13 publish none, and every one of them is named in BOOK_NAV_COVERAGE. Seven points, 10 July to 13 August, charted against the Nifty 500 on Morning CIO. The composition never changes inside the series, each dedupeGroup is counted once at every date, and EXTERNAL CAPITAL IS NETTED OUT on each account's own clock — without which the card is a fabrication: unadjusted the covered book runs +9.29% against the index's +1.33%, and ₹11.24 Cr of that is a deposit into V.E.C 128005, so net of it the book earned +0.54%, below the index.</t>
        </is>
      </c>
      <c r="K28" s="23" t="inlineStr">
        <is>
          <t>Sensex is not offered beside the Nifty 500. ₹28.3 Cr of the window's movement is named on the card as not PROVEN to be performance, because ten of the thirteen covered accounts publish no dated capital record. Widening the series needs a monthly valuation statement from any of the other 36 accounts.</t>
        </is>
      </c>
      <c r="L28" s="23" t="inlineStr">
        <is>
          <t>Verified in repo · 2 Sep</t>
        </is>
      </c>
      <c r="M28" s="23" t="inlineStr">
        <is>
          <t>Yes · 2 Sep — the series, the flow adjustment and the chart (e7befc8).</t>
        </is>
      </c>
    </row>
    <row r="29">
      <c r="A29" s="22" t="inlineStr">
        <is>
          <t>D3</t>
        </is>
      </c>
      <c r="B29" s="23" t="inlineStr">
        <is>
          <t>Dashboard</t>
        </is>
      </c>
      <c r="C29" s="23" t="inlineStr">
        <is>
          <t>D. Overview (Morning CIO)</t>
        </is>
      </c>
      <c r="D29" s="24" t="inlineStr">
        <is>
          <t>Overall asset allocation on the front page</t>
        </is>
      </c>
      <c r="E29" s="23" t="inlineStr">
        <is>
          <t>"What's my overall asset allocation looking like?"</t>
        </is>
      </c>
      <c r="F29" s="25" t="inlineStr">
        <is>
          <t>Call</t>
        </is>
      </c>
      <c r="G29" s="23" t="inlineStr">
        <is>
          <t>/cio</t>
        </is>
      </c>
      <c r="H29" s="22" t="inlineStr">
        <is>
          <t>Done</t>
        </is>
      </c>
      <c r="I29" s="26">
        <f>IF(H29="Done",1,IF(H29="Partial",0.5,0))</f>
        <v>1.0</v>
      </c>
      <c r="J29" s="23" t="inlineStr">
        <is>
          <t>Donut plus an allocation table by asset class and mandate, carrying invested, current value, total return to date and weight, with the footer tying to its own columns.</t>
        </is>
      </c>
      <c r="K29" s="23" t="inlineStr">
        <is>
          <t>—</t>
        </is>
      </c>
      <c r="L29" s="23" t="inlineStr">
        <is>
          <t>Verified in repo</t>
        </is>
      </c>
      <c r="M29" s="23" t="inlineStr">
        <is>
          <t>—</t>
        </is>
      </c>
    </row>
    <row r="30">
      <c r="A30" s="22" t="inlineStr">
        <is>
          <t>D4</t>
        </is>
      </c>
      <c r="B30" s="23" t="inlineStr">
        <is>
          <t>Dashboard</t>
        </is>
      </c>
      <c r="C30" s="23" t="inlineStr">
        <is>
          <t>D. Overview (Morning CIO)</t>
        </is>
      </c>
      <c r="D30" s="24" t="inlineStr">
        <is>
          <t>Ask-AI chat on the daily briefing, answering only from this dashboard's data</t>
        </is>
      </c>
      <c r="E30" s="23" t="inlineStr">
        <is>
          <t>"Give an ask-AI where we can get all the data from whatever the dashboard is… only data output should be from this dashboard"</t>
        </is>
      </c>
      <c r="F30" s="25" t="inlineStr">
        <is>
          <t>Call</t>
        </is>
      </c>
      <c r="G30" s="23" t="inlineStr">
        <is>
          <t>/cio</t>
        </is>
      </c>
      <c r="H30" s="22" t="inlineStr">
        <is>
          <t>Done</t>
        </is>
      </c>
      <c r="I30" s="26">
        <f>IF(H30="Done",1,IF(H30="Partial",0.5,0))</f>
        <v>1.0</v>
      </c>
      <c r="J30" s="23" t="inlineStr">
        <is>
          <t>The Muns chat replaced the top-bar search box, which had no value, no handler and searched nothing while occupying the most prominent slot in the app. Its context is DERIVED from the book on every open — NAV and its listed/private split, allocation, per-owner figures, every account with owner, engagement and report date, the top holdings and the undrawn commitments, 27.7 KB of it — and the ABSENCES travel with the figures: the blend of report dates (47 of 49 accounts behind the newest), the 60 positions carrying no cost and the ₹165.9 Cr they hold, the ₹3.17 Cr reported twice and counted once, and the ring-fenced Polycab holding with an instruction never to add it. The panel is marked AI ANSWER · NOT A STATEMENT FIGURE in words rather than in a tooltip, and a failure names its own code so a missing token and a refused token send the reader to different places.</t>
        </is>
      </c>
      <c r="K30" s="23" t="inlineStr">
        <is>
          <t>Unverified end to end against the live API, and it says so: MUNS_TOKEN exists only in the Cloudflare environment. Measured, the route answers 401 with no token, so the host and path are real and the failure is authentication; the SSE frame shape is not confirmed, so the reader accepts the widest plausible frame set, ignores what it cannot parse and reports NO_TEXT_IN_STREAM rather than printing an envelope into the answer.</t>
        </is>
      </c>
      <c r="L30" s="23" t="inlineStr">
        <is>
          <t>Verified in repo · 2 Sep</t>
        </is>
      </c>
      <c r="M30" s="23" t="inlineStr">
        <is>
          <t>Yes · 2 Sep (616763d).</t>
        </is>
      </c>
    </row>
    <row r="31">
      <c r="A31" s="22" t="inlineStr">
        <is>
          <t>D5</t>
        </is>
      </c>
      <c r="B31" s="23" t="inlineStr">
        <is>
          <t>Dashboard</t>
        </is>
      </c>
      <c r="C31" s="23" t="inlineStr">
        <is>
          <t>D. Overview (Morning CIO)</t>
        </is>
      </c>
      <c r="D31" s="24" t="inlineStr">
        <is>
          <t>Notify when something new lands for the portfolio</t>
        </is>
      </c>
      <c r="E31" s="23" t="inlineStr">
        <is>
          <t>"Whatever new information will be coming up across the dashboard for your portfolio, that will be coming up as a notification"</t>
        </is>
      </c>
      <c r="F31" s="25" t="inlineStr">
        <is>
          <t>Call</t>
        </is>
      </c>
      <c r="G31" s="23" t="inlineStr">
        <is>
          <t>TopBar</t>
        </is>
      </c>
      <c r="H31" s="22" t="inlineStr">
        <is>
          <t>Not started</t>
        </is>
      </c>
      <c r="I31" s="26">
        <f>IF(H31="Done",1,IF(H31="Partial",0.5,0))</f>
        <v>0.0</v>
      </c>
      <c r="J31" s="23" t="inlineStr">
        <is>
          <t>The notifications bell was removed together with the News page at an earlier request, because its only action was to open a page that no longer exists.</t>
        </is>
      </c>
      <c r="K31" s="23" t="inlineStr">
        <is>
          <t>Decide what a notification is now that News is gone, then rebuild the bell against that.</t>
        </is>
      </c>
      <c r="L31" s="23" t="inlineStr">
        <is>
          <t>Verified in repo</t>
        </is>
      </c>
      <c r="M31" s="23" t="inlineStr">
        <is>
          <t>—</t>
        </is>
      </c>
    </row>
    <row r="32">
      <c r="A32" s="22" t="inlineStr">
        <is>
          <t>D6</t>
        </is>
      </c>
      <c r="B32" s="23" t="inlineStr">
        <is>
          <t>Dashboard</t>
        </is>
      </c>
      <c r="C32" s="23" t="inlineStr">
        <is>
          <t>D. Overview (Morning CIO)</t>
        </is>
      </c>
      <c r="D32" s="24" t="inlineStr">
        <is>
          <t>Carry index levels on the family office dashboard at all times — Nifty 50, Nifty 500, Nifty Midcap 150, Nifty Smallcap 250</t>
        </is>
      </c>
      <c r="E32" s="23" t="inlineStr">
        <is>
          <t>"Even on the family off dashboard need these levels at all time: Nifty 50, Nifty 500, Nifty Midcap 150, Nifty Smallcap 250 as indice values"</t>
        </is>
      </c>
      <c r="F32" s="27" t="inlineStr">
        <is>
          <t>Written feedback</t>
        </is>
      </c>
      <c r="G32" s="23" t="inlineStr">
        <is>
          <t>/cio · /family · public/series/</t>
        </is>
      </c>
      <c r="H32" s="22" t="inlineStr">
        <is>
          <t>Done</t>
        </is>
      </c>
      <c r="I32" s="26">
        <f>IF(H32="Done",1,IF(H32="Partial",0.5,0))</f>
        <v>1.0</v>
      </c>
      <c r="J32" s="23" t="inlineStr">
        <is>
          <t>A persistent strip between the top bar and the page, on every route, carrying Nifty 50, Nifty 500, Nifty Midcap 150 and Nifty Smallcap 250 with the day's move, polled every 60 seconds off a keyless endpoint. Two traps were measured rather than reasoned, and both print plausible wrong numbers: chartPreviousClose is the close before the requested RANGE, not the previous session's, which read −1.15% against a true −1.01%; and three symbols that look right (^NSMIDCP, NIFTY_MIDCAP_150.NS, NIFTY_SMLCAP_250.NS) answer 200 with a well-formed rupee figure for a DIFFERENT instrument. Each index therefore declares the name its upstream must report, and a mismatch returns it unverified with no level at all.</t>
        </is>
      </c>
      <c r="K32" s="23" t="inlineStr">
        <is>
          <t>—</t>
        </is>
      </c>
      <c r="L32" s="23" t="inlineStr">
        <is>
          <t>Verified in repo · 2 Sep</t>
        </is>
      </c>
      <c r="M32" s="23" t="inlineStr">
        <is>
          <t>Yes · 2 Sep (e7befc8).</t>
        </is>
      </c>
    </row>
    <row r="33">
      <c r="A33" s="22" t="inlineStr">
        <is>
          <t>D7</t>
        </is>
      </c>
      <c r="B33" s="23" t="inlineStr">
        <is>
          <t>Dashboard</t>
        </is>
      </c>
      <c r="C33" s="23" t="inlineStr">
        <is>
          <t>D. Overview (Morning CIO)</t>
        </is>
      </c>
      <c r="D33" s="24" t="inlineStr">
        <is>
          <t>Portfolio return movement for day / week / month / YTD / since transaction date, with an HPR, absolute and CAGR toggle — entity-wise and family-consolidated</t>
        </is>
      </c>
      <c r="E33" s="23" t="inlineStr">
        <is>
          <t>"At all times the dashboard should show entity wise and consolidated family wise: portfolio return movement for the day, week, month, YTD, since transaction date — HPR, absolute return, CAGR return (I should be able to toggle)"</t>
        </is>
      </c>
      <c r="F33" s="27" t="inlineStr">
        <is>
          <t>Written feedback</t>
        </is>
      </c>
      <c r="G33" s="23" t="inlineStr">
        <is>
          <t>/cio · /family</t>
        </is>
      </c>
      <c r="H33" s="22" t="inlineStr">
        <is>
          <t>Partial</t>
        </is>
      </c>
      <c r="I33" s="26">
        <f>IF(H33="Done",1,IF(H33="Partial",0.5,0))</f>
        <v>0.5</v>
      </c>
      <c r="J33" s="23" t="inlineStr">
        <is>
          <t>The blocker is partly cleared rather than the grid being built. The dated portfolio NAV series now exists for 13 of 49 accounts, which is what day, week and month movement needs, and the holding-level Absolute / CAGR toggle and YTD column are live on the monitor. There is still no day / week / month movement at portfolio or entity level and no HPR / absolute / CAGR switch above the holding row: Family &amp; Entities carries NAV, weight, positions, unrealised P&amp;L, return on cost, money-weighted return to date and a financial-year-to-date figure, and nothing shorter than that.</t>
        </is>
      </c>
      <c r="K33" s="23" t="inlineStr">
        <is>
          <t>Build the horizon grid once and render it at both levels. Day, week and month are measurable only over the 13 accounts the NAV series covers, so the other 36 must be named rather than blended in at zero.</t>
        </is>
      </c>
      <c r="L33" s="23" t="inlineStr">
        <is>
          <t>Verified in repo · 2 Sep</t>
        </is>
      </c>
      <c r="M33" s="23" t="inlineStr">
        <is>
          <t>Partly · 2 Sep — the dated NAV series this was blocked on now exists, and the return-basis toggle shipped one level down (e7befc8, 1d9081e).</t>
        </is>
      </c>
    </row>
    <row r="34">
      <c r="A34" s="22" t="inlineStr">
        <is>
          <t>D8</t>
        </is>
      </c>
      <c r="B34" s="23" t="inlineStr">
        <is>
          <t>Dashboard</t>
        </is>
      </c>
      <c r="C34" s="23" t="inlineStr">
        <is>
          <t>D. Overview (Morning CIO)</t>
        </is>
      </c>
      <c r="D34" s="24" t="inlineStr">
        <is>
          <t>Make the KPI tiles explain themselves — what dry powder is, what distributions are, and how the two return figures differ</t>
        </is>
      </c>
      <c r="E34" s="23" t="inlineStr">
        <is>
          <t>"What is dry powder? how you arrive at this number? What is distributions? What is difference between consolidated and money weighted return? need clarity"</t>
        </is>
      </c>
      <c r="F34" s="27" t="inlineStr">
        <is>
          <t>Written feedback</t>
        </is>
      </c>
      <c r="G34" s="23" t="inlineStr">
        <is>
          <t>/cio</t>
        </is>
      </c>
      <c r="H34" s="22" t="inlineStr">
        <is>
          <t>Partial</t>
        </is>
      </c>
      <c r="I34" s="26">
        <f>IF(H34="Done",1,IF(H34="Partial",0.5,0))</f>
        <v>0.5</v>
      </c>
      <c r="J34" s="23" t="inlineStr">
        <is>
          <t>Consolidated NAV, Capital invested, Dry powder, Money-weighted return and Consolidated return each open a formula popover carrying the formula, a plain-English statement and a worked example on the book's own numbers. Dry powder and Distributions now also carry a plain-English hover naming what the reader will find behind them, and both open the capital accounts on Private Market. Distributions still has no formula popover of its own.</t>
        </is>
      </c>
      <c r="K34" s="23" t="inlineStr">
        <is>
          <t>Give Distributions the same treatment, and surface the definitions on the FACE of each tile rather than behind a hover — a caption saying what the figure is and which slice of the book it covers. The client asked despite the popovers existing, which is the evidence that a hover is not discoverable.</t>
        </is>
      </c>
      <c r="L34" s="23" t="inlineStr">
        <is>
          <t>Verified in repo · 2 Sep</t>
        </is>
      </c>
      <c r="M34" s="23" t="inlineStr">
        <is>
          <t>Partly · 2 Sep — each tile now states what is behind it, though still on hover (857b689).</t>
        </is>
      </c>
    </row>
    <row r="35">
      <c r="A35" s="22" t="inlineStr">
        <is>
          <t>D9</t>
        </is>
      </c>
      <c r="B35" s="23" t="inlineStr">
        <is>
          <t>Dashboard</t>
        </is>
      </c>
      <c r="C35" s="23" t="inlineStr">
        <is>
          <t>D. Overview (Morning CIO)</t>
        </is>
      </c>
      <c r="D35" s="24" t="inlineStr">
        <is>
          <t>Rename "Consolidated NAV" to "Current Value of holdings"</t>
        </is>
      </c>
      <c r="E35" s="23" t="inlineStr">
        <is>
          <t>"Consolidated NAV is a wrong label. It should be Current Value of holdings"</t>
        </is>
      </c>
      <c r="F35" s="27" t="inlineStr">
        <is>
          <t>Written feedback</t>
        </is>
      </c>
      <c r="G35" s="23" t="inlineStr">
        <is>
          <t>/cio</t>
        </is>
      </c>
      <c r="H35" s="22" t="inlineStr">
        <is>
          <t>Not started</t>
        </is>
      </c>
      <c r="I35" s="26">
        <f>IF(H35="Done",1,IF(H35="Partial",0.5,0))</f>
        <v>0.0</v>
      </c>
      <c r="J35" s="23" t="inlineStr">
        <is>
          <t>The first KPI tile still reads Consolidated NAV.</t>
        </is>
      </c>
      <c r="K35" s="23" t="inlineStr">
        <is>
          <t>Rename the tile, and carry the same wording through the other pages that use the phrase so the book does not call one figure two things.</t>
        </is>
      </c>
      <c r="L35" s="23" t="inlineStr">
        <is>
          <t>Verified in repo</t>
        </is>
      </c>
      <c r="M35" s="23" t="inlineStr">
        <is>
          <t>—</t>
        </is>
      </c>
    </row>
    <row r="36">
      <c r="A36" s="22" t="inlineStr">
        <is>
          <t>E1</t>
        </is>
      </c>
      <c r="B36" s="23" t="inlineStr">
        <is>
          <t>Dashboard</t>
        </is>
      </c>
      <c r="C36" s="23" t="inlineStr">
        <is>
          <t>E. Baskets &amp; family view</t>
        </is>
      </c>
      <c r="D36" s="24" t="inlineStr">
        <is>
          <t>Use the family's own basket taxonomy — Core (stable growth), Entrepreneurial growth (private), Tactical, Liquidity — with equity and debt beneath each</t>
        </is>
      </c>
      <c r="E36" s="23" t="inlineStr">
        <is>
          <t>"I have given you my baskets, I have given you my templates… my bucket of core is growth portfolio, stable growth and entrepreneurial growth. Entrepreneurial growth is private investments"</t>
        </is>
      </c>
      <c r="F36" s="25" t="inlineStr">
        <is>
          <t>Call</t>
        </is>
      </c>
      <c r="G36" s="23" t="inlineStr">
        <is>
          <t>/exposure</t>
        </is>
      </c>
      <c r="H36" s="22" t="inlineStr">
        <is>
          <t>Not started</t>
        </is>
      </c>
      <c r="I36" s="26">
        <f>IF(H36="Done",1,IF(H36="Partial",0.5,0))</f>
        <v>0.0</v>
      </c>
      <c r="J36" s="23" t="inlineStr">
        <is>
          <t>Exposure &amp; IPS carries the spec's buckets — Growth, Liquidity, Tactical, Hedge, Charity — mapped asset class to bucket by the family, with unmapped classes named rather than guessed.</t>
        </is>
      </c>
      <c r="K36" s="23" t="inlineStr">
        <is>
          <t>Replace the bucket set with the family's own, and allow a holding-level override where an asset class alone cannot decide it (an arbitrage fund sitting in Tactical, not Debt).</t>
        </is>
      </c>
      <c r="L36" s="23" t="inlineStr">
        <is>
          <t>Verified in repo</t>
        </is>
      </c>
      <c r="M36" s="23" t="inlineStr">
        <is>
          <t>—</t>
        </is>
      </c>
    </row>
    <row r="37">
      <c r="A37" s="22" t="inlineStr">
        <is>
          <t>E2</t>
        </is>
      </c>
      <c r="B37" s="23" t="inlineStr">
        <is>
          <t>Dashboard</t>
        </is>
      </c>
      <c r="C37" s="23" t="inlineStr">
        <is>
          <t>E. Baskets &amp; family view</t>
        </is>
      </c>
      <c r="D37" s="24" t="inlineStr">
        <is>
          <t>Performance per basket — how is core doing versus tactical versus liquidity</t>
        </is>
      </c>
      <c r="E37" s="23" t="inlineStr">
        <is>
          <t>"How is the core doing, how is the satellite portfolio doing, how is the liquidity portfolio doing — this should be the overview page"</t>
        </is>
      </c>
      <c r="F37" s="25" t="inlineStr">
        <is>
          <t>Call</t>
        </is>
      </c>
      <c r="G37" s="23" t="inlineStr">
        <is>
          <t>/exposure · /cio</t>
        </is>
      </c>
      <c r="H37" s="22" t="inlineStr">
        <is>
          <t>Not started</t>
        </is>
      </c>
      <c r="I37" s="26">
        <f>IF(H37="Done",1,IF(H37="Partial",0.5,0))</f>
        <v>0.0</v>
      </c>
      <c r="J37" s="23" t="inlineStr">
        <is>
          <t>Buckets carry an actual weight against a target once the family enters one; no return is struck per bucket.</t>
        </is>
      </c>
      <c r="K37" s="23" t="inlineStr">
        <is>
          <t>Per-bucket invested, current value and return, on the same basis as the allocation table.</t>
        </is>
      </c>
      <c r="L37" s="23" t="inlineStr">
        <is>
          <t>Verified in repo</t>
        </is>
      </c>
      <c r="M37" s="23" t="inlineStr">
        <is>
          <t>—</t>
        </is>
      </c>
    </row>
    <row r="38">
      <c r="A38" s="22" t="inlineStr">
        <is>
          <t>E3</t>
        </is>
      </c>
      <c r="B38" s="23" t="inlineStr">
        <is>
          <t>Dashboard</t>
        </is>
      </c>
      <c r="C38" s="23" t="inlineStr">
        <is>
          <t>E. Baskets &amp; family view</t>
        </is>
      </c>
      <c r="D38" s="24" t="inlineStr">
        <is>
          <t>Repeat the same template for every family member</t>
        </is>
      </c>
      <c r="E38" s="23" t="inlineStr">
        <is>
          <t>"What's the family portfolio like, then individually — the same template for every family member"</t>
        </is>
      </c>
      <c r="F38" s="25" t="inlineStr">
        <is>
          <t>Call</t>
        </is>
      </c>
      <c r="G38" s="23" t="inlineStr">
        <is>
          <t>/family</t>
        </is>
      </c>
      <c r="H38" s="22" t="inlineStr">
        <is>
          <t>Partial</t>
        </is>
      </c>
      <c r="I38" s="26">
        <f>IF(H38="Done",1,IF(H38="Partial",0.5,0))</f>
        <v>0.5</v>
      </c>
      <c r="J38" s="23" t="inlineStr">
        <is>
          <t>Family &amp; Entities gives per-member market value, return, FY-to-date and a drill-down naming each holding's route. Six holders and two trusts are resolved on PAN.</t>
        </is>
      </c>
      <c r="K38" s="23" t="inlineStr">
        <is>
          <t>Give each member the full front-page template — allocation, movers, baskets — rather than a row in a family table.</t>
        </is>
      </c>
      <c r="L38" s="23" t="inlineStr">
        <is>
          <t>Verified in repo</t>
        </is>
      </c>
      <c r="M38" s="23" t="inlineStr">
        <is>
          <t>—</t>
        </is>
      </c>
    </row>
    <row r="39">
      <c r="A39" s="22" t="inlineStr">
        <is>
          <t>F1</t>
        </is>
      </c>
      <c r="B39" s="23" t="inlineStr">
        <is>
          <t>Dashboard</t>
        </is>
      </c>
      <c r="C39" s="23" t="inlineStr">
        <is>
          <t>F. Data, pricing &amp; look-through</t>
        </is>
      </c>
      <c r="D39" s="24" t="inlineStr">
        <is>
          <t>Live prices on stock holdings; quantity and cost stay on the statements</t>
        </is>
      </c>
      <c r="E39" s="23" t="inlineStr">
        <is>
          <t>"If I'm seeing on any particular day it will take the real time price"</t>
        </is>
      </c>
      <c r="F39" s="25" t="inlineStr">
        <is>
          <t>Call</t>
        </is>
      </c>
      <c r="G39" s="23" t="inlineStr">
        <is>
          <t>/api/quotes · whole app</t>
        </is>
      </c>
      <c r="H39" s="22" t="inlineStr">
        <is>
          <t>Done</t>
        </is>
      </c>
      <c r="I39" s="26">
        <f>IF(H39="Done",1,IF(H39="Partial",0.5,0))</f>
        <v>1.0</v>
      </c>
      <c r="J39" s="23" t="inlineStr">
        <is>
          <t>Live quotes overlay market value, day change, unrealised P&amp;L and return on cost, and nothing else. Every consolidated figure carries a STATEMENT / LIVE pill. Regenerating the book this push picked up 33 more symbols the ISIN tier had already resolved but that had never reached glowData.ts — the depository statements print AXIS BANK EQ and SBI - EQ, which no name tier bridges. 176 of 264 securities are now reachable; what cannot resolve is counted as unpriceable rather than as a feed failure, because an AIF or fund unit has no NSE symbol however it is identified.</t>
        </is>
      </c>
      <c r="K39" s="23" t="inlineStr">
        <is>
          <t>—</t>
        </is>
      </c>
      <c r="L39" s="23" t="inlineStr">
        <is>
          <t>Verified in repo · 2 Sep</t>
        </is>
      </c>
      <c r="M39" s="23" t="inlineStr">
        <is>
          <t>Coverage only · 1 Sep — 33 symbols picked up on a rebuild (6b146dd).</t>
        </is>
      </c>
    </row>
    <row r="40">
      <c r="A40" s="22" t="inlineStr">
        <is>
          <t>F2</t>
        </is>
      </c>
      <c r="B40" s="23" t="inlineStr">
        <is>
          <t>Dashboard</t>
        </is>
      </c>
      <c r="C40" s="23" t="inlineStr">
        <is>
          <t>F. Data, pricing &amp; look-through</t>
        </is>
      </c>
      <c r="D40" s="24" t="inlineStr">
        <is>
          <t>Live NAV on mutual-fund and AIF holdings</t>
        </is>
      </c>
      <c r="E40" s="23" t="inlineStr">
        <is>
          <t>"My mutual fund holdings and my stock holdings, if I'm seeing on any particular day, it will take the real time price"</t>
        </is>
      </c>
      <c r="F40" s="25" t="inlineStr">
        <is>
          <t>Call</t>
        </is>
      </c>
      <c r="G40" s="23" t="inlineStr">
        <is>
          <t>/api/*</t>
        </is>
      </c>
      <c r="H40" s="22" t="inlineStr">
        <is>
          <t>Partial</t>
        </is>
      </c>
      <c r="I40" s="26">
        <f>IF(H40="Done",1,IF(H40="Partial",0.5,0))</f>
        <v>0.5</v>
      </c>
      <c r="J40" s="23" t="inlineStr">
        <is>
          <t>Mutual funds now carry a NAV and its DAILY CHANGE, which the quote feed could never supply because a scheme resolves to no NSE symbol. It is read from a read-only checkout of the family's own AmfiBeas repo rather than scraped: 21 of 22 schemes resolve, ₹123.28 Cr of ₹124.46 Cr, 20 of them on ISIN alone, and the ISIN also settles which PLAN the family holds where a name match could only ever reach the Regular listing. The card names the PREVIOUS NAV AND ITS DATE, because a fund does not publish on a non-business day and “since yesterday” would be wrong across a weekend. Returns are passed through rather than recomputed, each printed with the window it really spans. AIF folios stay statement-marked; their managers mark them monthly.</t>
        </is>
      </c>
      <c r="K40" s="23" t="inlineStr">
        <is>
          <t>It is a build-time store refreshed by npm run build-lookthrough, not a request-time feed, so the NAV is as fresh as the last run — the card prints both as-of dates so staleness is visible rather than silent. Liquid BeES does not resolve and is named: its book ISIN is a legacy Benchmark code AmfiBeas does not carry, and nothing available proves the two are one security.</t>
        </is>
      </c>
      <c r="L40" s="23" t="inlineStr">
        <is>
          <t>Verified in repo · 2 Sep</t>
        </is>
      </c>
      <c r="M40" s="23" t="inlineStr">
        <is>
          <t>Yes · 2 Sep — the mutual-fund half, from the family's own repo (296a71a).</t>
        </is>
      </c>
    </row>
    <row r="41">
      <c r="A41" s="22" t="inlineStr">
        <is>
          <t>F3</t>
        </is>
      </c>
      <c r="B41" s="23" t="inlineStr">
        <is>
          <t>Dashboard</t>
        </is>
      </c>
      <c r="C41" s="23" t="inlineStr">
        <is>
          <t>F. Data, pricing &amp; look-through</t>
        </is>
      </c>
      <c r="D41" s="24" t="inlineStr">
        <is>
          <t>Ingest the demat statements Ashwini sent</t>
        </is>
      </c>
      <c r="E41" s="23" t="inlineStr">
        <is>
          <t>"Ashwini shared the DMAT statements yesterday"</t>
        </is>
      </c>
      <c r="F41" s="25" t="inlineStr">
        <is>
          <t>Call</t>
        </is>
      </c>
      <c r="G41" s="23" t="inlineStr">
        <is>
          <t>scripts/ingest/*</t>
        </is>
      </c>
      <c r="H41" s="22" t="inlineStr">
        <is>
          <t>Done</t>
        </is>
      </c>
      <c r="I41" s="26">
        <f>IF(H41="Done",1,IF(H41="Partial",0.5,0))</f>
        <v>1.0</v>
      </c>
      <c r="J41" s="23" t="inlineStr">
        <is>
          <t>Seven CDSL accounts at Motilal Oswal (102.16 Cr) and the ICICI NSDL account (63.78 Cr ex-Polycab) are read and in the book. One demat is excluded because its three identifiers give three different holders (8.23 Cr, reason printed); Bharat's HDFC NSDL statement is an unreadable scan.</t>
        </is>
      </c>
      <c r="K41" s="23" t="inlineStr">
        <is>
          <t>—</t>
        </is>
      </c>
      <c r="L41" s="23" t="inlineStr">
        <is>
          <t>Verified in repo</t>
        </is>
      </c>
      <c r="M41" s="23" t="inlineStr">
        <is>
          <t>—</t>
        </is>
      </c>
    </row>
    <row r="42">
      <c r="A42" s="22" t="inlineStr">
        <is>
          <t>F4</t>
        </is>
      </c>
      <c r="B42" s="23" t="inlineStr">
        <is>
          <t>Dashboard</t>
        </is>
      </c>
      <c r="C42" s="23" t="inlineStr">
        <is>
          <t>F. Data, pricing &amp; look-through</t>
        </is>
      </c>
      <c r="D42" s="24" t="inlineStr">
        <is>
          <t>Private markets — track subsequent funding rounds and what the stake is now worth</t>
        </is>
      </c>
      <c r="E42" s="23" t="inlineStr">
        <is>
          <t>"If suppose the company's raising subsequent funding rounds, we should be able to show those as well"</t>
        </is>
      </c>
      <c r="F42" s="25" t="inlineStr">
        <is>
          <t>Call</t>
        </is>
      </c>
      <c r="G42" s="23" t="inlineStr">
        <is>
          <t>/private-market · src/lib/deals.ts</t>
        </is>
      </c>
      <c r="H42" s="22" t="inlineStr">
        <is>
          <t>Partial</t>
        </is>
      </c>
      <c r="I42" s="26">
        <f>IF(H42="Done",1,IF(H42="Partial",0.5,0))</f>
        <v>0.5</v>
      </c>
      <c r="J42" s="23" t="inlineStr">
        <is>
          <t>The model carries rounds, post-money valuation, participation, stake and cap table, and everything derivable is derived. /private-market shows the AIF book, the capital accounts, and 18.23 Cr drawn against folios their funds have not valued.</t>
        </is>
      </c>
      <c r="K42" s="23" t="inlineStr">
        <is>
          <t>Nothing renders the deal / round register — the page that did was removed earlier. Needs the register back on screen, and the family's own round paperwork to fill it.</t>
        </is>
      </c>
      <c r="L42" s="23" t="inlineStr">
        <is>
          <t>Verified in repo</t>
        </is>
      </c>
      <c r="M42" s="23" t="inlineStr">
        <is>
          <t>—</t>
        </is>
      </c>
    </row>
    <row r="43">
      <c r="A43" s="22" t="inlineStr">
        <is>
          <t>F5</t>
        </is>
      </c>
      <c r="B43" s="23" t="inlineStr">
        <is>
          <t>Dashboard</t>
        </is>
      </c>
      <c r="C43" s="23" t="inlineStr">
        <is>
          <t>F. Data, pricing &amp; look-through</t>
        </is>
      </c>
      <c r="D43" s="24" t="inlineStr">
        <is>
          <t>FII / FPI activity — equity, debt and G-Sec, date-wise</t>
        </is>
      </c>
      <c r="E43" s="23" t="inlineStr">
        <is>
          <t>"I had also given you a few observations… the FPI activity email, where on one side I see all the debt, GSec, and I see date-wise activity"</t>
        </is>
      </c>
      <c r="F43" s="25" t="inlineStr">
        <is>
          <t>Call</t>
        </is>
      </c>
      <c r="G43" s="23" t="inlineStr">
        <is>
          <t>—</t>
        </is>
      </c>
      <c r="H43" s="22" t="inlineStr">
        <is>
          <t>Not started</t>
        </is>
      </c>
      <c r="I43" s="26">
        <f>IF(H43="Done",1,IF(H43="Partial",0.5,0))</f>
        <v>0.0</v>
      </c>
      <c r="J43" s="23" t="inlineStr">
        <is>
          <t>Not built. NSDL's FPI host was measured as unreachable from the harvest runner; no adapter exists.</t>
        </is>
      </c>
      <c r="K43" s="23" t="inlineStr">
        <is>
          <t>Find a reachable FPI source (NSDL / CDSL daily flows), harvest it into public/series/ and give it a card on Economy &amp; Macro.</t>
        </is>
      </c>
      <c r="L43" s="23" t="inlineStr">
        <is>
          <t>Verified in repo</t>
        </is>
      </c>
      <c r="M43" s="23" t="inlineStr">
        <is>
          <t>—</t>
        </is>
      </c>
    </row>
    <row r="44">
      <c r="A44" s="22" t="inlineStr">
        <is>
          <t>F6</t>
        </is>
      </c>
      <c r="B44" s="23" t="inlineStr">
        <is>
          <t>Dashboard</t>
        </is>
      </c>
      <c r="C44" s="23" t="inlineStr">
        <is>
          <t>F. Data, pricing &amp; look-through</t>
        </is>
      </c>
      <c r="D44" s="24" t="inlineStr">
        <is>
          <t>See the total holding in any stock, bond or security — whether held directly or inside a fund</t>
        </is>
      </c>
      <c r="E44" s="23" t="inlineStr">
        <is>
          <t>"The most important: thru directly or thru funds, what is my holding in any stock / bond / security I should be able to see"</t>
        </is>
      </c>
      <c r="F44" s="27" t="inlineStr">
        <is>
          <t>Written feedback</t>
        </is>
      </c>
      <c r="G44" s="23" t="inlineStr">
        <is>
          <t>/stock/:securityKey</t>
        </is>
      </c>
      <c r="H44" s="22" t="inlineStr">
        <is>
          <t>Partial</t>
        </is>
      </c>
      <c r="I44" s="26">
        <f>IF(H44="Done",1,IF(H44="Partial",0.5,0))</f>
        <v>0.5</v>
      </c>
      <c r="J44" s="23" t="inlineStr">
        <is>
          <t>The fund half moved from impossible to partly answered. A mutual fund scheme's portfolio IS published — SEBI requires a monthly disclosure — so each scheme the book holds now carries its constituents with the underlying's own ISIN and sector, taken from the AMC's own filing where one exists (14 schemes) and an aggregator's copy otherwise (3), with which one was used printed on the card. The family's exposure per underlying is derived on screen as holding value times the published weight and labelled an estimate; none of it enters a book total, allocation or sector split, because the fund's own value already stands for it and counting both would count the same money twice. Shares a PMS manager holds were already real positions and already aggregate on the company page.</t>
        </is>
      </c>
      <c r="K44" s="23" t="inlineStr">
        <is>
          <t>Two gaps, and they are different in kind. The constituents are a card on each fund's own page, not yet rolled into one “total exposure to this security” figure across direct, mandate and fund holdings. And an AIF gets nothing — SEBI requires no monthly portfolio from a Category II or III fund, so ₹352 Cr of the book has no disclosure to join. That is a narrower claim than before and still a real one.</t>
        </is>
      </c>
      <c r="L44" s="23" t="inlineStr">
        <is>
          <t>Verified in repo · 2 Sep</t>
        </is>
      </c>
      <c r="M44" s="23" t="inlineStr">
        <is>
          <t>Yes · 2 Sep — the mutual-fund constituents, then re-sourced onto the family's own repo (a71874d, 296a71a).</t>
        </is>
      </c>
    </row>
    <row r="45">
      <c r="A45" s="22" t="inlineStr">
        <is>
          <t>F7</t>
        </is>
      </c>
      <c r="B45" s="23" t="inlineStr">
        <is>
          <t>Dashboard</t>
        </is>
      </c>
      <c r="C45" s="23" t="inlineStr">
        <is>
          <t>F. Data, pricing &amp; look-through</t>
        </is>
      </c>
      <c r="D45" s="24" t="inlineStr">
        <is>
          <t>Comprehensive sector-wise and stock-wise exposure across the whole book</t>
        </is>
      </c>
      <c r="E45" s="23" t="inlineStr">
        <is>
          <t>"I should be able to see comprehensively what is my sectoral exposure, stock wise exposure"</t>
        </is>
      </c>
      <c r="F45" s="27" t="inlineStr">
        <is>
          <t>Written feedback</t>
        </is>
      </c>
      <c r="G45" s="23" t="inlineStr">
        <is>
          <t>/sectors · /exposure</t>
        </is>
      </c>
      <c r="H45" s="22" t="inlineStr">
        <is>
          <t>Partial</t>
        </is>
      </c>
      <c r="I45" s="26">
        <f>IF(H45="Done",1,IF(H45="Partial",0.5,0))</f>
        <v>0.5</v>
      </c>
      <c r="J45" s="23" t="inlineStr">
        <is>
          <t>Sector Composition still covers company shares — ₹121.6 Cr, the shares PMS managers hold included, so the mandate look-through is already folded in — and names every excluded class with its value rather than dropping it. What changed this push is that the mutual-fund wrappers now have disclosed constituents carrying a SECTOR each, so the input for spreading the mutual-fund half across sectors exists for the first time.</t>
        </is>
      </c>
      <c r="K45" s="23" t="inlineStr">
        <is>
          <t>Decide whether to spread a fund's value across the sectors it discloses. It would be derived from a third party's relay of the AMC's filing rather than from a statement issued to this family, so it has to be labelled as such if it enters the sector table at all. The AIF half (₹352 Cr) still has no disclosure to join and must keep standing outside the table.</t>
        </is>
      </c>
      <c r="L45" s="23" t="inlineStr">
        <is>
          <t>Verified in repo · 2 Sep</t>
        </is>
      </c>
      <c r="M45" s="23" t="inlineStr">
        <is>
          <t>Input arrived · 2 Sep — the disclosures carry a sector per underlying; nothing is spread across the sector table yet (a71874d).</t>
        </is>
      </c>
    </row>
    <row r="46">
      <c r="A46" s="22" t="inlineStr">
        <is>
          <t>F8</t>
        </is>
      </c>
      <c r="B46" s="23" t="inlineStr">
        <is>
          <t>Dashboard</t>
        </is>
      </c>
      <c r="C46" s="23" t="inlineStr">
        <is>
          <t>F. Data, pricing &amp; look-through</t>
        </is>
      </c>
      <c r="D46" s="24" t="inlineStr">
        <is>
          <t>Complete the capital-invested figure — it is still reported as partial</t>
        </is>
      </c>
      <c r="E46" s="23" t="inlineStr">
        <is>
          <t>"Capital invested still showing incomplete"</t>
        </is>
      </c>
      <c r="F46" s="27" t="inlineStr">
        <is>
          <t>Written feedback</t>
        </is>
      </c>
      <c r="G46" s="23" t="inlineStr">
        <is>
          <t>/cio</t>
        </is>
      </c>
      <c r="H46" s="22" t="inlineStr">
        <is>
          <t>Not started</t>
        </is>
      </c>
      <c r="I46" s="26">
        <f>IF(H46="Done",1,IF(H46="Partial",0.5,0))</f>
        <v>0.0</v>
      </c>
      <c r="J46" s="23" t="inlineStr">
        <is>
          <t>The tile reads 471.9 Cr covering 545.8 Cr of the 711.6 Cr book, and names the 60 positions that carry no cost basis — which are now one click away, as a facet of the tile's own drill-down. Measured across the whole audit archive, not one of those (account, security) pairs carries a cost on any record type: every one is in a depository account, and a depository reports what is held, never what it cost. The em dashes are correct; the gap is in the source data, not the join.</t>
        </is>
      </c>
      <c r="K46" s="23" t="inlineStr">
        <is>
          <t>Ask the demats for a priced transaction history or the contract notes behind those 60 positions. The Motilal file the client has sent may carry some of it — see I6.</t>
        </is>
      </c>
      <c r="L46" s="23" t="inlineStr">
        <is>
          <t>Verified in repo · 2 Sep</t>
        </is>
      </c>
      <c r="M46" s="23" t="inlineStr">
        <is>
          <t>Reporting only · 2 Sep — the 60 cost-less positions are now openable from the tile; the data gap is unchanged (857b689).</t>
        </is>
      </c>
    </row>
    <row r="47">
      <c r="A47" s="22" t="inlineStr">
        <is>
          <t>G1</t>
        </is>
      </c>
      <c r="B47" s="23" t="inlineStr">
        <is>
          <t>Research Centre</t>
        </is>
      </c>
      <c r="C47" s="23" t="inlineStr">
        <is>
          <t>G. Fund research</t>
        </is>
      </c>
      <c r="D47" s="24" t="inlineStr">
        <is>
          <t>Move fund returns out of Superstar Investors into their own Mutual Fund Research tab</t>
        </is>
      </c>
      <c r="E47" s="23" t="inlineStr">
        <is>
          <t>"Return should be a part of your research and analytics but not super investor… it should be a separate tab, like a mutual fund research tab"</t>
        </is>
      </c>
      <c r="F47" s="25" t="inlineStr">
        <is>
          <t>Call</t>
        </is>
      </c>
      <c r="G47" s="23" t="inlineStr">
        <is>
          <t>Research site</t>
        </is>
      </c>
      <c r="H47" s="22" t="inlineStr">
        <is>
          <t>Partial</t>
        </is>
      </c>
      <c r="I47" s="26">
        <f>IF(H47="Done",1,IF(H47="Partial",0.5,0))</f>
        <v>0.5</v>
      </c>
      <c r="J47" s="23" t="inlineStr">
        <is>
          <t>The fund-return table exists and was demonstrated on the call — it is sitting under the wrong tab.</t>
        </is>
      </c>
      <c r="K47" s="23" t="inlineStr">
        <is>
          <t>Create the Mutual Fund Research tab and move the table into it.</t>
        </is>
      </c>
      <c r="L47" s="23" t="inlineStr">
        <is>
          <t>From the call (separate app)</t>
        </is>
      </c>
      <c r="M47" s="23" t="inlineStr">
        <is>
          <t>—</t>
        </is>
      </c>
    </row>
    <row r="48">
      <c r="A48" s="22" t="inlineStr">
        <is>
          <t>G2</t>
        </is>
      </c>
      <c r="B48" s="23" t="inlineStr">
        <is>
          <t>Research Centre</t>
        </is>
      </c>
      <c r="C48" s="23" t="inlineStr">
        <is>
          <t>G. Fund research</t>
        </is>
      </c>
      <c r="D48" s="24" t="inlineStr">
        <is>
          <t>Direct plans only — drop the Regular classification</t>
        </is>
      </c>
      <c r="E48" s="23" t="inlineStr">
        <is>
          <t>"You don't show regular, you only show direct — regular and direct doesn't make any sense"</t>
        </is>
      </c>
      <c r="F48" s="25" t="inlineStr">
        <is>
          <t>Call</t>
        </is>
      </c>
      <c r="G48" s="23" t="inlineStr">
        <is>
          <t>Research site</t>
        </is>
      </c>
      <c r="H48" s="22" t="inlineStr">
        <is>
          <t>Not started</t>
        </is>
      </c>
      <c r="I48" s="26">
        <f>IF(H48="Done",1,IF(H48="Partial",0.5,0))</f>
        <v>0.0</v>
      </c>
      <c r="J48" s="23" t="inlineStr">
        <is>
          <t>Both plan types were showing on the call.</t>
        </is>
      </c>
      <c r="K48" s="23" t="inlineStr">
        <is>
          <t>Filter to Direct.</t>
        </is>
      </c>
      <c r="L48" s="23" t="inlineStr">
        <is>
          <t>From the call (separate app)</t>
        </is>
      </c>
      <c r="M48" s="23" t="inlineStr">
        <is>
          <t>—</t>
        </is>
      </c>
    </row>
    <row r="49">
      <c r="A49" s="22" t="inlineStr">
        <is>
          <t>G3</t>
        </is>
      </c>
      <c r="B49" s="23" t="inlineStr">
        <is>
          <t>Research Centre</t>
        </is>
      </c>
      <c r="C49" s="23" t="inlineStr">
        <is>
          <t>G. Fund research</t>
        </is>
      </c>
      <c r="D49" s="24" t="inlineStr">
        <is>
          <t>Let the user type to search a scheme or a category</t>
        </is>
      </c>
      <c r="E49" s="23" t="inlineStr">
        <is>
          <t>"You should keep an option of typing also — I should be able to type what I want to search"</t>
        </is>
      </c>
      <c r="F49" s="25" t="inlineStr">
        <is>
          <t>Call</t>
        </is>
      </c>
      <c r="G49" s="23" t="inlineStr">
        <is>
          <t>Research site</t>
        </is>
      </c>
      <c r="H49" s="22" t="inlineStr">
        <is>
          <t>Partial</t>
        </is>
      </c>
      <c r="I49" s="26">
        <f>IF(H49="Done",1,IF(H49="Partial",0.5,0))</f>
        <v>0.5</v>
      </c>
      <c r="J49" s="23" t="inlineStr">
        <is>
          <t>Search by scheme and by category exists as a picker; free typing does not.</t>
        </is>
      </c>
      <c r="K49" s="23" t="inlineStr">
        <is>
          <t>Add typeahead across scheme and category names.</t>
        </is>
      </c>
      <c r="L49" s="23" t="inlineStr">
        <is>
          <t>From the call (separate app)</t>
        </is>
      </c>
      <c r="M49" s="23" t="inlineStr">
        <is>
          <t>—</t>
        </is>
      </c>
    </row>
    <row r="50">
      <c r="A50" s="22" t="inlineStr">
        <is>
          <t>G4</t>
        </is>
      </c>
      <c r="B50" s="23" t="inlineStr">
        <is>
          <t>Research Centre</t>
        </is>
      </c>
      <c r="C50" s="23" t="inlineStr">
        <is>
          <t>G. Fund research</t>
        </is>
      </c>
      <c r="D50" s="24" t="inlineStr">
        <is>
          <t>Build a proper category tree — Equity / Debt / Hybrid / FoF / Passive, with sub-categories</t>
        </is>
      </c>
      <c r="E50" s="23" t="inlineStr">
        <is>
          <t>"You should have a category for equity, then debt, FoFs, hybrids, passives, and then further drill down… right now I cannot find momentum here"</t>
        </is>
      </c>
      <c r="F50" s="25" t="inlineStr">
        <is>
          <t>Call</t>
        </is>
      </c>
      <c r="G50" s="23" t="inlineStr">
        <is>
          <t>Research site</t>
        </is>
      </c>
      <c r="H50" s="22" t="inlineStr">
        <is>
          <t>Not started</t>
        </is>
      </c>
      <c r="I50" s="26">
        <f>IF(H50="Done",1,IF(H50="Partial",0.5,0))</f>
        <v>0.0</v>
      </c>
      <c r="J50" s="23" t="inlineStr">
        <is>
          <t>Classifications are flat and momentum could not be found on the call.</t>
        </is>
      </c>
      <c r="K50" s="23" t="inlineStr">
        <is>
          <t>Adopt the standard category taxonomy and place every scheme in it, momentum included.</t>
        </is>
      </c>
      <c r="L50" s="23" t="inlineStr">
        <is>
          <t>From the call (separate app)</t>
        </is>
      </c>
      <c r="M50" s="23" t="inlineStr">
        <is>
          <t>—</t>
        </is>
      </c>
    </row>
    <row r="51">
      <c r="A51" s="22" t="inlineStr">
        <is>
          <t>G5</t>
        </is>
      </c>
      <c r="B51" s="23" t="inlineStr">
        <is>
          <t>Research Centre</t>
        </is>
      </c>
      <c r="C51" s="23" t="inlineStr">
        <is>
          <t>G. Fund research</t>
        </is>
      </c>
      <c r="D51" s="24" t="inlineStr">
        <is>
          <t>Rank plus above/below-median shading against the category</t>
        </is>
      </c>
      <c r="E51" s="23" t="inlineStr">
        <is>
          <t>"Rank is okay… if it is above median give it a different colour, shade it — like a heat map"</t>
        </is>
      </c>
      <c r="F51" s="25" t="inlineStr">
        <is>
          <t>Call</t>
        </is>
      </c>
      <c r="G51" s="23" t="inlineStr">
        <is>
          <t>Research site</t>
        </is>
      </c>
      <c r="H51" s="22" t="inlineStr">
        <is>
          <t>Not started</t>
        </is>
      </c>
      <c r="I51" s="26">
        <f>IF(H51="Done",1,IF(H51="Partial",0.5,0))</f>
        <v>0.0</v>
      </c>
      <c r="J51" s="23" t="inlineStr">
        <is>
          <t>Rank only, no median and no shading.</t>
        </is>
      </c>
      <c r="K51" s="23" t="inlineStr">
        <is>
          <t>Compute the category median per period and shade each cell against it.</t>
        </is>
      </c>
      <c r="L51" s="23" t="inlineStr">
        <is>
          <t>From the call (separate app)</t>
        </is>
      </c>
      <c r="M51" s="23" t="inlineStr">
        <is>
          <t>—</t>
        </is>
      </c>
    </row>
    <row r="52">
      <c r="A52" s="22" t="inlineStr">
        <is>
          <t>G6</t>
        </is>
      </c>
      <c r="B52" s="23" t="inlineStr">
        <is>
          <t>Research Centre</t>
        </is>
      </c>
      <c r="C52" s="23" t="inlineStr">
        <is>
          <t>G. Fund research</t>
        </is>
      </c>
      <c r="D52" s="24" t="inlineStr">
        <is>
          <t>A category median returns view</t>
        </is>
      </c>
      <c r="E52" s="23" t="inlineStr">
        <is>
          <t>"I'll also make a tab here for median returns of the category"</t>
        </is>
      </c>
      <c r="F52" s="25" t="inlineStr">
        <is>
          <t>Call</t>
        </is>
      </c>
      <c r="G52" s="23" t="inlineStr">
        <is>
          <t>Research site</t>
        </is>
      </c>
      <c r="H52" s="22" t="inlineStr">
        <is>
          <t>Not started</t>
        </is>
      </c>
      <c r="I52" s="26">
        <f>IF(H52="Done",1,IF(H52="Partial",0.5,0))</f>
        <v>0.0</v>
      </c>
      <c r="J52" s="23" t="inlineStr">
        <is>
          <t>Not built.</t>
        </is>
      </c>
      <c r="K52" s="23" t="inlineStr">
        <is>
          <t>Median return per category per period, once the categories above are right.</t>
        </is>
      </c>
      <c r="L52" s="23" t="inlineStr">
        <is>
          <t>From the call (separate app)</t>
        </is>
      </c>
      <c r="M52" s="23" t="inlineStr">
        <is>
          <t>—</t>
        </is>
      </c>
    </row>
    <row r="53">
      <c r="A53" s="22" t="inlineStr">
        <is>
          <t>G7</t>
        </is>
      </c>
      <c r="B53" s="23" t="inlineStr">
        <is>
          <t>Research Centre</t>
        </is>
      </c>
      <c r="C53" s="23" t="inlineStr">
        <is>
          <t>G. Fund research</t>
        </is>
      </c>
      <c r="D53" s="24" t="inlineStr">
        <is>
          <t>Show the benchmark return beside every scheme and category</t>
        </is>
      </c>
      <c r="E53" s="23" t="inlineStr">
        <is>
          <t>"Where am I getting to see the benchmark return? There is no point of looking at any category or scheme return without the benchmarks"</t>
        </is>
      </c>
      <c r="F53" s="25" t="inlineStr">
        <is>
          <t>Call</t>
        </is>
      </c>
      <c r="G53" s="23" t="inlineStr">
        <is>
          <t>Research site</t>
        </is>
      </c>
      <c r="H53" s="22" t="inlineStr">
        <is>
          <t>Not started</t>
        </is>
      </c>
      <c r="I53" s="26">
        <f>IF(H53="Done",1,IF(H53="Partial",0.5,0))</f>
        <v>0.0</v>
      </c>
      <c r="J53" s="23" t="inlineStr">
        <is>
          <t>No benchmark column. The client called the whole table meaningless without it.</t>
        </is>
      </c>
      <c r="K53" s="23" t="inlineStr">
        <is>
          <t>Attach each scheme's declared benchmark and the category benchmark, and show both returns beside the scheme's.</t>
        </is>
      </c>
      <c r="L53" s="23" t="inlineStr">
        <is>
          <t>From the call (separate app)</t>
        </is>
      </c>
      <c r="M53" s="23" t="inlineStr">
        <is>
          <t>—</t>
        </is>
      </c>
    </row>
    <row r="54">
      <c r="A54" s="22" t="inlineStr">
        <is>
          <t>G8</t>
        </is>
      </c>
      <c r="B54" s="23" t="inlineStr">
        <is>
          <t>Research Centre</t>
        </is>
      </c>
      <c r="C54" s="23" t="inlineStr">
        <is>
          <t>G. Fund research</t>
        </is>
      </c>
      <c r="D54" s="24" t="inlineStr">
        <is>
          <t>Benchmark picker — Nifty 50 / 500, BSE 100 / 200 and sectoral indices, plus the scheme's own declared benchmark</t>
        </is>
      </c>
      <c r="E54" s="23" t="inlineStr">
        <is>
          <t>"Nifty 500, BSE 100, BSE 200, Nifty 50, and also the sectoral index… one is the suggested benchmark by the fund itself and the second is our benchmark"</t>
        </is>
      </c>
      <c r="F54" s="25" t="inlineStr">
        <is>
          <t>Call</t>
        </is>
      </c>
      <c r="G54" s="23" t="inlineStr">
        <is>
          <t>Research site</t>
        </is>
      </c>
      <c r="H54" s="22" t="inlineStr">
        <is>
          <t>Not started</t>
        </is>
      </c>
      <c r="I54" s="26">
        <f>IF(H54="Done",1,IF(H54="Partial",0.5,0))</f>
        <v>0.0</v>
      </c>
      <c r="J54" s="23" t="inlineStr">
        <is>
          <t>Not built.</t>
        </is>
      </c>
      <c r="K54" s="23" t="inlineStr">
        <is>
          <t>A benchmark selector carrying both bases, with the fund's declared benchmark as the default.</t>
        </is>
      </c>
      <c r="L54" s="23" t="inlineStr">
        <is>
          <t>From the call (separate app)</t>
        </is>
      </c>
      <c r="M54" s="23" t="inlineStr">
        <is>
          <t>—</t>
        </is>
      </c>
    </row>
    <row r="55">
      <c r="A55" s="22" t="inlineStr">
        <is>
          <t>G9</t>
        </is>
      </c>
      <c r="B55" s="23" t="inlineStr">
        <is>
          <t>Research Centre</t>
        </is>
      </c>
      <c r="C55" s="23" t="inlineStr">
        <is>
          <t>G. Fund research</t>
        </is>
      </c>
      <c r="D55" s="24" t="inlineStr">
        <is>
          <t>Source benchmark and category data — free source first, paid login only if it cannot be had</t>
        </is>
      </c>
      <c r="E55" s="23" t="inlineStr">
        <is>
          <t>"Look at Value Research, how they are clubbing… if that data is freely available then just wire it up. If not, we can figure out some kind of a login"</t>
        </is>
      </c>
      <c r="F55" s="25" t="inlineStr">
        <is>
          <t>Call</t>
        </is>
      </c>
      <c r="G55" s="23" t="inlineStr">
        <is>
          <t>Research site</t>
        </is>
      </c>
      <c r="H55" s="22" t="inlineStr">
        <is>
          <t>Not started</t>
        </is>
      </c>
      <c r="I55" s="26">
        <f>IF(H55="Done",1,IF(H55="Partial",0.5,0))</f>
        <v>0.0</v>
      </c>
      <c r="J55" s="23" t="inlineStr">
        <is>
          <t>Open. The client no longer holds an MFI login; Value Research was suggested as the free reference.</t>
        </is>
      </c>
      <c r="K55" s="23" t="inlineStr">
        <is>
          <t>Evaluate Value Research / AMFI for category definitions and benchmark series, and report back on what is free before anyone buys a licence.</t>
        </is>
      </c>
      <c r="L55" s="23" t="inlineStr">
        <is>
          <t>From the call (separate app)</t>
        </is>
      </c>
      <c r="M55" s="23" t="inlineStr">
        <is>
          <t>—</t>
        </is>
      </c>
    </row>
    <row r="56">
      <c r="A56" s="22" t="inlineStr">
        <is>
          <t>G10</t>
        </is>
      </c>
      <c r="B56" s="23" t="inlineStr">
        <is>
          <t>Research Centre</t>
        </is>
      </c>
      <c r="C56" s="23" t="inlineStr">
        <is>
          <t>G. Fund research</t>
        </is>
      </c>
      <c r="D56" s="24" t="inlineStr">
        <is>
          <t>Fund watchlist — star to add, watchlist view to read back</t>
        </is>
      </c>
      <c r="E56" s="23" t="inlineStr">
        <is>
          <t>"There's a star button — if you want to add, it directly gets added to your watch list"</t>
        </is>
      </c>
      <c r="F56" s="25" t="inlineStr">
        <is>
          <t>Call</t>
        </is>
      </c>
      <c r="G56" s="23" t="inlineStr">
        <is>
          <t>Research site</t>
        </is>
      </c>
      <c r="H56" s="22" t="inlineStr">
        <is>
          <t>Done</t>
        </is>
      </c>
      <c r="I56" s="26">
        <f>IF(H56="Done",1,IF(H56="Partial",0.5,0))</f>
        <v>1.0</v>
      </c>
      <c r="J56" s="23" t="inlineStr">
        <is>
          <t>Demonstrated working on the call: star on a row, watchlist view on the right.</t>
        </is>
      </c>
      <c r="K56" s="23" t="inlineStr">
        <is>
          <t>—</t>
        </is>
      </c>
      <c r="L56" s="23" t="inlineStr">
        <is>
          <t>From the call (separate app)</t>
        </is>
      </c>
      <c r="M56" s="23" t="inlineStr">
        <is>
          <t>—</t>
        </is>
      </c>
    </row>
    <row r="57">
      <c r="A57" s="22" t="inlineStr">
        <is>
          <t>H1</t>
        </is>
      </c>
      <c r="B57" s="23" t="inlineStr">
        <is>
          <t>Research Centre</t>
        </is>
      </c>
      <c r="C57" s="23" t="inlineStr">
        <is>
          <t>H. News &amp; announcements</t>
        </is>
      </c>
      <c r="D57" s="24" t="inlineStr">
        <is>
          <t>Company multi-select as a dropdown, not free typing — and fix the broken search</t>
        </is>
      </c>
      <c r="E57" s="23" t="inlineStr">
        <is>
          <t>"Instead of searching the names, just give a drop-down multi-selector where on my portfolio or any company that I'm looking at, I can just multi select"</t>
        </is>
      </c>
      <c r="F57" s="25" t="inlineStr">
        <is>
          <t>Call</t>
        </is>
      </c>
      <c r="G57" s="23" t="inlineStr">
        <is>
          <t>Research site</t>
        </is>
      </c>
      <c r="H57" s="22" t="inlineStr">
        <is>
          <t>Partial</t>
        </is>
      </c>
      <c r="I57" s="26">
        <f>IF(H57="Done",1,IF(H57="Partial",0.5,0))</f>
        <v>0.5</v>
      </c>
      <c r="J57" s="23" t="inlineStr">
        <is>
          <t>Multi-company search works by typing (fixed since the last call). The client asked for a dropdown fed by the portfolio; the news company filter was still misbehaving on the call.</t>
        </is>
      </c>
      <c r="K57" s="23" t="inlineStr">
        <is>
          <t>Replace typing with a portfolio-backed multi-select and fix the residual search fault.</t>
        </is>
      </c>
      <c r="L57" s="23" t="inlineStr">
        <is>
          <t>From the call (separate app)</t>
        </is>
      </c>
      <c r="M57" s="23" t="inlineStr">
        <is>
          <t>—</t>
        </is>
      </c>
    </row>
    <row r="58">
      <c r="A58" s="22" t="inlineStr">
        <is>
          <t>H2</t>
        </is>
      </c>
      <c r="B58" s="23" t="inlineStr">
        <is>
          <t>Research Centre</t>
        </is>
      </c>
      <c r="C58" s="23" t="inlineStr">
        <is>
          <t>H. News &amp; announcements</t>
        </is>
      </c>
      <c r="D58" s="24" t="inlineStr">
        <is>
          <t>Scope corporate announcements to the holdings — "my stocks" against "universe" — instead of 41,000 rows</t>
        </is>
      </c>
      <c r="E58" s="23" t="inlineStr">
        <is>
          <t>"It just can't be 41,000, it becomes a crowd… whatever key announcements which are related to my direct stocks"</t>
        </is>
      </c>
      <c r="F58" s="25" t="inlineStr">
        <is>
          <t>Call</t>
        </is>
      </c>
      <c r="G58" s="23" t="inlineStr">
        <is>
          <t>Research site</t>
        </is>
      </c>
      <c r="H58" s="22" t="inlineStr">
        <is>
          <t>Not started</t>
        </is>
      </c>
      <c r="I58" s="26">
        <f>IF(H58="Done",1,IF(H58="Partial",0.5,0))</f>
        <v>0.0</v>
      </c>
      <c r="J58" s="23" t="inlineStr">
        <is>
          <t>The announcements view was showing the full universe. The scope control the client wants already exists on the RAB corporate-actions screen he was shown, so the pattern is proven.</t>
        </is>
      </c>
      <c r="K58" s="23" t="inlineStr">
        <is>
          <t>Filter on the family's own holdings by default, with a universe switch beside it.</t>
        </is>
      </c>
      <c r="L58" s="23" t="inlineStr">
        <is>
          <t>From the call (separate app)</t>
        </is>
      </c>
      <c r="M58" s="23" t="inlineStr">
        <is>
          <t>—</t>
        </is>
      </c>
    </row>
    <row r="59">
      <c r="A59" s="22" t="inlineStr">
        <is>
          <t>H3</t>
        </is>
      </c>
      <c r="B59" s="23" t="inlineStr">
        <is>
          <t>Research Centre</t>
        </is>
      </c>
      <c r="C59" s="23" t="inlineStr">
        <is>
          <t>H. News &amp; announcements</t>
        </is>
      </c>
      <c r="D59" s="24" t="inlineStr">
        <is>
          <t>Make portfolio the default scope on every research screen</t>
        </is>
      </c>
      <c r="E59" s="23" t="inlineStr">
        <is>
          <t>"For everything that I see, let portfolio be my default view, and then I can toggle to universe"</t>
        </is>
      </c>
      <c r="F59" s="25" t="inlineStr">
        <is>
          <t>Call</t>
        </is>
      </c>
      <c r="G59" s="23" t="inlineStr">
        <is>
          <t>Research site</t>
        </is>
      </c>
      <c r="H59" s="22" t="inlineStr">
        <is>
          <t>Not started</t>
        </is>
      </c>
      <c r="I59" s="26">
        <f>IF(H59="Done",1,IF(H59="Partial",0.5,0))</f>
        <v>0.0</v>
      </c>
      <c r="J59" s="23" t="inlineStr">
        <is>
          <t>Universe is the default today.</t>
        </is>
      </c>
      <c r="K59" s="23" t="inlineStr">
        <is>
          <t>Flip the default and carry it across every screen that has a scope.</t>
        </is>
      </c>
      <c r="L59" s="23" t="inlineStr">
        <is>
          <t>From the call (separate app)</t>
        </is>
      </c>
      <c r="M59" s="23" t="inlineStr">
        <is>
          <t>—</t>
        </is>
      </c>
    </row>
    <row r="60">
      <c r="A60" s="22" t="inlineStr">
        <is>
          <t>H4</t>
        </is>
      </c>
      <c r="B60" s="23" t="inlineStr">
        <is>
          <t>Research Centre</t>
        </is>
      </c>
      <c r="C60" s="23" t="inlineStr">
        <is>
          <t>H. News &amp; announcements</t>
        </is>
      </c>
      <c r="D60" s="24" t="inlineStr">
        <is>
          <t>Each announcement to carry company, date, category, a one-line summary and the source link</t>
        </is>
      </c>
      <c r="E60" s="23" t="inlineStr">
        <is>
          <t>"Can it not just come as a line item instead of me going on the link and clicking… a brief summary — what is the announcement, what is the date, source and link"</t>
        </is>
      </c>
      <c r="F60" s="25" t="inlineStr">
        <is>
          <t>Call</t>
        </is>
      </c>
      <c r="G60" s="23" t="inlineStr">
        <is>
          <t>Research site</t>
        </is>
      </c>
      <c r="H60" s="22" t="inlineStr">
        <is>
          <t>Not started</t>
        </is>
      </c>
      <c r="I60" s="26">
        <f>IF(H60="Done",1,IF(H60="Partial",0.5,0))</f>
        <v>0.0</v>
      </c>
      <c r="J60" s="23" t="inlineStr">
        <is>
          <t>Link only; the reader has to open each one.</t>
        </is>
      </c>
      <c r="K60" s="23" t="inlineStr">
        <is>
          <t>Summarise each filing into one line beside the link.</t>
        </is>
      </c>
      <c r="L60" s="23" t="inlineStr">
        <is>
          <t>From the call (separate app)</t>
        </is>
      </c>
      <c r="M60" s="23" t="inlineStr">
        <is>
          <t>—</t>
        </is>
      </c>
    </row>
    <row r="61">
      <c r="A61" s="22" t="inlineStr">
        <is>
          <t>H5</t>
        </is>
      </c>
      <c r="B61" s="23" t="inlineStr">
        <is>
          <t>Research Centre</t>
        </is>
      </c>
      <c r="C61" s="23" t="inlineStr">
        <is>
          <t>H. News &amp; announcements</t>
        </is>
      </c>
      <c r="D61" s="24" t="inlineStr">
        <is>
          <t>Categorise announcements — bonus, buyback, stock split, rights issue, dividend, plus Others</t>
        </is>
      </c>
      <c r="E61" s="23" t="inlineStr">
        <is>
          <t>"Split it into these categories: bonus, buyback, stock split, right issue and dividends… and have an others option also, because not everything will be this"</t>
        </is>
      </c>
      <c r="F61" s="25" t="inlineStr">
        <is>
          <t>Call</t>
        </is>
      </c>
      <c r="G61" s="23" t="inlineStr">
        <is>
          <t>Research site</t>
        </is>
      </c>
      <c r="H61" s="22" t="inlineStr">
        <is>
          <t>Not started</t>
        </is>
      </c>
      <c r="I61" s="26">
        <f>IF(H61="Done",1,IF(H61="Partial",0.5,0))</f>
        <v>0.0</v>
      </c>
      <c r="J61" s="23" t="inlineStr">
        <is>
          <t>Uncategorised.</t>
        </is>
      </c>
      <c r="K61" s="23" t="inlineStr">
        <is>
          <t>Classify each filing into the five named buckets, and put anything that does not fit in Others rather than under a guess.</t>
        </is>
      </c>
      <c r="L61" s="23" t="inlineStr">
        <is>
          <t>From the call (separate app)</t>
        </is>
      </c>
      <c r="M61" s="23" t="inlineStr">
        <is>
          <t>—</t>
        </is>
      </c>
    </row>
    <row r="62">
      <c r="A62" s="22" t="inlineStr">
        <is>
          <t>H6</t>
        </is>
      </c>
      <c r="B62" s="23" t="inlineStr">
        <is>
          <t>Research Centre</t>
        </is>
      </c>
      <c r="C62" s="23" t="inlineStr">
        <is>
          <t>H. News &amp; announcements</t>
        </is>
      </c>
      <c r="D62" s="24" t="inlineStr">
        <is>
          <t>Insider / bulk / block deals scoped to the family's holdings and managers, not the universe</t>
        </is>
      </c>
      <c r="E62" s="23" t="inlineStr">
        <is>
          <t>"This is for the universe. I had asked what my managers are doing — I have access to those managers, I can pick up the phone. Show me that"</t>
        </is>
      </c>
      <c r="F62" s="25" t="inlineStr">
        <is>
          <t>Call</t>
        </is>
      </c>
      <c r="G62" s="23" t="inlineStr">
        <is>
          <t>Research site · /stock/:key</t>
        </is>
      </c>
      <c r="H62" s="22" t="inlineStr">
        <is>
          <t>Partial</t>
        </is>
      </c>
      <c r="I62" s="26">
        <f>IF(H62="Done",1,IF(H62="Partial",0.5,0))</f>
        <v>0.5</v>
      </c>
      <c r="J62" s="23" t="inlineStr">
        <is>
          <t>The dashboard already carries portfolio-scoped helpers and live Functions (/api/insider, /api/announcements, /api/news), and an insider panel renders on each company page. The research site's own insider view is still universe-wide.</t>
        </is>
      </c>
      <c r="K62" s="23" t="inlineStr">
        <is>
          <t>Point the research view at the family's holdings, and add the managers' own disclosed activity, which nothing reads today.</t>
        </is>
      </c>
      <c r="L62" s="23" t="inlineStr">
        <is>
          <t>From the call (separate app)</t>
        </is>
      </c>
      <c r="M62" s="23" t="inlineStr">
        <is>
          <t>—</t>
        </is>
      </c>
    </row>
    <row r="63">
      <c r="A63" s="22" t="inlineStr">
        <is>
          <t>I1</t>
        </is>
      </c>
      <c r="B63" s="23" t="inlineStr">
        <is>
          <t>Process</t>
        </is>
      </c>
      <c r="C63" s="23" t="inlineStr">
        <is>
          <t>I. Process &amp; access</t>
        </is>
      </c>
      <c r="D63" s="24" t="inlineStr">
        <is>
          <t>Tag tech@muns.io on all client correspondence, both directions</t>
        </is>
      </c>
      <c r="E63" s="23" t="inlineStr">
        <is>
          <t>"Whenever she's sending data she can tag tech at muns also" · "whenever you next send the email just add the other tech one as well"</t>
        </is>
      </c>
      <c r="F63" s="25" t="inlineStr">
        <is>
          <t>Call</t>
        </is>
      </c>
      <c r="G63" s="23" t="inlineStr">
        <is>
          <t>—</t>
        </is>
      </c>
      <c r="H63" s="22" t="inlineStr">
        <is>
          <t>Not started</t>
        </is>
      </c>
      <c r="I63" s="26">
        <f>IF(H63="Done",1,IF(H63="Partial",0.5,0))</f>
        <v>0.0</v>
      </c>
      <c r="J63" s="23" t="inlineStr">
        <is>
          <t>Several of the client's emails — the FPI request, the dashboard observations, the weekly MF Excel — had not reached the team by the time of the call.</t>
        </is>
      </c>
      <c r="K63" s="23" t="inlineStr">
        <is>
          <t>Confirm the alias is on both distribution lists and re-request the three emails.</t>
        </is>
      </c>
      <c r="L63" s="23" t="inlineStr">
        <is>
          <t>From the call (separate app)</t>
        </is>
      </c>
      <c r="M63" s="23" t="inlineStr">
        <is>
          <t>—</t>
        </is>
      </c>
    </row>
    <row r="64">
      <c r="A64" s="22" t="inlineStr">
        <is>
          <t>I2</t>
        </is>
      </c>
      <c r="B64" s="23" t="inlineStr">
        <is>
          <t>Process</t>
        </is>
      </c>
      <c r="C64" s="23" t="inlineStr">
        <is>
          <t>I. Process &amp; access</t>
        </is>
      </c>
      <c r="D64" s="24" t="inlineStr">
        <is>
          <t>Reply per change on the email thread with screenshots, instead of holding everything for the weekly call</t>
        </is>
      </c>
      <c r="E64" s="23" t="inlineStr">
        <is>
          <t>"Just keep sending out — this change done, that change done — on the email thread itself, with the respective screenshot"</t>
        </is>
      </c>
      <c r="F64" s="25" t="inlineStr">
        <is>
          <t>Call</t>
        </is>
      </c>
      <c r="G64" s="23" t="inlineStr">
        <is>
          <t>—</t>
        </is>
      </c>
      <c r="H64" s="22" t="inlineStr">
        <is>
          <t>Not started</t>
        </is>
      </c>
      <c r="I64" s="26">
        <f>IF(H64="Done",1,IF(H64="Partial",0.5,0))</f>
        <v>0.0</v>
      </c>
      <c r="J64" s="23" t="inlineStr">
        <is>
          <t>Agreed on the call, not yet running.</t>
        </is>
      </c>
      <c r="K64" s="23" t="inlineStr">
        <is>
          <t>Start the thread with the first batch of changes.</t>
        </is>
      </c>
      <c r="L64" s="23" t="inlineStr">
        <is>
          <t>From the call (separate app)</t>
        </is>
      </c>
      <c r="M64" s="23" t="inlineStr">
        <is>
          <t>—</t>
        </is>
      </c>
    </row>
    <row r="65">
      <c r="A65" s="22" t="inlineStr">
        <is>
          <t>I3</t>
        </is>
      </c>
      <c r="B65" s="23" t="inlineStr">
        <is>
          <t>Process</t>
        </is>
      </c>
      <c r="C65" s="23" t="inlineStr">
        <is>
          <t>I. Process &amp; access</t>
        </is>
      </c>
      <c r="D65" s="24" t="inlineStr">
        <is>
          <t>Give the client a research-site login on the research email ID</t>
        </is>
      </c>
      <c r="E65" s="23" t="inlineStr">
        <is>
          <t>"Have you taken access to the research website with the research email ID? I think that is pending"</t>
        </is>
      </c>
      <c r="F65" s="25" t="inlineStr">
        <is>
          <t>Call</t>
        </is>
      </c>
      <c r="G65" s="23" t="inlineStr">
        <is>
          <t>Research site</t>
        </is>
      </c>
      <c r="H65" s="22" t="inlineStr">
        <is>
          <t>Not started</t>
        </is>
      </c>
      <c r="I65" s="26">
        <f>IF(H65="Done",1,IF(H65="Partial",0.5,0))</f>
        <v>0.0</v>
      </c>
      <c r="J65" s="23" t="inlineStr">
        <is>
          <t>Pending.</t>
        </is>
      </c>
      <c r="K65" s="23" t="inlineStr">
        <is>
          <t>Issue the login.</t>
        </is>
      </c>
      <c r="L65" s="23" t="inlineStr">
        <is>
          <t>From the call (separate app)</t>
        </is>
      </c>
      <c r="M65" s="23" t="inlineStr">
        <is>
          <t>—</t>
        </is>
      </c>
    </row>
    <row r="66">
      <c r="A66" s="22" t="inlineStr">
        <is>
          <t>I4</t>
        </is>
      </c>
      <c r="B66" s="23" t="inlineStr">
        <is>
          <t>Process</t>
        </is>
      </c>
      <c r="C66" s="23" t="inlineStr">
        <is>
          <t>I. Process &amp; access</t>
        </is>
      </c>
      <c r="D66" s="24" t="inlineStr">
        <is>
          <t>Adopt the weekly mutual-fund data Excel in the format the client shared</t>
        </is>
      </c>
      <c r="E66" s="23" t="inlineStr">
        <is>
          <t>"The weekly MF data Excel I had shared with you — how I wanted this one. If you've not received it I'll reshare"</t>
        </is>
      </c>
      <c r="F66" s="25" t="inlineStr">
        <is>
          <t>Call</t>
        </is>
      </c>
      <c r="G66" s="23" t="inlineStr">
        <is>
          <t>Research site</t>
        </is>
      </c>
      <c r="H66" s="22" t="inlineStr">
        <is>
          <t>Not started</t>
        </is>
      </c>
      <c r="I66" s="26">
        <f>IF(H66="Done",1,IF(H66="Partial",0.5,0))</f>
        <v>0.0</v>
      </c>
      <c r="J66" s="23" t="inlineStr">
        <is>
          <t>The file had not been received; the client resent it during the call.</t>
        </is>
      </c>
      <c r="K66" s="23" t="inlineStr">
        <is>
          <t>Read the sheet and mirror its layout in the fund research tab.</t>
        </is>
      </c>
      <c r="L66" s="23" t="inlineStr">
        <is>
          <t>From the call (separate app)</t>
        </is>
      </c>
      <c r="M66" s="23" t="inlineStr">
        <is>
          <t>—</t>
        </is>
      </c>
    </row>
    <row r="67">
      <c r="A67" s="22" t="inlineStr">
        <is>
          <t>I5</t>
        </is>
      </c>
      <c r="B67" s="23" t="inlineStr">
        <is>
          <t>Process</t>
        </is>
      </c>
      <c r="C67" s="23" t="inlineStr">
        <is>
          <t>I. Process &amp; access</t>
        </is>
      </c>
      <c r="D67" s="24" t="inlineStr">
        <is>
          <t>Work from the client's requirements Word document, not just the call notes</t>
        </is>
      </c>
      <c r="E67" s="23" t="inlineStr">
        <is>
          <t>"I have repeated some items here, all of which is written in my word document I shared"</t>
        </is>
      </c>
      <c r="F67" s="27" t="inlineStr">
        <is>
          <t>Written feedback</t>
        </is>
      </c>
      <c r="G67" s="23" t="inlineStr">
        <is>
          <t>—</t>
        </is>
      </c>
      <c r="H67" s="22" t="inlineStr">
        <is>
          <t>Not started</t>
        </is>
      </c>
      <c r="I67" s="26">
        <f>IF(H67="Done",1,IF(H67="Partial",0.5,0))</f>
        <v>0.0</v>
      </c>
      <c r="J67" s="23" t="inlineStr">
        <is>
          <t>The document is not in the repository and was not among the files shared for this review. Several of the client's earlier emails had also not reached the team by the time of the call.</t>
        </is>
      </c>
      <c r="K67" s="23" t="inlineStr">
        <is>
          <t>Confirm receipt, read it against this checklist, and add anything it carries that is not already a row here.</t>
        </is>
      </c>
      <c r="L67" s="23" t="inlineStr">
        <is>
          <t>From the call (separate app)</t>
        </is>
      </c>
      <c r="M67" s="23" t="inlineStr">
        <is>
          <t>—</t>
        </is>
      </c>
    </row>
    <row r="68">
      <c r="A68" s="22" t="inlineStr">
        <is>
          <t>I6</t>
        </is>
      </c>
      <c r="B68" s="23" t="inlineStr">
        <is>
          <t>Process</t>
        </is>
      </c>
      <c r="C68" s="23" t="inlineStr">
        <is>
          <t>I. Process &amp; access</t>
        </is>
      </c>
      <c r="D68" s="24" t="inlineStr">
        <is>
          <t>Reconcile against the Motilal file the client sent, and adopt the data-set layouts in it</t>
        </is>
      </c>
      <c r="E68" s="23" t="inlineStr">
        <is>
          <t>"The Motilal file has been sent to you for reconciliation, and it also has some data sets the way we like to see"</t>
        </is>
      </c>
      <c r="F68" s="27" t="inlineStr">
        <is>
          <t>Written feedback</t>
        </is>
      </c>
      <c r="G68" s="23" t="inlineStr">
        <is>
          <t>scripts/ingest/* · /audit</t>
        </is>
      </c>
      <c r="H68" s="22" t="inlineStr">
        <is>
          <t>Not started</t>
        </is>
      </c>
      <c r="I68" s="26">
        <f>IF(H68="Done",1,IF(H68="Partial",0.5,0))</f>
        <v>0.0</v>
      </c>
      <c r="J68" s="23" t="inlineStr">
        <is>
          <t>Not received into source/. The pipeline already reads twelve Motilal Oswal demat documents from an earlier drop (102.16 Cr across seven accounts) and reconciles the book against the family's own consolidated review, so the machinery for a second reconciliation exists.</t>
        </is>
      </c>
      <c r="K68" s="23" t="inlineStr">
        <is>
          <t>Take the file in as a new delivery, run the control-run discipline (regenerate unchanged first, so every difference belongs to the new file), reconcile, and mirror its layouts where they are better than what is on screen.</t>
        </is>
      </c>
      <c r="L68" s="23" t="inlineStr">
        <is>
          <t>From the call (separate app)</t>
        </is>
      </c>
      <c r="M68" s="23" t="inlineStr">
        <is>
          <t>—</t>
        </is>
      </c>
    </row>
  </sheetData>
  <autoFilter ref="A1:M68"/>
  <conditionalFormatting sqref="H2:H68">
    <cfRule type="cellIs" priority="1" operator="equal" dxfId="0">
      <formula>"Done"</formula>
    </cfRule>
    <cfRule type="cellIs" priority="2" operator="equal" dxfId="1">
      <formula>"Partial"</formula>
    </cfRule>
    <cfRule type="cellIs" priority="3" operator="equal" dxfId="2">
      <formula>"Not started"</formula>
    </cfRule>
  </conditionalFormatting>
  <dataValidations count="1">
    <dataValidation sqref="H2:H68" showDropDown="0" showInputMessage="0" showErrorMessage="0" allowBlank="0" error="Use Done, Partial or Not started so the roll-ups stay correct." type="list">
      <formula1>"Done,Partial,Not started"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2026-09-01T13:28:46Z</dcterms:created>
  <dcterms:modified xsi:type="dcterms:W3CDTF">2026-09-02T17:44:23Z</dcterms:modified>
</cp:coreProperties>
</file>